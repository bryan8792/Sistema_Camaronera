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DUCCION01-PCEST\Desktop\"/>
    </mc:Choice>
  </mc:AlternateContent>
  <bookViews>
    <workbookView xWindow="-120" yWindow="-120" windowWidth="24240" windowHeight="13140" activeTab="1"/>
  </bookViews>
  <sheets>
    <sheet name="H.E. 50%  -  11-2025" sheetId="4" r:id="rId1"/>
    <sheet name="H.E. 100% - 2025" sheetId="3" r:id="rId2"/>
    <sheet name="Hoja2" sheetId="1" state="hidden" r:id="rId3"/>
  </sheets>
  <definedNames>
    <definedName name="_xlnm.Print_Area" localSheetId="2">Hoja2!$A$1:$E$23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3" l="1"/>
  <c r="I44" i="4" l="1"/>
  <c r="I36" i="4"/>
  <c r="I10" i="4"/>
  <c r="I38" i="4" l="1"/>
  <c r="A7" i="3" l="1"/>
  <c r="A8" i="3" s="1"/>
  <c r="A9" i="3" s="1"/>
  <c r="A10" i="3" s="1"/>
  <c r="A11" i="3" s="1"/>
  <c r="A12" i="3" s="1"/>
  <c r="A7" i="4" l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9" i="1" l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2" i="1" l="1"/>
</calcChain>
</file>

<file path=xl/sharedStrings.xml><?xml version="1.0" encoding="utf-8"?>
<sst xmlns="http://schemas.openxmlformats.org/spreadsheetml/2006/main" count="431" uniqueCount="174">
  <si>
    <t>FECHA:</t>
  </si>
  <si>
    <t>SECTOR</t>
  </si>
  <si>
    <t>Nº</t>
  </si>
  <si>
    <t>BIO</t>
  </si>
  <si>
    <r>
      <t>NOMINA TRABAJADORES</t>
    </r>
    <r>
      <rPr>
        <b/>
        <sz val="14"/>
        <color rgb="FFFF0000"/>
        <rFont val="Calibri"/>
        <family val="2"/>
        <scheme val="minor"/>
      </rPr>
      <t xml:space="preserve"> </t>
    </r>
  </si>
  <si>
    <t>PERSONAL PESQUERA SAN MIGUEL &amp; BIOCASCAJAL</t>
  </si>
  <si>
    <t>PSM</t>
  </si>
  <si>
    <t>CEDULA</t>
  </si>
  <si>
    <t>GOMEZ JUMBO YORJIN</t>
  </si>
  <si>
    <t>130362626-9</t>
  </si>
  <si>
    <t>MATAILO PINTA MIGUEL ANGEL</t>
  </si>
  <si>
    <t>110352731-1</t>
  </si>
  <si>
    <t>HELGUERO MARTINEZ CARLOS RENE</t>
  </si>
  <si>
    <t>070362264-7</t>
  </si>
  <si>
    <t>VICENTE MACAS VICTOR HUGO</t>
  </si>
  <si>
    <t>110468487-1</t>
  </si>
  <si>
    <t>LUNA ARIAS KELVIN GABRIEL</t>
  </si>
  <si>
    <t>070462948-4</t>
  </si>
  <si>
    <t>ARMIJOS MIÑAN ANGEL OSWALDO</t>
  </si>
  <si>
    <t>070219346-7</t>
  </si>
  <si>
    <t>CANGO CUEVA FRANCISCO ARMANDO</t>
  </si>
  <si>
    <t>110514219-2</t>
  </si>
  <si>
    <t>CANGO CUEVA DIEGO POLO</t>
  </si>
  <si>
    <t>110599059-0</t>
  </si>
  <si>
    <t>ORTIZ CORONEL WILMER ALBERTO</t>
  </si>
  <si>
    <t>110558140-7</t>
  </si>
  <si>
    <t>AGUIRRE CASTRO JOSE STALYN</t>
  </si>
  <si>
    <t>070472131-5</t>
  </si>
  <si>
    <t>PERSONAL DE PRODUCCION</t>
  </si>
  <si>
    <t>TRABAJADORES DE CAMPO</t>
  </si>
  <si>
    <t>ACARO HERRERA ESTALIN RODRIGO</t>
  </si>
  <si>
    <t>115049676-6</t>
  </si>
  <si>
    <t>ZHANAY JAPON LUIS MIGUEL</t>
  </si>
  <si>
    <t>115084122-7</t>
  </si>
  <si>
    <t>REYES ALCIVAR WILSON SALVADOR</t>
  </si>
  <si>
    <t>131558071-0</t>
  </si>
  <si>
    <t>PINARGOTE VELEZ JOSE GREGORIO</t>
  </si>
  <si>
    <t>131399465-7</t>
  </si>
  <si>
    <t>MERCHAN ABAD PEDRO VICENTE</t>
  </si>
  <si>
    <t>171475532-7</t>
  </si>
  <si>
    <t>070499234-6</t>
  </si>
  <si>
    <t>AJILA BELDUMA RONALD JAVIER</t>
  </si>
  <si>
    <t>JAPON JUELA DANNY JOEL</t>
  </si>
  <si>
    <t>110617024-2</t>
  </si>
  <si>
    <t>MERECI MOREIRA LUIS FERNANDO</t>
  </si>
  <si>
    <t>115043410-6</t>
  </si>
  <si>
    <t>SANCHEZ SANCHEZ JORGE LUIS</t>
  </si>
  <si>
    <t>115089170-1</t>
  </si>
  <si>
    <t xml:space="preserve">CHAMBA CASTILLO IVAN EDUARDO </t>
  </si>
  <si>
    <t>115014720-3</t>
  </si>
  <si>
    <t>JIMENEZ VEGA HOLGER ALONSO</t>
  </si>
  <si>
    <t>115020093-7</t>
  </si>
  <si>
    <t>GONZABAY REYES ROSSEL ADRIAN</t>
  </si>
  <si>
    <t>210088912-6</t>
  </si>
  <si>
    <t>ZHANAY CABRERA ELVIS WLADIMIR</t>
  </si>
  <si>
    <t>110581707-4</t>
  </si>
  <si>
    <t>MAZA PINTA ANGEL VICENTE</t>
  </si>
  <si>
    <t>110581999-7</t>
  </si>
  <si>
    <t>GARCIA TAMAYO JORDAN JAVIER</t>
  </si>
  <si>
    <t>135138687-3</t>
  </si>
  <si>
    <t>CALERO CORREA YODER ALEXANDER</t>
  </si>
  <si>
    <t>110621607-8</t>
  </si>
  <si>
    <t>095647098-3</t>
  </si>
  <si>
    <t>PINTA SARANGO WILSON XAVIER</t>
  </si>
  <si>
    <t>115051442-8</t>
  </si>
  <si>
    <t>BARAHONA GUTAMA MARLON GASTON</t>
  </si>
  <si>
    <t>MANTUANO CEDEÑO JIMPSON ARIEL</t>
  </si>
  <si>
    <t>094098401-6</t>
  </si>
  <si>
    <t>SIMANCAS HUANCA JHANY CARLOS</t>
  </si>
  <si>
    <t>110524329-7</t>
  </si>
  <si>
    <t>SANCHEZ CABRERA EDISON EDUARDO</t>
  </si>
  <si>
    <t>095942273-4</t>
  </si>
  <si>
    <t>NUEVO</t>
  </si>
  <si>
    <t>FECHA DE NACIMIENTO</t>
  </si>
  <si>
    <t>26 DE JULIO DE 1997</t>
  </si>
  <si>
    <t>23 DE AGOSTO DE 1985</t>
  </si>
  <si>
    <t>19 DE AGOSTO DE 1977</t>
  </si>
  <si>
    <t>20 DE SEPTIEMBRE DEL 2001</t>
  </si>
  <si>
    <t>03 DE MARZO DEL 2002</t>
  </si>
  <si>
    <t>27 DE FEBRERO DE 1996</t>
  </si>
  <si>
    <t>28 DE OCTUBRE DE 1992</t>
  </si>
  <si>
    <t>30 DE AGOSTO DE 1997</t>
  </si>
  <si>
    <t>11 DE DICIEMBRE DEL 2000</t>
  </si>
  <si>
    <t>04 DE ABRIL DEL 2000</t>
  </si>
  <si>
    <t>07 DE JULIO DEL 2003</t>
  </si>
  <si>
    <t>29 DE NOVIEMBRE1995</t>
  </si>
  <si>
    <t>30 DE JUNIO DE 1992</t>
  </si>
  <si>
    <t>09 DE MARZO DE 1988</t>
  </si>
  <si>
    <t>25 DE AGOSTO DE 1969</t>
  </si>
  <si>
    <t>23 DE AGOSTO DE 1978</t>
  </si>
  <si>
    <t>21 DE JUNIO DE 1980</t>
  </si>
  <si>
    <t>24 DE OCTUBRE 1988</t>
  </si>
  <si>
    <t>12 DE AGOSTO DE 1984</t>
  </si>
  <si>
    <t>15 DE ABRIL DE 1984</t>
  </si>
  <si>
    <t>28 DE NOVIEMBRE DEL 2001</t>
  </si>
  <si>
    <t>03 DE NOVIEMBRE DE 1999</t>
  </si>
  <si>
    <t>17 DE MAYO DE 1999</t>
  </si>
  <si>
    <t>24 DE JUNIO DEL 2000</t>
  </si>
  <si>
    <t>19 DE JULIO DE 1958</t>
  </si>
  <si>
    <t>13 DE NOVIEMVRE DE 1991</t>
  </si>
  <si>
    <t>13 DE MARZO DE 1996</t>
  </si>
  <si>
    <t>06 DE ENERO DEL 2002</t>
  </si>
  <si>
    <t>08 DE MARZO DEL 1997</t>
  </si>
  <si>
    <t>30 DE SEPTIEMBRE DE 1992</t>
  </si>
  <si>
    <t>14 DE DICIEMBRE DE 1984</t>
  </si>
  <si>
    <t>OPERADOR DE BOMBAS</t>
  </si>
  <si>
    <t>TRABAJADOR ACUICOLA</t>
  </si>
  <si>
    <t>VELEZ PALACIOS RICARDO JOSE</t>
  </si>
  <si>
    <t>070432834-3</t>
  </si>
  <si>
    <t>FERNANDEZ VELEZ OSCAR FORTUNATO</t>
  </si>
  <si>
    <t>131244670-9</t>
  </si>
  <si>
    <t>CARGOS</t>
  </si>
  <si>
    <t>AREVALO SANCHEZ MAURICIO RAFAEL</t>
  </si>
  <si>
    <t>110606565-7</t>
  </si>
  <si>
    <t>MARQUEZ FERNANDEZ AUGUSTO ANTONIO</t>
  </si>
  <si>
    <t>PINARGOTE BERMELLO ANGEL EUGENIO</t>
  </si>
  <si>
    <t>131289138-3</t>
  </si>
  <si>
    <t>131350790-5</t>
  </si>
  <si>
    <t>JEFE DE CAMPO</t>
  </si>
  <si>
    <t>CALLE RAMOS JHONNY RENE</t>
  </si>
  <si>
    <t>CEDEÑO JURADO JEFFERSON MANUEL</t>
  </si>
  <si>
    <t>GUEVARA HERRERA NICOLAS ENRIQUE</t>
  </si>
  <si>
    <t>110525109-2</t>
  </si>
  <si>
    <t>131617781-3</t>
  </si>
  <si>
    <t>110606706-7</t>
  </si>
  <si>
    <t>CARRION CORONEL JORGE LUIS</t>
  </si>
  <si>
    <t>110601446-5</t>
  </si>
  <si>
    <r>
      <t>NOMINA TRABAJADORES</t>
    </r>
    <r>
      <rPr>
        <b/>
        <sz val="11"/>
        <color rgb="FFFF0000"/>
        <rFont val="Calibri"/>
        <family val="2"/>
        <scheme val="minor"/>
      </rPr>
      <t xml:space="preserve"> </t>
    </r>
  </si>
  <si>
    <t>FECHA</t>
  </si>
  <si>
    <t>TRABAJO REALIZADO</t>
  </si>
  <si>
    <t>INTRIAGO MOLINA MOISES DANIEL</t>
  </si>
  <si>
    <t>131167119-0</t>
  </si>
  <si>
    <t>REVISADO</t>
  </si>
  <si>
    <t>-------------------------</t>
  </si>
  <si>
    <t>PESQUERA SAN MIGUEL  C. LTDA.</t>
  </si>
  <si>
    <t>FIRMA</t>
  </si>
  <si>
    <t>HORA EXTRA 100%</t>
  </si>
  <si>
    <t>CONTROL HORAS EXTRAS</t>
  </si>
  <si>
    <t>TOTAL HORAS</t>
  </si>
  <si>
    <t>VISTO BUENO</t>
  </si>
  <si>
    <t xml:space="preserve">ELABORADO </t>
  </si>
  <si>
    <t>JEFE/CAMPO</t>
  </si>
  <si>
    <t>SUPERVISOR / JEFE DE CAMPO</t>
  </si>
  <si>
    <t>CARLOS HELGUERO</t>
  </si>
  <si>
    <t>MIGUEL MATAILO</t>
  </si>
  <si>
    <t>HORA EXTRA 50%</t>
  </si>
  <si>
    <t>115087646-2</t>
  </si>
  <si>
    <t>CAMACHO CAMACHO CHRISTIAN EDUARDO</t>
  </si>
  <si>
    <t>DESDE : 01-noviembre               HASTA : 30-noviembre               AÑO : 2025</t>
  </si>
  <si>
    <t>BIOCASCAJAL  CIA. LTDA.</t>
  </si>
  <si>
    <t>PALACIOS DEL ROSARIO ERICK FERNANDO</t>
  </si>
  <si>
    <t>PUCHA MARTINEZ EDGAR FABIAN</t>
  </si>
  <si>
    <t>075054942-0</t>
  </si>
  <si>
    <t>070653416-1</t>
  </si>
  <si>
    <t>Pagua, 30 de Noviembre del 2025</t>
  </si>
  <si>
    <t>BOMBA PSM</t>
  </si>
  <si>
    <t>DESAGUAR PISCINAS</t>
  </si>
  <si>
    <t>TRANSFERENCIA P15 &amp; P25</t>
  </si>
  <si>
    <t>2</t>
  </si>
  <si>
    <t>ING. CÉSAR CARPIO</t>
  </si>
  <si>
    <t>4</t>
  </si>
  <si>
    <t>ESTALIN ACARO</t>
  </si>
  <si>
    <t>1</t>
  </si>
  <si>
    <t>DESDE : 16-noviembre               HASTA : 30-noviembre               AÑO : 2025</t>
  </si>
  <si>
    <t>CESAR CARPIO</t>
  </si>
  <si>
    <t>CEPILLAR MALLAS DE ENTRADA DE P15 &amp; P25</t>
  </si>
  <si>
    <t>MANTENIMIENTOS ALIMENTADORA - MATERIAL DE PESCA - CAMION HINO</t>
  </si>
  <si>
    <t>PASANDO MATERIALES DE PESCA</t>
  </si>
  <si>
    <t>2,5</t>
  </si>
  <si>
    <t>11,5</t>
  </si>
  <si>
    <t>RONDA DIURNA (POR VOTACIONES NO QUEDÓ PERSONAL EN CAMPAMENTO)</t>
  </si>
  <si>
    <t>ALIMENTAR (LUEGO DE SU JORNADA DE RONDA, REALIZÓ LA ACTIVIDAD DE ALIMENTAR)</t>
  </si>
  <si>
    <t>-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</si>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</sst>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dd/mmmm/yyyy"/>
    <numFmt numFmtId="166" formatCode="[$-F400]h:mm:ss\ AM/PM"/>
    <numFmt numFmtId="167" formatCode="[$-F800]dddd\,\ mmmm\ dd\,\ 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 Rounded MT Bold"/>
      <family val="2"/>
    </font>
    <font>
      <b/>
      <sz val="12"/>
      <color theme="8" tint="-0.249977111117893"/>
      <name val="Arial"/>
      <family val="2"/>
    </font>
    <font>
      <b/>
      <sz val="18"/>
      <color theme="1"/>
      <name val="Calibri"/>
      <family val="2"/>
      <scheme val="minor"/>
    </font>
    <font>
      <sz val="12"/>
      <name val="Arial Rounded MT Bold"/>
      <family val="2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203">
    <xf numFmtId="0" fontId="0" fillId="0" borderId="0" xfId="0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164" fontId="6" fillId="0" borderId="2" xfId="1" applyFont="1" applyBorder="1" applyAlignment="1">
      <alignment horizontal="center"/>
    </xf>
    <xf numFmtId="1" fontId="7" fillId="0" borderId="2" xfId="1" applyNumberFormat="1" applyFont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4" fontId="6" fillId="0" borderId="2" xfId="1" applyFont="1" applyFill="1" applyBorder="1" applyAlignment="1">
      <alignment horizontal="center"/>
    </xf>
    <xf numFmtId="0" fontId="10" fillId="5" borderId="2" xfId="2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/>
    <xf numFmtId="0" fontId="9" fillId="5" borderId="2" xfId="2" applyFont="1" applyFill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1" fontId="7" fillId="0" borderId="11" xfId="1" applyNumberFormat="1" applyFont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/>
    </xf>
    <xf numFmtId="14" fontId="13" fillId="6" borderId="2" xfId="0" applyNumberFormat="1" applyFont="1" applyFill="1" applyBorder="1"/>
    <xf numFmtId="14" fontId="6" fillId="5" borderId="2" xfId="0" applyNumberFormat="1" applyFont="1" applyFill="1" applyBorder="1" applyAlignment="1">
      <alignment horizontal="center" vertical="center"/>
    </xf>
    <xf numFmtId="14" fontId="6" fillId="5" borderId="1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14" fontId="13" fillId="5" borderId="0" xfId="0" applyNumberFormat="1" applyFont="1" applyFill="1"/>
    <xf numFmtId="0" fontId="14" fillId="5" borderId="7" xfId="0" applyFont="1" applyFill="1" applyBorder="1" applyAlignment="1">
      <alignment vertical="center"/>
    </xf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5" fillId="0" borderId="19" xfId="2" applyFont="1" applyFill="1" applyBorder="1" applyAlignment="1">
      <alignment vertical="center"/>
    </xf>
    <xf numFmtId="166" fontId="17" fillId="0" borderId="19" xfId="0" applyNumberFormat="1" applyFont="1" applyBorder="1" applyAlignment="1">
      <alignment horizontal="center" vertical="center"/>
    </xf>
    <xf numFmtId="0" fontId="15" fillId="0" borderId="14" xfId="2" applyFont="1" applyFill="1" applyBorder="1" applyAlignment="1">
      <alignment vertical="center"/>
    </xf>
    <xf numFmtId="0" fontId="15" fillId="5" borderId="14" xfId="2" applyFont="1" applyFill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0" fontId="15" fillId="0" borderId="14" xfId="2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5" fillId="0" borderId="0" xfId="0" applyFont="1" applyBorder="1"/>
    <xf numFmtId="0" fontId="20" fillId="0" borderId="1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left" vertical="center"/>
    </xf>
    <xf numFmtId="0" fontId="17" fillId="5" borderId="7" xfId="0" applyFont="1" applyFill="1" applyBorder="1" applyAlignment="1">
      <alignment horizontal="left" vertical="center"/>
    </xf>
    <xf numFmtId="167" fontId="17" fillId="0" borderId="13" xfId="0" applyNumberFormat="1" applyFont="1" applyBorder="1" applyAlignment="1">
      <alignment horizontal="left" vertical="center"/>
    </xf>
    <xf numFmtId="167" fontId="17" fillId="0" borderId="18" xfId="0" applyNumberFormat="1" applyFont="1" applyBorder="1" applyAlignment="1">
      <alignment horizontal="left" vertical="center"/>
    </xf>
    <xf numFmtId="0" fontId="13" fillId="2" borderId="22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3" fillId="0" borderId="0" xfId="0" applyFont="1"/>
    <xf numFmtId="0" fontId="18" fillId="2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5" fillId="5" borderId="20" xfId="2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quotePrefix="1" applyFont="1" applyBorder="1" applyAlignment="1">
      <alignment horizontal="center" vertical="center"/>
    </xf>
    <xf numFmtId="1" fontId="21" fillId="0" borderId="13" xfId="1" applyNumberFormat="1" applyFont="1" applyBorder="1" applyAlignment="1">
      <alignment horizontal="center" vertical="center"/>
    </xf>
    <xf numFmtId="0" fontId="15" fillId="0" borderId="14" xfId="2" applyFont="1" applyFill="1" applyBorder="1" applyAlignment="1">
      <alignment horizontal="left" vertical="center"/>
    </xf>
    <xf numFmtId="0" fontId="17" fillId="5" borderId="15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5" fillId="0" borderId="0" xfId="0" quotePrefix="1" applyFont="1" applyBorder="1" applyAlignment="1">
      <alignment horizontal="center"/>
    </xf>
    <xf numFmtId="1" fontId="21" fillId="0" borderId="18" xfId="1" applyNumberFormat="1" applyFont="1" applyBorder="1" applyAlignment="1">
      <alignment horizontal="center" vertical="center"/>
    </xf>
    <xf numFmtId="1" fontId="16" fillId="0" borderId="13" xfId="1" applyNumberFormat="1" applyFont="1" applyBorder="1" applyAlignment="1">
      <alignment horizontal="center" vertical="center"/>
    </xf>
    <xf numFmtId="0" fontId="15" fillId="5" borderId="14" xfId="2" applyFont="1" applyFill="1" applyBorder="1" applyAlignment="1">
      <alignment horizontal="left" vertical="center"/>
    </xf>
    <xf numFmtId="0" fontId="17" fillId="5" borderId="15" xfId="0" applyFont="1" applyFill="1" applyBorder="1" applyAlignment="1">
      <alignment horizontal="center" vertical="center"/>
    </xf>
    <xf numFmtId="1" fontId="16" fillId="0" borderId="18" xfId="1" applyNumberFormat="1" applyFont="1" applyBorder="1" applyAlignment="1">
      <alignment horizontal="center" vertical="center"/>
    </xf>
    <xf numFmtId="1" fontId="21" fillId="0" borderId="18" xfId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167" fontId="17" fillId="0" borderId="18" xfId="0" applyNumberFormat="1" applyFont="1" applyFill="1" applyBorder="1" applyAlignment="1">
      <alignment horizontal="left" vertical="center"/>
    </xf>
    <xf numFmtId="166" fontId="17" fillId="0" borderId="19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" fillId="0" borderId="0" xfId="0" applyFont="1" applyFill="1"/>
    <xf numFmtId="1" fontId="21" fillId="0" borderId="23" xfId="1" applyNumberFormat="1" applyFont="1" applyBorder="1" applyAlignment="1">
      <alignment horizontal="center" vertical="center"/>
    </xf>
    <xf numFmtId="0" fontId="15" fillId="0" borderId="20" xfId="2" applyFont="1" applyFill="1" applyBorder="1" applyAlignment="1">
      <alignment vertical="center"/>
    </xf>
    <xf numFmtId="0" fontId="17" fillId="5" borderId="24" xfId="0" applyFont="1" applyFill="1" applyBorder="1" applyAlignment="1">
      <alignment horizontal="left" vertical="center"/>
    </xf>
    <xf numFmtId="167" fontId="17" fillId="0" borderId="23" xfId="0" applyNumberFormat="1" applyFont="1" applyBorder="1" applyAlignment="1">
      <alignment horizontal="left" vertical="center"/>
    </xf>
    <xf numFmtId="166" fontId="17" fillId="0" borderId="20" xfId="0" applyNumberFormat="1" applyFont="1" applyBorder="1" applyAlignment="1">
      <alignment horizontal="center" vertical="center"/>
    </xf>
    <xf numFmtId="0" fontId="15" fillId="0" borderId="20" xfId="2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15" fillId="0" borderId="26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167" fontId="17" fillId="0" borderId="28" xfId="0" applyNumberFormat="1" applyFont="1" applyBorder="1" applyAlignment="1">
      <alignment horizontal="left" vertical="center"/>
    </xf>
    <xf numFmtId="166" fontId="17" fillId="0" borderId="29" xfId="0" applyNumberFormat="1" applyFont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5" fillId="5" borderId="20" xfId="2" applyFont="1" applyFill="1" applyBorder="1" applyAlignment="1">
      <alignment horizontal="center" vertical="center"/>
    </xf>
    <xf numFmtId="167" fontId="17" fillId="0" borderId="33" xfId="0" applyNumberFormat="1" applyFont="1" applyBorder="1" applyAlignment="1">
      <alignment horizontal="left" vertical="center"/>
    </xf>
    <xf numFmtId="166" fontId="17" fillId="0" borderId="34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15" fillId="0" borderId="34" xfId="0" applyFont="1" applyFill="1" applyBorder="1" applyAlignment="1">
      <alignment horizontal="center" vertical="center"/>
    </xf>
    <xf numFmtId="0" fontId="15" fillId="5" borderId="19" xfId="2" applyFont="1" applyFill="1" applyBorder="1" applyAlignment="1">
      <alignment horizontal="left" vertical="center"/>
    </xf>
    <xf numFmtId="0" fontId="15" fillId="5" borderId="19" xfId="2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49" fontId="17" fillId="0" borderId="34" xfId="0" applyNumberFormat="1" applyFont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167" fontId="17" fillId="0" borderId="39" xfId="0" applyNumberFormat="1" applyFont="1" applyBorder="1" applyAlignment="1">
      <alignment horizontal="left" vertical="center"/>
    </xf>
    <xf numFmtId="166" fontId="17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wrapText="1"/>
    </xf>
    <xf numFmtId="49" fontId="17" fillId="0" borderId="19" xfId="0" applyNumberFormat="1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vertical="center"/>
    </xf>
    <xf numFmtId="0" fontId="15" fillId="5" borderId="0" xfId="0" applyFont="1" applyFill="1" applyBorder="1"/>
    <xf numFmtId="0" fontId="0" fillId="5" borderId="0" xfId="0" applyFill="1" applyBorder="1" applyAlignment="1">
      <alignment horizontal="center"/>
    </xf>
    <xf numFmtId="0" fontId="13" fillId="5" borderId="0" xfId="0" applyFont="1" applyFill="1" applyBorder="1" applyAlignment="1">
      <alignment vertical="center"/>
    </xf>
    <xf numFmtId="0" fontId="13" fillId="5" borderId="0" xfId="0" applyFont="1" applyFill="1" applyBorder="1" applyAlignment="1">
      <alignment horizontal="center"/>
    </xf>
    <xf numFmtId="0" fontId="13" fillId="5" borderId="0" xfId="0" quotePrefix="1" applyFont="1" applyFill="1" applyBorder="1" applyAlignment="1">
      <alignment horizontal="center" vertical="center"/>
    </xf>
    <xf numFmtId="0" fontId="15" fillId="5" borderId="0" xfId="0" quotePrefix="1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 vertical="center"/>
    </xf>
    <xf numFmtId="0" fontId="0" fillId="5" borderId="0" xfId="0" quotePrefix="1" applyFill="1" applyBorder="1" applyAlignment="1">
      <alignment vertical="center"/>
    </xf>
    <xf numFmtId="0" fontId="20" fillId="0" borderId="12" xfId="0" applyFont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5" fillId="5" borderId="29" xfId="2" applyFont="1" applyFill="1" applyBorder="1" applyAlignment="1">
      <alignment horizontal="left" vertical="center"/>
    </xf>
    <xf numFmtId="0" fontId="15" fillId="5" borderId="20" xfId="2" applyFont="1" applyFill="1" applyBorder="1" applyAlignment="1">
      <alignment horizontal="left" vertical="center"/>
    </xf>
    <xf numFmtId="1" fontId="16" fillId="0" borderId="28" xfId="1" applyNumberFormat="1" applyFont="1" applyBorder="1" applyAlignment="1">
      <alignment horizontal="center" vertical="center"/>
    </xf>
    <xf numFmtId="1" fontId="16" fillId="0" borderId="23" xfId="1" applyNumberFormat="1" applyFont="1" applyBorder="1" applyAlignment="1">
      <alignment horizontal="center" vertical="center"/>
    </xf>
    <xf numFmtId="0" fontId="15" fillId="5" borderId="29" xfId="2" applyFont="1" applyFill="1" applyBorder="1" applyAlignment="1">
      <alignment horizontal="center" vertical="center"/>
    </xf>
    <xf numFmtId="0" fontId="15" fillId="5" borderId="20" xfId="2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49" fontId="18" fillId="2" borderId="29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center" vertical="center"/>
    </xf>
    <xf numFmtId="1" fontId="21" fillId="0" borderId="28" xfId="1" applyNumberFormat="1" applyFont="1" applyBorder="1" applyAlignment="1">
      <alignment horizontal="center" vertical="center"/>
    </xf>
    <xf numFmtId="1" fontId="21" fillId="0" borderId="23" xfId="1" applyNumberFormat="1" applyFont="1" applyBorder="1" applyAlignment="1">
      <alignment horizontal="center" vertical="center"/>
    </xf>
    <xf numFmtId="0" fontId="15" fillId="0" borderId="29" xfId="2" applyFont="1" applyFill="1" applyBorder="1" applyAlignment="1">
      <alignment horizontal="left" vertical="center"/>
    </xf>
    <xf numFmtId="0" fontId="15" fillId="0" borderId="20" xfId="2" applyFont="1" applyFill="1" applyBorder="1" applyAlignment="1">
      <alignment horizontal="left" vertical="center"/>
    </xf>
    <xf numFmtId="0" fontId="15" fillId="0" borderId="29" xfId="2" applyFont="1" applyFill="1" applyBorder="1" applyAlignment="1">
      <alignment horizontal="center" vertical="center"/>
    </xf>
    <xf numFmtId="0" fontId="15" fillId="0" borderId="20" xfId="2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0" fillId="5" borderId="41" xfId="0" applyFill="1" applyBorder="1" applyAlignment="1">
      <alignment horizontal="center"/>
    </xf>
    <xf numFmtId="0" fontId="16" fillId="5" borderId="0" xfId="0" quotePrefix="1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0" fillId="5" borderId="0" xfId="0" quotePrefix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5" borderId="19" xfId="2" applyFont="1" applyFill="1" applyBorder="1" applyAlignment="1">
      <alignment horizontal="left" vertical="center"/>
    </xf>
    <xf numFmtId="1" fontId="16" fillId="0" borderId="18" xfId="1" applyNumberFormat="1" applyFont="1" applyBorder="1" applyAlignment="1">
      <alignment horizontal="center" vertical="center"/>
    </xf>
    <xf numFmtId="0" fontId="15" fillId="5" borderId="19" xfId="2" applyFont="1" applyFill="1" applyBorder="1" applyAlignment="1">
      <alignment horizontal="center" vertical="center"/>
    </xf>
    <xf numFmtId="0" fontId="13" fillId="0" borderId="0" xfId="0" quotePrefix="1" applyFont="1" applyBorder="1" applyAlignment="1">
      <alignment horizontal="center" vertical="center"/>
    </xf>
    <xf numFmtId="0" fontId="16" fillId="0" borderId="0" xfId="0" quotePrefix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/>
    </xf>
    <xf numFmtId="49" fontId="18" fillId="2" borderId="19" xfId="0" applyNumberFormat="1" applyFont="1" applyFill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167" fontId="17" fillId="0" borderId="42" xfId="0" applyNumberFormat="1" applyFont="1" applyBorder="1" applyAlignment="1">
      <alignment horizontal="left" vertical="center"/>
    </xf>
    <xf numFmtId="167" fontId="17" fillId="0" borderId="43" xfId="0" applyNumberFormat="1" applyFont="1" applyBorder="1" applyAlignment="1">
      <alignment horizontal="left" vertical="center"/>
    </xf>
    <xf numFmtId="167" fontId="17" fillId="0" borderId="43" xfId="0" applyNumberFormat="1" applyFont="1" applyBorder="1" applyAlignment="1">
      <alignment horizontal="left" vertical="center"/>
    </xf>
    <xf numFmtId="0" fontId="15" fillId="0" borderId="11" xfId="0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167" fontId="17" fillId="0" borderId="13" xfId="0" applyNumberFormat="1" applyFont="1" applyBorder="1" applyAlignment="1">
      <alignment horizontal="center" vertic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28" xfId="0" applyNumberFormat="1" applyFont="1" applyBorder="1" applyAlignment="1">
      <alignment horizontal="center" vertical="center"/>
    </xf>
    <xf numFmtId="167" fontId="17" fillId="0" borderId="18" xfId="0" applyNumberFormat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 2" xfId="2"/>
  </cellStyles>
  <dxfs count="3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29</xdr:row>
      <xdr:rowOff>28574</xdr:rowOff>
    </xdr:from>
    <xdr:ext cx="2085975" cy="126682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encilGrayscale/>
                  </a14:imgEffect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363199"/>
          <a:ext cx="2085975" cy="12668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19050</xdr:rowOff>
    </xdr:from>
    <xdr:ext cx="2085975" cy="1266825"/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encilGrayscale/>
                  </a14:imgEffect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2085975" cy="1266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30</xdr:row>
      <xdr:rowOff>28574</xdr:rowOff>
    </xdr:from>
    <xdr:ext cx="2085975" cy="1266825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encilGrayscale/>
                  </a14:imgEffect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1715749"/>
          <a:ext cx="2085975" cy="12668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19050</xdr:rowOff>
    </xdr:from>
    <xdr:ext cx="2085975" cy="126682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encilGrayscale/>
                  </a14:imgEffect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2085975" cy="1266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sqref="A1:L1"/>
    </sheetView>
  </sheetViews>
  <sheetFormatPr baseColWidth="10" defaultRowHeight="15" x14ac:dyDescent="0.25"/>
  <cols>
    <col min="1" max="1" width="3.42578125" bestFit="1" customWidth="1"/>
    <col min="2" max="2" width="34.140625" bestFit="1" customWidth="1"/>
    <col min="3" max="3" width="12.28515625" customWidth="1"/>
    <col min="4" max="4" width="20" customWidth="1"/>
    <col min="5" max="5" width="29.140625" bestFit="1" customWidth="1"/>
    <col min="6" max="8" width="6.85546875" customWidth="1"/>
    <col min="9" max="9" width="7.140625" customWidth="1"/>
    <col min="10" max="10" width="25" bestFit="1" customWidth="1"/>
    <col min="11" max="11" width="24.28515625" customWidth="1"/>
    <col min="12" max="12" width="12.28515625" style="27" bestFit="1" customWidth="1"/>
  </cols>
  <sheetData>
    <row r="1" spans="1:12" ht="46.5" x14ac:dyDescent="0.25">
      <c r="A1" s="150" t="s">
        <v>137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 ht="33.75" x14ac:dyDescent="0.25">
      <c r="A2" s="151" t="s">
        <v>134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</row>
    <row r="3" spans="1:12" ht="23.25" customHeight="1" x14ac:dyDescent="0.35">
      <c r="A3" s="152" t="s">
        <v>163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1:12" ht="17.25" customHeight="1" thickBot="1" x14ac:dyDescent="0.3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</row>
    <row r="5" spans="1:12" s="27" customFormat="1" ht="52.5" customHeight="1" thickBot="1" x14ac:dyDescent="0.3">
      <c r="A5" s="29" t="s">
        <v>2</v>
      </c>
      <c r="B5" s="30" t="s">
        <v>127</v>
      </c>
      <c r="C5" s="30" t="s">
        <v>7</v>
      </c>
      <c r="D5" s="31" t="s">
        <v>111</v>
      </c>
      <c r="E5" s="29" t="s">
        <v>128</v>
      </c>
      <c r="F5" s="169" t="s">
        <v>145</v>
      </c>
      <c r="G5" s="170"/>
      <c r="H5" s="171"/>
      <c r="I5" s="117" t="s">
        <v>138</v>
      </c>
      <c r="J5" s="118" t="s">
        <v>129</v>
      </c>
      <c r="K5" s="48" t="s">
        <v>135</v>
      </c>
      <c r="L5" s="139" t="s">
        <v>142</v>
      </c>
    </row>
    <row r="6" spans="1:12" s="28" customFormat="1" ht="53.25" customHeight="1" thickBot="1" x14ac:dyDescent="0.3">
      <c r="A6" s="76">
        <v>1</v>
      </c>
      <c r="B6" s="77" t="s">
        <v>112</v>
      </c>
      <c r="C6" s="99" t="s">
        <v>113</v>
      </c>
      <c r="D6" s="78" t="s">
        <v>106</v>
      </c>
      <c r="E6" s="79">
        <v>45986</v>
      </c>
      <c r="F6" s="80">
        <v>0.66666666666666663</v>
      </c>
      <c r="G6" s="80">
        <v>0.75</v>
      </c>
      <c r="H6" s="114">
        <v>2</v>
      </c>
      <c r="I6" s="108">
        <v>2</v>
      </c>
      <c r="J6" s="85" t="s">
        <v>157</v>
      </c>
      <c r="K6" s="96"/>
      <c r="L6" s="98" t="s">
        <v>144</v>
      </c>
    </row>
    <row r="7" spans="1:12" s="75" customFormat="1" ht="53.25" hidden="1" customHeight="1" thickBot="1" x14ac:dyDescent="0.3">
      <c r="A7" s="70">
        <f>A6+1</f>
        <v>2</v>
      </c>
      <c r="B7" s="33" t="s">
        <v>18</v>
      </c>
      <c r="C7" s="54" t="s">
        <v>19</v>
      </c>
      <c r="D7" s="71" t="s">
        <v>105</v>
      </c>
      <c r="E7" s="72"/>
      <c r="F7" s="73">
        <v>0</v>
      </c>
      <c r="G7" s="73">
        <v>0</v>
      </c>
      <c r="H7" s="74">
        <v>0</v>
      </c>
      <c r="I7" s="51">
        <v>0</v>
      </c>
      <c r="J7" s="42"/>
      <c r="K7" s="88"/>
      <c r="L7" s="98" t="s">
        <v>159</v>
      </c>
    </row>
    <row r="8" spans="1:12" s="28" customFormat="1" ht="53.25" customHeight="1" thickBot="1" x14ac:dyDescent="0.3">
      <c r="A8" s="57">
        <v>2</v>
      </c>
      <c r="B8" s="58" t="s">
        <v>119</v>
      </c>
      <c r="C8" s="38" t="s">
        <v>122</v>
      </c>
      <c r="D8" s="59" t="s">
        <v>106</v>
      </c>
      <c r="E8" s="46">
        <v>45986</v>
      </c>
      <c r="F8" s="37">
        <v>0.66666666666666663</v>
      </c>
      <c r="G8" s="37">
        <v>0.75</v>
      </c>
      <c r="H8" s="113">
        <v>2</v>
      </c>
      <c r="I8" s="43">
        <v>2</v>
      </c>
      <c r="J8" s="41" t="s">
        <v>157</v>
      </c>
      <c r="K8" s="86"/>
      <c r="L8" s="98" t="s">
        <v>144</v>
      </c>
    </row>
    <row r="9" spans="1:12" s="28" customFormat="1" ht="53.25" hidden="1" customHeight="1" thickBot="1" x14ac:dyDescent="0.3">
      <c r="A9" s="57">
        <v>3</v>
      </c>
      <c r="B9" s="58" t="s">
        <v>147</v>
      </c>
      <c r="C9" s="38" t="s">
        <v>146</v>
      </c>
      <c r="D9" s="59" t="s">
        <v>106</v>
      </c>
      <c r="E9" s="47"/>
      <c r="F9" s="37">
        <v>0</v>
      </c>
      <c r="G9" s="37">
        <v>0</v>
      </c>
      <c r="H9" s="113">
        <v>0</v>
      </c>
      <c r="I9" s="43">
        <v>0</v>
      </c>
      <c r="J9" s="41"/>
      <c r="K9" s="88"/>
      <c r="L9" s="87" t="s">
        <v>164</v>
      </c>
    </row>
    <row r="10" spans="1:12" s="28" customFormat="1" ht="45" customHeight="1" x14ac:dyDescent="0.25">
      <c r="A10" s="154">
        <v>3</v>
      </c>
      <c r="B10" s="156" t="s">
        <v>120</v>
      </c>
      <c r="C10" s="158" t="s">
        <v>123</v>
      </c>
      <c r="D10" s="146" t="s">
        <v>106</v>
      </c>
      <c r="E10" s="100">
        <v>45986</v>
      </c>
      <c r="F10" s="101">
        <v>0.66666666666666663</v>
      </c>
      <c r="G10" s="101">
        <v>0.75</v>
      </c>
      <c r="H10" s="127">
        <v>2</v>
      </c>
      <c r="I10" s="160">
        <f>H10+H11</f>
        <v>5</v>
      </c>
      <c r="J10" s="102" t="s">
        <v>157</v>
      </c>
      <c r="K10" s="103"/>
      <c r="L10" s="115" t="s">
        <v>143</v>
      </c>
    </row>
    <row r="11" spans="1:12" s="28" customFormat="1" ht="45" customHeight="1" thickBot="1" x14ac:dyDescent="0.3">
      <c r="A11" s="155"/>
      <c r="B11" s="157"/>
      <c r="C11" s="159"/>
      <c r="D11" s="147"/>
      <c r="E11" s="79">
        <v>45987</v>
      </c>
      <c r="F11" s="80">
        <v>0.83333333333333337</v>
      </c>
      <c r="G11" s="80">
        <v>0.95833333333333337</v>
      </c>
      <c r="H11" s="114">
        <v>3</v>
      </c>
      <c r="I11" s="149"/>
      <c r="J11" s="83" t="s">
        <v>165</v>
      </c>
      <c r="K11" s="96"/>
      <c r="L11" s="98" t="s">
        <v>143</v>
      </c>
    </row>
    <row r="12" spans="1:12" s="28" customFormat="1" ht="53.25" customHeight="1" thickBot="1" x14ac:dyDescent="0.3">
      <c r="A12" s="76">
        <v>4</v>
      </c>
      <c r="B12" s="77" t="s">
        <v>109</v>
      </c>
      <c r="C12" s="99" t="s">
        <v>110</v>
      </c>
      <c r="D12" s="78" t="s">
        <v>106</v>
      </c>
      <c r="E12" s="47">
        <v>45986</v>
      </c>
      <c r="F12" s="80">
        <v>0.66666666666666663</v>
      </c>
      <c r="G12" s="80">
        <v>0.75</v>
      </c>
      <c r="H12" s="114">
        <v>2</v>
      </c>
      <c r="I12" s="108">
        <v>2</v>
      </c>
      <c r="J12" s="85" t="s">
        <v>157</v>
      </c>
      <c r="K12" s="88"/>
      <c r="L12" s="98" t="s">
        <v>143</v>
      </c>
    </row>
    <row r="13" spans="1:12" s="28" customFormat="1" ht="53.25" customHeight="1" thickBot="1" x14ac:dyDescent="0.3">
      <c r="A13" s="57">
        <v>5</v>
      </c>
      <c r="B13" s="35" t="s">
        <v>121</v>
      </c>
      <c r="C13" s="38" t="s">
        <v>124</v>
      </c>
      <c r="D13" s="44" t="s">
        <v>106</v>
      </c>
      <c r="E13" s="46">
        <v>45986</v>
      </c>
      <c r="F13" s="37">
        <v>0.66666666666666663</v>
      </c>
      <c r="G13" s="37">
        <v>0.75</v>
      </c>
      <c r="H13" s="113">
        <v>2</v>
      </c>
      <c r="I13" s="43">
        <v>2</v>
      </c>
      <c r="J13" s="41" t="s">
        <v>157</v>
      </c>
      <c r="K13" s="86"/>
      <c r="L13" s="87" t="s">
        <v>144</v>
      </c>
    </row>
    <row r="14" spans="1:12" s="28" customFormat="1" ht="53.25" customHeight="1" thickBot="1" x14ac:dyDescent="0.3">
      <c r="A14" s="76">
        <v>6</v>
      </c>
      <c r="B14" s="77" t="s">
        <v>150</v>
      </c>
      <c r="C14" s="81" t="s">
        <v>152</v>
      </c>
      <c r="D14" s="44" t="s">
        <v>106</v>
      </c>
      <c r="E14" s="79">
        <v>45986</v>
      </c>
      <c r="F14" s="37">
        <v>0.66666666666666663</v>
      </c>
      <c r="G14" s="37">
        <v>0.75</v>
      </c>
      <c r="H14" s="113">
        <v>2</v>
      </c>
      <c r="I14" s="43">
        <v>2</v>
      </c>
      <c r="J14" s="41" t="s">
        <v>157</v>
      </c>
      <c r="K14" s="84"/>
      <c r="L14" s="87" t="s">
        <v>144</v>
      </c>
    </row>
    <row r="15" spans="1:12" s="28" customFormat="1" ht="53.25" customHeight="1" thickBot="1" x14ac:dyDescent="0.3">
      <c r="A15" s="76">
        <v>7</v>
      </c>
      <c r="B15" s="77" t="s">
        <v>151</v>
      </c>
      <c r="C15" s="81" t="s">
        <v>153</v>
      </c>
      <c r="D15" s="44" t="s">
        <v>106</v>
      </c>
      <c r="E15" s="46">
        <v>45986</v>
      </c>
      <c r="F15" s="37">
        <v>0.66666666666666663</v>
      </c>
      <c r="G15" s="37">
        <v>0.75</v>
      </c>
      <c r="H15" s="113">
        <v>2</v>
      </c>
      <c r="I15" s="43">
        <v>2</v>
      </c>
      <c r="J15" s="41" t="s">
        <v>157</v>
      </c>
      <c r="K15" s="86"/>
      <c r="L15" s="87" t="s">
        <v>144</v>
      </c>
    </row>
    <row r="16" spans="1:12" s="28" customFormat="1" ht="53.25" hidden="1" customHeight="1" thickBot="1" x14ac:dyDescent="0.3">
      <c r="A16" s="76">
        <v>10</v>
      </c>
      <c r="B16" s="77" t="s">
        <v>107</v>
      </c>
      <c r="C16" s="53" t="s">
        <v>108</v>
      </c>
      <c r="D16" s="78" t="s">
        <v>106</v>
      </c>
      <c r="E16" s="79"/>
      <c r="F16" s="80">
        <v>0</v>
      </c>
      <c r="G16" s="80">
        <v>0</v>
      </c>
      <c r="H16" s="114">
        <v>0</v>
      </c>
      <c r="I16" s="52">
        <v>0</v>
      </c>
      <c r="J16" s="83"/>
      <c r="K16" s="84"/>
      <c r="L16" s="82"/>
    </row>
    <row r="17" spans="1:12" x14ac:dyDescent="0.25">
      <c r="A17" s="129"/>
      <c r="B17" s="129"/>
      <c r="C17" s="129"/>
      <c r="D17" s="129"/>
      <c r="E17" s="130"/>
      <c r="F17" s="130"/>
      <c r="G17" s="130"/>
      <c r="H17" s="130"/>
      <c r="I17" s="130"/>
      <c r="J17" s="130"/>
      <c r="K17" s="130"/>
      <c r="L17" s="131"/>
    </row>
    <row r="18" spans="1:12" ht="14.25" customHeight="1" x14ac:dyDescent="0.25">
      <c r="A18" s="153" t="s">
        <v>154</v>
      </c>
      <c r="B18" s="153"/>
      <c r="C18" s="129"/>
      <c r="D18" s="129"/>
      <c r="E18" s="130"/>
      <c r="F18" s="130"/>
      <c r="G18" s="130"/>
      <c r="H18" s="130"/>
      <c r="I18" s="130"/>
      <c r="J18" s="130"/>
      <c r="K18" s="130"/>
      <c r="L18" s="131"/>
    </row>
    <row r="19" spans="1:12" ht="14.25" customHeight="1" x14ac:dyDescent="0.25">
      <c r="A19" s="129"/>
      <c r="B19" s="129"/>
      <c r="C19" s="129"/>
      <c r="D19" s="129"/>
      <c r="E19" s="130"/>
      <c r="F19" s="130"/>
      <c r="G19" s="130"/>
      <c r="H19" s="130"/>
      <c r="I19" s="130"/>
      <c r="J19" s="130"/>
      <c r="K19" s="130"/>
      <c r="L19" s="131"/>
    </row>
    <row r="20" spans="1:12" ht="14.25" customHeight="1" x14ac:dyDescent="0.25">
      <c r="A20" s="129"/>
      <c r="B20" s="129"/>
      <c r="C20" s="137"/>
      <c r="D20" s="129"/>
      <c r="E20" s="135"/>
      <c r="F20" s="130"/>
      <c r="G20" s="130"/>
      <c r="H20" s="130"/>
      <c r="I20" s="130"/>
      <c r="J20" s="130"/>
      <c r="K20" s="130"/>
      <c r="L20" s="131"/>
    </row>
    <row r="21" spans="1:12" ht="14.25" customHeight="1" x14ac:dyDescent="0.25">
      <c r="A21" s="129"/>
      <c r="B21" s="129"/>
      <c r="C21" s="132"/>
      <c r="D21" s="132"/>
      <c r="E21" s="133"/>
      <c r="F21" s="130"/>
      <c r="G21" s="130"/>
      <c r="H21" s="130"/>
      <c r="I21" s="130"/>
      <c r="J21" s="130"/>
      <c r="K21" s="130"/>
      <c r="L21" s="131"/>
    </row>
    <row r="22" spans="1:12" ht="14.25" customHeight="1" x14ac:dyDescent="0.25">
      <c r="A22" s="129"/>
      <c r="B22" s="129"/>
      <c r="C22" s="129"/>
      <c r="D22" s="129"/>
      <c r="E22" s="130"/>
      <c r="F22" s="130"/>
      <c r="G22" s="130"/>
      <c r="H22" s="130"/>
      <c r="I22" s="130"/>
      <c r="J22" s="130"/>
      <c r="K22" s="130"/>
      <c r="L22" s="131"/>
    </row>
    <row r="23" spans="1:12" s="50" customFormat="1" ht="14.25" customHeight="1" x14ac:dyDescent="0.25">
      <c r="A23" s="132"/>
      <c r="B23" s="134" t="s">
        <v>133</v>
      </c>
      <c r="C23" s="164" t="s">
        <v>133</v>
      </c>
      <c r="D23" s="165"/>
      <c r="E23" s="135" t="s">
        <v>133</v>
      </c>
      <c r="F23" s="162" t="s">
        <v>133</v>
      </c>
      <c r="G23" s="163"/>
      <c r="H23" s="163"/>
      <c r="I23" s="163"/>
      <c r="J23" s="163"/>
      <c r="K23" s="162" t="s">
        <v>133</v>
      </c>
      <c r="L23" s="163"/>
    </row>
    <row r="24" spans="1:12" s="50" customFormat="1" ht="14.25" customHeight="1" x14ac:dyDescent="0.25">
      <c r="A24" s="132"/>
      <c r="B24" s="136" t="s">
        <v>140</v>
      </c>
      <c r="C24" s="166" t="s">
        <v>118</v>
      </c>
      <c r="D24" s="166"/>
      <c r="E24" s="133" t="s">
        <v>118</v>
      </c>
      <c r="F24" s="163" t="s">
        <v>132</v>
      </c>
      <c r="G24" s="163"/>
      <c r="H24" s="163"/>
      <c r="I24" s="163"/>
      <c r="J24" s="163"/>
      <c r="K24" s="163" t="s">
        <v>139</v>
      </c>
      <c r="L24" s="163"/>
    </row>
    <row r="25" spans="1:12" ht="14.25" customHeight="1" x14ac:dyDescent="0.25">
      <c r="A25" s="129"/>
      <c r="B25" s="129"/>
      <c r="C25" s="129"/>
      <c r="D25" s="129"/>
      <c r="E25" s="130"/>
      <c r="F25" s="130"/>
      <c r="G25" s="130"/>
      <c r="H25" s="130"/>
      <c r="I25" s="130"/>
      <c r="J25" s="130"/>
      <c r="K25" s="130"/>
      <c r="L25" s="131"/>
    </row>
    <row r="26" spans="1:12" ht="38.25" customHeight="1" x14ac:dyDescent="0.25">
      <c r="A26" s="39"/>
      <c r="B26" s="39"/>
      <c r="C26" s="39"/>
      <c r="D26" s="39"/>
      <c r="E26" s="40"/>
      <c r="F26" s="40"/>
      <c r="G26" s="40"/>
      <c r="H26" s="40"/>
      <c r="I26" s="40"/>
      <c r="J26" s="40"/>
      <c r="K26" s="40"/>
      <c r="L26" s="61"/>
    </row>
    <row r="27" spans="1:12" ht="38.25" customHeight="1" x14ac:dyDescent="0.25">
      <c r="A27" s="39"/>
      <c r="B27" s="39"/>
      <c r="C27" s="39"/>
      <c r="D27" s="39"/>
      <c r="E27" s="40"/>
      <c r="F27" s="40"/>
      <c r="G27" s="40"/>
      <c r="H27" s="40"/>
      <c r="I27" s="40"/>
      <c r="J27" s="40"/>
      <c r="K27" s="40"/>
      <c r="L27" s="61"/>
    </row>
    <row r="28" spans="1:12" ht="38.25" customHeight="1" x14ac:dyDescent="0.25">
      <c r="A28" s="39"/>
      <c r="B28" s="39"/>
      <c r="C28" s="39"/>
      <c r="D28" s="39"/>
      <c r="E28" s="40"/>
      <c r="F28" s="40"/>
      <c r="G28" s="40"/>
      <c r="H28" s="40"/>
      <c r="I28" s="40"/>
      <c r="J28" s="40"/>
      <c r="K28" s="40"/>
      <c r="L28" s="61"/>
    </row>
    <row r="29" spans="1:12" ht="14.25" customHeight="1" x14ac:dyDescent="0.25">
      <c r="A29" s="39"/>
      <c r="B29" s="39"/>
      <c r="C29" s="39"/>
      <c r="D29" s="39"/>
      <c r="E29" s="40"/>
      <c r="F29" s="40"/>
      <c r="G29" s="40"/>
      <c r="H29" s="40"/>
      <c r="I29" s="40"/>
      <c r="J29" s="40"/>
      <c r="K29" s="40"/>
      <c r="L29" s="61"/>
    </row>
    <row r="30" spans="1:12" ht="46.5" x14ac:dyDescent="0.25">
      <c r="A30" s="150" t="s">
        <v>137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</row>
    <row r="31" spans="1:12" ht="33.75" x14ac:dyDescent="0.25">
      <c r="A31" s="151" t="s">
        <v>149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</row>
    <row r="32" spans="1:12" ht="23.25" customHeight="1" x14ac:dyDescent="0.35">
      <c r="A32" s="152" t="s">
        <v>163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</row>
    <row r="33" spans="1:12" ht="14.25" customHeight="1" thickBot="1" x14ac:dyDescent="0.3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</row>
    <row r="34" spans="1:12" s="27" customFormat="1" ht="52.5" customHeight="1" thickBot="1" x14ac:dyDescent="0.3">
      <c r="A34" s="30" t="s">
        <v>2</v>
      </c>
      <c r="B34" s="30" t="s">
        <v>127</v>
      </c>
      <c r="C34" s="30" t="s">
        <v>7</v>
      </c>
      <c r="D34" s="31" t="s">
        <v>111</v>
      </c>
      <c r="E34" s="29" t="s">
        <v>128</v>
      </c>
      <c r="F34" s="169" t="s">
        <v>145</v>
      </c>
      <c r="G34" s="170"/>
      <c r="H34" s="171"/>
      <c r="I34" s="117" t="s">
        <v>138</v>
      </c>
      <c r="J34" s="118" t="s">
        <v>129</v>
      </c>
      <c r="K34" s="48" t="s">
        <v>135</v>
      </c>
      <c r="L34" s="116" t="s">
        <v>142</v>
      </c>
    </row>
    <row r="35" spans="1:12" ht="52.5" customHeight="1" thickBot="1" x14ac:dyDescent="0.3">
      <c r="A35" s="66">
        <v>1</v>
      </c>
      <c r="B35" s="67" t="s">
        <v>30</v>
      </c>
      <c r="C35" s="36" t="s">
        <v>31</v>
      </c>
      <c r="D35" s="68" t="s">
        <v>118</v>
      </c>
      <c r="E35" s="46">
        <v>45986</v>
      </c>
      <c r="F35" s="37">
        <v>0.66666666666666663</v>
      </c>
      <c r="G35" s="37">
        <v>0.75</v>
      </c>
      <c r="H35" s="109">
        <v>2</v>
      </c>
      <c r="I35" s="43">
        <v>2</v>
      </c>
      <c r="J35" s="41" t="s">
        <v>157</v>
      </c>
      <c r="K35" s="95"/>
      <c r="L35" s="98" t="s">
        <v>143</v>
      </c>
    </row>
    <row r="36" spans="1:12" ht="45" customHeight="1" x14ac:dyDescent="0.25">
      <c r="A36" s="142">
        <v>2</v>
      </c>
      <c r="B36" s="140" t="s">
        <v>12</v>
      </c>
      <c r="C36" s="144" t="s">
        <v>13</v>
      </c>
      <c r="D36" s="146" t="s">
        <v>118</v>
      </c>
      <c r="E36" s="100">
        <v>45981</v>
      </c>
      <c r="F36" s="101">
        <v>0.66666666666666663</v>
      </c>
      <c r="G36" s="101">
        <v>0.77083333333333337</v>
      </c>
      <c r="H36" s="112" t="s">
        <v>168</v>
      </c>
      <c r="I36" s="148">
        <f>H36+H37</f>
        <v>4.5</v>
      </c>
      <c r="J36" s="102" t="s">
        <v>167</v>
      </c>
      <c r="K36" s="103"/>
      <c r="L36" s="115" t="s">
        <v>161</v>
      </c>
    </row>
    <row r="37" spans="1:12" ht="45" customHeight="1" thickBot="1" x14ac:dyDescent="0.3">
      <c r="A37" s="143"/>
      <c r="B37" s="141"/>
      <c r="C37" s="145"/>
      <c r="D37" s="147"/>
      <c r="E37" s="79">
        <v>45986</v>
      </c>
      <c r="F37" s="80">
        <v>0.66666666666666663</v>
      </c>
      <c r="G37" s="80">
        <v>0.75</v>
      </c>
      <c r="H37" s="111">
        <v>2</v>
      </c>
      <c r="I37" s="149"/>
      <c r="J37" s="85" t="s">
        <v>157</v>
      </c>
      <c r="K37" s="96"/>
      <c r="L37" s="98" t="s">
        <v>161</v>
      </c>
    </row>
    <row r="38" spans="1:12" ht="37.5" customHeight="1" x14ac:dyDescent="0.25">
      <c r="A38" s="142">
        <v>3</v>
      </c>
      <c r="B38" s="140" t="s">
        <v>10</v>
      </c>
      <c r="C38" s="144" t="s">
        <v>11</v>
      </c>
      <c r="D38" s="146" t="s">
        <v>118</v>
      </c>
      <c r="E38" s="100">
        <v>45982</v>
      </c>
      <c r="F38" s="101">
        <v>0.66666666666666663</v>
      </c>
      <c r="G38" s="101">
        <v>0.83333333333333337</v>
      </c>
      <c r="H38" s="112" t="s">
        <v>160</v>
      </c>
      <c r="I38" s="148">
        <f>H38+H39+H40</f>
        <v>7</v>
      </c>
      <c r="J38" s="102" t="s">
        <v>155</v>
      </c>
      <c r="K38" s="103"/>
      <c r="L38" s="115" t="s">
        <v>161</v>
      </c>
    </row>
    <row r="39" spans="1:12" ht="37.5" customHeight="1" x14ac:dyDescent="0.25">
      <c r="A39" s="174"/>
      <c r="B39" s="173"/>
      <c r="C39" s="175"/>
      <c r="D39" s="167"/>
      <c r="E39" s="120">
        <v>45985</v>
      </c>
      <c r="F39" s="121">
        <v>0.25</v>
      </c>
      <c r="G39" s="121">
        <v>0.29166666666666669</v>
      </c>
      <c r="H39" s="122" t="s">
        <v>162</v>
      </c>
      <c r="I39" s="168"/>
      <c r="J39" s="123" t="s">
        <v>155</v>
      </c>
      <c r="K39" s="124"/>
      <c r="L39" s="125" t="s">
        <v>161</v>
      </c>
    </row>
    <row r="40" spans="1:12" ht="37.5" customHeight="1" thickBot="1" x14ac:dyDescent="0.3">
      <c r="A40" s="143"/>
      <c r="B40" s="141"/>
      <c r="C40" s="145"/>
      <c r="D40" s="147"/>
      <c r="E40" s="79">
        <v>45986</v>
      </c>
      <c r="F40" s="80">
        <v>0.66666666666666663</v>
      </c>
      <c r="G40" s="80">
        <v>0.75</v>
      </c>
      <c r="H40" s="111">
        <v>2</v>
      </c>
      <c r="I40" s="149"/>
      <c r="J40" s="85" t="s">
        <v>157</v>
      </c>
      <c r="K40" s="88"/>
      <c r="L40" s="98" t="s">
        <v>161</v>
      </c>
    </row>
    <row r="41" spans="1:12" ht="52.5" customHeight="1" thickBot="1" x14ac:dyDescent="0.3">
      <c r="A41" s="66">
        <v>4</v>
      </c>
      <c r="B41" s="67" t="s">
        <v>125</v>
      </c>
      <c r="C41" s="36" t="s">
        <v>126</v>
      </c>
      <c r="D41" s="68" t="s">
        <v>106</v>
      </c>
      <c r="E41" s="46">
        <v>45986</v>
      </c>
      <c r="F41" s="37">
        <v>0.66666666666666663</v>
      </c>
      <c r="G41" s="37">
        <v>0.75</v>
      </c>
      <c r="H41" s="109">
        <v>2</v>
      </c>
      <c r="I41" s="43">
        <v>2</v>
      </c>
      <c r="J41" s="41" t="s">
        <v>157</v>
      </c>
      <c r="K41" s="86"/>
      <c r="L41" s="98" t="s">
        <v>143</v>
      </c>
    </row>
    <row r="42" spans="1:12" ht="52.5" customHeight="1" thickBot="1" x14ac:dyDescent="0.3">
      <c r="A42" s="66">
        <v>5</v>
      </c>
      <c r="B42" s="67" t="s">
        <v>114</v>
      </c>
      <c r="C42" s="36" t="s">
        <v>116</v>
      </c>
      <c r="D42" s="68" t="s">
        <v>106</v>
      </c>
      <c r="E42" s="46">
        <v>45986</v>
      </c>
      <c r="F42" s="37">
        <v>0.66666666666666663</v>
      </c>
      <c r="G42" s="37">
        <v>0.75</v>
      </c>
      <c r="H42" s="109">
        <v>2</v>
      </c>
      <c r="I42" s="43">
        <v>2</v>
      </c>
      <c r="J42" s="41" t="s">
        <v>157</v>
      </c>
      <c r="K42" s="88"/>
      <c r="L42" s="98" t="s">
        <v>143</v>
      </c>
    </row>
    <row r="43" spans="1:12" ht="52.5" hidden="1" customHeight="1" thickBot="1" x14ac:dyDescent="0.3">
      <c r="A43" s="69">
        <v>6</v>
      </c>
      <c r="B43" s="104" t="s">
        <v>115</v>
      </c>
      <c r="C43" s="105" t="s">
        <v>117</v>
      </c>
      <c r="D43" s="106" t="s">
        <v>106</v>
      </c>
      <c r="E43" s="91"/>
      <c r="F43" s="92"/>
      <c r="G43" s="92"/>
      <c r="H43" s="110"/>
      <c r="I43" s="93"/>
      <c r="J43" s="94"/>
      <c r="K43" s="95"/>
      <c r="L43" s="97"/>
    </row>
    <row r="44" spans="1:12" ht="38.25" customHeight="1" x14ac:dyDescent="0.25">
      <c r="A44" s="142">
        <v>6</v>
      </c>
      <c r="B44" s="140" t="s">
        <v>130</v>
      </c>
      <c r="C44" s="144" t="s">
        <v>131</v>
      </c>
      <c r="D44" s="146" t="s">
        <v>106</v>
      </c>
      <c r="E44" s="100">
        <v>45981</v>
      </c>
      <c r="F44" s="101">
        <v>0.66666666666666663</v>
      </c>
      <c r="G44" s="101">
        <v>0.77083333333333337</v>
      </c>
      <c r="H44" s="112" t="s">
        <v>168</v>
      </c>
      <c r="I44" s="148">
        <f>H44+H45+H46</f>
        <v>6.5</v>
      </c>
      <c r="J44" s="107" t="s">
        <v>167</v>
      </c>
      <c r="K44" s="103"/>
      <c r="L44" s="115" t="s">
        <v>143</v>
      </c>
    </row>
    <row r="45" spans="1:12" ht="38.25" customHeight="1" x14ac:dyDescent="0.25">
      <c r="A45" s="174"/>
      <c r="B45" s="173"/>
      <c r="C45" s="175"/>
      <c r="D45" s="167"/>
      <c r="E45" s="120">
        <v>45985</v>
      </c>
      <c r="F45" s="121">
        <v>0.66666666666666663</v>
      </c>
      <c r="G45" s="121">
        <v>0.75</v>
      </c>
      <c r="H45" s="122" t="s">
        <v>158</v>
      </c>
      <c r="I45" s="168"/>
      <c r="J45" s="138" t="s">
        <v>166</v>
      </c>
      <c r="K45" s="124"/>
      <c r="L45" s="125" t="s">
        <v>143</v>
      </c>
    </row>
    <row r="46" spans="1:12" ht="38.25" customHeight="1" thickBot="1" x14ac:dyDescent="0.3">
      <c r="A46" s="143"/>
      <c r="B46" s="141"/>
      <c r="C46" s="145"/>
      <c r="D46" s="147"/>
      <c r="E46" s="79">
        <v>45986</v>
      </c>
      <c r="F46" s="80">
        <v>0.66666666666666663</v>
      </c>
      <c r="G46" s="80">
        <v>0.75</v>
      </c>
      <c r="H46" s="111" t="s">
        <v>158</v>
      </c>
      <c r="I46" s="149"/>
      <c r="J46" s="85" t="s">
        <v>157</v>
      </c>
      <c r="K46" s="96"/>
      <c r="L46" s="98" t="s">
        <v>161</v>
      </c>
    </row>
    <row r="47" spans="1:12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28"/>
    </row>
    <row r="48" spans="1:12" ht="14.25" customHeight="1" x14ac:dyDescent="0.25">
      <c r="A48" s="153" t="s">
        <v>154</v>
      </c>
      <c r="B48" s="153"/>
      <c r="C48" s="129"/>
      <c r="D48" s="129"/>
      <c r="E48" s="130"/>
      <c r="F48" s="130"/>
      <c r="G48" s="130"/>
      <c r="H48" s="130"/>
      <c r="I48" s="130"/>
      <c r="J48" s="130"/>
      <c r="K48" s="130"/>
      <c r="L48" s="131"/>
    </row>
    <row r="49" spans="1:12" ht="14.25" customHeight="1" x14ac:dyDescent="0.25">
      <c r="A49" s="129"/>
      <c r="B49" s="129"/>
      <c r="C49" s="129"/>
      <c r="D49" s="129"/>
      <c r="E49" s="130"/>
      <c r="F49" s="130"/>
      <c r="G49" s="130"/>
      <c r="H49" s="130"/>
      <c r="I49" s="130"/>
      <c r="J49" s="130"/>
      <c r="K49" s="130"/>
      <c r="L49" s="131"/>
    </row>
    <row r="50" spans="1:12" ht="14.25" customHeight="1" x14ac:dyDescent="0.25">
      <c r="A50" s="129"/>
      <c r="B50" s="129"/>
      <c r="C50" s="129"/>
      <c r="D50" s="129"/>
      <c r="E50" s="130"/>
      <c r="F50" s="130"/>
      <c r="G50" s="130"/>
      <c r="H50" s="130"/>
      <c r="I50" s="130"/>
      <c r="J50" s="130"/>
      <c r="K50" s="130"/>
      <c r="L50" s="131"/>
    </row>
    <row r="51" spans="1:12" ht="14.25" customHeight="1" x14ac:dyDescent="0.25">
      <c r="A51" s="129"/>
      <c r="B51" s="129"/>
      <c r="C51" s="132"/>
      <c r="D51" s="132"/>
      <c r="E51" s="133"/>
      <c r="F51" s="130"/>
      <c r="G51" s="130"/>
      <c r="H51" s="130"/>
      <c r="I51" s="130"/>
      <c r="J51" s="130"/>
      <c r="K51" s="130"/>
      <c r="L51" s="131"/>
    </row>
    <row r="52" spans="1:12" ht="14.25" customHeight="1" x14ac:dyDescent="0.25">
      <c r="A52" s="129"/>
      <c r="B52" s="129"/>
      <c r="C52" s="129"/>
      <c r="D52" s="129"/>
      <c r="E52" s="130"/>
      <c r="F52" s="130"/>
      <c r="G52" s="130"/>
      <c r="H52" s="130"/>
      <c r="I52" s="130"/>
      <c r="J52" s="130"/>
      <c r="K52" s="130"/>
      <c r="L52" s="131"/>
    </row>
    <row r="53" spans="1:12" s="50" customFormat="1" ht="14.25" customHeight="1" x14ac:dyDescent="0.25">
      <c r="A53" s="132"/>
      <c r="B53" s="134" t="s">
        <v>133</v>
      </c>
      <c r="C53" s="164" t="s">
        <v>133</v>
      </c>
      <c r="D53" s="165"/>
      <c r="E53" s="135" t="s">
        <v>133</v>
      </c>
      <c r="F53" s="162" t="s">
        <v>133</v>
      </c>
      <c r="G53" s="163"/>
      <c r="H53" s="163"/>
      <c r="I53" s="163"/>
      <c r="J53" s="163"/>
      <c r="K53" s="162" t="s">
        <v>133</v>
      </c>
      <c r="L53" s="163"/>
    </row>
    <row r="54" spans="1:12" s="50" customFormat="1" ht="14.25" customHeight="1" x14ac:dyDescent="0.25">
      <c r="A54" s="132"/>
      <c r="B54" s="136" t="s">
        <v>140</v>
      </c>
      <c r="C54" s="166" t="s">
        <v>118</v>
      </c>
      <c r="D54" s="166"/>
      <c r="E54" s="133" t="s">
        <v>118</v>
      </c>
      <c r="F54" s="163" t="s">
        <v>132</v>
      </c>
      <c r="G54" s="163"/>
      <c r="H54" s="163"/>
      <c r="I54" s="163"/>
      <c r="J54" s="163"/>
      <c r="K54" s="163" t="s">
        <v>139</v>
      </c>
      <c r="L54" s="163"/>
    </row>
    <row r="55" spans="1:12" x14ac:dyDescent="0.25">
      <c r="A55" s="26"/>
      <c r="B55" s="26"/>
      <c r="C55" s="129"/>
      <c r="D55" s="129"/>
      <c r="E55" s="130"/>
      <c r="F55" s="26"/>
      <c r="G55" s="26"/>
      <c r="H55" s="26"/>
      <c r="I55" s="26"/>
      <c r="J55" s="26"/>
      <c r="K55" s="26"/>
      <c r="L55" s="128"/>
    </row>
  </sheetData>
  <mergeCells count="44">
    <mergeCell ref="A48:B48"/>
    <mergeCell ref="B44:B46"/>
    <mergeCell ref="A44:A46"/>
    <mergeCell ref="C44:C46"/>
    <mergeCell ref="A38:A40"/>
    <mergeCell ref="B38:B40"/>
    <mergeCell ref="C38:C40"/>
    <mergeCell ref="D44:D46"/>
    <mergeCell ref="I44:I46"/>
    <mergeCell ref="F34:H34"/>
    <mergeCell ref="F5:H5"/>
    <mergeCell ref="F23:J23"/>
    <mergeCell ref="A31:L31"/>
    <mergeCell ref="A32:L32"/>
    <mergeCell ref="D38:D40"/>
    <mergeCell ref="I38:I40"/>
    <mergeCell ref="K23:L23"/>
    <mergeCell ref="F24:J24"/>
    <mergeCell ref="K24:L24"/>
    <mergeCell ref="A30:L30"/>
    <mergeCell ref="C23:D23"/>
    <mergeCell ref="C24:D24"/>
    <mergeCell ref="A33:L33"/>
    <mergeCell ref="F53:J53"/>
    <mergeCell ref="K53:L53"/>
    <mergeCell ref="F54:J54"/>
    <mergeCell ref="K54:L54"/>
    <mergeCell ref="C53:D53"/>
    <mergeCell ref="C54:D54"/>
    <mergeCell ref="A1:L1"/>
    <mergeCell ref="A2:L2"/>
    <mergeCell ref="A3:L3"/>
    <mergeCell ref="A18:B18"/>
    <mergeCell ref="A10:A11"/>
    <mergeCell ref="B10:B11"/>
    <mergeCell ref="C10:C11"/>
    <mergeCell ref="D10:D11"/>
    <mergeCell ref="I10:I11"/>
    <mergeCell ref="A4:L4"/>
    <mergeCell ref="B36:B37"/>
    <mergeCell ref="A36:A37"/>
    <mergeCell ref="C36:C37"/>
    <mergeCell ref="D36:D37"/>
    <mergeCell ref="I36:I37"/>
  </mergeCells>
  <conditionalFormatting sqref="A5:A7 A16 A41:A45 A38:A39 A35:A36">
    <cfRule type="containsText" dxfId="32" priority="18" operator="containsText" text="BIO">
      <formula>NOT(ISERROR(SEARCH("BIO",A5)))</formula>
    </cfRule>
    <cfRule type="containsText" dxfId="31" priority="19" operator="containsText" text="PSM">
      <formula>NOT(ISERROR(SEARCH("PSM",A5)))</formula>
    </cfRule>
  </conditionalFormatting>
  <conditionalFormatting sqref="B6:D7 B16:D16 B44:D45 B41:D42 B38:D39 B35:D36">
    <cfRule type="containsBlanks" dxfId="30" priority="16">
      <formula>LEN(TRIM(B6))=0</formula>
    </cfRule>
  </conditionalFormatting>
  <conditionalFormatting sqref="A34">
    <cfRule type="containsText" dxfId="29" priority="12" operator="containsText" text="BIO">
      <formula>NOT(ISERROR(SEARCH("BIO",A34)))</formula>
    </cfRule>
    <cfRule type="containsText" dxfId="28" priority="13" operator="containsText" text="PSM">
      <formula>NOT(ISERROR(SEARCH("PSM",A34)))</formula>
    </cfRule>
  </conditionalFormatting>
  <conditionalFormatting sqref="A8:A10">
    <cfRule type="containsText" dxfId="27" priority="7" operator="containsText" text="BIO">
      <formula>NOT(ISERROR(SEARCH("BIO",A8)))</formula>
    </cfRule>
    <cfRule type="containsText" dxfId="26" priority="8" operator="containsText" text="PSM">
      <formula>NOT(ISERROR(SEARCH("PSM",A8)))</formula>
    </cfRule>
  </conditionalFormatting>
  <conditionalFormatting sqref="B8:D10">
    <cfRule type="containsBlanks" dxfId="25" priority="6">
      <formula>LEN(TRIM(B8))=0</formula>
    </cfRule>
  </conditionalFormatting>
  <conditionalFormatting sqref="A12:A15">
    <cfRule type="containsText" dxfId="24" priority="4" operator="containsText" text="BIO">
      <formula>NOT(ISERROR(SEARCH("BIO",A12)))</formula>
    </cfRule>
    <cfRule type="containsText" dxfId="23" priority="5" operator="containsText" text="PSM">
      <formula>NOT(ISERROR(SEARCH("PSM",A12)))</formula>
    </cfRule>
  </conditionalFormatting>
  <conditionalFormatting sqref="B12:D15">
    <cfRule type="containsBlanks" dxfId="22" priority="2">
      <formula>LEN(TRIM(B12))=0</formula>
    </cfRule>
  </conditionalFormatting>
  <conditionalFormatting sqref="B12:C12">
    <cfRule type="containsBlanks" dxfId="21" priority="3">
      <formula>LEN(TRIM(B12))=0</formula>
    </cfRule>
  </conditionalFormatting>
  <conditionalFormatting sqref="B43:D43">
    <cfRule type="containsBlanks" dxfId="20" priority="1">
      <formula>LEN(TRIM(B43))=0</formula>
    </cfRule>
  </conditionalFormatting>
  <pageMargins left="0.28999999999999998" right="0.12" top="0.6" bottom="0.15" header="0.12" footer="0.12"/>
  <pageSetup scale="70" orientation="landscape" horizontalDpi="360" verticalDpi="360" r:id="rId1"/>
  <ignoredErrors>
    <ignoredError sqref="H44:H46 H38:H43 H3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34" workbookViewId="0">
      <selection activeCell="B38" sqref="B38:B41"/>
    </sheetView>
  </sheetViews>
  <sheetFormatPr baseColWidth="10" defaultRowHeight="15" x14ac:dyDescent="0.25"/>
  <cols>
    <col min="1" max="1" width="3.42578125" bestFit="1" customWidth="1"/>
    <col min="2" max="2" width="34.140625" bestFit="1" customWidth="1"/>
    <col min="3" max="3" width="12.28515625" customWidth="1"/>
    <col min="4" max="4" width="20" customWidth="1"/>
    <col min="5" max="5" width="29" bestFit="1" customWidth="1"/>
    <col min="6" max="8" width="6.85546875" customWidth="1"/>
    <col min="9" max="9" width="7.140625" customWidth="1"/>
    <col min="10" max="10" width="25" bestFit="1" customWidth="1"/>
    <col min="11" max="11" width="24.42578125" customWidth="1"/>
    <col min="12" max="12" width="12.28515625" style="27" bestFit="1" customWidth="1"/>
  </cols>
  <sheetData>
    <row r="1" spans="1:12" ht="46.5" x14ac:dyDescent="0.25">
      <c r="A1" s="150" t="s">
        <v>137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 ht="33.75" x14ac:dyDescent="0.25">
      <c r="A2" s="151" t="s">
        <v>134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</row>
    <row r="3" spans="1:12" ht="23.25" x14ac:dyDescent="0.35">
      <c r="A3" s="152" t="s">
        <v>148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1:12" ht="17.25" customHeight="1" thickBot="1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2" s="27" customFormat="1" ht="52.5" customHeight="1" thickBot="1" x14ac:dyDescent="0.3">
      <c r="A5" s="30" t="s">
        <v>2</v>
      </c>
      <c r="B5" s="30" t="s">
        <v>127</v>
      </c>
      <c r="C5" s="30" t="s">
        <v>7</v>
      </c>
      <c r="D5" s="31" t="s">
        <v>111</v>
      </c>
      <c r="E5" s="29" t="s">
        <v>128</v>
      </c>
      <c r="F5" s="169" t="s">
        <v>136</v>
      </c>
      <c r="G5" s="170"/>
      <c r="H5" s="171"/>
      <c r="I5" s="32" t="s">
        <v>138</v>
      </c>
      <c r="J5" s="31" t="s">
        <v>129</v>
      </c>
      <c r="K5" s="48" t="s">
        <v>135</v>
      </c>
      <c r="L5" s="60" t="s">
        <v>142</v>
      </c>
    </row>
    <row r="6" spans="1:12" s="28" customFormat="1" ht="53.25" customHeight="1" thickBot="1" x14ac:dyDescent="0.3">
      <c r="A6" s="57">
        <v>1</v>
      </c>
      <c r="B6" s="35" t="s">
        <v>112</v>
      </c>
      <c r="C6" s="36" t="s">
        <v>113</v>
      </c>
      <c r="D6" s="44" t="s">
        <v>106</v>
      </c>
      <c r="E6" s="199" t="s">
        <v>172</v>
      </c>
      <c r="F6" s="37">
        <v>0</v>
      </c>
      <c r="G6" s="37">
        <v>0</v>
      </c>
      <c r="H6" s="109">
        <v>0</v>
      </c>
      <c r="I6" s="43">
        <v>0</v>
      </c>
      <c r="J6" s="41"/>
      <c r="K6" s="86"/>
      <c r="L6" s="87"/>
    </row>
    <row r="7" spans="1:12" s="75" customFormat="1" ht="53.25" customHeight="1" thickBot="1" x14ac:dyDescent="0.3">
      <c r="A7" s="70">
        <f>A6+1</f>
        <v>2</v>
      </c>
      <c r="B7" s="33" t="s">
        <v>18</v>
      </c>
      <c r="C7" s="54" t="s">
        <v>19</v>
      </c>
      <c r="D7" s="71" t="s">
        <v>105</v>
      </c>
      <c r="E7" s="202" t="s">
        <v>172</v>
      </c>
      <c r="F7" s="73">
        <v>0</v>
      </c>
      <c r="G7" s="73">
        <v>0</v>
      </c>
      <c r="H7" s="126">
        <v>0</v>
      </c>
      <c r="I7" s="51">
        <v>0</v>
      </c>
      <c r="J7" s="42"/>
      <c r="K7" s="88"/>
      <c r="L7" s="89"/>
    </row>
    <row r="8" spans="1:12" s="28" customFormat="1" ht="53.25" customHeight="1" thickBot="1" x14ac:dyDescent="0.3">
      <c r="A8" s="57">
        <f>A7+1</f>
        <v>3</v>
      </c>
      <c r="B8" s="58" t="s">
        <v>119</v>
      </c>
      <c r="C8" s="38" t="s">
        <v>122</v>
      </c>
      <c r="D8" s="59" t="s">
        <v>106</v>
      </c>
      <c r="E8" s="199" t="s">
        <v>172</v>
      </c>
      <c r="F8" s="37">
        <v>0</v>
      </c>
      <c r="G8" s="37">
        <v>0</v>
      </c>
      <c r="H8" s="109">
        <v>0</v>
      </c>
      <c r="I8" s="43">
        <v>0</v>
      </c>
      <c r="J8" s="41"/>
      <c r="K8" s="86"/>
      <c r="L8" s="87"/>
    </row>
    <row r="9" spans="1:12" s="28" customFormat="1" ht="53.25" customHeight="1" thickBot="1" x14ac:dyDescent="0.3">
      <c r="A9" s="57">
        <f>A8+1</f>
        <v>4</v>
      </c>
      <c r="B9" s="58" t="s">
        <v>147</v>
      </c>
      <c r="C9" s="38" t="s">
        <v>146</v>
      </c>
      <c r="D9" s="59" t="s">
        <v>106</v>
      </c>
      <c r="E9" s="190" t="s">
        <v>172</v>
      </c>
      <c r="F9" s="34">
        <v>0</v>
      </c>
      <c r="G9" s="34">
        <v>0</v>
      </c>
      <c r="H9" s="119">
        <v>0</v>
      </c>
      <c r="I9" s="51">
        <v>0</v>
      </c>
      <c r="J9" s="42"/>
      <c r="K9" s="88"/>
      <c r="L9" s="90"/>
    </row>
    <row r="10" spans="1:12" s="28" customFormat="1" ht="53.25" customHeight="1" thickBot="1" x14ac:dyDescent="0.3">
      <c r="A10" s="65">
        <f>A9+1</f>
        <v>5</v>
      </c>
      <c r="B10" s="33" t="s">
        <v>120</v>
      </c>
      <c r="C10" s="54" t="s">
        <v>123</v>
      </c>
      <c r="D10" s="45" t="s">
        <v>106</v>
      </c>
      <c r="E10" s="199" t="s">
        <v>172</v>
      </c>
      <c r="F10" s="37">
        <v>0</v>
      </c>
      <c r="G10" s="37">
        <v>0</v>
      </c>
      <c r="H10" s="109">
        <v>0</v>
      </c>
      <c r="I10" s="43">
        <v>0</v>
      </c>
      <c r="J10" s="41"/>
      <c r="K10" s="86"/>
      <c r="L10" s="87"/>
    </row>
    <row r="11" spans="1:12" s="28" customFormat="1" ht="53.25" customHeight="1" thickBot="1" x14ac:dyDescent="0.3">
      <c r="A11" s="57">
        <f t="shared" ref="A11" si="0">A10+1</f>
        <v>6</v>
      </c>
      <c r="B11" s="35" t="s">
        <v>109</v>
      </c>
      <c r="C11" s="36" t="s">
        <v>110</v>
      </c>
      <c r="D11" s="44" t="s">
        <v>106</v>
      </c>
      <c r="E11" s="190" t="s">
        <v>172</v>
      </c>
      <c r="F11" s="34">
        <v>0</v>
      </c>
      <c r="G11" s="34">
        <v>0</v>
      </c>
      <c r="H11" s="119">
        <v>0</v>
      </c>
      <c r="I11" s="51">
        <v>0</v>
      </c>
      <c r="J11" s="42"/>
      <c r="K11" s="88"/>
      <c r="L11" s="90"/>
    </row>
    <row r="12" spans="1:12" s="28" customFormat="1" ht="53.25" customHeight="1" thickBot="1" x14ac:dyDescent="0.3">
      <c r="A12" s="57">
        <f>A11+1</f>
        <v>7</v>
      </c>
      <c r="B12" s="35" t="s">
        <v>121</v>
      </c>
      <c r="C12" s="38" t="s">
        <v>124</v>
      </c>
      <c r="D12" s="44" t="s">
        <v>106</v>
      </c>
      <c r="E12" s="199" t="s">
        <v>172</v>
      </c>
      <c r="F12" s="37">
        <v>0</v>
      </c>
      <c r="G12" s="37">
        <v>0</v>
      </c>
      <c r="H12" s="109">
        <v>0</v>
      </c>
      <c r="I12" s="43">
        <v>0</v>
      </c>
      <c r="J12" s="62"/>
      <c r="K12" s="86"/>
      <c r="L12" s="87"/>
    </row>
    <row r="13" spans="1:12" s="28" customFormat="1" ht="53.25" customHeight="1" thickBot="1" x14ac:dyDescent="0.3">
      <c r="A13" s="76">
        <v>8</v>
      </c>
      <c r="B13" s="77" t="s">
        <v>150</v>
      </c>
      <c r="C13" s="81" t="s">
        <v>152</v>
      </c>
      <c r="D13" s="44" t="s">
        <v>106</v>
      </c>
      <c r="E13" s="200" t="s">
        <v>172</v>
      </c>
      <c r="F13" s="80">
        <v>0</v>
      </c>
      <c r="G13" s="80">
        <v>0</v>
      </c>
      <c r="H13" s="111" t="s">
        <v>173</v>
      </c>
      <c r="I13" s="52">
        <v>0</v>
      </c>
      <c r="J13" s="83"/>
      <c r="K13" s="84"/>
      <c r="L13" s="82"/>
    </row>
    <row r="14" spans="1:12" s="28" customFormat="1" ht="53.25" customHeight="1" thickBot="1" x14ac:dyDescent="0.3">
      <c r="A14" s="76">
        <v>9</v>
      </c>
      <c r="B14" s="77" t="s">
        <v>151</v>
      </c>
      <c r="C14" s="81" t="s">
        <v>153</v>
      </c>
      <c r="D14" s="44" t="s">
        <v>106</v>
      </c>
      <c r="E14" s="199" t="s">
        <v>172</v>
      </c>
      <c r="F14" s="37">
        <v>0</v>
      </c>
      <c r="G14" s="37">
        <v>0</v>
      </c>
      <c r="H14" s="109">
        <v>0</v>
      </c>
      <c r="I14" s="43">
        <v>0</v>
      </c>
      <c r="J14" s="62"/>
      <c r="K14" s="86"/>
      <c r="L14" s="87"/>
    </row>
    <row r="15" spans="1:12" s="28" customFormat="1" ht="53.25" customHeight="1" thickBot="1" x14ac:dyDescent="0.3">
      <c r="A15" s="76">
        <v>10</v>
      </c>
      <c r="B15" s="77" t="s">
        <v>107</v>
      </c>
      <c r="C15" s="53" t="s">
        <v>108</v>
      </c>
      <c r="D15" s="78" t="s">
        <v>106</v>
      </c>
      <c r="E15" s="200" t="s">
        <v>172</v>
      </c>
      <c r="F15" s="80">
        <v>0</v>
      </c>
      <c r="G15" s="80">
        <v>0</v>
      </c>
      <c r="H15" s="111">
        <v>0</v>
      </c>
      <c r="I15" s="52">
        <v>0</v>
      </c>
      <c r="J15" s="83"/>
      <c r="K15" s="84"/>
      <c r="L15" s="82"/>
    </row>
    <row r="16" spans="1:12" x14ac:dyDescent="0.25">
      <c r="A16" s="39"/>
      <c r="B16" s="39"/>
      <c r="C16" s="39"/>
      <c r="D16" s="39"/>
      <c r="E16" s="40"/>
      <c r="F16" s="40"/>
      <c r="G16" s="40"/>
      <c r="H16" s="40"/>
      <c r="I16" s="40"/>
      <c r="J16" s="40"/>
      <c r="K16" s="40"/>
      <c r="L16" s="61"/>
    </row>
    <row r="17" spans="1:12" ht="14.25" customHeight="1" x14ac:dyDescent="0.25">
      <c r="A17" s="153" t="s">
        <v>154</v>
      </c>
      <c r="B17" s="153"/>
      <c r="C17" s="39"/>
      <c r="D17" s="39"/>
      <c r="E17" s="40"/>
      <c r="F17" s="40"/>
      <c r="G17" s="40"/>
      <c r="H17" s="40"/>
      <c r="I17" s="40"/>
      <c r="J17" s="40"/>
      <c r="K17" s="40"/>
      <c r="L17" s="61"/>
    </row>
    <row r="18" spans="1:12" ht="14.25" customHeight="1" x14ac:dyDescent="0.25">
      <c r="A18" s="39"/>
      <c r="B18" s="39"/>
      <c r="C18" s="39"/>
      <c r="D18" s="39"/>
      <c r="E18" s="40"/>
      <c r="F18" s="40"/>
      <c r="G18" s="40"/>
      <c r="H18" s="40"/>
      <c r="I18" s="40"/>
      <c r="J18" s="40"/>
      <c r="K18" s="40"/>
      <c r="L18" s="61"/>
    </row>
    <row r="19" spans="1:12" ht="14.25" customHeight="1" x14ac:dyDescent="0.25">
      <c r="A19" s="39"/>
      <c r="B19" s="39"/>
      <c r="C19" s="39"/>
      <c r="D19" s="39"/>
      <c r="E19" s="40"/>
      <c r="F19" s="40"/>
      <c r="G19" s="40"/>
      <c r="H19" s="40"/>
      <c r="I19" s="40"/>
      <c r="J19" s="40"/>
      <c r="K19" s="40"/>
      <c r="L19" s="61"/>
    </row>
    <row r="20" spans="1:12" ht="14.25" customHeight="1" x14ac:dyDescent="0.25">
      <c r="A20" s="39"/>
      <c r="B20" s="39"/>
      <c r="C20" s="180" t="s">
        <v>133</v>
      </c>
      <c r="D20" s="181"/>
      <c r="E20" s="64" t="s">
        <v>133</v>
      </c>
      <c r="F20" s="40"/>
      <c r="G20" s="40"/>
      <c r="H20" s="40"/>
      <c r="I20" s="40"/>
      <c r="J20" s="40"/>
      <c r="K20" s="40"/>
      <c r="L20" s="61"/>
    </row>
    <row r="21" spans="1:12" ht="14.25" customHeight="1" x14ac:dyDescent="0.25">
      <c r="A21" s="39"/>
      <c r="B21" s="39"/>
      <c r="C21" s="179" t="s">
        <v>118</v>
      </c>
      <c r="D21" s="179"/>
      <c r="E21" s="63" t="s">
        <v>118</v>
      </c>
      <c r="F21" s="40"/>
      <c r="G21" s="40"/>
      <c r="H21" s="40"/>
      <c r="I21" s="40"/>
      <c r="J21" s="40"/>
      <c r="K21" s="40"/>
      <c r="L21" s="61"/>
    </row>
    <row r="22" spans="1:12" ht="14.25" customHeight="1" x14ac:dyDescent="0.25">
      <c r="A22" s="39"/>
      <c r="B22" s="39"/>
      <c r="C22" s="39"/>
      <c r="D22" s="39"/>
      <c r="E22" s="40"/>
      <c r="F22" s="40"/>
      <c r="G22" s="40"/>
      <c r="H22" s="40"/>
      <c r="I22" s="40"/>
      <c r="J22" s="40"/>
      <c r="K22" s="40"/>
      <c r="L22" s="61"/>
    </row>
    <row r="23" spans="1:12" s="50" customFormat="1" ht="14.25" customHeight="1" x14ac:dyDescent="0.25">
      <c r="A23" s="49"/>
      <c r="B23" s="56" t="s">
        <v>133</v>
      </c>
      <c r="C23" s="176" t="s">
        <v>133</v>
      </c>
      <c r="D23" s="176"/>
      <c r="E23" s="176"/>
      <c r="F23" s="177" t="s">
        <v>133</v>
      </c>
      <c r="G23" s="178"/>
      <c r="H23" s="178"/>
      <c r="I23" s="178"/>
      <c r="J23" s="178"/>
      <c r="K23" s="177" t="s">
        <v>133</v>
      </c>
      <c r="L23" s="178"/>
    </row>
    <row r="24" spans="1:12" s="50" customFormat="1" ht="14.25" customHeight="1" x14ac:dyDescent="0.25">
      <c r="A24" s="49"/>
      <c r="B24" s="55" t="s">
        <v>140</v>
      </c>
      <c r="C24" s="179" t="s">
        <v>141</v>
      </c>
      <c r="D24" s="179"/>
      <c r="E24" s="179"/>
      <c r="F24" s="178" t="s">
        <v>132</v>
      </c>
      <c r="G24" s="178"/>
      <c r="H24" s="178"/>
      <c r="I24" s="178"/>
      <c r="J24" s="178"/>
      <c r="K24" s="178" t="s">
        <v>139</v>
      </c>
      <c r="L24" s="178"/>
    </row>
    <row r="25" spans="1:12" ht="14.25" customHeight="1" x14ac:dyDescent="0.25">
      <c r="A25" s="39"/>
      <c r="B25" s="39"/>
      <c r="C25" s="39"/>
      <c r="D25" s="39"/>
      <c r="E25" s="40"/>
      <c r="F25" s="40"/>
      <c r="G25" s="40"/>
      <c r="H25" s="40"/>
      <c r="I25" s="40"/>
      <c r="J25" s="40"/>
      <c r="K25" s="40"/>
      <c r="L25" s="61"/>
    </row>
    <row r="26" spans="1:12" ht="14.25" customHeight="1" x14ac:dyDescent="0.25">
      <c r="A26" s="39"/>
      <c r="B26" s="39"/>
      <c r="C26" s="39"/>
      <c r="D26" s="39"/>
      <c r="E26" s="40"/>
      <c r="F26" s="40"/>
      <c r="G26" s="40"/>
      <c r="H26" s="40"/>
      <c r="I26" s="40"/>
      <c r="J26" s="40"/>
      <c r="K26" s="40"/>
      <c r="L26" s="61"/>
    </row>
    <row r="27" spans="1:12" ht="14.25" customHeight="1" x14ac:dyDescent="0.25">
      <c r="A27" s="39"/>
      <c r="B27" s="39"/>
      <c r="C27" s="39"/>
      <c r="D27" s="39"/>
      <c r="E27" s="40"/>
      <c r="F27" s="40"/>
      <c r="G27" s="40"/>
      <c r="H27" s="40"/>
      <c r="I27" s="40"/>
      <c r="J27" s="40"/>
      <c r="K27" s="40"/>
      <c r="L27" s="61"/>
    </row>
    <row r="28" spans="1:12" ht="14.25" customHeight="1" x14ac:dyDescent="0.25">
      <c r="A28" s="39"/>
      <c r="B28" s="39"/>
      <c r="C28" s="39"/>
      <c r="D28" s="39"/>
      <c r="E28" s="40"/>
      <c r="F28" s="40"/>
      <c r="G28" s="40"/>
      <c r="H28" s="40"/>
      <c r="I28" s="40"/>
      <c r="J28" s="40"/>
      <c r="K28" s="40"/>
      <c r="L28" s="61"/>
    </row>
    <row r="29" spans="1:12" ht="14.25" customHeight="1" x14ac:dyDescent="0.25">
      <c r="A29" s="39"/>
      <c r="B29" s="39"/>
      <c r="C29" s="39"/>
      <c r="D29" s="39"/>
      <c r="E29" s="40"/>
      <c r="F29" s="40"/>
      <c r="G29" s="40"/>
      <c r="H29" s="40"/>
      <c r="I29" s="40"/>
      <c r="J29" s="40"/>
      <c r="K29" s="40"/>
      <c r="L29" s="61"/>
    </row>
    <row r="30" spans="1:12" ht="14.25" customHeight="1" x14ac:dyDescent="0.25">
      <c r="A30" s="39"/>
      <c r="B30" s="39"/>
      <c r="C30" s="39"/>
      <c r="D30" s="39"/>
      <c r="E30" s="40"/>
      <c r="F30" s="40"/>
      <c r="G30" s="40"/>
      <c r="H30" s="40"/>
      <c r="I30" s="40"/>
      <c r="J30" s="40"/>
      <c r="K30" s="40"/>
      <c r="L30" s="61"/>
    </row>
    <row r="31" spans="1:12" ht="46.5" x14ac:dyDescent="0.25">
      <c r="A31" s="150" t="s">
        <v>137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</row>
    <row r="32" spans="1:12" ht="33.75" x14ac:dyDescent="0.25">
      <c r="A32" s="151" t="s">
        <v>149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</row>
    <row r="33" spans="1:12" ht="23.25" customHeight="1" x14ac:dyDescent="0.35">
      <c r="A33" s="152" t="s">
        <v>148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</row>
    <row r="34" spans="1:12" ht="14.25" customHeight="1" thickBot="1" x14ac:dyDescent="0.3">
      <c r="A34" s="39"/>
      <c r="B34" s="39"/>
      <c r="C34" s="39"/>
      <c r="D34" s="39"/>
      <c r="E34" s="40"/>
      <c r="F34" s="40"/>
      <c r="G34" s="40"/>
      <c r="H34" s="40"/>
      <c r="I34" s="40"/>
      <c r="J34" s="40"/>
      <c r="K34" s="40"/>
      <c r="L34" s="61"/>
    </row>
    <row r="35" spans="1:12" s="27" customFormat="1" ht="52.5" customHeight="1" thickBot="1" x14ac:dyDescent="0.3">
      <c r="A35" s="30" t="s">
        <v>2</v>
      </c>
      <c r="B35" s="30" t="s">
        <v>127</v>
      </c>
      <c r="C35" s="30" t="s">
        <v>7</v>
      </c>
      <c r="D35" s="31" t="s">
        <v>111</v>
      </c>
      <c r="E35" s="29" t="s">
        <v>128</v>
      </c>
      <c r="F35" s="169" t="s">
        <v>136</v>
      </c>
      <c r="G35" s="170"/>
      <c r="H35" s="171"/>
      <c r="I35" s="32" t="s">
        <v>138</v>
      </c>
      <c r="J35" s="31" t="s">
        <v>129</v>
      </c>
      <c r="K35" s="48" t="s">
        <v>135</v>
      </c>
      <c r="L35" s="60" t="s">
        <v>142</v>
      </c>
    </row>
    <row r="36" spans="1:12" ht="52.5" customHeight="1" thickBot="1" x14ac:dyDescent="0.3">
      <c r="A36" s="66">
        <v>1</v>
      </c>
      <c r="B36" s="67" t="s">
        <v>30</v>
      </c>
      <c r="C36" s="36" t="s">
        <v>31</v>
      </c>
      <c r="D36" s="68" t="s">
        <v>118</v>
      </c>
      <c r="E36" s="201" t="s">
        <v>172</v>
      </c>
      <c r="F36" s="92">
        <v>0</v>
      </c>
      <c r="G36" s="92">
        <v>0</v>
      </c>
      <c r="H36" s="110"/>
      <c r="I36" s="93">
        <v>0</v>
      </c>
      <c r="J36" s="94"/>
      <c r="K36" s="95"/>
      <c r="L36" s="97"/>
    </row>
    <row r="37" spans="1:12" ht="52.5" customHeight="1" thickBot="1" x14ac:dyDescent="0.3">
      <c r="A37" s="66">
        <v>2</v>
      </c>
      <c r="B37" s="67" t="s">
        <v>12</v>
      </c>
      <c r="C37" s="36" t="s">
        <v>13</v>
      </c>
      <c r="D37" s="68" t="s">
        <v>118</v>
      </c>
      <c r="E37" s="199" t="s">
        <v>172</v>
      </c>
      <c r="F37" s="37">
        <v>0</v>
      </c>
      <c r="G37" s="37">
        <v>0</v>
      </c>
      <c r="H37" s="109"/>
      <c r="I37" s="43">
        <v>0</v>
      </c>
      <c r="J37" s="41"/>
      <c r="K37" s="86"/>
      <c r="L37" s="87"/>
    </row>
    <row r="38" spans="1:12" ht="30" customHeight="1" x14ac:dyDescent="0.25">
      <c r="A38" s="142">
        <v>3</v>
      </c>
      <c r="B38" s="140" t="s">
        <v>10</v>
      </c>
      <c r="C38" s="144" t="s">
        <v>11</v>
      </c>
      <c r="D38" s="146" t="s">
        <v>118</v>
      </c>
      <c r="E38" s="100">
        <v>45970</v>
      </c>
      <c r="F38" s="101">
        <v>0.75</v>
      </c>
      <c r="G38" s="101">
        <v>0.91666666666666663</v>
      </c>
      <c r="H38" s="112" t="s">
        <v>160</v>
      </c>
      <c r="I38" s="148" t="s">
        <v>169</v>
      </c>
      <c r="J38" s="102" t="s">
        <v>155</v>
      </c>
      <c r="K38" s="103"/>
      <c r="L38" s="115" t="s">
        <v>143</v>
      </c>
    </row>
    <row r="39" spans="1:12" ht="30" customHeight="1" x14ac:dyDescent="0.25">
      <c r="A39" s="174"/>
      <c r="B39" s="173"/>
      <c r="C39" s="175"/>
      <c r="D39" s="167"/>
      <c r="E39" s="193">
        <v>45983</v>
      </c>
      <c r="F39" s="121">
        <v>0.1875</v>
      </c>
      <c r="G39" s="121">
        <v>0.29166666666666669</v>
      </c>
      <c r="H39" s="122" t="s">
        <v>168</v>
      </c>
      <c r="I39" s="189"/>
      <c r="J39" s="123" t="s">
        <v>155</v>
      </c>
      <c r="K39" s="124"/>
      <c r="L39" s="125" t="s">
        <v>143</v>
      </c>
    </row>
    <row r="40" spans="1:12" ht="30" customHeight="1" x14ac:dyDescent="0.25">
      <c r="A40" s="174"/>
      <c r="B40" s="173"/>
      <c r="C40" s="175"/>
      <c r="D40" s="167"/>
      <c r="E40" s="194"/>
      <c r="F40" s="191">
        <v>0.6875</v>
      </c>
      <c r="G40" s="191">
        <v>0.85416666666666663</v>
      </c>
      <c r="H40" s="192" t="s">
        <v>160</v>
      </c>
      <c r="I40" s="189"/>
      <c r="J40" s="123" t="s">
        <v>155</v>
      </c>
      <c r="K40" s="124"/>
      <c r="L40" s="125" t="s">
        <v>143</v>
      </c>
    </row>
    <row r="41" spans="1:12" ht="30" customHeight="1" thickBot="1" x14ac:dyDescent="0.3">
      <c r="A41" s="143"/>
      <c r="B41" s="141"/>
      <c r="C41" s="145"/>
      <c r="D41" s="147"/>
      <c r="E41" s="47">
        <v>45985</v>
      </c>
      <c r="F41" s="34">
        <v>0.20833333333333334</v>
      </c>
      <c r="G41" s="34">
        <v>0.25</v>
      </c>
      <c r="H41" s="119" t="s">
        <v>162</v>
      </c>
      <c r="I41" s="149"/>
      <c r="J41" s="42" t="s">
        <v>155</v>
      </c>
      <c r="K41" s="88"/>
      <c r="L41" s="90" t="s">
        <v>143</v>
      </c>
    </row>
    <row r="42" spans="1:12" ht="52.5" customHeight="1" thickBot="1" x14ac:dyDescent="0.3">
      <c r="A42" s="66">
        <v>4</v>
      </c>
      <c r="B42" s="67" t="s">
        <v>125</v>
      </c>
      <c r="C42" s="36" t="s">
        <v>126</v>
      </c>
      <c r="D42" s="68" t="s">
        <v>106</v>
      </c>
      <c r="E42" s="199" t="s">
        <v>172</v>
      </c>
      <c r="F42" s="37">
        <v>0</v>
      </c>
      <c r="G42" s="37">
        <v>0</v>
      </c>
      <c r="H42" s="109"/>
      <c r="I42" s="43">
        <v>0</v>
      </c>
      <c r="J42" s="41"/>
      <c r="K42" s="86"/>
      <c r="L42" s="87"/>
    </row>
    <row r="43" spans="1:12" ht="52.5" customHeight="1" thickBot="1" x14ac:dyDescent="0.3">
      <c r="A43" s="66">
        <v>5</v>
      </c>
      <c r="B43" s="67" t="s">
        <v>114</v>
      </c>
      <c r="C43" s="36" t="s">
        <v>116</v>
      </c>
      <c r="D43" s="68" t="s">
        <v>106</v>
      </c>
      <c r="E43" s="46">
        <v>45969</v>
      </c>
      <c r="F43" s="37">
        <v>0.79166666666666663</v>
      </c>
      <c r="G43" s="37">
        <v>0.83333333333333337</v>
      </c>
      <c r="H43" s="109" t="s">
        <v>162</v>
      </c>
      <c r="I43" s="43">
        <v>1</v>
      </c>
      <c r="J43" s="41" t="s">
        <v>156</v>
      </c>
      <c r="K43" s="86"/>
      <c r="L43" s="87" t="s">
        <v>143</v>
      </c>
    </row>
    <row r="44" spans="1:12" ht="52.5" customHeight="1" x14ac:dyDescent="0.25">
      <c r="A44" s="174">
        <v>6</v>
      </c>
      <c r="B44" s="175" t="s">
        <v>115</v>
      </c>
      <c r="C44" s="175" t="s">
        <v>117</v>
      </c>
      <c r="D44" s="167" t="s">
        <v>106</v>
      </c>
      <c r="E44" s="195">
        <v>45976</v>
      </c>
      <c r="F44" s="191">
        <v>0.45833333333333331</v>
      </c>
      <c r="G44" s="191">
        <v>0.625</v>
      </c>
      <c r="H44" s="192" t="s">
        <v>160</v>
      </c>
      <c r="I44" s="148">
        <f>H44+H45</f>
        <v>8</v>
      </c>
      <c r="J44" s="198" t="s">
        <v>171</v>
      </c>
      <c r="K44" s="196"/>
      <c r="L44" s="197" t="s">
        <v>143</v>
      </c>
    </row>
    <row r="45" spans="1:12" ht="52.5" customHeight="1" thickBot="1" x14ac:dyDescent="0.3">
      <c r="A45" s="143"/>
      <c r="B45" s="145"/>
      <c r="C45" s="145"/>
      <c r="D45" s="147"/>
      <c r="E45" s="79">
        <v>45977</v>
      </c>
      <c r="F45" s="80">
        <v>0.33333333333333331</v>
      </c>
      <c r="G45" s="80">
        <v>0.5</v>
      </c>
      <c r="H45" s="111" t="s">
        <v>160</v>
      </c>
      <c r="I45" s="149"/>
      <c r="J45" s="83" t="s">
        <v>170</v>
      </c>
      <c r="K45" s="96"/>
      <c r="L45" s="98" t="s">
        <v>143</v>
      </c>
    </row>
    <row r="46" spans="1:12" ht="52.5" customHeight="1" thickBot="1" x14ac:dyDescent="0.3">
      <c r="A46" s="66">
        <v>7</v>
      </c>
      <c r="B46" s="67" t="s">
        <v>130</v>
      </c>
      <c r="C46" s="36" t="s">
        <v>131</v>
      </c>
      <c r="D46" s="68" t="s">
        <v>106</v>
      </c>
      <c r="E46" s="200" t="s">
        <v>172</v>
      </c>
      <c r="F46" s="80">
        <v>0</v>
      </c>
      <c r="G46" s="80">
        <v>0</v>
      </c>
      <c r="H46" s="111"/>
      <c r="I46" s="52">
        <v>0</v>
      </c>
      <c r="J46" s="85"/>
      <c r="K46" s="96"/>
      <c r="L46" s="98"/>
    </row>
    <row r="47" spans="1:12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1:12" ht="14.25" customHeight="1" x14ac:dyDescent="0.25">
      <c r="A48" s="153" t="s">
        <v>154</v>
      </c>
      <c r="B48" s="153"/>
      <c r="C48" s="39"/>
      <c r="D48" s="39"/>
      <c r="E48" s="40"/>
      <c r="F48" s="40"/>
      <c r="G48" s="40"/>
      <c r="H48" s="40"/>
      <c r="I48" s="40"/>
      <c r="J48" s="40"/>
      <c r="K48" s="40"/>
      <c r="L48" s="61"/>
    </row>
    <row r="49" spans="1:12" ht="14.25" customHeight="1" x14ac:dyDescent="0.25">
      <c r="A49" s="39"/>
      <c r="B49" s="39"/>
      <c r="C49" s="39"/>
      <c r="D49" s="39"/>
      <c r="E49" s="40"/>
      <c r="F49" s="40"/>
      <c r="G49" s="40"/>
      <c r="H49" s="40"/>
      <c r="I49" s="40"/>
      <c r="J49" s="40"/>
      <c r="K49" s="40"/>
      <c r="L49" s="61"/>
    </row>
    <row r="50" spans="1:12" ht="14.25" customHeight="1" x14ac:dyDescent="0.25">
      <c r="A50" s="39"/>
      <c r="B50" s="39"/>
      <c r="C50" s="39"/>
      <c r="D50" s="39"/>
      <c r="E50" s="40"/>
      <c r="F50" s="40"/>
      <c r="G50" s="40"/>
      <c r="H50" s="40"/>
      <c r="I50" s="40"/>
      <c r="J50" s="40"/>
      <c r="K50" s="40"/>
      <c r="L50" s="61"/>
    </row>
    <row r="51" spans="1:12" ht="14.25" customHeight="1" x14ac:dyDescent="0.25">
      <c r="A51" s="39"/>
      <c r="B51" s="39"/>
      <c r="C51" s="180" t="s">
        <v>133</v>
      </c>
      <c r="D51" s="181"/>
      <c r="E51" s="64" t="s">
        <v>133</v>
      </c>
      <c r="F51" s="40"/>
      <c r="G51" s="40"/>
      <c r="H51" s="40"/>
      <c r="I51" s="40"/>
      <c r="J51" s="40"/>
      <c r="K51" s="40"/>
      <c r="L51" s="61"/>
    </row>
    <row r="52" spans="1:12" ht="14.25" customHeight="1" x14ac:dyDescent="0.25">
      <c r="A52" s="39"/>
      <c r="B52" s="39"/>
      <c r="C52" s="179" t="s">
        <v>118</v>
      </c>
      <c r="D52" s="179"/>
      <c r="E52" s="63" t="s">
        <v>118</v>
      </c>
      <c r="F52" s="40"/>
      <c r="G52" s="40"/>
      <c r="H52" s="40"/>
      <c r="I52" s="40"/>
      <c r="J52" s="40"/>
      <c r="K52" s="40"/>
      <c r="L52" s="61"/>
    </row>
    <row r="53" spans="1:12" ht="14.25" customHeight="1" x14ac:dyDescent="0.25">
      <c r="A53" s="39"/>
      <c r="B53" s="39"/>
      <c r="C53" s="39"/>
      <c r="D53" s="39"/>
      <c r="E53" s="40"/>
      <c r="F53" s="40"/>
      <c r="G53" s="40"/>
      <c r="H53" s="40"/>
      <c r="I53" s="40"/>
      <c r="J53" s="40"/>
      <c r="K53" s="40"/>
      <c r="L53" s="61"/>
    </row>
    <row r="54" spans="1:12" s="50" customFormat="1" ht="14.25" customHeight="1" x14ac:dyDescent="0.25">
      <c r="A54" s="49"/>
      <c r="B54" s="56" t="s">
        <v>133</v>
      </c>
      <c r="C54" s="176" t="s">
        <v>133</v>
      </c>
      <c r="D54" s="176"/>
      <c r="E54" s="176"/>
      <c r="F54" s="177" t="s">
        <v>133</v>
      </c>
      <c r="G54" s="178"/>
      <c r="H54" s="178"/>
      <c r="I54" s="178"/>
      <c r="J54" s="178"/>
      <c r="K54" s="177" t="s">
        <v>133</v>
      </c>
      <c r="L54" s="178"/>
    </row>
    <row r="55" spans="1:12" s="50" customFormat="1" ht="14.25" customHeight="1" x14ac:dyDescent="0.25">
      <c r="A55" s="49"/>
      <c r="B55" s="55" t="s">
        <v>140</v>
      </c>
      <c r="C55" s="179" t="s">
        <v>141</v>
      </c>
      <c r="D55" s="179"/>
      <c r="E55" s="179"/>
      <c r="F55" s="178" t="s">
        <v>132</v>
      </c>
      <c r="G55" s="178"/>
      <c r="H55" s="178"/>
      <c r="I55" s="178"/>
      <c r="J55" s="178"/>
      <c r="K55" s="178" t="s">
        <v>139</v>
      </c>
      <c r="L55" s="178"/>
    </row>
  </sheetData>
  <mergeCells count="37">
    <mergeCell ref="A32:L32"/>
    <mergeCell ref="A1:L1"/>
    <mergeCell ref="A2:L2"/>
    <mergeCell ref="A3:L3"/>
    <mergeCell ref="F5:H5"/>
    <mergeCell ref="K23:L23"/>
    <mergeCell ref="C24:E24"/>
    <mergeCell ref="F24:J24"/>
    <mergeCell ref="K24:L24"/>
    <mergeCell ref="A31:L31"/>
    <mergeCell ref="A17:B17"/>
    <mergeCell ref="C20:D20"/>
    <mergeCell ref="C21:D21"/>
    <mergeCell ref="C23:E23"/>
    <mergeCell ref="F23:J23"/>
    <mergeCell ref="A33:L33"/>
    <mergeCell ref="A48:B48"/>
    <mergeCell ref="C51:D51"/>
    <mergeCell ref="C52:D52"/>
    <mergeCell ref="B38:B41"/>
    <mergeCell ref="A38:A41"/>
    <mergeCell ref="C38:C41"/>
    <mergeCell ref="D38:D41"/>
    <mergeCell ref="F35:H35"/>
    <mergeCell ref="I38:I41"/>
    <mergeCell ref="E39:E40"/>
    <mergeCell ref="A44:A45"/>
    <mergeCell ref="B44:B45"/>
    <mergeCell ref="C44:C45"/>
    <mergeCell ref="D44:D45"/>
    <mergeCell ref="I44:I45"/>
    <mergeCell ref="C54:E54"/>
    <mergeCell ref="F54:J54"/>
    <mergeCell ref="K54:L54"/>
    <mergeCell ref="C55:E55"/>
    <mergeCell ref="F55:J55"/>
    <mergeCell ref="K55:L55"/>
  </mergeCells>
  <conditionalFormatting sqref="A5:A7 A15 A36:A40 A46 A42:A44">
    <cfRule type="containsText" dxfId="19" priority="12" operator="containsText" text="BIO">
      <formula>NOT(ISERROR(SEARCH("BIO",A5)))</formula>
    </cfRule>
    <cfRule type="containsText" dxfId="18" priority="13" operator="containsText" text="PSM">
      <formula>NOT(ISERROR(SEARCH("PSM",A5)))</formula>
    </cfRule>
  </conditionalFormatting>
  <conditionalFormatting sqref="B6:D7 B15:D15 B46:D46 B36:D40 B42:D44">
    <cfRule type="containsBlanks" dxfId="17" priority="11">
      <formula>LEN(TRIM(B6))=0</formula>
    </cfRule>
  </conditionalFormatting>
  <conditionalFormatting sqref="A35">
    <cfRule type="containsText" dxfId="16" priority="9" operator="containsText" text="BIO">
      <formula>NOT(ISERROR(SEARCH("BIO",A35)))</formula>
    </cfRule>
    <cfRule type="containsText" dxfId="15" priority="10" operator="containsText" text="PSM">
      <formula>NOT(ISERROR(SEARCH("PSM",A35)))</formula>
    </cfRule>
  </conditionalFormatting>
  <conditionalFormatting sqref="A8:A10">
    <cfRule type="containsText" dxfId="14" priority="7" operator="containsText" text="BIO">
      <formula>NOT(ISERROR(SEARCH("BIO",A8)))</formula>
    </cfRule>
    <cfRule type="containsText" dxfId="13" priority="8" operator="containsText" text="PSM">
      <formula>NOT(ISERROR(SEARCH("PSM",A8)))</formula>
    </cfRule>
  </conditionalFormatting>
  <conditionalFormatting sqref="B8:D10">
    <cfRule type="containsBlanks" dxfId="12" priority="6">
      <formula>LEN(TRIM(B8))=0</formula>
    </cfRule>
  </conditionalFormatting>
  <conditionalFormatting sqref="A11:A14">
    <cfRule type="containsText" dxfId="11" priority="4" operator="containsText" text="BIO">
      <formula>NOT(ISERROR(SEARCH("BIO",A11)))</formula>
    </cfRule>
    <cfRule type="containsText" dxfId="10" priority="5" operator="containsText" text="PSM">
      <formula>NOT(ISERROR(SEARCH("PSM",A11)))</formula>
    </cfRule>
  </conditionalFormatting>
  <conditionalFormatting sqref="B11:D14">
    <cfRule type="containsBlanks" dxfId="9" priority="2">
      <formula>LEN(TRIM(B11))=0</formula>
    </cfRule>
  </conditionalFormatting>
  <conditionalFormatting sqref="B11:C11">
    <cfRule type="containsBlanks" dxfId="8" priority="3">
      <formula>LEN(TRIM(B11))=0</formula>
    </cfRule>
  </conditionalFormatting>
  <pageMargins left="0.17" right="0.12" top="0.69" bottom="0.13" header="0.18" footer="0.12"/>
  <pageSetup scale="75" orientation="landscape" horizontalDpi="360" verticalDpi="360" r:id="rId1"/>
  <ignoredErrors>
    <ignoredError sqref="H43:H45 H38:I41 H1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topLeftCell="A13" zoomScale="90" zoomScaleNormal="90" workbookViewId="0">
      <selection activeCell="C38" sqref="C38"/>
    </sheetView>
  </sheetViews>
  <sheetFormatPr baseColWidth="10" defaultRowHeight="15" x14ac:dyDescent="0.25"/>
  <cols>
    <col min="1" max="1" width="16.7109375" customWidth="1"/>
    <col min="2" max="2" width="12.42578125" customWidth="1"/>
    <col min="3" max="3" width="52.5703125" customWidth="1"/>
    <col min="4" max="4" width="22.140625" customWidth="1"/>
    <col min="5" max="5" width="39.28515625" customWidth="1"/>
    <col min="6" max="6" width="20.7109375" customWidth="1"/>
    <col min="7" max="7" width="18.5703125" customWidth="1"/>
  </cols>
  <sheetData>
    <row r="1" spans="1:5" ht="26.25" x14ac:dyDescent="0.25">
      <c r="A1" s="185" t="s">
        <v>5</v>
      </c>
      <c r="B1" s="186"/>
      <c r="C1" s="186"/>
      <c r="D1" s="186"/>
      <c r="E1" s="187"/>
    </row>
    <row r="2" spans="1:5" ht="21" customHeight="1" x14ac:dyDescent="0.35">
      <c r="A2" s="9" t="s">
        <v>0</v>
      </c>
      <c r="B2" s="188">
        <f ca="1">TODAY()</f>
        <v>45993</v>
      </c>
      <c r="C2" s="188"/>
      <c r="D2" s="5"/>
      <c r="E2" s="8"/>
    </row>
    <row r="3" spans="1:5" ht="18.75" x14ac:dyDescent="0.3">
      <c r="A3" s="1" t="s">
        <v>1</v>
      </c>
      <c r="B3" s="1" t="s">
        <v>2</v>
      </c>
      <c r="C3" s="2" t="s">
        <v>4</v>
      </c>
      <c r="D3" s="1" t="s">
        <v>7</v>
      </c>
      <c r="E3" s="1" t="s">
        <v>73</v>
      </c>
    </row>
    <row r="4" spans="1:5" ht="15.75" x14ac:dyDescent="0.25">
      <c r="A4" s="3" t="s">
        <v>6</v>
      </c>
      <c r="B4" s="4">
        <v>1</v>
      </c>
      <c r="C4" s="7" t="s">
        <v>18</v>
      </c>
      <c r="D4" s="17" t="s">
        <v>19</v>
      </c>
      <c r="E4" s="21" t="s">
        <v>88</v>
      </c>
    </row>
    <row r="5" spans="1:5" ht="15.75" x14ac:dyDescent="0.25">
      <c r="A5" s="3" t="s">
        <v>6</v>
      </c>
      <c r="B5" s="4">
        <f>B4+1</f>
        <v>2</v>
      </c>
      <c r="C5" s="7" t="s">
        <v>20</v>
      </c>
      <c r="D5" s="17" t="s">
        <v>21</v>
      </c>
      <c r="E5" s="21" t="s">
        <v>87</v>
      </c>
    </row>
    <row r="6" spans="1:5" ht="15.75" x14ac:dyDescent="0.25">
      <c r="A6" s="3" t="s">
        <v>6</v>
      </c>
      <c r="B6" s="4">
        <f t="shared" ref="B6:B19" si="0">B5+1</f>
        <v>3</v>
      </c>
      <c r="C6" s="7" t="s">
        <v>24</v>
      </c>
      <c r="D6" s="17" t="s">
        <v>25</v>
      </c>
      <c r="E6" s="21" t="s">
        <v>86</v>
      </c>
    </row>
    <row r="7" spans="1:5" ht="15.75" x14ac:dyDescent="0.25">
      <c r="A7" s="3" t="s">
        <v>6</v>
      </c>
      <c r="B7" s="4">
        <f t="shared" si="0"/>
        <v>4</v>
      </c>
      <c r="C7" s="7" t="s">
        <v>32</v>
      </c>
      <c r="D7" s="17" t="s">
        <v>33</v>
      </c>
      <c r="E7" s="21" t="s">
        <v>85</v>
      </c>
    </row>
    <row r="8" spans="1:5" ht="15.75" x14ac:dyDescent="0.25">
      <c r="A8" s="3" t="s">
        <v>6</v>
      </c>
      <c r="B8" s="4">
        <f t="shared" si="0"/>
        <v>5</v>
      </c>
      <c r="C8" s="7" t="s">
        <v>34</v>
      </c>
      <c r="D8" s="17" t="s">
        <v>35</v>
      </c>
      <c r="E8" s="16" t="s">
        <v>74</v>
      </c>
    </row>
    <row r="9" spans="1:5" ht="15.75" x14ac:dyDescent="0.25">
      <c r="A9" s="3" t="s">
        <v>6</v>
      </c>
      <c r="B9" s="4">
        <f t="shared" si="0"/>
        <v>6</v>
      </c>
      <c r="C9" s="7" t="s">
        <v>36</v>
      </c>
      <c r="D9" s="17" t="s">
        <v>37</v>
      </c>
      <c r="E9" s="16" t="s">
        <v>75</v>
      </c>
    </row>
    <row r="10" spans="1:5" ht="15.75" x14ac:dyDescent="0.25">
      <c r="A10" s="3" t="s">
        <v>6</v>
      </c>
      <c r="B10" s="4">
        <f t="shared" si="0"/>
        <v>7</v>
      </c>
      <c r="C10" s="7" t="s">
        <v>38</v>
      </c>
      <c r="D10" s="17" t="s">
        <v>39</v>
      </c>
      <c r="E10" s="16" t="s">
        <v>76</v>
      </c>
    </row>
    <row r="11" spans="1:5" ht="15.75" x14ac:dyDescent="0.25">
      <c r="A11" s="3" t="s">
        <v>6</v>
      </c>
      <c r="B11" s="4">
        <f t="shared" si="0"/>
        <v>8</v>
      </c>
      <c r="C11" s="7" t="s">
        <v>42</v>
      </c>
      <c r="D11" s="17" t="s">
        <v>43</v>
      </c>
      <c r="E11" s="16" t="s">
        <v>77</v>
      </c>
    </row>
    <row r="12" spans="1:5" ht="15.75" x14ac:dyDescent="0.25">
      <c r="A12" s="3" t="s">
        <v>6</v>
      </c>
      <c r="B12" s="4">
        <f t="shared" si="0"/>
        <v>9</v>
      </c>
      <c r="C12" s="7" t="s">
        <v>44</v>
      </c>
      <c r="D12" s="17" t="s">
        <v>45</v>
      </c>
      <c r="E12" s="16" t="s">
        <v>78</v>
      </c>
    </row>
    <row r="13" spans="1:5" ht="15.75" x14ac:dyDescent="0.25">
      <c r="A13" s="3" t="s">
        <v>6</v>
      </c>
      <c r="B13" s="4">
        <f t="shared" si="0"/>
        <v>10</v>
      </c>
      <c r="C13" s="7" t="s">
        <v>50</v>
      </c>
      <c r="D13" s="17" t="s">
        <v>51</v>
      </c>
      <c r="E13" s="16" t="s">
        <v>79</v>
      </c>
    </row>
    <row r="14" spans="1:5" ht="15.75" x14ac:dyDescent="0.25">
      <c r="A14" s="3" t="s">
        <v>6</v>
      </c>
      <c r="B14" s="4">
        <f t="shared" si="0"/>
        <v>11</v>
      </c>
      <c r="C14" s="7" t="s">
        <v>48</v>
      </c>
      <c r="D14" s="17" t="s">
        <v>49</v>
      </c>
      <c r="E14" s="16" t="s">
        <v>80</v>
      </c>
    </row>
    <row r="15" spans="1:5" ht="15.75" x14ac:dyDescent="0.25">
      <c r="A15" s="3" t="s">
        <v>6</v>
      </c>
      <c r="B15" s="4">
        <f t="shared" si="0"/>
        <v>12</v>
      </c>
      <c r="C15" s="7" t="s">
        <v>52</v>
      </c>
      <c r="D15" s="17" t="s">
        <v>53</v>
      </c>
      <c r="E15" s="16" t="s">
        <v>81</v>
      </c>
    </row>
    <row r="16" spans="1:5" ht="15.75" x14ac:dyDescent="0.25">
      <c r="A16" s="3" t="s">
        <v>6</v>
      </c>
      <c r="B16" s="4">
        <f t="shared" si="0"/>
        <v>13</v>
      </c>
      <c r="C16" s="7" t="s">
        <v>65</v>
      </c>
      <c r="D16" s="17" t="s">
        <v>62</v>
      </c>
      <c r="E16" s="16" t="s">
        <v>82</v>
      </c>
    </row>
    <row r="17" spans="1:7" ht="15.75" x14ac:dyDescent="0.25">
      <c r="A17" s="3" t="s">
        <v>6</v>
      </c>
      <c r="B17" s="4">
        <f t="shared" si="0"/>
        <v>14</v>
      </c>
      <c r="C17" s="7" t="s">
        <v>66</v>
      </c>
      <c r="D17" s="17" t="s">
        <v>67</v>
      </c>
      <c r="E17" s="16" t="s">
        <v>83</v>
      </c>
    </row>
    <row r="18" spans="1:7" ht="15.75" customHeight="1" x14ac:dyDescent="0.25">
      <c r="A18" s="3" t="s">
        <v>6</v>
      </c>
      <c r="B18" s="4">
        <f t="shared" si="0"/>
        <v>15</v>
      </c>
      <c r="C18" s="7" t="s">
        <v>68</v>
      </c>
      <c r="D18" s="17" t="s">
        <v>69</v>
      </c>
      <c r="E18" s="18" t="s">
        <v>84</v>
      </c>
      <c r="F18" s="25"/>
      <c r="G18" s="24"/>
    </row>
    <row r="19" spans="1:7" ht="15.75" customHeight="1" x14ac:dyDescent="0.25">
      <c r="A19" s="3" t="s">
        <v>6</v>
      </c>
      <c r="B19" s="4">
        <f t="shared" si="0"/>
        <v>16</v>
      </c>
      <c r="C19" s="7" t="s">
        <v>70</v>
      </c>
      <c r="D19" s="17" t="s">
        <v>71</v>
      </c>
      <c r="E19" s="16" t="s">
        <v>102</v>
      </c>
      <c r="F19" s="23" t="s">
        <v>72</v>
      </c>
      <c r="G19" s="20">
        <v>44819</v>
      </c>
    </row>
    <row r="20" spans="1:7" ht="15.75" thickBot="1" x14ac:dyDescent="0.3">
      <c r="A20" s="10"/>
    </row>
    <row r="21" spans="1:7" ht="24" thickBot="1" x14ac:dyDescent="0.3">
      <c r="A21" s="10"/>
      <c r="B21" s="182" t="s">
        <v>28</v>
      </c>
      <c r="C21" s="183"/>
      <c r="D21" s="184"/>
      <c r="E21" s="14"/>
    </row>
    <row r="22" spans="1:7" ht="15.75" x14ac:dyDescent="0.25">
      <c r="A22" s="3" t="s">
        <v>6</v>
      </c>
      <c r="B22" s="15">
        <v>1</v>
      </c>
      <c r="C22" s="7" t="s">
        <v>26</v>
      </c>
      <c r="D22" s="17" t="s">
        <v>27</v>
      </c>
      <c r="E22" s="18" t="s">
        <v>104</v>
      </c>
    </row>
    <row r="23" spans="1:7" ht="15.75" x14ac:dyDescent="0.25">
      <c r="A23" s="3"/>
      <c r="B23" s="15"/>
      <c r="C23" s="7"/>
      <c r="D23" s="17"/>
      <c r="E23" s="18"/>
    </row>
    <row r="24" spans="1:7" x14ac:dyDescent="0.25">
      <c r="A24" s="10"/>
      <c r="E24" s="13"/>
    </row>
    <row r="25" spans="1:7" ht="15.75" thickBot="1" x14ac:dyDescent="0.3">
      <c r="A25" s="10"/>
    </row>
    <row r="26" spans="1:7" ht="24" customHeight="1" thickBot="1" x14ac:dyDescent="0.3">
      <c r="A26" s="10"/>
      <c r="B26" s="182" t="s">
        <v>29</v>
      </c>
      <c r="C26" s="183"/>
      <c r="D26" s="184"/>
      <c r="E26" s="14"/>
    </row>
    <row r="27" spans="1:7" ht="18.75" x14ac:dyDescent="0.3">
      <c r="A27" s="1" t="s">
        <v>1</v>
      </c>
      <c r="B27" s="1" t="s">
        <v>2</v>
      </c>
      <c r="C27" s="2" t="s">
        <v>4</v>
      </c>
      <c r="D27" s="1" t="s">
        <v>7</v>
      </c>
      <c r="E27" s="19" t="s">
        <v>73</v>
      </c>
    </row>
    <row r="28" spans="1:7" ht="15.75" x14ac:dyDescent="0.25">
      <c r="A28" s="3" t="s">
        <v>3</v>
      </c>
      <c r="B28" s="4">
        <v>1</v>
      </c>
      <c r="C28" s="7" t="s">
        <v>8</v>
      </c>
      <c r="D28" s="11" t="s">
        <v>9</v>
      </c>
      <c r="E28" s="22" t="s">
        <v>98</v>
      </c>
    </row>
    <row r="29" spans="1:7" ht="15.75" x14ac:dyDescent="0.25">
      <c r="A29" s="3" t="s">
        <v>3</v>
      </c>
      <c r="B29" s="4">
        <f>B28+1</f>
        <v>2</v>
      </c>
      <c r="C29" s="7" t="s">
        <v>10</v>
      </c>
      <c r="D29" s="11" t="s">
        <v>11</v>
      </c>
      <c r="E29" s="18" t="s">
        <v>89</v>
      </c>
    </row>
    <row r="30" spans="1:7" ht="15.75" x14ac:dyDescent="0.25">
      <c r="A30" s="3" t="s">
        <v>3</v>
      </c>
      <c r="B30" s="4">
        <f t="shared" ref="B30:B42" si="1">B29+1</f>
        <v>3</v>
      </c>
      <c r="C30" s="7" t="s">
        <v>12</v>
      </c>
      <c r="D30" s="11" t="s">
        <v>13</v>
      </c>
      <c r="E30" s="18" t="s">
        <v>90</v>
      </c>
    </row>
    <row r="31" spans="1:7" ht="15.75" x14ac:dyDescent="0.25">
      <c r="A31" s="3" t="s">
        <v>3</v>
      </c>
      <c r="B31" s="4">
        <f t="shared" si="1"/>
        <v>4</v>
      </c>
      <c r="C31" s="7" t="s">
        <v>14</v>
      </c>
      <c r="D31" s="11" t="s">
        <v>15</v>
      </c>
      <c r="E31" s="18" t="s">
        <v>91</v>
      </c>
    </row>
    <row r="32" spans="1:7" ht="15.75" x14ac:dyDescent="0.25">
      <c r="A32" s="3" t="s">
        <v>3</v>
      </c>
      <c r="B32" s="4">
        <f t="shared" si="1"/>
        <v>5</v>
      </c>
      <c r="C32" s="7" t="s">
        <v>22</v>
      </c>
      <c r="D32" s="11" t="s">
        <v>23</v>
      </c>
      <c r="E32" s="22" t="s">
        <v>99</v>
      </c>
    </row>
    <row r="33" spans="1:5" ht="15.75" x14ac:dyDescent="0.25">
      <c r="A33" s="6" t="s">
        <v>3</v>
      </c>
      <c r="B33" s="4">
        <f t="shared" si="1"/>
        <v>6</v>
      </c>
      <c r="C33" s="7" t="s">
        <v>30</v>
      </c>
      <c r="D33" s="11" t="s">
        <v>31</v>
      </c>
      <c r="E33" s="22" t="s">
        <v>100</v>
      </c>
    </row>
    <row r="34" spans="1:5" ht="15.75" x14ac:dyDescent="0.25">
      <c r="A34" s="6" t="s">
        <v>3</v>
      </c>
      <c r="B34" s="4">
        <f t="shared" si="1"/>
        <v>7</v>
      </c>
      <c r="C34" s="7" t="s">
        <v>41</v>
      </c>
      <c r="D34" s="11" t="s">
        <v>40</v>
      </c>
      <c r="E34" s="18" t="s">
        <v>92</v>
      </c>
    </row>
    <row r="35" spans="1:5" ht="15.75" x14ac:dyDescent="0.25">
      <c r="A35" s="6" t="s">
        <v>3</v>
      </c>
      <c r="B35" s="4">
        <f t="shared" si="1"/>
        <v>8</v>
      </c>
      <c r="C35" s="7" t="s">
        <v>46</v>
      </c>
      <c r="D35" s="11" t="s">
        <v>47</v>
      </c>
      <c r="E35" s="22" t="s">
        <v>101</v>
      </c>
    </row>
    <row r="36" spans="1:5" ht="15.75" customHeight="1" x14ac:dyDescent="0.25">
      <c r="A36" s="6" t="s">
        <v>3</v>
      </c>
      <c r="B36" s="4">
        <f t="shared" si="1"/>
        <v>9</v>
      </c>
      <c r="C36" s="7" t="s">
        <v>54</v>
      </c>
      <c r="D36" s="11" t="s">
        <v>55</v>
      </c>
      <c r="E36" s="18" t="s">
        <v>93</v>
      </c>
    </row>
    <row r="37" spans="1:5" ht="15.75" customHeight="1" x14ac:dyDescent="0.25">
      <c r="A37" s="6" t="s">
        <v>3</v>
      </c>
      <c r="B37" s="4">
        <f t="shared" si="1"/>
        <v>10</v>
      </c>
      <c r="C37" s="7" t="s">
        <v>56</v>
      </c>
      <c r="D37" s="11" t="s">
        <v>57</v>
      </c>
      <c r="E37" s="18" t="s">
        <v>94</v>
      </c>
    </row>
    <row r="38" spans="1:5" ht="15.75" customHeight="1" x14ac:dyDescent="0.25">
      <c r="A38" s="6" t="s">
        <v>3</v>
      </c>
      <c r="B38" s="4">
        <f t="shared" si="1"/>
        <v>11</v>
      </c>
      <c r="C38" s="7" t="s">
        <v>58</v>
      </c>
      <c r="D38" s="11" t="s">
        <v>59</v>
      </c>
      <c r="E38" s="18" t="s">
        <v>95</v>
      </c>
    </row>
    <row r="39" spans="1:5" ht="15.75" customHeight="1" x14ac:dyDescent="0.25">
      <c r="A39" s="6" t="s">
        <v>3</v>
      </c>
      <c r="B39" s="4">
        <f t="shared" si="1"/>
        <v>12</v>
      </c>
      <c r="C39" s="7" t="s">
        <v>60</v>
      </c>
      <c r="D39" s="11" t="s">
        <v>61</v>
      </c>
      <c r="E39" s="18" t="s">
        <v>96</v>
      </c>
    </row>
    <row r="40" spans="1:5" ht="15.75" customHeight="1" x14ac:dyDescent="0.25">
      <c r="A40" s="6" t="s">
        <v>3</v>
      </c>
      <c r="B40" s="4">
        <f t="shared" si="1"/>
        <v>13</v>
      </c>
      <c r="C40" s="7" t="s">
        <v>63</v>
      </c>
      <c r="D40" s="11" t="s">
        <v>64</v>
      </c>
      <c r="E40" s="18" t="s">
        <v>97</v>
      </c>
    </row>
    <row r="41" spans="1:5" ht="15.75" customHeight="1" x14ac:dyDescent="0.25">
      <c r="A41" s="6" t="s">
        <v>3</v>
      </c>
      <c r="B41" s="4">
        <f t="shared" si="1"/>
        <v>14</v>
      </c>
      <c r="C41" s="7"/>
      <c r="D41" s="11"/>
      <c r="E41" s="18"/>
    </row>
    <row r="42" spans="1:5" ht="15.75" x14ac:dyDescent="0.25">
      <c r="A42" s="6" t="s">
        <v>3</v>
      </c>
      <c r="B42" s="4">
        <f t="shared" si="1"/>
        <v>15</v>
      </c>
      <c r="C42" s="7"/>
      <c r="D42" s="11"/>
      <c r="E42" s="18"/>
    </row>
    <row r="43" spans="1:5" ht="15.75" thickBot="1" x14ac:dyDescent="0.3"/>
    <row r="44" spans="1:5" ht="24" thickBot="1" x14ac:dyDescent="0.3">
      <c r="B44" s="182" t="s">
        <v>28</v>
      </c>
      <c r="C44" s="183"/>
      <c r="D44" s="184"/>
    </row>
    <row r="45" spans="1:5" ht="23.25" customHeight="1" x14ac:dyDescent="0.25">
      <c r="A45" s="6" t="s">
        <v>3</v>
      </c>
      <c r="B45" s="12">
        <v>1</v>
      </c>
      <c r="C45" s="7" t="s">
        <v>16</v>
      </c>
      <c r="D45" s="11" t="s">
        <v>17</v>
      </c>
      <c r="E45" s="16" t="s">
        <v>103</v>
      </c>
    </row>
    <row r="46" spans="1:5" ht="22.5" customHeight="1" x14ac:dyDescent="0.25">
      <c r="A46" s="6" t="s">
        <v>3</v>
      </c>
      <c r="B46" s="12">
        <v>2</v>
      </c>
      <c r="C46" s="7" t="s">
        <v>26</v>
      </c>
      <c r="D46" s="11" t="s">
        <v>27</v>
      </c>
      <c r="E46" s="16" t="s">
        <v>104</v>
      </c>
    </row>
  </sheetData>
  <mergeCells count="5">
    <mergeCell ref="B44:D44"/>
    <mergeCell ref="A1:E1"/>
    <mergeCell ref="B2:C2"/>
    <mergeCell ref="B21:D21"/>
    <mergeCell ref="B26:D26"/>
  </mergeCells>
  <conditionalFormatting sqref="A2 A3:B19 A22:B23 A27:B42">
    <cfRule type="containsText" dxfId="7" priority="8595" operator="containsText" text="BIO">
      <formula>NOT(ISERROR(SEARCH("BIO",A2)))</formula>
    </cfRule>
    <cfRule type="containsText" dxfId="6" priority="8596" operator="containsText" text="PSM">
      <formula>NOT(ISERROR(SEARCH("PSM",A2)))</formula>
    </cfRule>
  </conditionalFormatting>
  <conditionalFormatting sqref="A45:B46">
    <cfRule type="containsText" dxfId="5" priority="8368" operator="containsText" text="BIO">
      <formula>NOT(ISERROR(SEARCH("BIO",A45)))</formula>
    </cfRule>
    <cfRule type="containsText" dxfId="4" priority="8369" operator="containsText" text="PSM">
      <formula>NOT(ISERROR(SEARCH("PSM",A45)))</formula>
    </cfRule>
  </conditionalFormatting>
  <conditionalFormatting sqref="C4:E19">
    <cfRule type="containsBlanks" dxfId="3" priority="1">
      <formula>LEN(TRIM(C4))=0</formula>
    </cfRule>
  </conditionalFormatting>
  <conditionalFormatting sqref="C22:E23">
    <cfRule type="containsBlanks" dxfId="2" priority="617">
      <formula>LEN(TRIM(C22))=0</formula>
    </cfRule>
  </conditionalFormatting>
  <conditionalFormatting sqref="C28:E42">
    <cfRule type="containsBlanks" dxfId="1" priority="247">
      <formula>LEN(TRIM(C28))=0</formula>
    </cfRule>
  </conditionalFormatting>
  <conditionalFormatting sqref="C45:E46">
    <cfRule type="containsBlanks" dxfId="0" priority="71">
      <formula>LEN(TRIM(C45))=0</formula>
    </cfRule>
  </conditionalFormatting>
  <pageMargins left="0.7" right="0.7" top="0.75" bottom="0.75" header="0.3" footer="0.3"/>
  <pageSetup paperSize="9" scale="6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H.E. 50%  -  11-2025</vt:lpstr>
      <vt:lpstr>H.E. 100% - 2025</vt:lpstr>
      <vt:lpstr>Hoja2</vt:lpstr>
      <vt:lpstr>Hoja2!Área_de_impresión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PC-PRODUCCION02</dc:creator>
  <cp:lastModifiedBy>PRODUCCION01-PCEST</cp:lastModifiedBy>
  <cp:lastPrinted>2025-11-27T21:18:42Z</cp:lastPrinted>
  <dcterms:created xsi:type="dcterms:W3CDTF">2019-12-04T18:44:29Z</dcterms:created>
  <dcterms:modified xsi:type="dcterms:W3CDTF">2025-12-02T14:08:07Z</dcterms:modified>
</cp:coreProperties>
</file>