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"/>
    </mc:Choice>
  </mc:AlternateContent>
  <bookViews>
    <workbookView xWindow="0" yWindow="0" windowWidth="19200" windowHeight="6960" tabRatio="790" activeTab="4"/>
  </bookViews>
  <sheets>
    <sheet name="NOMINAS PSM&amp;BIO" sheetId="1" r:id="rId1"/>
    <sheet name="FUNCIONES" sheetId="2" r:id="rId2"/>
    <sheet name="Nomina Pesca" sheetId="4" r:id="rId3"/>
    <sheet name="Reg_Partic_Pesc" sheetId="5" r:id="rId4"/>
    <sheet name="Resumen" sheetId="6" r:id="rId5"/>
    <sheet name="Resumen x Empresa" sheetId="9" r:id="rId6"/>
    <sheet name="Consulta x NochE_Pesc" sheetId="8" r:id="rId7"/>
  </sheets>
  <definedNames>
    <definedName name="_xlnm._FilterDatabase" localSheetId="2" hidden="1">'Nomina Pesca'!$I$9:$L$9</definedName>
    <definedName name="_xlnm._FilterDatabase" localSheetId="3" hidden="1">Reg_Partic_Pesc!$A$2:$L$125</definedName>
    <definedName name="_xlnm.Print_Area" localSheetId="6">'Consulta x NochE_Pesc'!$A$1:$F$46</definedName>
    <definedName name="_xlnm.Print_Area" localSheetId="2">'Nomina Pesca'!$H$59:$K$109</definedName>
    <definedName name="_xlnm.Print_Area" localSheetId="5">'Resumen x Empresa'!$A$1:$H$45</definedName>
  </definedNames>
  <calcPr calcId="152511"/>
  <pivotCaches>
    <pivotCache cacheId="0" r:id="rId8"/>
    <pivotCache cacheId="1" r:id="rId9"/>
    <pivotCache cacheId="7" r:id="rId10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5" l="1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88" i="5"/>
  <c r="A89" i="5"/>
  <c r="A90" i="5"/>
  <c r="A91" i="5"/>
  <c r="A92" i="5"/>
  <c r="A93" i="5"/>
  <c r="A94" i="5"/>
  <c r="A95" i="5"/>
  <c r="A96" i="5"/>
  <c r="A97" i="5"/>
  <c r="A98" i="5"/>
  <c r="A61" i="5" l="1"/>
  <c r="A3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60" i="5" l="1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L2" i="9" l="1"/>
  <c r="N2" i="9" l="1"/>
  <c r="Q2" i="9"/>
  <c r="M2" i="9"/>
  <c r="O2" i="9" s="1"/>
  <c r="P2" i="9" s="1"/>
  <c r="A123" i="5"/>
  <c r="A124" i="5"/>
  <c r="E3" i="9" l="1"/>
  <c r="A3" i="9"/>
  <c r="F1" i="8"/>
  <c r="E4" i="8"/>
  <c r="E3" i="8"/>
  <c r="C3" i="8"/>
  <c r="G6" i="4" l="1"/>
  <c r="F6" i="4"/>
  <c r="E6" i="4"/>
  <c r="D6" i="4"/>
  <c r="C6" i="4"/>
  <c r="B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59" i="4"/>
  <c r="T5" i="4"/>
  <c r="K60" i="4" l="1"/>
  <c r="K62" i="4"/>
  <c r="I62" i="4"/>
  <c r="I60" i="4"/>
  <c r="C57" i="4"/>
  <c r="C58" i="4" s="1"/>
  <c r="D57" i="4"/>
  <c r="D58" i="4" s="1"/>
  <c r="E57" i="4"/>
  <c r="E58" i="4" s="1"/>
  <c r="F57" i="4"/>
  <c r="F58" i="4" s="1"/>
  <c r="G57" i="4"/>
  <c r="G58" i="4" s="1"/>
  <c r="B57" i="4"/>
  <c r="B58" i="4" s="1"/>
  <c r="J107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66" i="4"/>
  <c r="I67" i="4"/>
  <c r="O67" i="4" s="1"/>
  <c r="I68" i="4"/>
  <c r="E68" i="4" s="1"/>
  <c r="I69" i="4"/>
  <c r="O69" i="4" s="1"/>
  <c r="I70" i="4"/>
  <c r="E70" i="4" s="1"/>
  <c r="I71" i="4"/>
  <c r="O71" i="4" s="1"/>
  <c r="I72" i="4"/>
  <c r="E72" i="4" s="1"/>
  <c r="I73" i="4"/>
  <c r="O73" i="4" s="1"/>
  <c r="I74" i="4"/>
  <c r="E74" i="4" s="1"/>
  <c r="I75" i="4"/>
  <c r="O75" i="4" s="1"/>
  <c r="I76" i="4"/>
  <c r="E76" i="4" s="1"/>
  <c r="I77" i="4"/>
  <c r="O77" i="4" s="1"/>
  <c r="I78" i="4"/>
  <c r="E78" i="4" s="1"/>
  <c r="I79" i="4"/>
  <c r="O79" i="4" s="1"/>
  <c r="I80" i="4"/>
  <c r="E80" i="4" s="1"/>
  <c r="I81" i="4"/>
  <c r="O81" i="4" s="1"/>
  <c r="I82" i="4"/>
  <c r="E82" i="4" s="1"/>
  <c r="I83" i="4"/>
  <c r="O83" i="4" s="1"/>
  <c r="I84" i="4"/>
  <c r="E84" i="4" s="1"/>
  <c r="I85" i="4"/>
  <c r="O85" i="4" s="1"/>
  <c r="I86" i="4"/>
  <c r="E86" i="4" s="1"/>
  <c r="I87" i="4"/>
  <c r="O87" i="4" s="1"/>
  <c r="I88" i="4"/>
  <c r="E88" i="4" s="1"/>
  <c r="I89" i="4"/>
  <c r="O89" i="4" s="1"/>
  <c r="I90" i="4"/>
  <c r="E90" i="4" s="1"/>
  <c r="I91" i="4"/>
  <c r="O91" i="4" s="1"/>
  <c r="I92" i="4"/>
  <c r="E92" i="4" s="1"/>
  <c r="I93" i="4"/>
  <c r="O93" i="4" s="1"/>
  <c r="I94" i="4"/>
  <c r="E94" i="4" s="1"/>
  <c r="I95" i="4"/>
  <c r="O95" i="4" s="1"/>
  <c r="I96" i="4"/>
  <c r="E96" i="4" s="1"/>
  <c r="I97" i="4"/>
  <c r="O97" i="4" s="1"/>
  <c r="I98" i="4"/>
  <c r="E98" i="4" s="1"/>
  <c r="I99" i="4"/>
  <c r="O99" i="4" s="1"/>
  <c r="I100" i="4"/>
  <c r="E100" i="4" s="1"/>
  <c r="I101" i="4"/>
  <c r="O101" i="4" s="1"/>
  <c r="I102" i="4"/>
  <c r="E102" i="4" s="1"/>
  <c r="I103" i="4"/>
  <c r="O103" i="4" s="1"/>
  <c r="I104" i="4"/>
  <c r="E104" i="4" s="1"/>
  <c r="I105" i="4"/>
  <c r="O105" i="4" s="1"/>
  <c r="I66" i="4"/>
  <c r="E66" i="4" s="1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66" i="4"/>
  <c r="M104" i="4" l="1"/>
  <c r="M102" i="4"/>
  <c r="M100" i="4"/>
  <c r="M98" i="4"/>
  <c r="M96" i="4"/>
  <c r="M103" i="4"/>
  <c r="M101" i="4"/>
  <c r="M99" i="4"/>
  <c r="M97" i="4"/>
  <c r="M95" i="4"/>
  <c r="M105" i="4"/>
  <c r="M68" i="4"/>
  <c r="K63" i="4"/>
  <c r="M67" i="4"/>
  <c r="M66" i="4"/>
  <c r="M94" i="4"/>
  <c r="M92" i="4"/>
  <c r="M90" i="4"/>
  <c r="M88" i="4"/>
  <c r="M86" i="4"/>
  <c r="M84" i="4"/>
  <c r="M82" i="4"/>
  <c r="M80" i="4"/>
  <c r="M78" i="4"/>
  <c r="M76" i="4"/>
  <c r="M74" i="4"/>
  <c r="M72" i="4"/>
  <c r="M70" i="4"/>
  <c r="M93" i="4"/>
  <c r="M91" i="4"/>
  <c r="M89" i="4"/>
  <c r="M87" i="4"/>
  <c r="M85" i="4"/>
  <c r="M83" i="4"/>
  <c r="M81" i="4"/>
  <c r="M79" i="4"/>
  <c r="M77" i="4"/>
  <c r="M75" i="4"/>
  <c r="M73" i="4"/>
  <c r="M71" i="4"/>
  <c r="M69" i="4"/>
  <c r="F105" i="4"/>
  <c r="F103" i="4"/>
  <c r="F101" i="4"/>
  <c r="F99" i="4"/>
  <c r="F97" i="4"/>
  <c r="F95" i="4"/>
  <c r="F93" i="4"/>
  <c r="F91" i="4"/>
  <c r="F89" i="4"/>
  <c r="F87" i="4"/>
  <c r="F85" i="4"/>
  <c r="F83" i="4"/>
  <c r="F81" i="4"/>
  <c r="F79" i="4"/>
  <c r="F77" i="4"/>
  <c r="F75" i="4"/>
  <c r="F73" i="4"/>
  <c r="F71" i="4"/>
  <c r="F69" i="4"/>
  <c r="F67" i="4"/>
  <c r="G105" i="4"/>
  <c r="G103" i="4"/>
  <c r="G101" i="4"/>
  <c r="G99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E105" i="4"/>
  <c r="E103" i="4"/>
  <c r="E101" i="4"/>
  <c r="E99" i="4"/>
  <c r="E97" i="4"/>
  <c r="E95" i="4"/>
  <c r="E93" i="4"/>
  <c r="E91" i="4"/>
  <c r="E89" i="4"/>
  <c r="E87" i="4"/>
  <c r="E85" i="4"/>
  <c r="E83" i="4"/>
  <c r="E81" i="4"/>
  <c r="E79" i="4"/>
  <c r="E77" i="4"/>
  <c r="E75" i="4"/>
  <c r="E73" i="4"/>
  <c r="E71" i="4"/>
  <c r="E69" i="4"/>
  <c r="E67" i="4"/>
  <c r="O66" i="4"/>
  <c r="O104" i="4"/>
  <c r="O102" i="4"/>
  <c r="O100" i="4"/>
  <c r="O98" i="4"/>
  <c r="O96" i="4"/>
  <c r="O94" i="4"/>
  <c r="O92" i="4"/>
  <c r="O90" i="4"/>
  <c r="O88" i="4"/>
  <c r="O86" i="4"/>
  <c r="O84" i="4"/>
  <c r="O82" i="4"/>
  <c r="O80" i="4"/>
  <c r="O78" i="4"/>
  <c r="O76" i="4"/>
  <c r="O74" i="4"/>
  <c r="O72" i="4"/>
  <c r="O70" i="4"/>
  <c r="O68" i="4"/>
  <c r="F66" i="4"/>
  <c r="F104" i="4"/>
  <c r="F102" i="4"/>
  <c r="F100" i="4"/>
  <c r="F98" i="4"/>
  <c r="F96" i="4"/>
  <c r="F94" i="4"/>
  <c r="F92" i="4"/>
  <c r="F90" i="4"/>
  <c r="F88" i="4"/>
  <c r="F86" i="4"/>
  <c r="F84" i="4"/>
  <c r="F82" i="4"/>
  <c r="F80" i="4"/>
  <c r="F78" i="4"/>
  <c r="F76" i="4"/>
  <c r="F74" i="4"/>
  <c r="F72" i="4"/>
  <c r="F70" i="4"/>
  <c r="F68" i="4"/>
  <c r="G66" i="4"/>
  <c r="G104" i="4"/>
  <c r="G102" i="4"/>
  <c r="G100" i="4"/>
  <c r="G98" i="4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U5" i="4"/>
  <c r="I6" i="4" l="1"/>
  <c r="L5" i="4"/>
</calcChain>
</file>

<file path=xl/sharedStrings.xml><?xml version="1.0" encoding="utf-8"?>
<sst xmlns="http://schemas.openxmlformats.org/spreadsheetml/2006/main" count="1298" uniqueCount="162">
  <si>
    <t>No.</t>
  </si>
  <si>
    <t>NOMINA</t>
  </si>
  <si>
    <t>No. Cédula</t>
  </si>
  <si>
    <t>230034363-5</t>
  </si>
  <si>
    <t>070219346-7</t>
  </si>
  <si>
    <t>110278326-1</t>
  </si>
  <si>
    <t>110315588-1</t>
  </si>
  <si>
    <t>070508993-6</t>
  </si>
  <si>
    <t>110377448-3</t>
  </si>
  <si>
    <t>070200116-5</t>
  </si>
  <si>
    <t>172485071-2</t>
  </si>
  <si>
    <t>172755391-7</t>
  </si>
  <si>
    <t>070733745-7</t>
  </si>
  <si>
    <t>110483502-8</t>
  </si>
  <si>
    <t>110571148-3</t>
  </si>
  <si>
    <t>110437810-2</t>
  </si>
  <si>
    <t>120653372-9</t>
  </si>
  <si>
    <t>110576532-3</t>
  </si>
  <si>
    <t>070605677-7</t>
  </si>
  <si>
    <t>110506978-3</t>
  </si>
  <si>
    <t>110514219-2</t>
  </si>
  <si>
    <t>230013608-8</t>
  </si>
  <si>
    <t>HERNANDEZ VALENCIA CARLOS ALBERTO</t>
  </si>
  <si>
    <t>ARMIJOS MIÑAN ANGEL</t>
  </si>
  <si>
    <t>SOTO CANGO ROBER CORNELIO</t>
  </si>
  <si>
    <t>CANGO QUITO JOSE LEOVARDO</t>
  </si>
  <si>
    <t>PEREZ JUMBO JORGE ROLANDO</t>
  </si>
  <si>
    <t>RUIZ RUIZ DIEGO PATRICIO</t>
  </si>
  <si>
    <t>GOMEZ ESPINOZA GASTON SANTOS</t>
  </si>
  <si>
    <t>PEÑA CEDEÑO JOSE PERFECTO</t>
  </si>
  <si>
    <t>BRAVO QUINTO JORGE DANIEL</t>
  </si>
  <si>
    <t>GOMEZ PARRA  RICARDO JOEL</t>
  </si>
  <si>
    <t>CUEVA LUDEÑA MANUEL DE JESUS</t>
  </si>
  <si>
    <t>JARA ARMIJOS CESAR HOMERO</t>
  </si>
  <si>
    <t>CASTILLO OCHOA HERIBERTO GUILLERMO</t>
  </si>
  <si>
    <t>CORNEJO SANCHEZ FELIX TEOBALDO</t>
  </si>
  <si>
    <t>PINTA PINTA WILMER ROLANDO</t>
  </si>
  <si>
    <t>CONTENTO LIVIZACA RUDY ANDRES</t>
  </si>
  <si>
    <t>SIMANCAS AGUILAR DAVID MOISES</t>
  </si>
  <si>
    <t>CANGO CUEVA FRANCISCO ARMANDO</t>
  </si>
  <si>
    <t>ORTIZ MENDEZ EDWIN ELOY</t>
  </si>
  <si>
    <t>EMPRESA</t>
  </si>
  <si>
    <t>PSM</t>
  </si>
  <si>
    <t>GOMEZ JUMBO YORGIN</t>
  </si>
  <si>
    <t>130362626-9</t>
  </si>
  <si>
    <t>MATAILO PINTA MIGUEL ANGEL</t>
  </si>
  <si>
    <t>110352731-1</t>
  </si>
  <si>
    <t>PINTA MATAILO REIMUNDO ROMELIO</t>
  </si>
  <si>
    <t>110295161-1</t>
  </si>
  <si>
    <t>PINTA AGUILAR DIEGO FERNANDO</t>
  </si>
  <si>
    <t>110457677-0</t>
  </si>
  <si>
    <t xml:space="preserve">CHAMBA BARSALLO ROBERTO CARLOS </t>
  </si>
  <si>
    <t>110495641-0</t>
  </si>
  <si>
    <t>CEDEÑO CHILAN SEGUNDO VICENTE</t>
  </si>
  <si>
    <t>171933177-7</t>
  </si>
  <si>
    <t>CHAGNA MORALES ARMANDO PAUL</t>
  </si>
  <si>
    <t>235026425-1</t>
  </si>
  <si>
    <t>CEVALLOS ALAY MELVIN DAVID</t>
  </si>
  <si>
    <t>070421950-0</t>
  </si>
  <si>
    <t>LOZANO MANZABA BRYAN RENE</t>
  </si>
  <si>
    <t>172485077-9</t>
  </si>
  <si>
    <t>HELGUERO MARTINEZ CARLOS RENE</t>
  </si>
  <si>
    <t>070362264-7</t>
  </si>
  <si>
    <t>VICENTE MACAS VICTOR HUGO</t>
  </si>
  <si>
    <t>110468487-1</t>
  </si>
  <si>
    <t>CANGO CUEVA DIEGO POLO</t>
  </si>
  <si>
    <t>110599059-0</t>
  </si>
  <si>
    <t>JARA ARMIJOS MARIO FABIAN</t>
  </si>
  <si>
    <t>115040949-6</t>
  </si>
  <si>
    <t>CASTILLO PINTA EDWIN MESIAS</t>
  </si>
  <si>
    <t>110323737-4</t>
  </si>
  <si>
    <t>BIO</t>
  </si>
  <si>
    <t>Cargos</t>
  </si>
  <si>
    <t>Valor</t>
  </si>
  <si>
    <t>LISTADO DE PERSONAL PARA PESCA</t>
  </si>
  <si>
    <t>PSM &amp; BIO</t>
  </si>
  <si>
    <t>AGUAJE #</t>
  </si>
  <si>
    <t>PISCINAS #</t>
  </si>
  <si>
    <t>NOCHE #</t>
  </si>
  <si>
    <t>#</t>
  </si>
  <si>
    <t>APELLIDOS Y NOMBRES</t>
  </si>
  <si>
    <t>FUNCION</t>
  </si>
  <si>
    <t>PISCINA</t>
  </si>
  <si>
    <t>/</t>
  </si>
  <si>
    <t>Etiquetas de fila</t>
  </si>
  <si>
    <t>1.- Bolsero</t>
  </si>
  <si>
    <t>2.- Pesador</t>
  </si>
  <si>
    <t>3.- Estibador</t>
  </si>
  <si>
    <t>4.- Tratador</t>
  </si>
  <si>
    <t>5.- Ayu.Tratador</t>
  </si>
  <si>
    <t>6.- Gavetero</t>
  </si>
  <si>
    <t>7.- Chofer</t>
  </si>
  <si>
    <t xml:space="preserve">  </t>
  </si>
  <si>
    <t>8.- Campamento</t>
  </si>
  <si>
    <t>HORA DE INICIO:</t>
  </si>
  <si>
    <t>FECHA</t>
  </si>
  <si>
    <t>CONTADOR</t>
  </si>
  <si>
    <t>HORA DE INICIO</t>
  </si>
  <si>
    <t>HORA INICIO</t>
  </si>
  <si>
    <t>NOCHE</t>
  </si>
  <si>
    <t>AGUAJE</t>
  </si>
  <si>
    <t>FECHA:</t>
  </si>
  <si>
    <t xml:space="preserve">AGUAJE: </t>
  </si>
  <si>
    <t># PC A PESCAR</t>
  </si>
  <si>
    <t>(en blanco)</t>
  </si>
  <si>
    <t>APELLIDOS Y NOMBRE</t>
  </si>
  <si>
    <t>CONT_NOCH</t>
  </si>
  <si>
    <t>CONT</t>
  </si>
  <si>
    <t>PSC # PESC</t>
  </si>
  <si>
    <t>PSC</t>
  </si>
  <si>
    <t>PCS</t>
  </si>
  <si>
    <t>Cuenta de FUNCION</t>
  </si>
  <si>
    <t>PSM, &amp; BIO</t>
  </si>
  <si>
    <t>LISTA DE PERSONAL PARA PESCA</t>
  </si>
  <si>
    <t>(Todas)</t>
  </si>
  <si>
    <t>Pesca entregada a:</t>
  </si>
  <si>
    <t>PESQUERA SAN MIGUEL C. LTDA.</t>
  </si>
  <si>
    <t>BIOCASCAJAL CIA. LTDA.</t>
  </si>
  <si>
    <t>DIA</t>
  </si>
  <si>
    <t>MES</t>
  </si>
  <si>
    <t>AÑO</t>
  </si>
  <si>
    <t>RESUMEN NOMINA DE PARTICIPACION EN PSCA POR EMPRESA.</t>
  </si>
  <si>
    <t>ENERO</t>
  </si>
  <si>
    <t>FEBRERO</t>
  </si>
  <si>
    <t>NOCHES PESCA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</si>
  <si>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</si>
  <si>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</si>
  <si>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</si>
  <si>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</si>
  <si>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</si>
  <si>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</si>
  <si>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</si>
  <si>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</si>
  <si>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</si>
  <si>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</si>
  <si>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general</t>
  </si>
  <si>
    <t>195013467-4</t>
  </si>
  <si>
    <t>230078109-9</t>
  </si>
  <si>
    <t>085082270-1</t>
  </si>
  <si>
    <t>094237190-7</t>
  </si>
  <si>
    <t>AVILA AVILA STALIN JEFFERSON</t>
  </si>
  <si>
    <t>CHALACO CASTILLO ROBERTH IVAN</t>
  </si>
  <si>
    <t>070339013-8</t>
  </si>
  <si>
    <t>PEÑA CEDEÑO CRISTHIAN JAVIER</t>
  </si>
  <si>
    <t>235022240-8</t>
  </si>
  <si>
    <t>SOTO MATAILO JOSE ENRIQUE</t>
  </si>
  <si>
    <t>110495242-7</t>
  </si>
  <si>
    <t>JIMENEZ GUAYANAY ALEXANDER EDUARDO</t>
  </si>
  <si>
    <t>BUENAVENTURA GONZALEZ LUIS MIGUEL</t>
  </si>
  <si>
    <t>MARMOLEJO MARQUEZ VICTOR MANUEL</t>
  </si>
  <si>
    <t>ORTIZ RODRIGUEZ JOSE VICENTE</t>
  </si>
  <si>
    <t>075010317-8</t>
  </si>
  <si>
    <t>NOTA: LAS PERSONAS DEBEN ASISTIR COMO CONSTA EN EL LISTADO, UNA VEZ EN LA LISTA NADIE PUEDE SALIR, CASO CONTRARIO SE REALIZARA LA SANCION ESTABLECIDA.</t>
  </si>
  <si>
    <t>1/2</t>
  </si>
  <si>
    <t xml:space="preserve">6 ; 9        </t>
  </si>
  <si>
    <t xml:space="preserve"> </t>
  </si>
  <si>
    <t>2/2</t>
  </si>
  <si>
    <t xml:space="preserve">12 ; 28        </t>
  </si>
  <si>
    <t>MOROCHO SALINAS FABRICIO EDUARDO</t>
  </si>
  <si>
    <t>110480020-4</t>
  </si>
  <si>
    <t>1/3</t>
  </si>
  <si>
    <t xml:space="preserve">35 ; 14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</si>
</sst>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\ * #,##0.00_);_(&quot;$&quot;\ * \(#,##0.00\);_(&quot;$&quot;\ * &quot;-&quot;??_);_(@_)"/>
    <numFmt numFmtId="165" formatCode="[$-F800]dddd\,\ mmmm\ dd\,\ yyyy"/>
    <numFmt numFmtId="166" formatCode="[$-F400]h:mm:ss\ AM/PM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theme="1"/>
      <name val="Palatino Linotype"/>
      <family val="1"/>
    </font>
    <font>
      <sz val="11"/>
      <color theme="1"/>
      <name val="Palatino Linotype"/>
      <family val="1"/>
    </font>
    <font>
      <b/>
      <sz val="14"/>
      <color theme="1"/>
      <name val="Palatino Linotype"/>
      <family val="1"/>
    </font>
    <font>
      <b/>
      <sz val="12"/>
      <color theme="1"/>
      <name val="Palatino Linotype"/>
      <family val="1"/>
    </font>
    <font>
      <sz val="12"/>
      <color theme="1"/>
      <name val="Palatino Linotype"/>
      <family val="1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9"/>
      <color rgb="FFFF0000"/>
      <name val="Palatino Linotype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0">
    <xf numFmtId="0" fontId="0" fillId="0" borderId="0" xfId="0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49" fontId="3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164" fontId="2" fillId="0" borderId="1" xfId="1" applyFont="1" applyFill="1" applyBorder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164" fontId="3" fillId="0" borderId="0" xfId="1" applyFont="1" applyFill="1" applyProtection="1">
      <protection locked="0"/>
    </xf>
    <xf numFmtId="0" fontId="3" fillId="2" borderId="0" xfId="0" applyFont="1" applyFill="1" applyProtection="1">
      <protection locked="0"/>
    </xf>
    <xf numFmtId="164" fontId="3" fillId="2" borderId="0" xfId="1" applyFont="1" applyFill="1" applyProtection="1">
      <protection locked="0"/>
    </xf>
    <xf numFmtId="0" fontId="0" fillId="3" borderId="0" xfId="0" applyFill="1"/>
    <xf numFmtId="0" fontId="7" fillId="4" borderId="2" xfId="0" applyFont="1" applyFill="1" applyBorder="1" applyAlignment="1">
      <alignment horizontal="center"/>
    </xf>
    <xf numFmtId="0" fontId="0" fillId="0" borderId="0" xfId="0" pivotButton="1"/>
    <xf numFmtId="0" fontId="0" fillId="4" borderId="0" xfId="0" applyFill="1"/>
    <xf numFmtId="0" fontId="4" fillId="4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3" xfId="0" applyFill="1" applyBorder="1" applyAlignment="1"/>
    <xf numFmtId="0" fontId="4" fillId="0" borderId="1" xfId="0" applyFont="1" applyBorder="1" applyAlignment="1">
      <alignment horizontal="center"/>
    </xf>
    <xf numFmtId="0" fontId="6" fillId="3" borderId="0" xfId="0" applyFont="1" applyFill="1" applyAlignment="1">
      <alignment horizontal="right"/>
    </xf>
    <xf numFmtId="0" fontId="4" fillId="4" borderId="4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11" fillId="3" borderId="0" xfId="0" applyFont="1" applyFill="1"/>
    <xf numFmtId="0" fontId="12" fillId="3" borderId="0" xfId="0" applyFont="1" applyFill="1"/>
    <xf numFmtId="0" fontId="5" fillId="3" borderId="0" xfId="0" applyFont="1" applyFill="1" applyAlignment="1">
      <alignment horizontal="right"/>
    </xf>
    <xf numFmtId="0" fontId="6" fillId="3" borderId="8" xfId="0" applyFont="1" applyFill="1" applyBorder="1" applyAlignment="1">
      <alignment horizontal="left"/>
    </xf>
    <xf numFmtId="0" fontId="9" fillId="4" borderId="6" xfId="0" applyFont="1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1" xfId="0" applyFill="1" applyBorder="1" applyAlignment="1"/>
    <xf numFmtId="0" fontId="15" fillId="5" borderId="7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6" fillId="5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0" fontId="16" fillId="5" borderId="9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0" fillId="0" borderId="15" xfId="0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 applyAlignment="1">
      <alignment horizontal="right"/>
    </xf>
    <xf numFmtId="165" fontId="22" fillId="0" borderId="15" xfId="0" applyNumberFormat="1" applyFont="1" applyBorder="1" applyAlignment="1">
      <alignment horizontal="left"/>
    </xf>
    <xf numFmtId="0" fontId="19" fillId="0" borderId="15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19" fillId="0" borderId="19" xfId="0" applyFont="1" applyBorder="1"/>
    <xf numFmtId="0" fontId="19" fillId="0" borderId="20" xfId="0" applyFont="1" applyBorder="1" applyAlignment="1">
      <alignment horizontal="center"/>
    </xf>
    <xf numFmtId="0" fontId="19" fillId="0" borderId="20" xfId="0" applyFont="1" applyBorder="1"/>
    <xf numFmtId="0" fontId="19" fillId="0" borderId="21" xfId="0" applyFont="1" applyBorder="1" applyAlignment="1">
      <alignment horizontal="center"/>
    </xf>
    <xf numFmtId="0" fontId="19" fillId="0" borderId="21" xfId="0" applyFont="1" applyBorder="1"/>
    <xf numFmtId="0" fontId="20" fillId="0" borderId="0" xfId="0" applyFont="1" applyAlignment="1">
      <alignment horizontal="right"/>
    </xf>
    <xf numFmtId="166" fontId="19" fillId="0" borderId="14" xfId="0" applyNumberFormat="1" applyFont="1" applyBorder="1" applyAlignment="1">
      <alignment horizontal="center"/>
    </xf>
    <xf numFmtId="0" fontId="20" fillId="0" borderId="0" xfId="0" applyFont="1" applyAlignment="1">
      <alignment vertical="center"/>
    </xf>
    <xf numFmtId="0" fontId="18" fillId="0" borderId="0" xfId="0" applyFont="1" applyAlignment="1">
      <alignment horizontal="left" vertical="top"/>
    </xf>
    <xf numFmtId="0" fontId="16" fillId="6" borderId="22" xfId="0" applyFont="1" applyFill="1" applyBorder="1" applyAlignment="1">
      <alignment horizontal="center"/>
    </xf>
    <xf numFmtId="0" fontId="16" fillId="6" borderId="23" xfId="0" applyFont="1" applyFill="1" applyBorder="1" applyAlignment="1">
      <alignment horizontal="center"/>
    </xf>
    <xf numFmtId="0" fontId="16" fillId="6" borderId="24" xfId="0" applyFont="1" applyFill="1" applyBorder="1" applyAlignment="1">
      <alignment horizontal="center"/>
    </xf>
    <xf numFmtId="166" fontId="13" fillId="0" borderId="1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4" borderId="12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14" fontId="0" fillId="0" borderId="15" xfId="0" applyNumberFormat="1" applyBorder="1" applyAlignment="1">
      <alignment horizontal="center"/>
    </xf>
    <xf numFmtId="0" fontId="0" fillId="0" borderId="15" xfId="0" applyBorder="1"/>
    <xf numFmtId="166" fontId="0" fillId="0" borderId="15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0" fontId="0" fillId="0" borderId="0" xfId="0" applyNumberFormat="1"/>
    <xf numFmtId="0" fontId="4" fillId="0" borderId="0" xfId="0" applyFont="1"/>
    <xf numFmtId="0" fontId="23" fillId="0" borderId="15" xfId="0" applyFont="1" applyBorder="1" applyAlignment="1">
      <alignment horizontal="left"/>
    </xf>
    <xf numFmtId="0" fontId="7" fillId="0" borderId="0" xfId="0" pivotButton="1" applyFont="1" applyAlignment="1">
      <alignment horizontal="right"/>
    </xf>
    <xf numFmtId="0" fontId="5" fillId="0" borderId="0" xfId="0" applyFont="1" applyAlignment="1">
      <alignment horizontal="right"/>
    </xf>
    <xf numFmtId="165" fontId="23" fillId="0" borderId="15" xfId="0" applyNumberFormat="1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6" fillId="0" borderId="0" xfId="0" applyFont="1" applyAlignment="1">
      <alignment horizontal="right"/>
    </xf>
    <xf numFmtId="166" fontId="13" fillId="0" borderId="15" xfId="0" applyNumberFormat="1" applyFont="1" applyBorder="1" applyAlignment="1">
      <alignment horizontal="left"/>
    </xf>
    <xf numFmtId="0" fontId="21" fillId="0" borderId="0" xfId="0" applyFont="1" applyAlignment="1">
      <alignment horizontal="left"/>
    </xf>
    <xf numFmtId="0" fontId="25" fillId="0" borderId="0" xfId="0" applyFont="1"/>
    <xf numFmtId="0" fontId="5" fillId="0" borderId="0" xfId="0" applyFont="1"/>
    <xf numFmtId="0" fontId="0" fillId="7" borderId="0" xfId="0" applyFill="1"/>
    <xf numFmtId="0" fontId="2" fillId="3" borderId="1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6" xfId="0" applyFill="1" applyBorder="1" applyAlignment="1"/>
    <xf numFmtId="0" fontId="0" fillId="0" borderId="6" xfId="0" applyBorder="1" applyAlignment="1">
      <alignment horizontal="left"/>
    </xf>
    <xf numFmtId="0" fontId="9" fillId="4" borderId="1" xfId="0" applyFont="1" applyFill="1" applyBorder="1" applyAlignment="1"/>
    <xf numFmtId="0" fontId="1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0" xfId="0" applyFont="1" applyFill="1" applyBorder="1" applyProtection="1"/>
    <xf numFmtId="0" fontId="0" fillId="0" borderId="1" xfId="0" applyBorder="1"/>
    <xf numFmtId="165" fontId="4" fillId="4" borderId="3" xfId="0" applyNumberFormat="1" applyFont="1" applyFill="1" applyBorder="1" applyAlignment="1">
      <alignment horizontal="center"/>
    </xf>
    <xf numFmtId="165" fontId="4" fillId="4" borderId="2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26" fillId="0" borderId="0" xfId="0" applyFont="1" applyAlignment="1">
      <alignment horizontal="left" vertical="center" wrapText="1"/>
    </xf>
  </cellXfs>
  <cellStyles count="2">
    <cellStyle name="Moneda" xfId="1" builtinId="4"/>
    <cellStyle name="Normal" xfId="0" builtinId="0"/>
  </cellStyles>
  <dxfs count="10">
    <dxf>
      <alignment horizontal="center" readingOrder="0"/>
    </dxf>
    <dxf>
      <alignment horizontal="right" readingOrder="0"/>
    </dxf>
    <dxf>
      <font>
        <b/>
      </font>
    </dxf>
    <dxf>
      <fill>
        <patternFill>
          <bgColor theme="7" tint="0.59999389629810485"/>
        </patternFill>
      </fill>
    </dxf>
    <dxf>
      <font>
        <color auto="1"/>
      </font>
    </dxf>
    <dxf>
      <font>
        <color theme="7" tint="0.59999389629810485"/>
      </font>
    </dxf>
    <dxf>
      <fill>
        <patternFill>
          <bgColor theme="7" tint="0.59999389629810485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83820</xdr:rowOff>
        </xdr:from>
        <xdr:to>
          <xdr:col>1</xdr:col>
          <xdr:colOff>289560</xdr:colOff>
          <xdr:row>8</xdr:row>
          <xdr:rowOff>251460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10583</xdr:colOff>
      <xdr:row>10</xdr:row>
      <xdr:rowOff>10583</xdr:rowOff>
    </xdr:from>
    <xdr:to>
      <xdr:col>1</xdr:col>
      <xdr:colOff>10583</xdr:colOff>
      <xdr:row>10</xdr:row>
      <xdr:rowOff>179917</xdr:rowOff>
    </xdr:to>
    <xdr:sp macro="[0]!DATO_A11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24DBCABB-375E-481A-BBBC-F0D840449EAB}"/>
            </a:ext>
          </a:extLst>
        </xdr:cNvPr>
        <xdr:cNvSpPr/>
      </xdr:nvSpPr>
      <xdr:spPr>
        <a:xfrm>
          <a:off x="10583" y="2381250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14821</xdr:colOff>
      <xdr:row>11</xdr:row>
      <xdr:rowOff>14815</xdr:rowOff>
    </xdr:from>
    <xdr:to>
      <xdr:col>1</xdr:col>
      <xdr:colOff>14821</xdr:colOff>
      <xdr:row>11</xdr:row>
      <xdr:rowOff>184149</xdr:rowOff>
    </xdr:to>
    <xdr:sp macro="[0]!DATO_A12" textlink="">
      <xdr:nvSpPr>
        <xdr:cNvPr id="15" name="Rectángulo 14">
          <a:extLst>
            <a:ext uri="{FF2B5EF4-FFF2-40B4-BE49-F238E27FC236}">
              <a16:creationId xmlns="" xmlns:a16="http://schemas.microsoft.com/office/drawing/2014/main" id="{0AE36E68-9CE0-4387-87CD-CB0F2F9E5C71}"/>
            </a:ext>
          </a:extLst>
        </xdr:cNvPr>
        <xdr:cNvSpPr/>
      </xdr:nvSpPr>
      <xdr:spPr>
        <a:xfrm>
          <a:off x="14821" y="2586565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8476</xdr:colOff>
      <xdr:row>12</xdr:row>
      <xdr:rowOff>8464</xdr:rowOff>
    </xdr:from>
    <xdr:to>
      <xdr:col>1</xdr:col>
      <xdr:colOff>8476</xdr:colOff>
      <xdr:row>12</xdr:row>
      <xdr:rowOff>177798</xdr:rowOff>
    </xdr:to>
    <xdr:sp macro="[0]!DATO_A13" textlink="">
      <xdr:nvSpPr>
        <xdr:cNvPr id="16" name="Rectángulo 15">
          <a:extLst>
            <a:ext uri="{FF2B5EF4-FFF2-40B4-BE49-F238E27FC236}">
              <a16:creationId xmlns="" xmlns:a16="http://schemas.microsoft.com/office/drawing/2014/main" id="{992C4194-C647-4DA6-8174-FE5FAA83C5E2}"/>
            </a:ext>
          </a:extLst>
        </xdr:cNvPr>
        <xdr:cNvSpPr/>
      </xdr:nvSpPr>
      <xdr:spPr>
        <a:xfrm>
          <a:off x="8476" y="2781297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12714</xdr:colOff>
      <xdr:row>13</xdr:row>
      <xdr:rowOff>12695</xdr:rowOff>
    </xdr:from>
    <xdr:to>
      <xdr:col>1</xdr:col>
      <xdr:colOff>12714</xdr:colOff>
      <xdr:row>13</xdr:row>
      <xdr:rowOff>182029</xdr:rowOff>
    </xdr:to>
    <xdr:sp macro="[0]!DATO_A14" textlink="">
      <xdr:nvSpPr>
        <xdr:cNvPr id="17" name="Rectángulo 16">
          <a:extLst>
            <a:ext uri="{FF2B5EF4-FFF2-40B4-BE49-F238E27FC236}">
              <a16:creationId xmlns="" xmlns:a16="http://schemas.microsoft.com/office/drawing/2014/main" id="{658D2A81-738C-4AAF-BF39-5200927C6F7E}"/>
            </a:ext>
          </a:extLst>
        </xdr:cNvPr>
        <xdr:cNvSpPr/>
      </xdr:nvSpPr>
      <xdr:spPr>
        <a:xfrm>
          <a:off x="12714" y="2986612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6369</xdr:colOff>
      <xdr:row>14</xdr:row>
      <xdr:rowOff>6344</xdr:rowOff>
    </xdr:from>
    <xdr:to>
      <xdr:col>1</xdr:col>
      <xdr:colOff>6369</xdr:colOff>
      <xdr:row>14</xdr:row>
      <xdr:rowOff>175678</xdr:rowOff>
    </xdr:to>
    <xdr:sp macro="[0]!DATO_A15" textlink="">
      <xdr:nvSpPr>
        <xdr:cNvPr id="18" name="Rectángulo 17">
          <a:extLst>
            <a:ext uri="{FF2B5EF4-FFF2-40B4-BE49-F238E27FC236}">
              <a16:creationId xmlns="" xmlns:a16="http://schemas.microsoft.com/office/drawing/2014/main" id="{D70FE6BC-C0B6-43F5-A5D1-EF5DEF025B17}"/>
            </a:ext>
          </a:extLst>
        </xdr:cNvPr>
        <xdr:cNvSpPr/>
      </xdr:nvSpPr>
      <xdr:spPr>
        <a:xfrm>
          <a:off x="6369" y="3181344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10607</xdr:colOff>
      <xdr:row>15</xdr:row>
      <xdr:rowOff>10576</xdr:rowOff>
    </xdr:from>
    <xdr:to>
      <xdr:col>1</xdr:col>
      <xdr:colOff>10607</xdr:colOff>
      <xdr:row>15</xdr:row>
      <xdr:rowOff>179910</xdr:rowOff>
    </xdr:to>
    <xdr:sp macro="[0]!DATO_A16" textlink="">
      <xdr:nvSpPr>
        <xdr:cNvPr id="19" name="Rectángulo 18">
          <a:extLst>
            <a:ext uri="{FF2B5EF4-FFF2-40B4-BE49-F238E27FC236}">
              <a16:creationId xmlns="" xmlns:a16="http://schemas.microsoft.com/office/drawing/2014/main" id="{B4CD1CF0-51A3-4DD9-A4C0-5131F67651E3}"/>
            </a:ext>
          </a:extLst>
        </xdr:cNvPr>
        <xdr:cNvSpPr/>
      </xdr:nvSpPr>
      <xdr:spPr>
        <a:xfrm>
          <a:off x="10607" y="3386659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</xdr:row>
          <xdr:rowOff>99060</xdr:rowOff>
        </xdr:from>
        <xdr:to>
          <xdr:col>9</xdr:col>
          <xdr:colOff>1226820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</a:rPr>
                <a:t>Agregar a 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2507316</xdr:colOff>
      <xdr:row>5</xdr:row>
      <xdr:rowOff>0</xdr:rowOff>
    </xdr:from>
    <xdr:to>
      <xdr:col>2</xdr:col>
      <xdr:colOff>4482</xdr:colOff>
      <xdr:row>6</xdr:row>
      <xdr:rowOff>0</xdr:rowOff>
    </xdr:to>
    <xdr:sp macro="[0]!DATO_PC_B5" textlink="">
      <xdr:nvSpPr>
        <xdr:cNvPr id="22" name="Rectángulo 21"/>
        <xdr:cNvSpPr/>
      </xdr:nvSpPr>
      <xdr:spPr>
        <a:xfrm>
          <a:off x="2507316" y="1546412"/>
          <a:ext cx="29863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11206</xdr:colOff>
      <xdr:row>5</xdr:row>
      <xdr:rowOff>0</xdr:rowOff>
    </xdr:from>
    <xdr:to>
      <xdr:col>3</xdr:col>
      <xdr:colOff>0</xdr:colOff>
      <xdr:row>6</xdr:row>
      <xdr:rowOff>0</xdr:rowOff>
    </xdr:to>
    <xdr:sp macro="[0]!DATO_PC_C5" textlink="">
      <xdr:nvSpPr>
        <xdr:cNvPr id="23" name="Rectángulo 22"/>
        <xdr:cNvSpPr/>
      </xdr:nvSpPr>
      <xdr:spPr>
        <a:xfrm>
          <a:off x="2812677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11206</xdr:colOff>
      <xdr:row>5</xdr:row>
      <xdr:rowOff>0</xdr:rowOff>
    </xdr:from>
    <xdr:to>
      <xdr:col>4</xdr:col>
      <xdr:colOff>1</xdr:colOff>
      <xdr:row>6</xdr:row>
      <xdr:rowOff>0</xdr:rowOff>
    </xdr:to>
    <xdr:sp macro="[0]!DATO_PC_D5" textlink="">
      <xdr:nvSpPr>
        <xdr:cNvPr id="24" name="Rectángulo 23"/>
        <xdr:cNvSpPr/>
      </xdr:nvSpPr>
      <xdr:spPr>
        <a:xfrm>
          <a:off x="3104030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4</xdr:col>
      <xdr:colOff>11206</xdr:colOff>
      <xdr:row>5</xdr:row>
      <xdr:rowOff>0</xdr:rowOff>
    </xdr:from>
    <xdr:to>
      <xdr:col>5</xdr:col>
      <xdr:colOff>0</xdr:colOff>
      <xdr:row>6</xdr:row>
      <xdr:rowOff>0</xdr:rowOff>
    </xdr:to>
    <xdr:sp macro="[0]!DATO_PC_E5" textlink="">
      <xdr:nvSpPr>
        <xdr:cNvPr id="25" name="Rectángulo 24"/>
        <xdr:cNvSpPr/>
      </xdr:nvSpPr>
      <xdr:spPr>
        <a:xfrm>
          <a:off x="3395382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11206</xdr:colOff>
      <xdr:row>5</xdr:row>
      <xdr:rowOff>0</xdr:rowOff>
    </xdr:from>
    <xdr:to>
      <xdr:col>6</xdr:col>
      <xdr:colOff>0</xdr:colOff>
      <xdr:row>6</xdr:row>
      <xdr:rowOff>0</xdr:rowOff>
    </xdr:to>
    <xdr:sp macro="[0]!DATO_PC_F5" textlink="">
      <xdr:nvSpPr>
        <xdr:cNvPr id="26" name="Rectángulo 25"/>
        <xdr:cNvSpPr/>
      </xdr:nvSpPr>
      <xdr:spPr>
        <a:xfrm>
          <a:off x="3686735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11206</xdr:colOff>
      <xdr:row>5</xdr:row>
      <xdr:rowOff>0</xdr:rowOff>
    </xdr:from>
    <xdr:to>
      <xdr:col>7</xdr:col>
      <xdr:colOff>0</xdr:colOff>
      <xdr:row>6</xdr:row>
      <xdr:rowOff>0</xdr:rowOff>
    </xdr:to>
    <xdr:sp macro="[0]!DATO_PC_G5" textlink="">
      <xdr:nvSpPr>
        <xdr:cNvPr id="27" name="Rectángulo 26"/>
        <xdr:cNvSpPr/>
      </xdr:nvSpPr>
      <xdr:spPr>
        <a:xfrm>
          <a:off x="3978088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705970</xdr:colOff>
      <xdr:row>8</xdr:row>
      <xdr:rowOff>22411</xdr:rowOff>
    </xdr:from>
    <xdr:to>
      <xdr:col>11</xdr:col>
      <xdr:colOff>0</xdr:colOff>
      <xdr:row>8</xdr:row>
      <xdr:rowOff>268941</xdr:rowOff>
    </xdr:to>
    <xdr:sp macro="[0]!ORD_K9" textlink="">
      <xdr:nvSpPr>
        <xdr:cNvPr id="32" name="Flecha abajo 31"/>
        <xdr:cNvSpPr/>
      </xdr:nvSpPr>
      <xdr:spPr>
        <a:xfrm>
          <a:off x="9782735" y="2151529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11206</xdr:colOff>
      <xdr:row>8</xdr:row>
      <xdr:rowOff>11206</xdr:rowOff>
    </xdr:from>
    <xdr:to>
      <xdr:col>10</xdr:col>
      <xdr:colOff>302559</xdr:colOff>
      <xdr:row>8</xdr:row>
      <xdr:rowOff>257736</xdr:rowOff>
    </xdr:to>
    <xdr:sp macro="[0]!ORD_K9_MEMAY" textlink="">
      <xdr:nvSpPr>
        <xdr:cNvPr id="33" name="Flecha abajo 32"/>
        <xdr:cNvSpPr/>
      </xdr:nvSpPr>
      <xdr:spPr>
        <a:xfrm rot="10800000">
          <a:off x="9087971" y="2140324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5</xdr:row>
          <xdr:rowOff>76200</xdr:rowOff>
        </xdr:from>
        <xdr:to>
          <xdr:col>12</xdr:col>
          <xdr:colOff>1203960</xdr:colOff>
          <xdr:row>8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</a:rPr>
                <a:t>GUARA LISTADO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728382</xdr:colOff>
      <xdr:row>63</xdr:row>
      <xdr:rowOff>0</xdr:rowOff>
    </xdr:from>
    <xdr:to>
      <xdr:col>8</xdr:col>
      <xdr:colOff>2823882</xdr:colOff>
      <xdr:row>63</xdr:row>
      <xdr:rowOff>0</xdr:rowOff>
    </xdr:to>
    <xdr:cxnSp macro="">
      <xdr:nvCxnSpPr>
        <xdr:cNvPr id="3" name="Conector recto 2"/>
        <xdr:cNvCxnSpPr/>
      </xdr:nvCxnSpPr>
      <xdr:spPr>
        <a:xfrm>
          <a:off x="5681382" y="13323794"/>
          <a:ext cx="2095500" cy="0"/>
        </a:xfrm>
        <a:prstGeom prst="line">
          <a:avLst/>
        </a:prstGeom>
        <a:ln w="1270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16.460884259257" createdVersion="5" refreshedVersion="5" minRefreshableVersion="3" recordCount="43">
  <cacheSource type="worksheet">
    <worksheetSource ref="B3:D46" sheet="NOMINAS PSM&amp;BIO"/>
  </cacheSource>
  <cacheFields count="3">
    <cacheField name="NOMINA" numFmtId="0">
      <sharedItems containsBlank="1" count="48">
        <s v="HERNANDEZ VALENCIA CARLOS ALBERTO"/>
        <s v="ARMIJOS MIÑAN ANGEL"/>
        <s v="SOTO CANGO ROBER CORNELIO"/>
        <s v="CANGO QUITO JOSE LEOVARDO"/>
        <s v="PEREZ JUMBO JORGE ROLANDO"/>
        <s v="RUIZ RUIZ DIEGO PATRICIO"/>
        <s v="GOMEZ ESPINOZA GASTON SANTOS"/>
        <s v="PEÑA CEDEÑO JOSE PERFECTO"/>
        <s v="BRAVO QUINTO JORGE DANIEL"/>
        <s v="GOMEZ PARRA  RICARDO JOEL"/>
        <s v="CUEVA LUDEÑA MANUEL DE JESUS"/>
        <s v="JARA ARMIJOS CESAR HOMERO"/>
        <s v="CASTILLO OCHOA HERIBERTO GUILLERMO"/>
        <s v="CORNEJO SANCHEZ FELIX TEOBALDO"/>
        <s v="PINTA PINTA WILMER ROLANDO"/>
        <s v="CONTENTO LIVIZACA RUDY ANDRES"/>
        <s v="SIMANCAS AGUILAR DAVID MOISES"/>
        <s v="CANGO CUEVA FRANCISCO ARMANDO"/>
        <s v="ORTIZ MENDEZ EDWIN ELOY"/>
        <s v="GOMEZ JUMBO YORGIN"/>
        <s v="MATAILO PINTA MIGUEL ANGEL"/>
        <s v="PINTA MATAILO REIMUNDO ROMELIO"/>
        <s v="PINTA AGUILAR DIEGO FERNANDO"/>
        <s v="CHAMBA BARSALLO ROBERTO CARLOS "/>
        <s v="CEDEÑO CHILAN SEGUNDO VICENTE"/>
        <s v="CHAGNA MORALES ARMANDO PAUL"/>
        <s v="CEVALLOS ALAY MELVIN DAVID"/>
        <s v="LOZANO MANZABA BRYAN RENE"/>
        <s v="HELGUERO MARTINEZ CARLOS RENE"/>
        <s v="VICENTE MACAS VICTOR HUGO"/>
        <s v="CANGO CUEVA DIEGO POLO"/>
        <s v="JARA ARMIJOS MARIO FABIAN"/>
        <s v="CASTILLO PINTA EDWIN MESIAS"/>
        <s v="CHALACO CASTILLO ROBERTH IVAN"/>
        <s v="JIMENEZ GUAYANAY ALEXANDER EDUARDO"/>
        <s v="MARMOLEJO MARQUEZ VICTOR MANUEL"/>
        <s v="BUENAVENTURA GONZALEZ LUIS MIGUEL"/>
        <s v="AVILA AVILA STALIN JEFFERSON"/>
        <s v="PEÑA CEDEÑO CRISTHIAN JAVIER"/>
        <s v="SOTO MATAILO JOSE ENRIQUE"/>
        <s v="ORTIZ RODRIGUEZ JOSE VICENTE"/>
        <s v="MOROCHO SALINAS FABRICIO EDUARDO"/>
        <m/>
        <s v="CEREZO SANCHEZ CARLOS LEONARDO" u="1"/>
        <s v="ROBLES BUSTAMANTE CARLOS" u="1"/>
        <s v="BRIONES DAVILA ROBERTH SAMUEL" u="1"/>
        <s v="MATAILO MATAILO JOSE EFRAIN" u="1"/>
        <s v="JARA ARMIJOS BYRON GERMAN" u="1"/>
      </sharedItems>
    </cacheField>
    <cacheField name="No. Cédula" numFmtId="0">
      <sharedItems containsBlank="1"/>
    </cacheField>
    <cacheField name="EMPRES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ODUCCION-02" refreshedDate="43116.460949768516" createdVersion="5" refreshedVersion="5" minRefreshableVersion="3" recordCount="123">
  <cacheSource type="worksheet">
    <worksheetSource ref="A2:L125" sheet="Reg_Partic_Pesc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 count="7">
        <s v="2/2"/>
        <s v="1/3"/>
        <s v="1/2"/>
        <s v=" "/>
        <m/>
        <s v="2/16" u="1"/>
        <s v="1/7" u="1"/>
      </sharedItems>
    </cacheField>
    <cacheField name="FECHA" numFmtId="14">
      <sharedItems containsDate="1" containsBlank="1" containsMixedTypes="1" minDate="2018-01-04T00:00:00" maxDate="2018-01-16T00:00:00"/>
    </cacheField>
    <cacheField name="AGUAJE" numFmtId="0">
      <sharedItems containsBlank="1" containsMixedTypes="1" containsNumber="1" containsInteger="1" minValue="1" maxValue="2"/>
    </cacheField>
    <cacheField name="#" numFmtId="0">
      <sharedItems containsBlank="1" containsMixedTypes="1" containsNumber="1" containsInteger="1" minValue="1" maxValue="30" count="3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s v=" "/>
        <m/>
        <n v="30" u="1"/>
      </sharedItems>
    </cacheField>
    <cacheField name="APELLIDOS Y NOMBRES" numFmtId="0">
      <sharedItems containsBlank="1" count="44">
        <s v="CANGO CUEVA FRANCISCO ARMANDO"/>
        <s v="PINTA MATAILO REIMUNDO ROMELIO"/>
        <s v="GOMEZ PARRA  RICARDO JOEL"/>
        <s v="GOMEZ ESPINOZA GASTON SANTOS"/>
        <s v="CANGO CUEVA DIEGO POLO"/>
        <s v="CUEVA LUDEÑA MANUEL DE JESUS"/>
        <s v="LOZANO MANZABA BRYAN RENE"/>
        <s v="MARMOLEJO MARQUEZ VICTOR MANUEL"/>
        <s v="CASTILLO OCHOA HERIBERTO GUILLERMO"/>
        <s v="BUENAVENTURA GONZALEZ LUIS MIGUEL"/>
        <s v="PINTA PINTA WILMER ROLANDO"/>
        <s v="SOTO MATAILO JOSE ENRIQUE"/>
        <s v="SOTO CANGO ROBER CORNELIO"/>
        <s v="HERNANDEZ VALENCIA CARLOS ALBERTO"/>
        <s v="CEDEÑO CHILAN SEGUNDO VICENTE"/>
        <s v="JARA ARMIJOS CESAR HOMERO"/>
        <s v="RUIZ RUIZ DIEGO PATRICIO"/>
        <s v="SIMANCAS AGUILAR DAVID MOISES"/>
        <s v="CONTENTO LIVIZACA RUDY ANDRES"/>
        <s v="CHAGNA MORALES ARMANDO PAUL"/>
        <s v="CANGO QUITO JOSE LEOVARDO"/>
        <s v="CASTILLO PINTA EDWIN MESIAS"/>
        <s v="ORTIZ MENDEZ EDWIN ELOY"/>
        <s v="CORNEJO SANCHEZ FELIX TEOBALDO"/>
        <s v="JIMENEZ GUAYANAY ALEXANDER EDUARDO"/>
        <s v="PEÑA CEDEÑO CRISTHIAN JAVIER"/>
        <s v="AVILA AVILA STALIN JEFFERSON"/>
        <s v="MATAILO PINTA MIGUEL ANGEL"/>
        <s v="PEREZ JUMBO JORGE ROLANDO"/>
        <s v="MOROCHO SALINAS FABRICIO EDUARDO"/>
        <s v="CHAMBA BARSALLO ROBERTO CARLOS "/>
        <s v="PINTA AGUILAR DIEGO FERNANDO"/>
        <s v="BRAVO QUINTO JORGE DANIEL"/>
        <s v="CEVALLOS ALAY MELVIN DAVID"/>
        <s v=" "/>
        <m/>
        <s v="CEREZO SANCHEZ CARLOS LEONARDO" u="1"/>
        <s v="ROBLES BUSTAMANTE CARLOS" u="1"/>
        <s v="HELGUERO MARTINEZ CARLOS RENE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2" maxValue="35" count="13">
        <n v="12"/>
        <n v="28"/>
        <n v="35"/>
        <n v="14"/>
        <n v="6"/>
        <n v="9"/>
        <s v=" "/>
        <m/>
        <n v="2" u="1"/>
        <n v="16" u="1"/>
        <n v="17" u="1"/>
        <n v="18" u="1"/>
        <n v="21" u="1"/>
      </sharedItems>
    </cacheField>
    <cacheField name="EMPRESA" numFmtId="0">
      <sharedItems containsBlank="1" containsMixedTypes="1" containsNumber="1" containsInteger="1" minValue="0" maxValue="0"/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30:00" maxDate="1899-12-30T20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ODUCCION-02" refreshedDate="43116.50191053241" createdVersion="5" refreshedVersion="5" minRefreshableVersion="3" recordCount="124">
  <cacheSource type="worksheet">
    <worksheetSource ref="A2:L126" sheet="Reg_Partic_Pesc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04T00:00:00" maxDate="2018-01-16T00:00:00"/>
    </cacheField>
    <cacheField name="AGUAJE" numFmtId="0">
      <sharedItems containsBlank="1" containsMixedTypes="1" containsNumber="1" containsInteger="1" minValue="1" maxValue="2"/>
    </cacheField>
    <cacheField name="#" numFmtId="0">
      <sharedItems containsBlank="1" containsMixedTypes="1" containsNumber="1" containsInteger="1" minValue="1" maxValue="29"/>
    </cacheField>
    <cacheField name="APELLIDOS Y NOMBRES" numFmtId="0">
      <sharedItems containsBlank="1" count="45">
        <s v="CANGO CUEVA FRANCISCO ARMANDO"/>
        <s v="PINTA MATAILO REIMUNDO ROMELIO"/>
        <s v="GOMEZ PARRA  RICARDO JOEL"/>
        <s v="GOMEZ ESPINOZA GASTON SANTOS"/>
        <s v="CANGO CUEVA DIEGO POLO"/>
        <s v="CUEVA LUDEÑA MANUEL DE JESUS"/>
        <s v="LOZANO MANZABA BRYAN RENE"/>
        <s v="MARMOLEJO MARQUEZ VICTOR MANUEL"/>
        <s v="CASTILLO OCHOA HERIBERTO GUILLERMO"/>
        <s v="BUENAVENTURA GONZALEZ LUIS MIGUEL"/>
        <s v="PINTA PINTA WILMER ROLANDO"/>
        <s v="SOTO MATAILO JOSE ENRIQUE"/>
        <s v="SOTO CANGO ROBER CORNELIO"/>
        <s v="HERNANDEZ VALENCIA CARLOS ALBERTO"/>
        <s v="CEDEÑO CHILAN SEGUNDO VICENTE"/>
        <s v="JARA ARMIJOS CESAR HOMERO"/>
        <s v="RUIZ RUIZ DIEGO PATRICIO"/>
        <s v="SIMANCAS AGUILAR DAVID MOISES"/>
        <s v="CONTENTO LIVIZACA RUDY ANDRES"/>
        <s v="CHAGNA MORALES ARMANDO PAUL"/>
        <s v="CANGO QUITO JOSE LEOVARDO"/>
        <s v="CASTILLO PINTA EDWIN MESIAS"/>
        <s v="ORTIZ MENDEZ EDWIN ELOY"/>
        <s v="CORNEJO SANCHEZ FELIX TEOBALDO"/>
        <s v="JIMENEZ GUAYANAY ALEXANDER EDUARDO"/>
        <s v="PEÑA CEDEÑO CRISTHIAN JAVIER"/>
        <s v="AVILA AVILA STALIN JEFFERSON"/>
        <s v="MATAILO PINTA MIGUEL ANGEL"/>
        <s v="PEREZ JUMBO JORGE ROLANDO"/>
        <s v="MOROCHO SALINAS FABRICIO EDUARDO"/>
        <s v="CHAMBA BARSALLO ROBERTO CARLOS "/>
        <s v="PINTA AGUILAR DIEGO FERNANDO"/>
        <s v="BRAVO QUINTO JORGE DANIEL"/>
        <s v="CEVALLOS ALAY MELVIN DAVID"/>
        <s v=" "/>
        <m/>
        <s v="CEREZO SANCHEZ CARLOS LEONARDO" u="1"/>
        <s v="ROBLES BUSTAMANTE CARLOS" u="1"/>
        <s v="HELGUERO MARTINEZ CARLOS RENE" u="1"/>
        <s v="BRIONES DAVILA ROBERTH SAMUEL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6" maxValue="35"/>
    </cacheField>
    <cacheField name="EMPRESA" numFmtId="0">
      <sharedItems containsBlank="1" containsMixedTypes="1" containsNumber="1" containsInteger="1" minValue="0" maxValue="0" count="4">
        <s v="PSM"/>
        <s v="BIO"/>
        <n v="0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30:00" maxDate="1899-12-30T20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s v="230034363-5"/>
    <s v="PSM"/>
  </r>
  <r>
    <x v="1"/>
    <s v="070219346-7"/>
    <s v="PSM"/>
  </r>
  <r>
    <x v="2"/>
    <s v="110278326-1"/>
    <s v="PSM"/>
  </r>
  <r>
    <x v="3"/>
    <s v="110315588-1"/>
    <s v="PSM"/>
  </r>
  <r>
    <x v="4"/>
    <s v="070508993-6"/>
    <s v="PSM"/>
  </r>
  <r>
    <x v="5"/>
    <s v="110377448-3"/>
    <s v="PSM"/>
  </r>
  <r>
    <x v="6"/>
    <s v="070200116-5"/>
    <s v="PSM"/>
  </r>
  <r>
    <x v="7"/>
    <s v="172485071-2"/>
    <s v="PSM"/>
  </r>
  <r>
    <x v="8"/>
    <s v="172755391-7"/>
    <s v="PSM"/>
  </r>
  <r>
    <x v="9"/>
    <s v="070733745-7"/>
    <s v="PSM"/>
  </r>
  <r>
    <x v="10"/>
    <s v="110483502-8"/>
    <s v="PSM"/>
  </r>
  <r>
    <x v="11"/>
    <s v="110571148-3"/>
    <s v="PSM"/>
  </r>
  <r>
    <x v="12"/>
    <s v="110437810-2"/>
    <s v="PSM"/>
  </r>
  <r>
    <x v="13"/>
    <s v="120653372-9"/>
    <s v="PSM"/>
  </r>
  <r>
    <x v="14"/>
    <s v="110576532-3"/>
    <s v="PSM"/>
  </r>
  <r>
    <x v="15"/>
    <s v="070605677-7"/>
    <s v="PSM"/>
  </r>
  <r>
    <x v="16"/>
    <s v="110506978-3"/>
    <s v="PSM"/>
  </r>
  <r>
    <x v="17"/>
    <s v="110514219-2"/>
    <s v="PSM"/>
  </r>
  <r>
    <x v="18"/>
    <s v="230013608-8"/>
    <s v="PSM"/>
  </r>
  <r>
    <x v="19"/>
    <s v="130362626-9"/>
    <s v="BIO"/>
  </r>
  <r>
    <x v="20"/>
    <s v="110352731-1"/>
    <s v="BIO"/>
  </r>
  <r>
    <x v="21"/>
    <s v="110295161-1"/>
    <s v="BIO"/>
  </r>
  <r>
    <x v="22"/>
    <s v="110457677-0"/>
    <s v="BIO"/>
  </r>
  <r>
    <x v="23"/>
    <s v="110495641-0"/>
    <s v="BIO"/>
  </r>
  <r>
    <x v="24"/>
    <s v="171933177-7"/>
    <s v="BIO"/>
  </r>
  <r>
    <x v="25"/>
    <s v="235026425-1"/>
    <s v="BIO"/>
  </r>
  <r>
    <x v="26"/>
    <s v="070421950-0"/>
    <s v="BIO"/>
  </r>
  <r>
    <x v="27"/>
    <s v="172485077-9"/>
    <s v="BIO"/>
  </r>
  <r>
    <x v="28"/>
    <s v="070362264-7"/>
    <s v="BIO"/>
  </r>
  <r>
    <x v="29"/>
    <s v="110468487-1"/>
    <s v="BIO"/>
  </r>
  <r>
    <x v="30"/>
    <s v="110599059-0"/>
    <s v="BIO"/>
  </r>
  <r>
    <x v="31"/>
    <s v="115040949-6"/>
    <s v="BIO"/>
  </r>
  <r>
    <x v="32"/>
    <s v="110323737-4"/>
    <s v="BIO"/>
  </r>
  <r>
    <x v="33"/>
    <s v="070339013-8"/>
    <s v="PSM"/>
  </r>
  <r>
    <x v="34"/>
    <s v="195013467-4"/>
    <s v="BIO"/>
  </r>
  <r>
    <x v="35"/>
    <s v="230078109-9"/>
    <s v="BIO"/>
  </r>
  <r>
    <x v="36"/>
    <s v="085082270-1"/>
    <s v="BIO"/>
  </r>
  <r>
    <x v="37"/>
    <s v="094237190-7"/>
    <s v="BIO"/>
  </r>
  <r>
    <x v="38"/>
    <s v="235022240-8"/>
    <s v="BIO"/>
  </r>
  <r>
    <x v="39"/>
    <s v="110495242-7"/>
    <s v="BIO"/>
  </r>
  <r>
    <x v="40"/>
    <s v="075010317-8"/>
    <s v="PSM"/>
  </r>
  <r>
    <x v="41"/>
    <s v="110480020-4"/>
    <s v="PSM"/>
  </r>
  <r>
    <x v="4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3">
  <r>
    <n v="1"/>
    <x v="0"/>
    <d v="2018-01-05T00:00:00"/>
    <n v="1"/>
    <x v="0"/>
    <x v="0"/>
    <x v="0"/>
    <x v="0"/>
    <s v="PSM"/>
    <s v="12 ; 28        "/>
    <n v="1"/>
    <d v="1899-12-30T20:30:00"/>
  </r>
  <r>
    <n v="1"/>
    <x v="0"/>
    <d v="2018-01-05T00:00:00"/>
    <n v="1"/>
    <x v="1"/>
    <x v="1"/>
    <x v="1"/>
    <x v="0"/>
    <s v="BIO"/>
    <s v="12 ; 28        "/>
    <n v="1"/>
    <d v="1899-12-30T20:30:00"/>
  </r>
  <r>
    <n v="1"/>
    <x v="0"/>
    <d v="2018-01-05T00:00:00"/>
    <n v="1"/>
    <x v="2"/>
    <x v="2"/>
    <x v="2"/>
    <x v="0"/>
    <s v="PSM"/>
    <s v="12 ; 28        "/>
    <n v="1"/>
    <d v="1899-12-30T20:30:00"/>
  </r>
  <r>
    <n v="1"/>
    <x v="0"/>
    <d v="2018-01-05T00:00:00"/>
    <n v="1"/>
    <x v="3"/>
    <x v="3"/>
    <x v="2"/>
    <x v="0"/>
    <s v="PSM"/>
    <s v="12 ; 28        "/>
    <n v="1"/>
    <d v="1899-12-30T20:30:00"/>
  </r>
  <r>
    <n v="1"/>
    <x v="0"/>
    <d v="2018-01-05T00:00:00"/>
    <n v="1"/>
    <x v="4"/>
    <x v="4"/>
    <x v="3"/>
    <x v="0"/>
    <s v="BIO"/>
    <s v="12 ; 28        "/>
    <n v="1"/>
    <d v="1899-12-30T20:30:00"/>
  </r>
  <r>
    <n v="1"/>
    <x v="0"/>
    <d v="2018-01-05T00:00:00"/>
    <n v="1"/>
    <x v="5"/>
    <x v="5"/>
    <x v="4"/>
    <x v="0"/>
    <s v="PSM"/>
    <s v="12 ; 28        "/>
    <n v="1"/>
    <d v="1899-12-30T20:30:00"/>
  </r>
  <r>
    <n v="1"/>
    <x v="0"/>
    <d v="2018-01-05T00:00:00"/>
    <n v="1"/>
    <x v="6"/>
    <x v="6"/>
    <x v="5"/>
    <x v="0"/>
    <s v="BIO"/>
    <s v="12 ; 28        "/>
    <n v="1"/>
    <d v="1899-12-30T20:30:00"/>
  </r>
  <r>
    <n v="1"/>
    <x v="0"/>
    <d v="2018-01-05T00:00:00"/>
    <n v="1"/>
    <x v="7"/>
    <x v="7"/>
    <x v="5"/>
    <x v="0"/>
    <s v="BIO"/>
    <s v="12 ; 28        "/>
    <n v="1"/>
    <d v="1899-12-30T20:30:00"/>
  </r>
  <r>
    <n v="1"/>
    <x v="0"/>
    <d v="2018-01-05T00:00:00"/>
    <n v="1"/>
    <x v="8"/>
    <x v="8"/>
    <x v="5"/>
    <x v="0"/>
    <s v="PSM"/>
    <s v="12 ; 28        "/>
    <n v="1"/>
    <d v="1899-12-30T20:30:00"/>
  </r>
  <r>
    <n v="1"/>
    <x v="0"/>
    <d v="2018-01-05T00:00:00"/>
    <n v="1"/>
    <x v="9"/>
    <x v="9"/>
    <x v="5"/>
    <x v="0"/>
    <s v="BIO"/>
    <s v="12 ; 28        "/>
    <n v="1"/>
    <d v="1899-12-30T20:30:00"/>
  </r>
  <r>
    <n v="1"/>
    <x v="0"/>
    <d v="2018-01-05T00:00:00"/>
    <n v="1"/>
    <x v="10"/>
    <x v="10"/>
    <x v="5"/>
    <x v="0"/>
    <s v="PSM"/>
    <s v="12 ; 28        "/>
    <n v="1"/>
    <d v="1899-12-30T20:30:00"/>
  </r>
  <r>
    <n v="1"/>
    <x v="0"/>
    <d v="2018-01-05T00:00:00"/>
    <n v="1"/>
    <x v="11"/>
    <x v="11"/>
    <x v="5"/>
    <x v="0"/>
    <s v="BIO"/>
    <s v="12 ; 28        "/>
    <n v="1"/>
    <d v="1899-12-30T20:30:00"/>
  </r>
  <r>
    <n v="1"/>
    <x v="0"/>
    <d v="2018-01-05T00:00:00"/>
    <n v="1"/>
    <x v="12"/>
    <x v="12"/>
    <x v="5"/>
    <x v="0"/>
    <s v="PSM"/>
    <s v="12 ; 28        "/>
    <n v="1"/>
    <d v="1899-12-30T20:30:00"/>
  </r>
  <r>
    <n v="1"/>
    <x v="0"/>
    <d v="2018-01-05T00:00:00"/>
    <n v="1"/>
    <x v="13"/>
    <x v="13"/>
    <x v="6"/>
    <x v="0"/>
    <s v="PSM"/>
    <s v="12 ; 28        "/>
    <n v="1"/>
    <d v="1899-12-30T20:30:00"/>
  </r>
  <r>
    <n v="1"/>
    <x v="0"/>
    <d v="2018-01-05T00:00:00"/>
    <n v="1"/>
    <x v="14"/>
    <x v="14"/>
    <x v="0"/>
    <x v="1"/>
    <s v="BIO"/>
    <s v="12 ; 28        "/>
    <n v="1"/>
    <d v="1899-12-30T20:30:00"/>
  </r>
  <r>
    <n v="1"/>
    <x v="0"/>
    <d v="2018-01-05T00:00:00"/>
    <n v="1"/>
    <x v="15"/>
    <x v="15"/>
    <x v="1"/>
    <x v="1"/>
    <s v="PSM"/>
    <s v="12 ; 28        "/>
    <n v="1"/>
    <d v="1899-12-30T20:30:00"/>
  </r>
  <r>
    <n v="1"/>
    <x v="0"/>
    <d v="2018-01-05T00:00:00"/>
    <n v="1"/>
    <x v="16"/>
    <x v="16"/>
    <x v="2"/>
    <x v="1"/>
    <s v="PSM"/>
    <s v="12 ; 28        "/>
    <n v="1"/>
    <d v="1899-12-30T20:30:00"/>
  </r>
  <r>
    <n v="1"/>
    <x v="0"/>
    <d v="2018-01-05T00:00:00"/>
    <n v="1"/>
    <x v="17"/>
    <x v="17"/>
    <x v="2"/>
    <x v="1"/>
    <s v="PSM"/>
    <s v="12 ; 28        "/>
    <n v="1"/>
    <d v="1899-12-30T20:30:00"/>
  </r>
  <r>
    <n v="1"/>
    <x v="0"/>
    <d v="2018-01-05T00:00:00"/>
    <n v="1"/>
    <x v="18"/>
    <x v="18"/>
    <x v="3"/>
    <x v="1"/>
    <s v="PSM"/>
    <s v="12 ; 28        "/>
    <n v="1"/>
    <d v="1899-12-30T20:30:00"/>
  </r>
  <r>
    <n v="1"/>
    <x v="0"/>
    <d v="2018-01-05T00:00:00"/>
    <n v="1"/>
    <x v="19"/>
    <x v="19"/>
    <x v="4"/>
    <x v="1"/>
    <s v="BIO"/>
    <s v="12 ; 28        "/>
    <n v="1"/>
    <d v="1899-12-30T20:30:00"/>
  </r>
  <r>
    <n v="1"/>
    <x v="0"/>
    <d v="2018-01-05T00:00:00"/>
    <n v="1"/>
    <x v="20"/>
    <x v="20"/>
    <x v="5"/>
    <x v="1"/>
    <s v="PSM"/>
    <s v="12 ; 28        "/>
    <n v="1"/>
    <d v="1899-12-30T20:30:00"/>
  </r>
  <r>
    <n v="1"/>
    <x v="0"/>
    <d v="2018-01-05T00:00:00"/>
    <n v="1"/>
    <x v="21"/>
    <x v="21"/>
    <x v="5"/>
    <x v="1"/>
    <s v="BIO"/>
    <s v="12 ; 28        "/>
    <n v="1"/>
    <d v="1899-12-30T20:30:00"/>
  </r>
  <r>
    <n v="1"/>
    <x v="0"/>
    <d v="2018-01-05T00:00:00"/>
    <n v="1"/>
    <x v="22"/>
    <x v="22"/>
    <x v="5"/>
    <x v="1"/>
    <s v="PSM"/>
    <s v="12 ; 28        "/>
    <n v="1"/>
    <d v="1899-12-30T20:30:00"/>
  </r>
  <r>
    <n v="1"/>
    <x v="0"/>
    <d v="2018-01-05T00:00:00"/>
    <n v="1"/>
    <x v="23"/>
    <x v="23"/>
    <x v="5"/>
    <x v="1"/>
    <s v="PSM"/>
    <s v="12 ; 28        "/>
    <n v="1"/>
    <d v="1899-12-30T20:30:00"/>
  </r>
  <r>
    <n v="1"/>
    <x v="0"/>
    <d v="2018-01-05T00:00:00"/>
    <n v="1"/>
    <x v="24"/>
    <x v="24"/>
    <x v="5"/>
    <x v="1"/>
    <s v="BIO"/>
    <s v="12 ; 28        "/>
    <n v="1"/>
    <d v="1899-12-30T20:30:00"/>
  </r>
  <r>
    <n v="1"/>
    <x v="0"/>
    <d v="2018-01-05T00:00:00"/>
    <n v="1"/>
    <x v="25"/>
    <x v="25"/>
    <x v="5"/>
    <x v="1"/>
    <s v="BIO"/>
    <s v="12 ; 28        "/>
    <n v="1"/>
    <d v="1899-12-30T20:30:00"/>
  </r>
  <r>
    <n v="1"/>
    <x v="0"/>
    <d v="2018-01-05T00:00:00"/>
    <n v="1"/>
    <x v="26"/>
    <x v="26"/>
    <x v="5"/>
    <x v="1"/>
    <s v="BIO"/>
    <s v="12 ; 28        "/>
    <n v="1"/>
    <d v="1899-12-30T20:30:00"/>
  </r>
  <r>
    <n v="1"/>
    <x v="0"/>
    <d v="2018-01-05T00:00:00"/>
    <n v="1"/>
    <x v="27"/>
    <x v="27"/>
    <x v="6"/>
    <x v="1"/>
    <s v="BIO"/>
    <s v="12 ; 28        "/>
    <n v="1"/>
    <d v="1899-12-30T20:30:00"/>
  </r>
  <r>
    <n v="1"/>
    <x v="1"/>
    <d v="2018-01-15T00:00:00"/>
    <n v="2"/>
    <x v="0"/>
    <x v="14"/>
    <x v="0"/>
    <x v="2"/>
    <s v="BIO"/>
    <s v="35 ; 14        "/>
    <n v="1"/>
    <d v="1899-12-30T19:00:00"/>
  </r>
  <r>
    <n v="1"/>
    <x v="1"/>
    <d v="2018-01-15T00:00:00"/>
    <n v="2"/>
    <x v="1"/>
    <x v="15"/>
    <x v="1"/>
    <x v="2"/>
    <s v="PSM"/>
    <s v="35 ; 14        "/>
    <n v="1"/>
    <d v="1899-12-30T19:00:00"/>
  </r>
  <r>
    <n v="1"/>
    <x v="1"/>
    <d v="2018-01-15T00:00:00"/>
    <n v="2"/>
    <x v="2"/>
    <x v="28"/>
    <x v="2"/>
    <x v="2"/>
    <s v="PSM"/>
    <s v="35 ; 14        "/>
    <n v="1"/>
    <d v="1899-12-30T19:00:00"/>
  </r>
  <r>
    <n v="1"/>
    <x v="1"/>
    <d v="2018-01-15T00:00:00"/>
    <n v="2"/>
    <x v="3"/>
    <x v="16"/>
    <x v="2"/>
    <x v="2"/>
    <s v="PSM"/>
    <s v="35 ; 14        "/>
    <n v="1"/>
    <d v="1899-12-30T19:00:00"/>
  </r>
  <r>
    <n v="1"/>
    <x v="1"/>
    <d v="2018-01-15T00:00:00"/>
    <n v="2"/>
    <x v="4"/>
    <x v="18"/>
    <x v="3"/>
    <x v="2"/>
    <s v="PSM"/>
    <s v="35 ; 14        "/>
    <n v="1"/>
    <d v="1899-12-30T19:00:00"/>
  </r>
  <r>
    <n v="1"/>
    <x v="1"/>
    <d v="2018-01-15T00:00:00"/>
    <n v="2"/>
    <x v="5"/>
    <x v="19"/>
    <x v="4"/>
    <x v="2"/>
    <s v="BIO"/>
    <s v="35 ; 14        "/>
    <n v="1"/>
    <d v="1899-12-30T19:00:00"/>
  </r>
  <r>
    <n v="1"/>
    <x v="1"/>
    <d v="2018-01-15T00:00:00"/>
    <n v="2"/>
    <x v="6"/>
    <x v="20"/>
    <x v="5"/>
    <x v="2"/>
    <s v="PSM"/>
    <s v="35 ; 14        "/>
    <n v="1"/>
    <d v="1899-12-30T19:00:00"/>
  </r>
  <r>
    <n v="1"/>
    <x v="1"/>
    <d v="2018-01-15T00:00:00"/>
    <n v="2"/>
    <x v="7"/>
    <x v="23"/>
    <x v="5"/>
    <x v="2"/>
    <s v="PSM"/>
    <s v="35 ; 14        "/>
    <n v="1"/>
    <d v="1899-12-30T19:00:00"/>
  </r>
  <r>
    <n v="1"/>
    <x v="1"/>
    <d v="2018-01-15T00:00:00"/>
    <n v="2"/>
    <x v="8"/>
    <x v="8"/>
    <x v="5"/>
    <x v="2"/>
    <s v="PSM"/>
    <s v="35 ; 14        "/>
    <n v="1"/>
    <d v="1899-12-30T19:00:00"/>
  </r>
  <r>
    <n v="1"/>
    <x v="1"/>
    <d v="2018-01-15T00:00:00"/>
    <n v="2"/>
    <x v="9"/>
    <x v="9"/>
    <x v="5"/>
    <x v="2"/>
    <s v="BIO"/>
    <s v="35 ; 14        "/>
    <n v="1"/>
    <d v="1899-12-30T19:00:00"/>
  </r>
  <r>
    <n v="1"/>
    <x v="1"/>
    <d v="2018-01-15T00:00:00"/>
    <n v="2"/>
    <x v="10"/>
    <x v="10"/>
    <x v="5"/>
    <x v="2"/>
    <s v="PSM"/>
    <s v="35 ; 14        "/>
    <n v="1"/>
    <d v="1899-12-30T19:00:00"/>
  </r>
  <r>
    <n v="1"/>
    <x v="1"/>
    <d v="2018-01-15T00:00:00"/>
    <n v="2"/>
    <x v="11"/>
    <x v="12"/>
    <x v="5"/>
    <x v="2"/>
    <s v="PSM"/>
    <s v="35 ; 14        "/>
    <n v="1"/>
    <d v="1899-12-30T19:00:00"/>
  </r>
  <r>
    <n v="1"/>
    <x v="1"/>
    <d v="2018-01-15T00:00:00"/>
    <n v="2"/>
    <x v="12"/>
    <x v="7"/>
    <x v="5"/>
    <x v="2"/>
    <s v="BIO"/>
    <s v="35 ; 14        "/>
    <n v="1"/>
    <d v="1899-12-30T19:00:00"/>
  </r>
  <r>
    <n v="1"/>
    <x v="1"/>
    <d v="2018-01-15T00:00:00"/>
    <n v="2"/>
    <x v="13"/>
    <x v="27"/>
    <x v="6"/>
    <x v="2"/>
    <s v="BIO"/>
    <s v="35 ; 14        "/>
    <n v="1"/>
    <d v="1899-12-30T19:00:00"/>
  </r>
  <r>
    <n v="1"/>
    <x v="1"/>
    <d v="2018-01-15T00:00:00"/>
    <n v="2"/>
    <x v="14"/>
    <x v="0"/>
    <x v="0"/>
    <x v="3"/>
    <s v="PSM"/>
    <s v="35 ; 14        "/>
    <n v="1"/>
    <d v="1899-12-30T19:00:00"/>
  </r>
  <r>
    <n v="1"/>
    <x v="1"/>
    <d v="2018-01-15T00:00:00"/>
    <n v="2"/>
    <x v="15"/>
    <x v="1"/>
    <x v="1"/>
    <x v="3"/>
    <s v="BIO"/>
    <s v="35 ; 14        "/>
    <n v="1"/>
    <d v="1899-12-30T19:00:00"/>
  </r>
  <r>
    <n v="1"/>
    <x v="1"/>
    <d v="2018-01-15T00:00:00"/>
    <n v="2"/>
    <x v="16"/>
    <x v="2"/>
    <x v="2"/>
    <x v="3"/>
    <s v="PSM"/>
    <s v="35 ; 14        "/>
    <n v="1"/>
    <d v="1899-12-30T19:00:00"/>
  </r>
  <r>
    <n v="1"/>
    <x v="1"/>
    <d v="2018-01-15T00:00:00"/>
    <n v="2"/>
    <x v="17"/>
    <x v="3"/>
    <x v="2"/>
    <x v="3"/>
    <s v="PSM"/>
    <s v="35 ; 14        "/>
    <n v="1"/>
    <d v="1899-12-30T19:00:00"/>
  </r>
  <r>
    <n v="1"/>
    <x v="1"/>
    <d v="2018-01-15T00:00:00"/>
    <n v="2"/>
    <x v="18"/>
    <x v="4"/>
    <x v="3"/>
    <x v="3"/>
    <s v="BIO"/>
    <s v="35 ; 14        "/>
    <n v="1"/>
    <d v="1899-12-30T19:00:00"/>
  </r>
  <r>
    <n v="1"/>
    <x v="1"/>
    <d v="2018-01-15T00:00:00"/>
    <n v="2"/>
    <x v="19"/>
    <x v="5"/>
    <x v="4"/>
    <x v="3"/>
    <s v="PSM"/>
    <s v="35 ; 14        "/>
    <n v="1"/>
    <d v="1899-12-30T19:00:00"/>
  </r>
  <r>
    <n v="1"/>
    <x v="1"/>
    <d v="2018-01-15T00:00:00"/>
    <n v="2"/>
    <x v="20"/>
    <x v="6"/>
    <x v="5"/>
    <x v="3"/>
    <s v="BIO"/>
    <s v="35 ; 14        "/>
    <n v="1"/>
    <d v="1899-12-30T19:00:00"/>
  </r>
  <r>
    <n v="1"/>
    <x v="1"/>
    <d v="2018-01-15T00:00:00"/>
    <n v="2"/>
    <x v="21"/>
    <x v="24"/>
    <x v="5"/>
    <x v="3"/>
    <s v="BIO"/>
    <s v="35 ; 14        "/>
    <n v="1"/>
    <d v="1899-12-30T19:00:00"/>
  </r>
  <r>
    <n v="1"/>
    <x v="1"/>
    <d v="2018-01-15T00:00:00"/>
    <n v="2"/>
    <x v="22"/>
    <x v="22"/>
    <x v="5"/>
    <x v="3"/>
    <s v="PSM"/>
    <s v="35 ; 14        "/>
    <n v="1"/>
    <d v="1899-12-30T19:00:00"/>
  </r>
  <r>
    <n v="1"/>
    <x v="1"/>
    <d v="2018-01-15T00:00:00"/>
    <n v="2"/>
    <x v="23"/>
    <x v="26"/>
    <x v="5"/>
    <x v="3"/>
    <s v="BIO"/>
    <s v="35 ; 14        "/>
    <n v="1"/>
    <d v="1899-12-30T19:00:00"/>
  </r>
  <r>
    <n v="1"/>
    <x v="1"/>
    <d v="2018-01-15T00:00:00"/>
    <n v="2"/>
    <x v="24"/>
    <x v="11"/>
    <x v="5"/>
    <x v="3"/>
    <s v="BIO"/>
    <s v="35 ; 14        "/>
    <n v="1"/>
    <d v="1899-12-30T19:00:00"/>
  </r>
  <r>
    <n v="1"/>
    <x v="1"/>
    <d v="2018-01-15T00:00:00"/>
    <n v="2"/>
    <x v="25"/>
    <x v="25"/>
    <x v="5"/>
    <x v="3"/>
    <s v="BIO"/>
    <s v="35 ; 14        "/>
    <n v="1"/>
    <d v="1899-12-30T19:00:00"/>
  </r>
  <r>
    <n v="1"/>
    <x v="1"/>
    <d v="2018-01-15T00:00:00"/>
    <n v="2"/>
    <x v="26"/>
    <x v="21"/>
    <x v="5"/>
    <x v="3"/>
    <s v="BIO"/>
    <s v="35 ; 14        "/>
    <n v="1"/>
    <d v="1899-12-30T19:00:00"/>
  </r>
  <r>
    <n v="1"/>
    <x v="1"/>
    <d v="2018-01-15T00:00:00"/>
    <n v="2"/>
    <x v="27"/>
    <x v="29"/>
    <x v="5"/>
    <x v="3"/>
    <s v="PSM"/>
    <s v="35 ; 14        "/>
    <n v="1"/>
    <d v="1899-12-30T19:00:00"/>
  </r>
  <r>
    <n v="1"/>
    <x v="1"/>
    <d v="2018-01-15T00:00:00"/>
    <n v="2"/>
    <x v="28"/>
    <x v="13"/>
    <x v="6"/>
    <x v="3"/>
    <s v="PSM"/>
    <s v="35 ; 14        "/>
    <n v="1"/>
    <d v="1899-12-30T19:00:00"/>
  </r>
  <r>
    <n v="1"/>
    <x v="2"/>
    <d v="2018-01-04T00:00:00"/>
    <n v="1"/>
    <x v="0"/>
    <x v="14"/>
    <x v="0"/>
    <x v="4"/>
    <s v="BIO"/>
    <s v="6 ; 9        "/>
    <n v="1"/>
    <d v="1899-12-30T18:30:00"/>
  </r>
  <r>
    <n v="1"/>
    <x v="2"/>
    <d v="2018-01-04T00:00:00"/>
    <n v="1"/>
    <x v="1"/>
    <x v="1"/>
    <x v="1"/>
    <x v="4"/>
    <s v="BIO"/>
    <s v="6 ; 9        "/>
    <n v="1"/>
    <d v="1899-12-30T18:30:00"/>
  </r>
  <r>
    <n v="1"/>
    <x v="2"/>
    <d v="2018-01-04T00:00:00"/>
    <n v="1"/>
    <x v="2"/>
    <x v="16"/>
    <x v="2"/>
    <x v="4"/>
    <s v="PSM"/>
    <s v="6 ; 9        "/>
    <n v="1"/>
    <d v="1899-12-30T18:30:00"/>
  </r>
  <r>
    <n v="1"/>
    <x v="2"/>
    <d v="2018-01-04T00:00:00"/>
    <n v="1"/>
    <x v="3"/>
    <x v="15"/>
    <x v="2"/>
    <x v="4"/>
    <s v="PSM"/>
    <s v="6 ; 9        "/>
    <n v="1"/>
    <d v="1899-12-30T18:30:00"/>
  </r>
  <r>
    <n v="1"/>
    <x v="2"/>
    <d v="2018-01-04T00:00:00"/>
    <n v="1"/>
    <x v="4"/>
    <x v="18"/>
    <x v="3"/>
    <x v="4"/>
    <s v="PSM"/>
    <s v="6 ; 9        "/>
    <n v="1"/>
    <d v="1899-12-30T18:30:00"/>
  </r>
  <r>
    <n v="1"/>
    <x v="2"/>
    <d v="2018-01-04T00:00:00"/>
    <n v="1"/>
    <x v="5"/>
    <x v="19"/>
    <x v="4"/>
    <x v="4"/>
    <s v="BIO"/>
    <s v="6 ; 9        "/>
    <n v="1"/>
    <d v="1899-12-30T18:30:00"/>
  </r>
  <r>
    <n v="1"/>
    <x v="2"/>
    <d v="2018-01-04T00:00:00"/>
    <n v="1"/>
    <x v="6"/>
    <x v="24"/>
    <x v="5"/>
    <x v="4"/>
    <s v="BIO"/>
    <s v="6 ; 9        "/>
    <n v="1"/>
    <d v="1899-12-30T18:30:00"/>
  </r>
  <r>
    <n v="1"/>
    <x v="2"/>
    <d v="2018-01-04T00:00:00"/>
    <n v="1"/>
    <x v="7"/>
    <x v="30"/>
    <x v="5"/>
    <x v="4"/>
    <s v="BIO"/>
    <s v="6 ; 9        "/>
    <n v="1"/>
    <d v="1899-12-30T18:30:00"/>
  </r>
  <r>
    <n v="1"/>
    <x v="2"/>
    <d v="2018-01-04T00:00:00"/>
    <n v="1"/>
    <x v="8"/>
    <x v="12"/>
    <x v="5"/>
    <x v="4"/>
    <s v="PSM"/>
    <s v="6 ; 9        "/>
    <n v="1"/>
    <d v="1899-12-30T18:30:00"/>
  </r>
  <r>
    <n v="1"/>
    <x v="2"/>
    <d v="2018-01-04T00:00:00"/>
    <n v="1"/>
    <x v="9"/>
    <x v="26"/>
    <x v="5"/>
    <x v="4"/>
    <s v="BIO"/>
    <s v="6 ; 9        "/>
    <n v="1"/>
    <d v="1899-12-30T18:30:00"/>
  </r>
  <r>
    <n v="1"/>
    <x v="2"/>
    <d v="2018-01-04T00:00:00"/>
    <n v="1"/>
    <x v="10"/>
    <x v="31"/>
    <x v="5"/>
    <x v="4"/>
    <s v="BIO"/>
    <s v="6 ; 9        "/>
    <n v="1"/>
    <d v="1899-12-30T18:30:00"/>
  </r>
  <r>
    <n v="1"/>
    <x v="2"/>
    <d v="2018-01-04T00:00:00"/>
    <n v="1"/>
    <x v="11"/>
    <x v="25"/>
    <x v="5"/>
    <x v="4"/>
    <s v="BIO"/>
    <s v="6 ; 9        "/>
    <n v="1"/>
    <d v="1899-12-30T18:30:00"/>
  </r>
  <r>
    <n v="1"/>
    <x v="2"/>
    <d v="2018-01-04T00:00:00"/>
    <n v="1"/>
    <x v="12"/>
    <x v="20"/>
    <x v="5"/>
    <x v="4"/>
    <s v="PSM"/>
    <s v="6 ; 9        "/>
    <n v="1"/>
    <d v="1899-12-30T18:30:00"/>
  </r>
  <r>
    <n v="1"/>
    <x v="2"/>
    <d v="2018-01-04T00:00:00"/>
    <n v="1"/>
    <x v="13"/>
    <x v="27"/>
    <x v="6"/>
    <x v="4"/>
    <s v="BIO"/>
    <s v="6 ; 9        "/>
    <n v="1"/>
    <d v="1899-12-30T18:30:00"/>
  </r>
  <r>
    <n v="1"/>
    <x v="2"/>
    <d v="2018-01-04T00:00:00"/>
    <n v="1"/>
    <x v="14"/>
    <x v="0"/>
    <x v="0"/>
    <x v="5"/>
    <s v="PSM"/>
    <s v="6 ; 9        "/>
    <n v="1"/>
    <d v="1899-12-30T18:30:00"/>
  </r>
  <r>
    <n v="1"/>
    <x v="2"/>
    <d v="2018-01-04T00:00:00"/>
    <n v="1"/>
    <x v="15"/>
    <x v="32"/>
    <x v="1"/>
    <x v="5"/>
    <s v="PSM"/>
    <s v="6 ; 9        "/>
    <n v="1"/>
    <d v="1899-12-30T18:30:00"/>
  </r>
  <r>
    <n v="1"/>
    <x v="2"/>
    <d v="2018-01-04T00:00:00"/>
    <n v="1"/>
    <x v="16"/>
    <x v="3"/>
    <x v="2"/>
    <x v="5"/>
    <s v="PSM"/>
    <s v="6 ; 9        "/>
    <n v="1"/>
    <d v="1899-12-30T18:30:00"/>
  </r>
  <r>
    <n v="1"/>
    <x v="2"/>
    <d v="2018-01-04T00:00:00"/>
    <n v="1"/>
    <x v="17"/>
    <x v="2"/>
    <x v="2"/>
    <x v="5"/>
    <s v="PSM"/>
    <s v="6 ; 9        "/>
    <n v="1"/>
    <d v="1899-12-30T18:30:00"/>
  </r>
  <r>
    <n v="1"/>
    <x v="2"/>
    <d v="2018-01-04T00:00:00"/>
    <n v="1"/>
    <x v="18"/>
    <x v="17"/>
    <x v="3"/>
    <x v="5"/>
    <s v="PSM"/>
    <s v="6 ; 9        "/>
    <n v="1"/>
    <d v="1899-12-30T18:30:00"/>
  </r>
  <r>
    <n v="1"/>
    <x v="2"/>
    <d v="2018-01-04T00:00:00"/>
    <n v="1"/>
    <x v="19"/>
    <x v="4"/>
    <x v="4"/>
    <x v="5"/>
    <s v="BIO"/>
    <s v="6 ; 9        "/>
    <n v="1"/>
    <d v="1899-12-30T18:30:00"/>
  </r>
  <r>
    <n v="1"/>
    <x v="2"/>
    <d v="2018-01-04T00:00:00"/>
    <n v="1"/>
    <x v="20"/>
    <x v="5"/>
    <x v="5"/>
    <x v="5"/>
    <s v="PSM"/>
    <s v="6 ; 9        "/>
    <n v="1"/>
    <d v="1899-12-30T18:30:00"/>
  </r>
  <r>
    <n v="1"/>
    <x v="2"/>
    <d v="2018-01-04T00:00:00"/>
    <n v="1"/>
    <x v="21"/>
    <x v="7"/>
    <x v="5"/>
    <x v="5"/>
    <s v="BIO"/>
    <s v="6 ; 9        "/>
    <n v="1"/>
    <d v="1899-12-30T18:30:00"/>
  </r>
  <r>
    <n v="1"/>
    <x v="2"/>
    <d v="2018-01-04T00:00:00"/>
    <n v="1"/>
    <x v="22"/>
    <x v="8"/>
    <x v="5"/>
    <x v="5"/>
    <s v="PSM"/>
    <s v="6 ; 9        "/>
    <n v="1"/>
    <d v="1899-12-30T18:30:00"/>
  </r>
  <r>
    <n v="1"/>
    <x v="2"/>
    <d v="2018-01-04T00:00:00"/>
    <n v="1"/>
    <x v="23"/>
    <x v="33"/>
    <x v="5"/>
    <x v="5"/>
    <s v="BIO"/>
    <s v="6 ; 9        "/>
    <n v="1"/>
    <d v="1899-12-30T18:30:00"/>
  </r>
  <r>
    <n v="1"/>
    <x v="2"/>
    <d v="2018-01-04T00:00:00"/>
    <n v="1"/>
    <x v="24"/>
    <x v="11"/>
    <x v="5"/>
    <x v="5"/>
    <s v="BIO"/>
    <s v="6 ; 9        "/>
    <n v="1"/>
    <d v="1899-12-30T18:30:00"/>
  </r>
  <r>
    <n v="1"/>
    <x v="2"/>
    <d v="2018-01-04T00:00:00"/>
    <n v="1"/>
    <x v="25"/>
    <x v="9"/>
    <x v="5"/>
    <x v="5"/>
    <s v="BIO"/>
    <s v="6 ; 9        "/>
    <n v="1"/>
    <d v="1899-12-30T18:30:00"/>
  </r>
  <r>
    <n v="1"/>
    <x v="2"/>
    <d v="2018-01-04T00:00:00"/>
    <n v="1"/>
    <x v="26"/>
    <x v="10"/>
    <x v="5"/>
    <x v="5"/>
    <s v="PSM"/>
    <s v="6 ; 9        "/>
    <n v="1"/>
    <d v="1899-12-30T18:30:00"/>
  </r>
  <r>
    <n v="1"/>
    <x v="2"/>
    <d v="2018-01-04T00:00:00"/>
    <n v="1"/>
    <x v="27"/>
    <x v="13"/>
    <x v="6"/>
    <x v="5"/>
    <s v="PSM"/>
    <s v="6 ; 9        "/>
    <n v="1"/>
    <d v="1899-12-30T18:30:00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3"/>
    <s v=" "/>
    <s v=" "/>
    <x v="29"/>
    <x v="34"/>
    <x v="7"/>
    <x v="6"/>
    <n v="0"/>
    <n v="0"/>
    <n v="0"/>
    <s v=" "/>
  </r>
  <r>
    <n v="0"/>
    <x v="4"/>
    <m/>
    <m/>
    <x v="30"/>
    <x v="35"/>
    <x v="8"/>
    <x v="7"/>
    <n v="0"/>
    <n v="0"/>
    <n v="0"/>
    <m/>
  </r>
  <r>
    <n v="0"/>
    <x v="4"/>
    <m/>
    <m/>
    <x v="30"/>
    <x v="35"/>
    <x v="8"/>
    <x v="7"/>
    <n v="0"/>
    <n v="0"/>
    <n v="0"/>
    <m/>
  </r>
  <r>
    <m/>
    <x v="4"/>
    <m/>
    <m/>
    <x v="30"/>
    <x v="35"/>
    <x v="8"/>
    <x v="7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4">
  <r>
    <n v="1"/>
    <s v="2/2"/>
    <d v="2018-01-05T00:00:00"/>
    <n v="1"/>
    <n v="1"/>
    <x v="0"/>
    <x v="0"/>
    <n v="12"/>
    <x v="0"/>
    <s v="12 ; 28        "/>
    <n v="1"/>
    <d v="1899-12-30T20:30:00"/>
  </r>
  <r>
    <n v="1"/>
    <s v="2/2"/>
    <d v="2018-01-05T00:00:00"/>
    <n v="1"/>
    <n v="2"/>
    <x v="1"/>
    <x v="1"/>
    <n v="12"/>
    <x v="1"/>
    <s v="12 ; 28        "/>
    <n v="1"/>
    <d v="1899-12-30T20:30:00"/>
  </r>
  <r>
    <n v="1"/>
    <s v="2/2"/>
    <d v="2018-01-05T00:00:00"/>
    <n v="1"/>
    <n v="3"/>
    <x v="2"/>
    <x v="2"/>
    <n v="12"/>
    <x v="0"/>
    <s v="12 ; 28        "/>
    <n v="1"/>
    <d v="1899-12-30T20:30:00"/>
  </r>
  <r>
    <n v="1"/>
    <s v="2/2"/>
    <d v="2018-01-05T00:00:00"/>
    <n v="1"/>
    <n v="4"/>
    <x v="3"/>
    <x v="2"/>
    <n v="12"/>
    <x v="0"/>
    <s v="12 ; 28        "/>
    <n v="1"/>
    <d v="1899-12-30T20:30:00"/>
  </r>
  <r>
    <n v="1"/>
    <s v="2/2"/>
    <d v="2018-01-05T00:00:00"/>
    <n v="1"/>
    <n v="5"/>
    <x v="4"/>
    <x v="3"/>
    <n v="12"/>
    <x v="1"/>
    <s v="12 ; 28        "/>
    <n v="1"/>
    <d v="1899-12-30T20:30:00"/>
  </r>
  <r>
    <n v="1"/>
    <s v="2/2"/>
    <d v="2018-01-05T00:00:00"/>
    <n v="1"/>
    <n v="6"/>
    <x v="5"/>
    <x v="4"/>
    <n v="12"/>
    <x v="0"/>
    <s v="12 ; 28        "/>
    <n v="1"/>
    <d v="1899-12-30T20:30:00"/>
  </r>
  <r>
    <n v="1"/>
    <s v="2/2"/>
    <d v="2018-01-05T00:00:00"/>
    <n v="1"/>
    <n v="7"/>
    <x v="6"/>
    <x v="5"/>
    <n v="12"/>
    <x v="1"/>
    <s v="12 ; 28        "/>
    <n v="1"/>
    <d v="1899-12-30T20:30:00"/>
  </r>
  <r>
    <n v="1"/>
    <s v="2/2"/>
    <d v="2018-01-05T00:00:00"/>
    <n v="1"/>
    <n v="8"/>
    <x v="7"/>
    <x v="5"/>
    <n v="12"/>
    <x v="1"/>
    <s v="12 ; 28        "/>
    <n v="1"/>
    <d v="1899-12-30T20:30:00"/>
  </r>
  <r>
    <n v="1"/>
    <s v="2/2"/>
    <d v="2018-01-05T00:00:00"/>
    <n v="1"/>
    <n v="9"/>
    <x v="8"/>
    <x v="5"/>
    <n v="12"/>
    <x v="0"/>
    <s v="12 ; 28        "/>
    <n v="1"/>
    <d v="1899-12-30T20:30:00"/>
  </r>
  <r>
    <n v="1"/>
    <s v="2/2"/>
    <d v="2018-01-05T00:00:00"/>
    <n v="1"/>
    <n v="10"/>
    <x v="9"/>
    <x v="5"/>
    <n v="12"/>
    <x v="1"/>
    <s v="12 ; 28        "/>
    <n v="1"/>
    <d v="1899-12-30T20:30:00"/>
  </r>
  <r>
    <n v="1"/>
    <s v="2/2"/>
    <d v="2018-01-05T00:00:00"/>
    <n v="1"/>
    <n v="11"/>
    <x v="10"/>
    <x v="5"/>
    <n v="12"/>
    <x v="0"/>
    <s v="12 ; 28        "/>
    <n v="1"/>
    <d v="1899-12-30T20:30:00"/>
  </r>
  <r>
    <n v="1"/>
    <s v="2/2"/>
    <d v="2018-01-05T00:00:00"/>
    <n v="1"/>
    <n v="12"/>
    <x v="11"/>
    <x v="5"/>
    <n v="12"/>
    <x v="1"/>
    <s v="12 ; 28        "/>
    <n v="1"/>
    <d v="1899-12-30T20:30:00"/>
  </r>
  <r>
    <n v="1"/>
    <s v="2/2"/>
    <d v="2018-01-05T00:00:00"/>
    <n v="1"/>
    <n v="13"/>
    <x v="12"/>
    <x v="5"/>
    <n v="12"/>
    <x v="0"/>
    <s v="12 ; 28        "/>
    <n v="1"/>
    <d v="1899-12-30T20:30:00"/>
  </r>
  <r>
    <n v="1"/>
    <s v="2/2"/>
    <d v="2018-01-05T00:00:00"/>
    <n v="1"/>
    <n v="14"/>
    <x v="13"/>
    <x v="6"/>
    <n v="12"/>
    <x v="0"/>
    <s v="12 ; 28        "/>
    <n v="1"/>
    <d v="1899-12-30T20:30:00"/>
  </r>
  <r>
    <n v="1"/>
    <s v="2/2"/>
    <d v="2018-01-05T00:00:00"/>
    <n v="1"/>
    <n v="15"/>
    <x v="14"/>
    <x v="0"/>
    <n v="28"/>
    <x v="1"/>
    <s v="12 ; 28        "/>
    <n v="1"/>
    <d v="1899-12-30T20:30:00"/>
  </r>
  <r>
    <n v="1"/>
    <s v="2/2"/>
    <d v="2018-01-05T00:00:00"/>
    <n v="1"/>
    <n v="16"/>
    <x v="15"/>
    <x v="1"/>
    <n v="28"/>
    <x v="0"/>
    <s v="12 ; 28        "/>
    <n v="1"/>
    <d v="1899-12-30T20:30:00"/>
  </r>
  <r>
    <n v="1"/>
    <s v="2/2"/>
    <d v="2018-01-05T00:00:00"/>
    <n v="1"/>
    <n v="17"/>
    <x v="16"/>
    <x v="2"/>
    <n v="28"/>
    <x v="0"/>
    <s v="12 ; 28        "/>
    <n v="1"/>
    <d v="1899-12-30T20:30:00"/>
  </r>
  <r>
    <n v="1"/>
    <s v="2/2"/>
    <d v="2018-01-05T00:00:00"/>
    <n v="1"/>
    <n v="18"/>
    <x v="17"/>
    <x v="2"/>
    <n v="28"/>
    <x v="0"/>
    <s v="12 ; 28        "/>
    <n v="1"/>
    <d v="1899-12-30T20:30:00"/>
  </r>
  <r>
    <n v="1"/>
    <s v="2/2"/>
    <d v="2018-01-05T00:00:00"/>
    <n v="1"/>
    <n v="19"/>
    <x v="18"/>
    <x v="3"/>
    <n v="28"/>
    <x v="0"/>
    <s v="12 ; 28        "/>
    <n v="1"/>
    <d v="1899-12-30T20:30:00"/>
  </r>
  <r>
    <n v="1"/>
    <s v="2/2"/>
    <d v="2018-01-05T00:00:00"/>
    <n v="1"/>
    <n v="20"/>
    <x v="19"/>
    <x v="4"/>
    <n v="28"/>
    <x v="1"/>
    <s v="12 ; 28        "/>
    <n v="1"/>
    <d v="1899-12-30T20:30:00"/>
  </r>
  <r>
    <n v="1"/>
    <s v="2/2"/>
    <d v="2018-01-05T00:00:00"/>
    <n v="1"/>
    <n v="21"/>
    <x v="20"/>
    <x v="5"/>
    <n v="28"/>
    <x v="0"/>
    <s v="12 ; 28        "/>
    <n v="1"/>
    <d v="1899-12-30T20:30:00"/>
  </r>
  <r>
    <n v="1"/>
    <s v="2/2"/>
    <d v="2018-01-05T00:00:00"/>
    <n v="1"/>
    <n v="22"/>
    <x v="21"/>
    <x v="5"/>
    <n v="28"/>
    <x v="1"/>
    <s v="12 ; 28        "/>
    <n v="1"/>
    <d v="1899-12-30T20:30:00"/>
  </r>
  <r>
    <n v="1"/>
    <s v="2/2"/>
    <d v="2018-01-05T00:00:00"/>
    <n v="1"/>
    <n v="23"/>
    <x v="22"/>
    <x v="5"/>
    <n v="28"/>
    <x v="0"/>
    <s v="12 ; 28        "/>
    <n v="1"/>
    <d v="1899-12-30T20:30:00"/>
  </r>
  <r>
    <n v="1"/>
    <s v="2/2"/>
    <d v="2018-01-05T00:00:00"/>
    <n v="1"/>
    <n v="24"/>
    <x v="23"/>
    <x v="5"/>
    <n v="28"/>
    <x v="0"/>
    <s v="12 ; 28        "/>
    <n v="1"/>
    <d v="1899-12-30T20:30:00"/>
  </r>
  <r>
    <n v="1"/>
    <s v="2/2"/>
    <d v="2018-01-05T00:00:00"/>
    <n v="1"/>
    <n v="25"/>
    <x v="24"/>
    <x v="5"/>
    <n v="28"/>
    <x v="1"/>
    <s v="12 ; 28        "/>
    <n v="1"/>
    <d v="1899-12-30T20:30:00"/>
  </r>
  <r>
    <n v="1"/>
    <s v="2/2"/>
    <d v="2018-01-05T00:00:00"/>
    <n v="1"/>
    <n v="26"/>
    <x v="25"/>
    <x v="5"/>
    <n v="28"/>
    <x v="1"/>
    <s v="12 ; 28        "/>
    <n v="1"/>
    <d v="1899-12-30T20:30:00"/>
  </r>
  <r>
    <n v="1"/>
    <s v="2/2"/>
    <d v="2018-01-05T00:00:00"/>
    <n v="1"/>
    <n v="27"/>
    <x v="26"/>
    <x v="5"/>
    <n v="28"/>
    <x v="1"/>
    <s v="12 ; 28        "/>
    <n v="1"/>
    <d v="1899-12-30T20:30:00"/>
  </r>
  <r>
    <n v="1"/>
    <s v="2/2"/>
    <d v="2018-01-05T00:00:00"/>
    <n v="1"/>
    <n v="28"/>
    <x v="27"/>
    <x v="6"/>
    <n v="28"/>
    <x v="1"/>
    <s v="12 ; 28        "/>
    <n v="1"/>
    <d v="1899-12-30T20:30:00"/>
  </r>
  <r>
    <n v="1"/>
    <s v="1/3"/>
    <d v="2018-01-15T00:00:00"/>
    <n v="2"/>
    <n v="1"/>
    <x v="14"/>
    <x v="0"/>
    <n v="35"/>
    <x v="1"/>
    <s v="35 ; 14        "/>
    <n v="1"/>
    <d v="1899-12-30T19:00:00"/>
  </r>
  <r>
    <n v="1"/>
    <s v="1/3"/>
    <d v="2018-01-15T00:00:00"/>
    <n v="2"/>
    <n v="2"/>
    <x v="15"/>
    <x v="1"/>
    <n v="35"/>
    <x v="0"/>
    <s v="35 ; 14        "/>
    <n v="1"/>
    <d v="1899-12-30T19:00:00"/>
  </r>
  <r>
    <n v="1"/>
    <s v="1/3"/>
    <d v="2018-01-15T00:00:00"/>
    <n v="2"/>
    <n v="3"/>
    <x v="28"/>
    <x v="2"/>
    <n v="35"/>
    <x v="0"/>
    <s v="35 ; 14        "/>
    <n v="1"/>
    <d v="1899-12-30T19:00:00"/>
  </r>
  <r>
    <n v="1"/>
    <s v="1/3"/>
    <d v="2018-01-15T00:00:00"/>
    <n v="2"/>
    <n v="4"/>
    <x v="16"/>
    <x v="2"/>
    <n v="35"/>
    <x v="0"/>
    <s v="35 ; 14        "/>
    <n v="1"/>
    <d v="1899-12-30T19:00:00"/>
  </r>
  <r>
    <n v="1"/>
    <s v="1/3"/>
    <d v="2018-01-15T00:00:00"/>
    <n v="2"/>
    <n v="5"/>
    <x v="18"/>
    <x v="3"/>
    <n v="35"/>
    <x v="0"/>
    <s v="35 ; 14        "/>
    <n v="1"/>
    <d v="1899-12-30T19:00:00"/>
  </r>
  <r>
    <n v="1"/>
    <s v="1/3"/>
    <d v="2018-01-15T00:00:00"/>
    <n v="2"/>
    <n v="6"/>
    <x v="19"/>
    <x v="4"/>
    <n v="35"/>
    <x v="1"/>
    <s v="35 ; 14        "/>
    <n v="1"/>
    <d v="1899-12-30T19:00:00"/>
  </r>
  <r>
    <n v="1"/>
    <s v="1/3"/>
    <d v="2018-01-15T00:00:00"/>
    <n v="2"/>
    <n v="7"/>
    <x v="20"/>
    <x v="5"/>
    <n v="35"/>
    <x v="0"/>
    <s v="35 ; 14        "/>
    <n v="1"/>
    <d v="1899-12-30T19:00:00"/>
  </r>
  <r>
    <n v="1"/>
    <s v="1/3"/>
    <d v="2018-01-15T00:00:00"/>
    <n v="2"/>
    <n v="8"/>
    <x v="23"/>
    <x v="5"/>
    <n v="35"/>
    <x v="0"/>
    <s v="35 ; 14        "/>
    <n v="1"/>
    <d v="1899-12-30T19:00:00"/>
  </r>
  <r>
    <n v="1"/>
    <s v="1/3"/>
    <d v="2018-01-15T00:00:00"/>
    <n v="2"/>
    <n v="9"/>
    <x v="8"/>
    <x v="5"/>
    <n v="35"/>
    <x v="0"/>
    <s v="35 ; 14        "/>
    <n v="1"/>
    <d v="1899-12-30T19:00:00"/>
  </r>
  <r>
    <n v="1"/>
    <s v="1/3"/>
    <d v="2018-01-15T00:00:00"/>
    <n v="2"/>
    <n v="10"/>
    <x v="9"/>
    <x v="5"/>
    <n v="35"/>
    <x v="1"/>
    <s v="35 ; 14        "/>
    <n v="1"/>
    <d v="1899-12-30T19:00:00"/>
  </r>
  <r>
    <n v="1"/>
    <s v="1/3"/>
    <d v="2018-01-15T00:00:00"/>
    <n v="2"/>
    <n v="11"/>
    <x v="10"/>
    <x v="5"/>
    <n v="35"/>
    <x v="0"/>
    <s v="35 ; 14        "/>
    <n v="1"/>
    <d v="1899-12-30T19:00:00"/>
  </r>
  <r>
    <n v="1"/>
    <s v="1/3"/>
    <d v="2018-01-15T00:00:00"/>
    <n v="2"/>
    <n v="12"/>
    <x v="12"/>
    <x v="5"/>
    <n v="35"/>
    <x v="0"/>
    <s v="35 ; 14        "/>
    <n v="1"/>
    <d v="1899-12-30T19:00:00"/>
  </r>
  <r>
    <n v="1"/>
    <s v="1/3"/>
    <d v="2018-01-15T00:00:00"/>
    <n v="2"/>
    <n v="13"/>
    <x v="7"/>
    <x v="5"/>
    <n v="35"/>
    <x v="1"/>
    <s v="35 ; 14        "/>
    <n v="1"/>
    <d v="1899-12-30T19:00:00"/>
  </r>
  <r>
    <n v="1"/>
    <s v="1/3"/>
    <d v="2018-01-15T00:00:00"/>
    <n v="2"/>
    <n v="14"/>
    <x v="27"/>
    <x v="6"/>
    <n v="35"/>
    <x v="1"/>
    <s v="35 ; 14        "/>
    <n v="1"/>
    <d v="1899-12-30T19:00:00"/>
  </r>
  <r>
    <n v="1"/>
    <s v="1/3"/>
    <d v="2018-01-15T00:00:00"/>
    <n v="2"/>
    <n v="15"/>
    <x v="0"/>
    <x v="0"/>
    <n v="14"/>
    <x v="0"/>
    <s v="35 ; 14        "/>
    <n v="1"/>
    <d v="1899-12-30T19:00:00"/>
  </r>
  <r>
    <n v="1"/>
    <s v="1/3"/>
    <d v="2018-01-15T00:00:00"/>
    <n v="2"/>
    <n v="16"/>
    <x v="1"/>
    <x v="1"/>
    <n v="14"/>
    <x v="1"/>
    <s v="35 ; 14        "/>
    <n v="1"/>
    <d v="1899-12-30T19:00:00"/>
  </r>
  <r>
    <n v="1"/>
    <s v="1/3"/>
    <d v="2018-01-15T00:00:00"/>
    <n v="2"/>
    <n v="17"/>
    <x v="2"/>
    <x v="2"/>
    <n v="14"/>
    <x v="0"/>
    <s v="35 ; 14        "/>
    <n v="1"/>
    <d v="1899-12-30T19:00:00"/>
  </r>
  <r>
    <n v="1"/>
    <s v="1/3"/>
    <d v="2018-01-15T00:00:00"/>
    <n v="2"/>
    <n v="18"/>
    <x v="3"/>
    <x v="2"/>
    <n v="14"/>
    <x v="0"/>
    <s v="35 ; 14        "/>
    <n v="1"/>
    <d v="1899-12-30T19:00:00"/>
  </r>
  <r>
    <n v="1"/>
    <s v="1/3"/>
    <d v="2018-01-15T00:00:00"/>
    <n v="2"/>
    <n v="19"/>
    <x v="4"/>
    <x v="3"/>
    <n v="14"/>
    <x v="1"/>
    <s v="35 ; 14        "/>
    <n v="1"/>
    <d v="1899-12-30T19:00:00"/>
  </r>
  <r>
    <n v="1"/>
    <s v="1/3"/>
    <d v="2018-01-15T00:00:00"/>
    <n v="2"/>
    <n v="20"/>
    <x v="5"/>
    <x v="4"/>
    <n v="14"/>
    <x v="0"/>
    <s v="35 ; 14        "/>
    <n v="1"/>
    <d v="1899-12-30T19:00:00"/>
  </r>
  <r>
    <n v="1"/>
    <s v="1/3"/>
    <d v="2018-01-15T00:00:00"/>
    <n v="2"/>
    <n v="21"/>
    <x v="6"/>
    <x v="5"/>
    <n v="14"/>
    <x v="1"/>
    <s v="35 ; 14        "/>
    <n v="1"/>
    <d v="1899-12-30T19:00:00"/>
  </r>
  <r>
    <n v="1"/>
    <s v="1/3"/>
    <d v="2018-01-15T00:00:00"/>
    <n v="2"/>
    <n v="22"/>
    <x v="24"/>
    <x v="5"/>
    <n v="14"/>
    <x v="1"/>
    <s v="35 ; 14        "/>
    <n v="1"/>
    <d v="1899-12-30T19:00:00"/>
  </r>
  <r>
    <n v="1"/>
    <s v="1/3"/>
    <d v="2018-01-15T00:00:00"/>
    <n v="2"/>
    <n v="23"/>
    <x v="22"/>
    <x v="5"/>
    <n v="14"/>
    <x v="0"/>
    <s v="35 ; 14        "/>
    <n v="1"/>
    <d v="1899-12-30T19:00:00"/>
  </r>
  <r>
    <n v="1"/>
    <s v="1/3"/>
    <d v="2018-01-15T00:00:00"/>
    <n v="2"/>
    <n v="24"/>
    <x v="26"/>
    <x v="5"/>
    <n v="14"/>
    <x v="1"/>
    <s v="35 ; 14        "/>
    <n v="1"/>
    <d v="1899-12-30T19:00:00"/>
  </r>
  <r>
    <n v="1"/>
    <s v="1/3"/>
    <d v="2018-01-15T00:00:00"/>
    <n v="2"/>
    <n v="25"/>
    <x v="11"/>
    <x v="5"/>
    <n v="14"/>
    <x v="1"/>
    <s v="35 ; 14        "/>
    <n v="1"/>
    <d v="1899-12-30T19:00:00"/>
  </r>
  <r>
    <n v="1"/>
    <s v="1/3"/>
    <d v="2018-01-15T00:00:00"/>
    <n v="2"/>
    <n v="26"/>
    <x v="25"/>
    <x v="5"/>
    <n v="14"/>
    <x v="1"/>
    <s v="35 ; 14        "/>
    <n v="1"/>
    <d v="1899-12-30T19:00:00"/>
  </r>
  <r>
    <n v="1"/>
    <s v="1/3"/>
    <d v="2018-01-15T00:00:00"/>
    <n v="2"/>
    <n v="27"/>
    <x v="21"/>
    <x v="5"/>
    <n v="14"/>
    <x v="1"/>
    <s v="35 ; 14        "/>
    <n v="1"/>
    <d v="1899-12-30T19:00:00"/>
  </r>
  <r>
    <n v="1"/>
    <s v="1/3"/>
    <d v="2018-01-15T00:00:00"/>
    <n v="2"/>
    <n v="28"/>
    <x v="29"/>
    <x v="5"/>
    <n v="14"/>
    <x v="0"/>
    <s v="35 ; 14        "/>
    <n v="1"/>
    <d v="1899-12-30T19:00:00"/>
  </r>
  <r>
    <n v="1"/>
    <s v="1/3"/>
    <d v="2018-01-15T00:00:00"/>
    <n v="2"/>
    <n v="29"/>
    <x v="13"/>
    <x v="6"/>
    <n v="14"/>
    <x v="0"/>
    <s v="35 ; 14        "/>
    <n v="1"/>
    <d v="1899-12-30T19:00:00"/>
  </r>
  <r>
    <n v="1"/>
    <s v="1/2"/>
    <d v="2018-01-04T00:00:00"/>
    <n v="1"/>
    <n v="1"/>
    <x v="14"/>
    <x v="0"/>
    <n v="6"/>
    <x v="1"/>
    <s v="6 ; 9        "/>
    <n v="1"/>
    <d v="1899-12-30T18:30:00"/>
  </r>
  <r>
    <n v="1"/>
    <s v="1/2"/>
    <d v="2018-01-04T00:00:00"/>
    <n v="1"/>
    <n v="2"/>
    <x v="1"/>
    <x v="1"/>
    <n v="6"/>
    <x v="1"/>
    <s v="6 ; 9        "/>
    <n v="1"/>
    <d v="1899-12-30T18:30:00"/>
  </r>
  <r>
    <n v="1"/>
    <s v="1/2"/>
    <d v="2018-01-04T00:00:00"/>
    <n v="1"/>
    <n v="3"/>
    <x v="16"/>
    <x v="2"/>
    <n v="6"/>
    <x v="0"/>
    <s v="6 ; 9        "/>
    <n v="1"/>
    <d v="1899-12-30T18:30:00"/>
  </r>
  <r>
    <n v="1"/>
    <s v="1/2"/>
    <d v="2018-01-04T00:00:00"/>
    <n v="1"/>
    <n v="4"/>
    <x v="15"/>
    <x v="2"/>
    <n v="6"/>
    <x v="0"/>
    <s v="6 ; 9        "/>
    <n v="1"/>
    <d v="1899-12-30T18:30:00"/>
  </r>
  <r>
    <n v="1"/>
    <s v="1/2"/>
    <d v="2018-01-04T00:00:00"/>
    <n v="1"/>
    <n v="5"/>
    <x v="18"/>
    <x v="3"/>
    <n v="6"/>
    <x v="0"/>
    <s v="6 ; 9        "/>
    <n v="1"/>
    <d v="1899-12-30T18:30:00"/>
  </r>
  <r>
    <n v="1"/>
    <s v="1/2"/>
    <d v="2018-01-04T00:00:00"/>
    <n v="1"/>
    <n v="6"/>
    <x v="19"/>
    <x v="4"/>
    <n v="6"/>
    <x v="1"/>
    <s v="6 ; 9        "/>
    <n v="1"/>
    <d v="1899-12-30T18:30:00"/>
  </r>
  <r>
    <n v="1"/>
    <s v="1/2"/>
    <d v="2018-01-04T00:00:00"/>
    <n v="1"/>
    <n v="7"/>
    <x v="24"/>
    <x v="5"/>
    <n v="6"/>
    <x v="1"/>
    <s v="6 ; 9        "/>
    <n v="1"/>
    <d v="1899-12-30T18:30:00"/>
  </r>
  <r>
    <n v="1"/>
    <s v="1/2"/>
    <d v="2018-01-04T00:00:00"/>
    <n v="1"/>
    <n v="8"/>
    <x v="30"/>
    <x v="5"/>
    <n v="6"/>
    <x v="1"/>
    <s v="6 ; 9        "/>
    <n v="1"/>
    <d v="1899-12-30T18:30:00"/>
  </r>
  <r>
    <n v="1"/>
    <s v="1/2"/>
    <d v="2018-01-04T00:00:00"/>
    <n v="1"/>
    <n v="9"/>
    <x v="12"/>
    <x v="5"/>
    <n v="6"/>
    <x v="0"/>
    <s v="6 ; 9        "/>
    <n v="1"/>
    <d v="1899-12-30T18:30:00"/>
  </r>
  <r>
    <n v="1"/>
    <s v="1/2"/>
    <d v="2018-01-04T00:00:00"/>
    <n v="1"/>
    <n v="10"/>
    <x v="26"/>
    <x v="5"/>
    <n v="6"/>
    <x v="1"/>
    <s v="6 ; 9        "/>
    <n v="1"/>
    <d v="1899-12-30T18:30:00"/>
  </r>
  <r>
    <n v="1"/>
    <s v="1/2"/>
    <d v="2018-01-04T00:00:00"/>
    <n v="1"/>
    <n v="11"/>
    <x v="31"/>
    <x v="5"/>
    <n v="6"/>
    <x v="1"/>
    <s v="6 ; 9        "/>
    <n v="1"/>
    <d v="1899-12-30T18:30:00"/>
  </r>
  <r>
    <n v="1"/>
    <s v="1/2"/>
    <d v="2018-01-04T00:00:00"/>
    <n v="1"/>
    <n v="12"/>
    <x v="25"/>
    <x v="5"/>
    <n v="6"/>
    <x v="1"/>
    <s v="6 ; 9        "/>
    <n v="1"/>
    <d v="1899-12-30T18:30:00"/>
  </r>
  <r>
    <n v="1"/>
    <s v="1/2"/>
    <d v="2018-01-04T00:00:00"/>
    <n v="1"/>
    <n v="13"/>
    <x v="20"/>
    <x v="5"/>
    <n v="6"/>
    <x v="0"/>
    <s v="6 ; 9        "/>
    <n v="1"/>
    <d v="1899-12-30T18:30:00"/>
  </r>
  <r>
    <n v="1"/>
    <s v="1/2"/>
    <d v="2018-01-04T00:00:00"/>
    <n v="1"/>
    <n v="14"/>
    <x v="27"/>
    <x v="6"/>
    <n v="6"/>
    <x v="1"/>
    <s v="6 ; 9        "/>
    <n v="1"/>
    <d v="1899-12-30T18:30:00"/>
  </r>
  <r>
    <n v="1"/>
    <s v="1/2"/>
    <d v="2018-01-04T00:00:00"/>
    <n v="1"/>
    <n v="15"/>
    <x v="0"/>
    <x v="0"/>
    <n v="9"/>
    <x v="0"/>
    <s v="6 ; 9        "/>
    <n v="1"/>
    <d v="1899-12-30T18:30:00"/>
  </r>
  <r>
    <n v="1"/>
    <s v="1/2"/>
    <d v="2018-01-04T00:00:00"/>
    <n v="1"/>
    <n v="16"/>
    <x v="32"/>
    <x v="1"/>
    <n v="9"/>
    <x v="0"/>
    <s v="6 ; 9        "/>
    <n v="1"/>
    <d v="1899-12-30T18:30:00"/>
  </r>
  <r>
    <n v="1"/>
    <s v="1/2"/>
    <d v="2018-01-04T00:00:00"/>
    <n v="1"/>
    <n v="17"/>
    <x v="3"/>
    <x v="2"/>
    <n v="9"/>
    <x v="0"/>
    <s v="6 ; 9        "/>
    <n v="1"/>
    <d v="1899-12-30T18:30:00"/>
  </r>
  <r>
    <n v="1"/>
    <s v="1/2"/>
    <d v="2018-01-04T00:00:00"/>
    <n v="1"/>
    <n v="18"/>
    <x v="2"/>
    <x v="2"/>
    <n v="9"/>
    <x v="0"/>
    <s v="6 ; 9        "/>
    <n v="1"/>
    <d v="1899-12-30T18:30:00"/>
  </r>
  <r>
    <n v="1"/>
    <s v="1/2"/>
    <d v="2018-01-04T00:00:00"/>
    <n v="1"/>
    <n v="19"/>
    <x v="17"/>
    <x v="3"/>
    <n v="9"/>
    <x v="0"/>
    <s v="6 ; 9        "/>
    <n v="1"/>
    <d v="1899-12-30T18:30:00"/>
  </r>
  <r>
    <n v="1"/>
    <s v="1/2"/>
    <d v="2018-01-04T00:00:00"/>
    <n v="1"/>
    <n v="20"/>
    <x v="4"/>
    <x v="4"/>
    <n v="9"/>
    <x v="1"/>
    <s v="6 ; 9        "/>
    <n v="1"/>
    <d v="1899-12-30T18:30:00"/>
  </r>
  <r>
    <n v="1"/>
    <s v="1/2"/>
    <d v="2018-01-04T00:00:00"/>
    <n v="1"/>
    <n v="21"/>
    <x v="5"/>
    <x v="5"/>
    <n v="9"/>
    <x v="0"/>
    <s v="6 ; 9        "/>
    <n v="1"/>
    <d v="1899-12-30T18:30:00"/>
  </r>
  <r>
    <n v="1"/>
    <s v="1/2"/>
    <d v="2018-01-04T00:00:00"/>
    <n v="1"/>
    <n v="22"/>
    <x v="7"/>
    <x v="5"/>
    <n v="9"/>
    <x v="1"/>
    <s v="6 ; 9        "/>
    <n v="1"/>
    <d v="1899-12-30T18:30:00"/>
  </r>
  <r>
    <n v="1"/>
    <s v="1/2"/>
    <d v="2018-01-04T00:00:00"/>
    <n v="1"/>
    <n v="23"/>
    <x v="8"/>
    <x v="5"/>
    <n v="9"/>
    <x v="0"/>
    <s v="6 ; 9        "/>
    <n v="1"/>
    <d v="1899-12-30T18:30:00"/>
  </r>
  <r>
    <n v="1"/>
    <s v="1/2"/>
    <d v="2018-01-04T00:00:00"/>
    <n v="1"/>
    <n v="24"/>
    <x v="33"/>
    <x v="5"/>
    <n v="9"/>
    <x v="1"/>
    <s v="6 ; 9        "/>
    <n v="1"/>
    <d v="1899-12-30T18:30:00"/>
  </r>
  <r>
    <n v="1"/>
    <s v="1/2"/>
    <d v="2018-01-04T00:00:00"/>
    <n v="1"/>
    <n v="25"/>
    <x v="11"/>
    <x v="5"/>
    <n v="9"/>
    <x v="1"/>
    <s v="6 ; 9        "/>
    <n v="1"/>
    <d v="1899-12-30T18:30:00"/>
  </r>
  <r>
    <n v="1"/>
    <s v="1/2"/>
    <d v="2018-01-04T00:00:00"/>
    <n v="1"/>
    <n v="26"/>
    <x v="9"/>
    <x v="5"/>
    <n v="9"/>
    <x v="1"/>
    <s v="6 ; 9        "/>
    <n v="1"/>
    <d v="1899-12-30T18:30:00"/>
  </r>
  <r>
    <n v="1"/>
    <s v="1/2"/>
    <d v="2018-01-04T00:00:00"/>
    <n v="1"/>
    <n v="27"/>
    <x v="10"/>
    <x v="5"/>
    <n v="9"/>
    <x v="0"/>
    <s v="6 ; 9        "/>
    <n v="1"/>
    <d v="1899-12-30T18:30:00"/>
  </r>
  <r>
    <n v="1"/>
    <s v="1/2"/>
    <d v="2018-01-04T00:00:00"/>
    <n v="1"/>
    <n v="28"/>
    <x v="13"/>
    <x v="6"/>
    <n v="9"/>
    <x v="0"/>
    <s v="6 ; 9        "/>
    <n v="1"/>
    <d v="1899-12-30T18:30:00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s v=" "/>
    <s v=" "/>
    <s v=" "/>
    <s v=" "/>
    <x v="34"/>
    <x v="7"/>
    <s v=" "/>
    <x v="2"/>
    <n v="0"/>
    <n v="0"/>
    <s v=" "/>
  </r>
  <r>
    <n v="0"/>
    <m/>
    <m/>
    <m/>
    <m/>
    <x v="35"/>
    <x v="8"/>
    <m/>
    <x v="2"/>
    <n v="0"/>
    <n v="0"/>
    <m/>
  </r>
  <r>
    <n v="0"/>
    <m/>
    <m/>
    <m/>
    <m/>
    <x v="35"/>
    <x v="8"/>
    <m/>
    <x v="2"/>
    <n v="0"/>
    <n v="0"/>
    <m/>
  </r>
  <r>
    <m/>
    <m/>
    <m/>
    <m/>
    <m/>
    <x v="35"/>
    <x v="8"/>
    <m/>
    <x v="3"/>
    <m/>
    <m/>
    <m/>
  </r>
  <r>
    <m/>
    <m/>
    <m/>
    <m/>
    <m/>
    <x v="35"/>
    <x v="8"/>
    <m/>
    <x v="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>
  <location ref="A10:A53" firstHeaderRow="1" firstDataRow="1" firstDataCol="1"/>
  <pivotFields count="3">
    <pivotField axis="axisRow" showAll="0" defaultSubtotal="0">
      <items count="48">
        <item x="1"/>
        <item x="8"/>
        <item x="30"/>
        <item x="17"/>
        <item x="3"/>
        <item x="12"/>
        <item x="32"/>
        <item x="24"/>
        <item m="1" x="43"/>
        <item x="26"/>
        <item x="25"/>
        <item x="23"/>
        <item x="15"/>
        <item x="13"/>
        <item x="10"/>
        <item x="6"/>
        <item x="19"/>
        <item x="9"/>
        <item x="28"/>
        <item x="0"/>
        <item m="1" x="47"/>
        <item x="11"/>
        <item x="31"/>
        <item x="27"/>
        <item m="1" x="46"/>
        <item x="20"/>
        <item x="18"/>
        <item x="7"/>
        <item x="4"/>
        <item x="22"/>
        <item x="21"/>
        <item x="14"/>
        <item m="1" x="44"/>
        <item x="5"/>
        <item x="16"/>
        <item x="2"/>
        <item x="29"/>
        <item x="42"/>
        <item m="1" x="45"/>
        <item x="33"/>
        <item x="34"/>
        <item x="35"/>
        <item x="36"/>
        <item x="37"/>
        <item x="38"/>
        <item x="39"/>
        <item x="40"/>
        <item x="41"/>
      </items>
    </pivotField>
    <pivotField showAll="0" defaultSubtotal="0"/>
    <pivotField showAll="0" defaultSubtota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rowItems>
  <colItems count="1">
    <i/>
  </colItems>
  <formats count="7">
    <format dxfId="9">
      <pivotArea dataOnly="0" labelOnly="1" fieldPosition="0">
        <references count="1">
          <reference field="0" count="15">
            <x v="2"/>
            <x v="3"/>
            <x v="4"/>
            <x v="5"/>
            <x v="6"/>
            <x v="8"/>
            <x v="11"/>
            <x v="12"/>
            <x v="17"/>
            <x v="18"/>
            <x v="19"/>
            <x v="32"/>
            <x v="34"/>
            <x v="35"/>
            <x v="36"/>
          </reference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0" count="1">
            <x v="27"/>
          </reference>
        </references>
      </pivotArea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fieldPosition="0">
        <references count="1">
          <reference field="0" count="5">
            <x v="6"/>
            <x v="25"/>
            <x v="29"/>
            <x v="30"/>
            <x v="3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aptionContains" evalOrder="-1" id="2311" stringValue1="">
      <autoFilter ref="A1">
        <filterColumn colId="0">
          <customFilters>
            <customFilter val="*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26" cacheId="7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A3:C43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34"/>
        <item m="1" x="40"/>
        <item x="26"/>
        <item x="32"/>
        <item m="1" x="39"/>
        <item x="9"/>
        <item x="4"/>
        <item x="0"/>
        <item x="20"/>
        <item x="8"/>
        <item x="21"/>
        <item x="14"/>
        <item m="1" x="36"/>
        <item x="33"/>
        <item x="19"/>
        <item x="30"/>
        <item x="18"/>
        <item x="23"/>
        <item x="5"/>
        <item x="3"/>
        <item x="2"/>
        <item m="1" x="38"/>
        <item x="13"/>
        <item m="1" x="43"/>
        <item x="15"/>
        <item m="1" x="41"/>
        <item x="24"/>
        <item x="6"/>
        <item x="7"/>
        <item m="1" x="42"/>
        <item x="27"/>
        <item x="29"/>
        <item x="22"/>
        <item x="25"/>
        <item m="1" x="44"/>
        <item x="28"/>
        <item x="31"/>
        <item x="1"/>
        <item x="10"/>
        <item m="1" x="37"/>
        <item x="16"/>
        <item x="17"/>
        <item x="12"/>
        <item x="11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8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40">
    <i>
      <x/>
      <x v="8"/>
    </i>
    <i>
      <x v="2"/>
      <x v="5"/>
    </i>
    <i>
      <x v="3"/>
      <x v="1"/>
    </i>
    <i>
      <x v="5"/>
      <x v="5"/>
    </i>
    <i>
      <x v="6"/>
      <x v="3"/>
    </i>
    <i r="1">
      <x v="4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>
      <x v="15"/>
      <x v="5"/>
    </i>
    <i>
      <x v="16"/>
      <x v="3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 r="1">
      <x v="2"/>
    </i>
    <i>
      <x v="26"/>
      <x v="5"/>
    </i>
    <i>
      <x v="27"/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38"/>
      <x v="5"/>
    </i>
    <i>
      <x v="40"/>
      <x v="2"/>
    </i>
    <i>
      <x v="41"/>
      <x v="2"/>
    </i>
    <i r="1">
      <x v="3"/>
    </i>
    <i>
      <x v="42"/>
      <x v="5"/>
    </i>
    <i>
      <x v="43"/>
      <x v="5"/>
    </i>
    <i>
      <x v="44"/>
      <x v="7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7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compact="0" compactData="0" multipleFieldFilters="0">
  <location ref="A7:C29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34"/>
        <item m="1" x="40"/>
        <item x="26"/>
        <item x="32"/>
        <item m="1" x="39"/>
        <item x="9"/>
        <item x="4"/>
        <item x="0"/>
        <item x="20"/>
        <item x="8"/>
        <item x="21"/>
        <item x="14"/>
        <item m="1" x="36"/>
        <item x="33"/>
        <item x="19"/>
        <item x="30"/>
        <item x="18"/>
        <item x="23"/>
        <item x="5"/>
        <item x="3"/>
        <item x="2"/>
        <item m="1" x="38"/>
        <item x="13"/>
        <item m="1" x="43"/>
        <item x="15"/>
        <item m="1" x="41"/>
        <item x="24"/>
        <item x="6"/>
        <item x="7"/>
        <item m="1" x="42"/>
        <item x="27"/>
        <item x="29"/>
        <item x="22"/>
        <item x="25"/>
        <item m="1" x="44"/>
        <item x="28"/>
        <item x="31"/>
        <item x="1"/>
        <item x="10"/>
        <item m="1" x="37"/>
        <item x="16"/>
        <item x="17"/>
        <item x="12"/>
        <item x="11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22">
    <i>
      <x v="3"/>
      <x v="1"/>
    </i>
    <i>
      <x v="7"/>
      <x/>
    </i>
    <i>
      <x v="8"/>
      <x v="5"/>
    </i>
    <i>
      <x v="9"/>
      <x v="5"/>
    </i>
    <i>
      <x v="16"/>
      <x v="3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 r="1">
      <x v="2"/>
    </i>
    <i>
      <x v="31"/>
      <x v="5"/>
    </i>
    <i>
      <x v="32"/>
      <x v="5"/>
    </i>
    <i>
      <x v="35"/>
      <x v="2"/>
    </i>
    <i>
      <x v="38"/>
      <x v="5"/>
    </i>
    <i>
      <x v="40"/>
      <x v="2"/>
    </i>
    <i>
      <x v="41"/>
      <x v="2"/>
    </i>
    <i r="1">
      <x v="3"/>
    </i>
    <i>
      <x v="42"/>
      <x v="5"/>
    </i>
    <i t="grand">
      <x/>
    </i>
  </rowItems>
  <colItems count="1">
    <i/>
  </colItems>
  <pageFields count="1">
    <pageField fld="8" item="2" hier="-1"/>
  </pageFields>
  <dataFields count="1">
    <dataField name="NOCHES PESCA" fld="6" subtotal="count" baseField="6" baseItem="1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Tabla dinámica2" cacheId="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E7:G25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34"/>
        <item m="1" x="40"/>
        <item x="26"/>
        <item x="32"/>
        <item m="1" x="39"/>
        <item x="9"/>
        <item x="4"/>
        <item x="0"/>
        <item x="20"/>
        <item x="8"/>
        <item x="21"/>
        <item x="14"/>
        <item m="1" x="36"/>
        <item x="33"/>
        <item x="19"/>
        <item x="30"/>
        <item x="18"/>
        <item x="23"/>
        <item x="5"/>
        <item x="3"/>
        <item x="2"/>
        <item m="1" x="38"/>
        <item x="13"/>
        <item m="1" x="43"/>
        <item x="15"/>
        <item m="1" x="41"/>
        <item x="24"/>
        <item x="6"/>
        <item x="7"/>
        <item m="1" x="42"/>
        <item x="27"/>
        <item x="29"/>
        <item x="22"/>
        <item x="25"/>
        <item m="1" x="44"/>
        <item x="28"/>
        <item x="31"/>
        <item x="1"/>
        <item x="10"/>
        <item m="1" x="37"/>
        <item x="16"/>
        <item x="17"/>
        <item x="12"/>
        <item x="11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18">
    <i>
      <x v="2"/>
      <x v="5"/>
    </i>
    <i>
      <x v="5"/>
      <x v="5"/>
    </i>
    <i>
      <x v="6"/>
      <x v="3"/>
    </i>
    <i r="1">
      <x v="4"/>
    </i>
    <i>
      <x v="10"/>
      <x v="5"/>
    </i>
    <i>
      <x v="11"/>
      <x/>
    </i>
    <i>
      <x v="13"/>
      <x v="5"/>
    </i>
    <i>
      <x v="14"/>
      <x v="4"/>
    </i>
    <i>
      <x v="15"/>
      <x v="5"/>
    </i>
    <i>
      <x v="26"/>
      <x v="5"/>
    </i>
    <i>
      <x v="27"/>
      <x v="5"/>
    </i>
    <i>
      <x v="28"/>
      <x v="5"/>
    </i>
    <i>
      <x v="30"/>
      <x v="6"/>
    </i>
    <i>
      <x v="33"/>
      <x v="5"/>
    </i>
    <i>
      <x v="36"/>
      <x v="5"/>
    </i>
    <i>
      <x v="37"/>
      <x v="1"/>
    </i>
    <i>
      <x v="43"/>
      <x v="5"/>
    </i>
    <i t="grand">
      <x/>
    </i>
  </rowItems>
  <colItems count="1">
    <i/>
  </colItems>
  <pageFields count="1">
    <pageField fld="8" item="3" hier="-1"/>
  </pageFields>
  <dataFields count="1">
    <dataField name="NOCHES PESCA" fld="6" subtotal="count" baseField="6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Tabla dinámica5" cacheId="1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6:E93" firstHeaderRow="1" firstDataRow="1" firstDataCol="4" rowPageCount="1" colPageCount="1"/>
  <pivotFields count="12">
    <pivotField compact="0" outline="0" showAll="0" defaultSubtotal="0"/>
    <pivotField name="NOCHE #" axis="axisPage" compact="0" outline="0" multipleItemSelectionAllowed="1" showAll="0" defaultSubtotal="0">
      <items count="7">
        <item x="2"/>
        <item x="0"/>
        <item x="4"/>
        <item x="3"/>
        <item m="1" x="5"/>
        <item m="1" x="6"/>
        <item x="1"/>
      </items>
    </pivotField>
    <pivotField compact="0" numFmtId="14" outline="0" showAll="0" defaultSubtotal="0"/>
    <pivotField compact="0" outline="0" showAll="0" defaultSubtotal="0"/>
    <pivotField axis="axisRow" compact="0" outline="0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0"/>
        <item m="1" x="31"/>
        <item x="29"/>
      </items>
    </pivotField>
    <pivotField axis="axisRow" compact="0" outline="0" showAll="0" defaultSubtotal="0">
      <items count="44">
        <item m="1" x="39"/>
        <item x="32"/>
        <item x="4"/>
        <item x="0"/>
        <item x="20"/>
        <item x="8"/>
        <item x="21"/>
        <item x="14"/>
        <item m="1" x="36"/>
        <item x="33"/>
        <item x="19"/>
        <item x="18"/>
        <item x="5"/>
        <item x="3"/>
        <item x="2"/>
        <item x="13"/>
        <item m="1" x="42"/>
        <item x="15"/>
        <item m="1" x="40"/>
        <item x="6"/>
        <item m="1" x="41"/>
        <item x="27"/>
        <item x="22"/>
        <item m="1" x="43"/>
        <item x="31"/>
        <item x="1"/>
        <item x="10"/>
        <item m="1" x="37"/>
        <item x="16"/>
        <item x="17"/>
        <item x="35"/>
        <item x="34"/>
        <item x="30"/>
        <item m="1" x="38"/>
        <item x="7"/>
        <item x="9"/>
        <item x="11"/>
        <item x="12"/>
        <item x="23"/>
        <item x="24"/>
        <item x="25"/>
        <item x="26"/>
        <item x="28"/>
        <item x="29"/>
      </items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8"/>
        <item x="7"/>
      </items>
    </pivotField>
    <pivotField axis="axisRow" compact="0" outline="0" showAll="0" defaultSubtotal="0">
      <items count="13">
        <item m="1" x="8"/>
        <item m="1" x="9"/>
        <item m="1" x="12"/>
        <item x="7"/>
        <item x="1"/>
        <item m="1" x="10"/>
        <item x="0"/>
        <item m="1" x="11"/>
        <item x="4"/>
        <item x="5"/>
        <item x="6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</pivotFields>
  <rowFields count="4">
    <field x="4"/>
    <field x="5"/>
    <field x="6"/>
    <field x="7"/>
  </rowFields>
  <rowItems count="87">
    <i>
      <x/>
      <x v="3"/>
      <x/>
      <x v="6"/>
    </i>
    <i r="1">
      <x v="7"/>
      <x/>
      <x v="8"/>
    </i>
    <i r="3">
      <x v="11"/>
    </i>
    <i>
      <x v="1"/>
      <x v="17"/>
      <x v="1"/>
      <x v="11"/>
    </i>
    <i r="1">
      <x v="25"/>
      <x v="1"/>
      <x v="6"/>
    </i>
    <i r="3">
      <x v="8"/>
    </i>
    <i>
      <x v="2"/>
      <x v="14"/>
      <x v="2"/>
      <x v="6"/>
    </i>
    <i r="1">
      <x v="28"/>
      <x v="2"/>
      <x v="8"/>
    </i>
    <i r="1">
      <x v="42"/>
      <x v="2"/>
      <x v="11"/>
    </i>
    <i>
      <x v="3"/>
      <x v="13"/>
      <x v="2"/>
      <x v="6"/>
    </i>
    <i r="1">
      <x v="17"/>
      <x v="2"/>
      <x v="8"/>
    </i>
    <i r="1">
      <x v="28"/>
      <x v="2"/>
      <x v="11"/>
    </i>
    <i>
      <x v="4"/>
      <x v="2"/>
      <x v="3"/>
      <x v="6"/>
    </i>
    <i r="1">
      <x v="11"/>
      <x v="3"/>
      <x v="8"/>
    </i>
    <i r="3">
      <x v="11"/>
    </i>
    <i>
      <x v="5"/>
      <x v="10"/>
      <x v="4"/>
      <x v="8"/>
    </i>
    <i r="3">
      <x v="11"/>
    </i>
    <i r="1">
      <x v="12"/>
      <x v="4"/>
      <x v="6"/>
    </i>
    <i>
      <x v="6"/>
      <x v="4"/>
      <x v="5"/>
      <x v="11"/>
    </i>
    <i r="1">
      <x v="19"/>
      <x v="5"/>
      <x v="6"/>
    </i>
    <i r="1">
      <x v="39"/>
      <x v="5"/>
      <x v="8"/>
    </i>
    <i>
      <x v="7"/>
      <x v="32"/>
      <x v="5"/>
      <x v="8"/>
    </i>
    <i r="1">
      <x v="34"/>
      <x v="5"/>
      <x v="6"/>
    </i>
    <i r="1">
      <x v="38"/>
      <x v="5"/>
      <x v="11"/>
    </i>
    <i>
      <x v="8"/>
      <x v="5"/>
      <x v="5"/>
      <x v="6"/>
    </i>
    <i r="3">
      <x v="11"/>
    </i>
    <i r="1">
      <x v="37"/>
      <x v="5"/>
      <x v="8"/>
    </i>
    <i>
      <x v="9"/>
      <x v="35"/>
      <x v="5"/>
      <x v="6"/>
    </i>
    <i r="3">
      <x v="11"/>
    </i>
    <i r="1">
      <x v="41"/>
      <x v="5"/>
      <x v="8"/>
    </i>
    <i>
      <x v="10"/>
      <x v="24"/>
      <x v="5"/>
      <x v="8"/>
    </i>
    <i r="1">
      <x v="26"/>
      <x v="5"/>
      <x v="6"/>
    </i>
    <i r="3">
      <x v="11"/>
    </i>
    <i>
      <x v="11"/>
      <x v="36"/>
      <x v="5"/>
      <x v="6"/>
    </i>
    <i r="1">
      <x v="37"/>
      <x v="5"/>
      <x v="11"/>
    </i>
    <i r="1">
      <x v="40"/>
      <x v="5"/>
      <x v="8"/>
    </i>
    <i>
      <x v="12"/>
      <x v="4"/>
      <x v="5"/>
      <x v="8"/>
    </i>
    <i r="1">
      <x v="34"/>
      <x v="5"/>
      <x v="11"/>
    </i>
    <i r="1">
      <x v="37"/>
      <x v="5"/>
      <x v="6"/>
    </i>
    <i>
      <x v="13"/>
      <x v="15"/>
      <x v="6"/>
      <x v="6"/>
    </i>
    <i r="1">
      <x v="21"/>
      <x v="6"/>
      <x v="8"/>
    </i>
    <i r="3">
      <x v="11"/>
    </i>
    <i>
      <x v="14"/>
      <x v="3"/>
      <x/>
      <x v="9"/>
    </i>
    <i r="3">
      <x v="12"/>
    </i>
    <i r="1">
      <x v="7"/>
      <x/>
      <x v="4"/>
    </i>
    <i>
      <x v="15"/>
      <x v="1"/>
      <x v="1"/>
      <x v="9"/>
    </i>
    <i r="1">
      <x v="17"/>
      <x v="1"/>
      <x v="4"/>
    </i>
    <i r="1">
      <x v="25"/>
      <x v="1"/>
      <x v="12"/>
    </i>
    <i>
      <x v="16"/>
      <x v="13"/>
      <x v="2"/>
      <x v="9"/>
    </i>
    <i r="1">
      <x v="14"/>
      <x v="2"/>
      <x v="12"/>
    </i>
    <i r="1">
      <x v="28"/>
      <x v="2"/>
      <x v="4"/>
    </i>
    <i>
      <x v="17"/>
      <x v="13"/>
      <x v="2"/>
      <x v="12"/>
    </i>
    <i r="1">
      <x v="14"/>
      <x v="2"/>
      <x v="9"/>
    </i>
    <i r="1">
      <x v="29"/>
      <x v="2"/>
      <x v="4"/>
    </i>
    <i>
      <x v="18"/>
      <x v="2"/>
      <x v="3"/>
      <x v="12"/>
    </i>
    <i r="1">
      <x v="11"/>
      <x v="3"/>
      <x v="4"/>
    </i>
    <i r="1">
      <x v="29"/>
      <x v="3"/>
      <x v="9"/>
    </i>
    <i>
      <x v="19"/>
      <x v="2"/>
      <x v="4"/>
      <x v="9"/>
    </i>
    <i r="1">
      <x v="10"/>
      <x v="4"/>
      <x v="4"/>
    </i>
    <i r="1">
      <x v="12"/>
      <x v="4"/>
      <x v="12"/>
    </i>
    <i>
      <x v="20"/>
      <x v="4"/>
      <x v="5"/>
      <x v="4"/>
    </i>
    <i r="1">
      <x v="12"/>
      <x v="5"/>
      <x v="9"/>
    </i>
    <i r="1">
      <x v="19"/>
      <x v="5"/>
      <x v="12"/>
    </i>
    <i>
      <x v="21"/>
      <x v="6"/>
      <x v="5"/>
      <x v="4"/>
    </i>
    <i r="1">
      <x v="34"/>
      <x v="5"/>
      <x v="9"/>
    </i>
    <i r="1">
      <x v="39"/>
      <x v="5"/>
      <x v="12"/>
    </i>
    <i>
      <x v="22"/>
      <x v="5"/>
      <x v="5"/>
      <x v="9"/>
    </i>
    <i r="1">
      <x v="22"/>
      <x v="5"/>
      <x v="4"/>
    </i>
    <i r="3">
      <x v="12"/>
    </i>
    <i>
      <x v="23"/>
      <x v="9"/>
      <x v="5"/>
      <x v="9"/>
    </i>
    <i r="1">
      <x v="38"/>
      <x v="5"/>
      <x v="4"/>
    </i>
    <i r="1">
      <x v="41"/>
      <x v="5"/>
      <x v="12"/>
    </i>
    <i>
      <x v="24"/>
      <x v="36"/>
      <x v="5"/>
      <x v="9"/>
    </i>
    <i r="3">
      <x v="12"/>
    </i>
    <i r="1">
      <x v="39"/>
      <x v="5"/>
      <x v="4"/>
    </i>
    <i>
      <x v="25"/>
      <x v="35"/>
      <x v="5"/>
      <x v="9"/>
    </i>
    <i r="1">
      <x v="40"/>
      <x v="5"/>
      <x v="4"/>
    </i>
    <i r="3">
      <x v="12"/>
    </i>
    <i>
      <x v="26"/>
      <x v="6"/>
      <x v="5"/>
      <x v="12"/>
    </i>
    <i r="1">
      <x v="26"/>
      <x v="5"/>
      <x v="9"/>
    </i>
    <i r="1">
      <x v="41"/>
      <x v="5"/>
      <x v="4"/>
    </i>
    <i>
      <x v="27"/>
      <x v="15"/>
      <x v="6"/>
      <x v="9"/>
    </i>
    <i r="1">
      <x v="21"/>
      <x v="6"/>
      <x v="4"/>
    </i>
    <i r="1">
      <x v="43"/>
      <x v="5"/>
      <x v="12"/>
    </i>
    <i>
      <x v="28"/>
      <x v="15"/>
      <x v="6"/>
      <x v="12"/>
    </i>
    <i>
      <x v="29"/>
      <x v="30"/>
      <x v="7"/>
      <x v="3"/>
    </i>
    <i>
      <x v="31"/>
      <x v="31"/>
      <x v="8"/>
      <x v="10"/>
    </i>
  </rowItems>
  <colItems count="1">
    <i/>
  </colItems>
  <pageFields count="1">
    <pageField fld="1" hier="-1"/>
  </pageFields>
  <formats count="3">
    <format dxfId="2">
      <pivotArea field="1" type="button" dataOnly="0" labelOnly="1" outline="0" axis="axisPage" fieldPosition="0"/>
    </format>
    <format dxfId="1">
      <pivotArea field="1" type="button" dataOnly="0" labelOnly="1" outline="0" axis="axisPage" fieldPosition="0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D46"/>
  <sheetViews>
    <sheetView zoomScale="80" zoomScaleNormal="80" workbookViewId="0">
      <selection activeCell="B25" sqref="B25"/>
    </sheetView>
  </sheetViews>
  <sheetFormatPr baseColWidth="10" defaultRowHeight="14.4" x14ac:dyDescent="0.3"/>
  <cols>
    <col min="1" max="1" width="4.33203125" bestFit="1" customWidth="1"/>
    <col min="2" max="2" width="40.109375" bestFit="1" customWidth="1"/>
    <col min="3" max="3" width="12.6640625" bestFit="1" customWidth="1"/>
    <col min="4" max="4" width="9.88671875" bestFit="1" customWidth="1"/>
  </cols>
  <sheetData>
    <row r="3" spans="1:4" x14ac:dyDescent="0.3">
      <c r="A3" s="1" t="s">
        <v>0</v>
      </c>
      <c r="B3" s="1" t="s">
        <v>1</v>
      </c>
      <c r="C3" s="1" t="s">
        <v>2</v>
      </c>
      <c r="D3" s="1" t="s">
        <v>41</v>
      </c>
    </row>
    <row r="4" spans="1:4" x14ac:dyDescent="0.3">
      <c r="A4" s="2">
        <v>1</v>
      </c>
      <c r="B4" s="3" t="s">
        <v>22</v>
      </c>
      <c r="C4" s="4" t="s">
        <v>3</v>
      </c>
      <c r="D4" s="3" t="s">
        <v>42</v>
      </c>
    </row>
    <row r="5" spans="1:4" x14ac:dyDescent="0.3">
      <c r="A5" s="2">
        <v>2</v>
      </c>
      <c r="B5" s="3" t="s">
        <v>23</v>
      </c>
      <c r="C5" s="4" t="s">
        <v>4</v>
      </c>
      <c r="D5" s="3" t="s">
        <v>42</v>
      </c>
    </row>
    <row r="6" spans="1:4" x14ac:dyDescent="0.3">
      <c r="A6" s="2">
        <v>3</v>
      </c>
      <c r="B6" s="3" t="s">
        <v>24</v>
      </c>
      <c r="C6" s="4" t="s">
        <v>5</v>
      </c>
      <c r="D6" s="3" t="s">
        <v>42</v>
      </c>
    </row>
    <row r="7" spans="1:4" x14ac:dyDescent="0.3">
      <c r="A7" s="2">
        <v>4</v>
      </c>
      <c r="B7" s="3" t="s">
        <v>25</v>
      </c>
      <c r="C7" s="4" t="s">
        <v>6</v>
      </c>
      <c r="D7" s="3" t="s">
        <v>42</v>
      </c>
    </row>
    <row r="8" spans="1:4" x14ac:dyDescent="0.3">
      <c r="A8" s="2">
        <v>5</v>
      </c>
      <c r="B8" s="3" t="s">
        <v>26</v>
      </c>
      <c r="C8" s="4" t="s">
        <v>7</v>
      </c>
      <c r="D8" s="3" t="s">
        <v>42</v>
      </c>
    </row>
    <row r="9" spans="1:4" x14ac:dyDescent="0.3">
      <c r="A9" s="2">
        <v>6</v>
      </c>
      <c r="B9" s="3" t="s">
        <v>27</v>
      </c>
      <c r="C9" s="4" t="s">
        <v>8</v>
      </c>
      <c r="D9" s="3" t="s">
        <v>42</v>
      </c>
    </row>
    <row r="10" spans="1:4" x14ac:dyDescent="0.3">
      <c r="A10" s="2">
        <v>7</v>
      </c>
      <c r="B10" s="3" t="s">
        <v>28</v>
      </c>
      <c r="C10" s="4" t="s">
        <v>9</v>
      </c>
      <c r="D10" s="3" t="s">
        <v>42</v>
      </c>
    </row>
    <row r="11" spans="1:4" x14ac:dyDescent="0.3">
      <c r="A11" s="2">
        <v>8</v>
      </c>
      <c r="B11" s="3" t="s">
        <v>29</v>
      </c>
      <c r="C11" s="5" t="s">
        <v>10</v>
      </c>
      <c r="D11" s="3" t="s">
        <v>42</v>
      </c>
    </row>
    <row r="12" spans="1:4" x14ac:dyDescent="0.3">
      <c r="A12" s="2">
        <v>9</v>
      </c>
      <c r="B12" s="3" t="s">
        <v>30</v>
      </c>
      <c r="C12" s="5" t="s">
        <v>11</v>
      </c>
      <c r="D12" s="3" t="s">
        <v>42</v>
      </c>
    </row>
    <row r="13" spans="1:4" x14ac:dyDescent="0.3">
      <c r="A13" s="2">
        <v>10</v>
      </c>
      <c r="B13" s="3" t="s">
        <v>31</v>
      </c>
      <c r="C13" s="6" t="s">
        <v>12</v>
      </c>
      <c r="D13" s="3" t="s">
        <v>42</v>
      </c>
    </row>
    <row r="14" spans="1:4" x14ac:dyDescent="0.3">
      <c r="A14" s="2">
        <v>11</v>
      </c>
      <c r="B14" s="3" t="s">
        <v>32</v>
      </c>
      <c r="C14" s="2" t="s">
        <v>13</v>
      </c>
      <c r="D14" s="3" t="s">
        <v>42</v>
      </c>
    </row>
    <row r="15" spans="1:4" x14ac:dyDescent="0.3">
      <c r="A15" s="2">
        <v>12</v>
      </c>
      <c r="B15" s="3" t="s">
        <v>33</v>
      </c>
      <c r="C15" s="2" t="s">
        <v>14</v>
      </c>
      <c r="D15" s="3" t="s">
        <v>42</v>
      </c>
    </row>
    <row r="16" spans="1:4" x14ac:dyDescent="0.3">
      <c r="A16" s="2">
        <v>13</v>
      </c>
      <c r="B16" s="3" t="s">
        <v>34</v>
      </c>
      <c r="C16" s="2" t="s">
        <v>15</v>
      </c>
      <c r="D16" s="3" t="s">
        <v>42</v>
      </c>
    </row>
    <row r="17" spans="1:4" x14ac:dyDescent="0.3">
      <c r="A17" s="2">
        <v>14</v>
      </c>
      <c r="B17" s="3" t="s">
        <v>35</v>
      </c>
      <c r="C17" s="2" t="s">
        <v>16</v>
      </c>
      <c r="D17" s="3" t="s">
        <v>42</v>
      </c>
    </row>
    <row r="18" spans="1:4" x14ac:dyDescent="0.3">
      <c r="A18" s="2">
        <v>15</v>
      </c>
      <c r="B18" s="3" t="s">
        <v>36</v>
      </c>
      <c r="C18" s="2" t="s">
        <v>17</v>
      </c>
      <c r="D18" s="3" t="s">
        <v>42</v>
      </c>
    </row>
    <row r="19" spans="1:4" x14ac:dyDescent="0.3">
      <c r="A19" s="2">
        <v>16</v>
      </c>
      <c r="B19" s="3" t="s">
        <v>37</v>
      </c>
      <c r="C19" s="2" t="s">
        <v>18</v>
      </c>
      <c r="D19" s="3" t="s">
        <v>42</v>
      </c>
    </row>
    <row r="20" spans="1:4" x14ac:dyDescent="0.3">
      <c r="A20" s="2">
        <v>17</v>
      </c>
      <c r="B20" s="3" t="s">
        <v>38</v>
      </c>
      <c r="C20" s="2" t="s">
        <v>19</v>
      </c>
      <c r="D20" s="3" t="s">
        <v>42</v>
      </c>
    </row>
    <row r="21" spans="1:4" x14ac:dyDescent="0.3">
      <c r="A21" s="2">
        <v>18</v>
      </c>
      <c r="B21" s="3" t="s">
        <v>39</v>
      </c>
      <c r="C21" s="2" t="s">
        <v>20</v>
      </c>
      <c r="D21" s="3" t="s">
        <v>42</v>
      </c>
    </row>
    <row r="22" spans="1:4" x14ac:dyDescent="0.3">
      <c r="A22" s="2">
        <v>19</v>
      </c>
      <c r="B22" s="3" t="s">
        <v>40</v>
      </c>
      <c r="C22" s="2" t="s">
        <v>21</v>
      </c>
      <c r="D22" s="3" t="s">
        <v>42</v>
      </c>
    </row>
    <row r="23" spans="1:4" x14ac:dyDescent="0.3">
      <c r="A23" s="2">
        <v>20</v>
      </c>
      <c r="B23" s="3" t="s">
        <v>43</v>
      </c>
      <c r="C23" s="2" t="s">
        <v>44</v>
      </c>
      <c r="D23" s="3" t="s">
        <v>71</v>
      </c>
    </row>
    <row r="24" spans="1:4" x14ac:dyDescent="0.3">
      <c r="A24" s="2">
        <v>21</v>
      </c>
      <c r="B24" s="3" t="s">
        <v>45</v>
      </c>
      <c r="C24" s="2" t="s">
        <v>46</v>
      </c>
      <c r="D24" s="3" t="s">
        <v>71</v>
      </c>
    </row>
    <row r="25" spans="1:4" x14ac:dyDescent="0.3">
      <c r="A25" s="2">
        <v>22</v>
      </c>
      <c r="B25" s="3" t="s">
        <v>47</v>
      </c>
      <c r="C25" s="2" t="s">
        <v>48</v>
      </c>
      <c r="D25" s="3" t="s">
        <v>71</v>
      </c>
    </row>
    <row r="26" spans="1:4" x14ac:dyDescent="0.3">
      <c r="A26" s="2">
        <v>23</v>
      </c>
      <c r="B26" s="3" t="s">
        <v>49</v>
      </c>
      <c r="C26" s="2" t="s">
        <v>50</v>
      </c>
      <c r="D26" s="3" t="s">
        <v>71</v>
      </c>
    </row>
    <row r="27" spans="1:4" x14ac:dyDescent="0.3">
      <c r="A27" s="2">
        <v>24</v>
      </c>
      <c r="B27" s="3" t="s">
        <v>51</v>
      </c>
      <c r="C27" s="2" t="s">
        <v>52</v>
      </c>
      <c r="D27" s="3" t="s">
        <v>71</v>
      </c>
    </row>
    <row r="28" spans="1:4" x14ac:dyDescent="0.3">
      <c r="A28" s="2">
        <v>25</v>
      </c>
      <c r="B28" s="3" t="s">
        <v>53</v>
      </c>
      <c r="C28" s="2" t="s">
        <v>54</v>
      </c>
      <c r="D28" s="3" t="s">
        <v>71</v>
      </c>
    </row>
    <row r="29" spans="1:4" x14ac:dyDescent="0.3">
      <c r="A29" s="2">
        <v>26</v>
      </c>
      <c r="B29" s="3" t="s">
        <v>55</v>
      </c>
      <c r="C29" s="2" t="s">
        <v>56</v>
      </c>
      <c r="D29" s="3" t="s">
        <v>71</v>
      </c>
    </row>
    <row r="30" spans="1:4" x14ac:dyDescent="0.3">
      <c r="A30" s="2">
        <v>27</v>
      </c>
      <c r="B30" s="3" t="s">
        <v>57</v>
      </c>
      <c r="C30" s="2" t="s">
        <v>58</v>
      </c>
      <c r="D30" s="3" t="s">
        <v>71</v>
      </c>
    </row>
    <row r="31" spans="1:4" x14ac:dyDescent="0.3">
      <c r="A31" s="2">
        <v>28</v>
      </c>
      <c r="B31" s="3" t="s">
        <v>59</v>
      </c>
      <c r="C31" s="2" t="s">
        <v>60</v>
      </c>
      <c r="D31" s="3" t="s">
        <v>71</v>
      </c>
    </row>
    <row r="32" spans="1:4" x14ac:dyDescent="0.3">
      <c r="A32" s="2">
        <v>29</v>
      </c>
      <c r="B32" s="3" t="s">
        <v>61</v>
      </c>
      <c r="C32" s="2" t="s">
        <v>62</v>
      </c>
      <c r="D32" s="3" t="s">
        <v>71</v>
      </c>
    </row>
    <row r="33" spans="1:4" x14ac:dyDescent="0.3">
      <c r="A33" s="2">
        <v>30</v>
      </c>
      <c r="B33" s="3" t="s">
        <v>63</v>
      </c>
      <c r="C33" s="2" t="s">
        <v>64</v>
      </c>
      <c r="D33" s="3" t="s">
        <v>71</v>
      </c>
    </row>
    <row r="34" spans="1:4" x14ac:dyDescent="0.3">
      <c r="A34" s="2">
        <v>31</v>
      </c>
      <c r="B34" s="3" t="s">
        <v>65</v>
      </c>
      <c r="C34" s="2" t="s">
        <v>66</v>
      </c>
      <c r="D34" s="3" t="s">
        <v>71</v>
      </c>
    </row>
    <row r="35" spans="1:4" x14ac:dyDescent="0.3">
      <c r="A35" s="2">
        <v>32</v>
      </c>
      <c r="B35" s="3" t="s">
        <v>67</v>
      </c>
      <c r="C35" s="2" t="s">
        <v>68</v>
      </c>
      <c r="D35" s="3" t="s">
        <v>71</v>
      </c>
    </row>
    <row r="36" spans="1:4" x14ac:dyDescent="0.3">
      <c r="A36" s="2">
        <v>33</v>
      </c>
      <c r="B36" s="3" t="s">
        <v>69</v>
      </c>
      <c r="C36" s="2" t="s">
        <v>70</v>
      </c>
      <c r="D36" s="3" t="s">
        <v>71</v>
      </c>
    </row>
    <row r="37" spans="1:4" x14ac:dyDescent="0.3">
      <c r="A37" s="2">
        <v>34</v>
      </c>
      <c r="B37" s="3" t="s">
        <v>141</v>
      </c>
      <c r="C37" s="2" t="s">
        <v>142</v>
      </c>
      <c r="D37" s="3" t="s">
        <v>42</v>
      </c>
    </row>
    <row r="38" spans="1:4" x14ac:dyDescent="0.3">
      <c r="A38" s="2">
        <v>35</v>
      </c>
      <c r="B38" s="3" t="s">
        <v>147</v>
      </c>
      <c r="C38" s="2" t="s">
        <v>136</v>
      </c>
      <c r="D38" s="3" t="s">
        <v>71</v>
      </c>
    </row>
    <row r="39" spans="1:4" x14ac:dyDescent="0.3">
      <c r="A39" s="2">
        <v>36</v>
      </c>
      <c r="B39" s="3" t="s">
        <v>149</v>
      </c>
      <c r="C39" s="2" t="s">
        <v>137</v>
      </c>
      <c r="D39" s="3" t="s">
        <v>71</v>
      </c>
    </row>
    <row r="40" spans="1:4" x14ac:dyDescent="0.3">
      <c r="A40" s="2">
        <v>37</v>
      </c>
      <c r="B40" s="3" t="s">
        <v>148</v>
      </c>
      <c r="C40" s="2" t="s">
        <v>138</v>
      </c>
      <c r="D40" s="3" t="s">
        <v>71</v>
      </c>
    </row>
    <row r="41" spans="1:4" x14ac:dyDescent="0.3">
      <c r="A41" s="2">
        <v>38</v>
      </c>
      <c r="B41" s="3" t="s">
        <v>140</v>
      </c>
      <c r="C41" s="2" t="s">
        <v>139</v>
      </c>
      <c r="D41" s="3" t="s">
        <v>71</v>
      </c>
    </row>
    <row r="42" spans="1:4" x14ac:dyDescent="0.3">
      <c r="A42" s="2">
        <v>39</v>
      </c>
      <c r="B42" s="3" t="s">
        <v>143</v>
      </c>
      <c r="C42" s="2" t="s">
        <v>144</v>
      </c>
      <c r="D42" s="3" t="s">
        <v>71</v>
      </c>
    </row>
    <row r="43" spans="1:4" x14ac:dyDescent="0.3">
      <c r="A43" s="2">
        <v>40</v>
      </c>
      <c r="B43" s="3" t="s">
        <v>145</v>
      </c>
      <c r="C43" s="2" t="s">
        <v>146</v>
      </c>
      <c r="D43" s="3" t="s">
        <v>71</v>
      </c>
    </row>
    <row r="44" spans="1:4" x14ac:dyDescent="0.3">
      <c r="A44" s="2">
        <v>41</v>
      </c>
      <c r="B44" s="3" t="s">
        <v>150</v>
      </c>
      <c r="C44" s="2" t="s">
        <v>151</v>
      </c>
      <c r="D44" s="3" t="s">
        <v>42</v>
      </c>
    </row>
    <row r="45" spans="1:4" x14ac:dyDescent="0.3">
      <c r="A45" s="2">
        <v>42</v>
      </c>
      <c r="B45" s="3" t="s">
        <v>158</v>
      </c>
      <c r="C45" s="2" t="s">
        <v>159</v>
      </c>
      <c r="D45" s="3" t="s">
        <v>42</v>
      </c>
    </row>
    <row r="46" spans="1:4" x14ac:dyDescent="0.3">
      <c r="A46" s="2">
        <v>43</v>
      </c>
      <c r="B46" s="2"/>
      <c r="C46" s="2"/>
      <c r="D4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C11"/>
  <sheetViews>
    <sheetView workbookViewId="0">
      <selection activeCell="C7" sqref="C7"/>
    </sheetView>
  </sheetViews>
  <sheetFormatPr baseColWidth="10" defaultRowHeight="14.4" x14ac:dyDescent="0.3"/>
  <sheetData>
    <row r="2" spans="2:3" x14ac:dyDescent="0.3">
      <c r="B2" s="7" t="s">
        <v>72</v>
      </c>
      <c r="C2" s="8" t="s">
        <v>73</v>
      </c>
    </row>
    <row r="3" spans="2:3" x14ac:dyDescent="0.3">
      <c r="B3" s="9" t="s">
        <v>92</v>
      </c>
      <c r="C3" s="10"/>
    </row>
    <row r="4" spans="2:3" x14ac:dyDescent="0.3">
      <c r="B4" s="9" t="s">
        <v>85</v>
      </c>
      <c r="C4" s="10">
        <v>0</v>
      </c>
    </row>
    <row r="5" spans="2:3" x14ac:dyDescent="0.3">
      <c r="B5" s="9" t="s">
        <v>86</v>
      </c>
      <c r="C5" s="10">
        <v>0</v>
      </c>
    </row>
    <row r="6" spans="2:3" x14ac:dyDescent="0.3">
      <c r="B6" s="9" t="s">
        <v>87</v>
      </c>
      <c r="C6" s="10">
        <v>0</v>
      </c>
    </row>
    <row r="7" spans="2:3" x14ac:dyDescent="0.3">
      <c r="B7" s="11" t="s">
        <v>88</v>
      </c>
      <c r="C7" s="12">
        <v>0</v>
      </c>
    </row>
    <row r="8" spans="2:3" x14ac:dyDescent="0.3">
      <c r="B8" s="11" t="s">
        <v>89</v>
      </c>
      <c r="C8" s="12">
        <v>0</v>
      </c>
    </row>
    <row r="9" spans="2:3" x14ac:dyDescent="0.3">
      <c r="B9" s="9" t="s">
        <v>90</v>
      </c>
      <c r="C9" s="10">
        <v>0</v>
      </c>
    </row>
    <row r="10" spans="2:3" x14ac:dyDescent="0.3">
      <c r="B10" s="9" t="s">
        <v>91</v>
      </c>
      <c r="C10" s="10">
        <v>0</v>
      </c>
    </row>
    <row r="11" spans="2:3" x14ac:dyDescent="0.3">
      <c r="B11" s="9" t="s">
        <v>93</v>
      </c>
      <c r="C11" s="10">
        <v>0</v>
      </c>
    </row>
  </sheetData>
  <sortState ref="B3:C11">
    <sortCondition ref="B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109"/>
  <sheetViews>
    <sheetView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J2" sqref="J2"/>
    </sheetView>
  </sheetViews>
  <sheetFormatPr baseColWidth="10" defaultRowHeight="14.4" x14ac:dyDescent="0.3"/>
  <cols>
    <col min="1" max="1" width="37.5546875" bestFit="1" customWidth="1"/>
    <col min="2" max="7" width="4.33203125" customWidth="1"/>
    <col min="8" max="8" width="10.44140625" customWidth="1"/>
    <col min="9" max="9" width="45.6640625" customWidth="1"/>
    <col min="10" max="10" width="16.109375" customWidth="1"/>
    <col min="11" max="11" width="15" customWidth="1"/>
    <col min="12" max="12" width="15.44140625" customWidth="1"/>
    <col min="13" max="15" width="24.6640625" customWidth="1"/>
    <col min="16" max="16" width="32.6640625" customWidth="1"/>
    <col min="17" max="17" width="5.6640625" customWidth="1"/>
  </cols>
  <sheetData>
    <row r="1" spans="1:21" ht="36" customHeight="1" thickBot="1" x14ac:dyDescent="0.7">
      <c r="A1" s="33" t="s">
        <v>75</v>
      </c>
      <c r="B1" s="13"/>
      <c r="C1" s="13"/>
      <c r="D1" s="13"/>
      <c r="E1" s="13"/>
      <c r="F1" s="13"/>
      <c r="G1" s="13"/>
      <c r="H1" s="13"/>
      <c r="I1" s="34" t="s">
        <v>74</v>
      </c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21" ht="21" x14ac:dyDescent="0.4">
      <c r="A2" s="21" t="s">
        <v>95</v>
      </c>
      <c r="B2" s="111"/>
      <c r="C2" s="112"/>
      <c r="D2" s="112"/>
      <c r="E2" s="112"/>
      <c r="F2" s="112"/>
      <c r="G2" s="112"/>
      <c r="H2" s="113"/>
      <c r="I2" s="35" t="s">
        <v>94</v>
      </c>
      <c r="J2" s="74"/>
      <c r="K2" s="13"/>
      <c r="L2" s="13"/>
      <c r="M2" s="13"/>
      <c r="N2" s="13"/>
      <c r="O2" s="13"/>
      <c r="P2" s="13"/>
      <c r="Q2" s="13"/>
      <c r="R2" s="13"/>
      <c r="S2" s="13"/>
    </row>
    <row r="3" spans="1:21" ht="21.6" thickBot="1" x14ac:dyDescent="0.45">
      <c r="A3" s="21" t="s">
        <v>76</v>
      </c>
      <c r="B3" s="117"/>
      <c r="C3" s="118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21" ht="21" x14ac:dyDescent="0.4">
      <c r="A4" s="21" t="s">
        <v>78</v>
      </c>
      <c r="B4" s="17"/>
      <c r="C4" s="14" t="s">
        <v>83</v>
      </c>
      <c r="D4" s="22"/>
      <c r="E4" s="13"/>
      <c r="F4" s="13"/>
      <c r="G4" s="13"/>
      <c r="H4" s="13"/>
      <c r="I4" s="71" t="s">
        <v>105</v>
      </c>
      <c r="J4" s="72" t="s">
        <v>81</v>
      </c>
      <c r="K4" s="72" t="s">
        <v>82</v>
      </c>
      <c r="L4" s="73" t="s">
        <v>41</v>
      </c>
      <c r="M4" s="13"/>
      <c r="N4" s="13"/>
      <c r="O4" s="13"/>
      <c r="P4" s="13"/>
      <c r="Q4" s="13"/>
      <c r="R4" s="13"/>
      <c r="S4" s="13"/>
    </row>
    <row r="5" spans="1:21" ht="21" x14ac:dyDescent="0.4">
      <c r="A5" s="21" t="s">
        <v>77</v>
      </c>
      <c r="B5" s="77"/>
      <c r="C5" s="78"/>
      <c r="D5" s="78"/>
      <c r="E5" s="78"/>
      <c r="F5" s="78"/>
      <c r="G5" s="79"/>
      <c r="H5" s="13"/>
      <c r="I5" s="19"/>
      <c r="J5" s="20"/>
      <c r="K5" s="20"/>
      <c r="L5" s="18" t="str">
        <f>IF(I5=0," ",VLOOKUP(I5,'NOMINAS PSM&amp;BIO'!B:D,3,FALSE))</f>
        <v xml:space="preserve"> </v>
      </c>
      <c r="M5" s="13"/>
      <c r="N5" s="13"/>
      <c r="O5" s="13"/>
      <c r="P5" s="13"/>
      <c r="Q5" s="13"/>
      <c r="R5" s="13"/>
      <c r="S5" s="13"/>
      <c r="T5" s="13" t="e">
        <f>VLOOKUP(I5,P:Q,2)</f>
        <v>#N/A</v>
      </c>
      <c r="U5" t="e">
        <f>VLOOKUP(T5,H:L,2)</f>
        <v>#N/A</v>
      </c>
    </row>
    <row r="6" spans="1:21" x14ac:dyDescent="0.3">
      <c r="A6" s="13"/>
      <c r="B6" s="76" t="str">
        <f t="shared" ref="B6:G6" si="0">IF(B5=0," ",B5)</f>
        <v xml:space="preserve"> </v>
      </c>
      <c r="C6" s="76" t="str">
        <f t="shared" si="0"/>
        <v xml:space="preserve"> </v>
      </c>
      <c r="D6" s="76" t="str">
        <f t="shared" si="0"/>
        <v xml:space="preserve"> </v>
      </c>
      <c r="E6" s="76" t="str">
        <f t="shared" si="0"/>
        <v xml:space="preserve"> </v>
      </c>
      <c r="F6" s="76" t="str">
        <f t="shared" si="0"/>
        <v xml:space="preserve"> </v>
      </c>
      <c r="G6" s="76" t="str">
        <f t="shared" si="0"/>
        <v xml:space="preserve"> </v>
      </c>
      <c r="H6" s="13"/>
      <c r="I6" s="114" t="str">
        <f>IF(I5=0," ",IF(I5=U5,"OJO PERSONA YA ESTA EN LISTA, REVISA BIEN POR FAVOR"," "))</f>
        <v xml:space="preserve"> </v>
      </c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21" x14ac:dyDescent="0.3">
      <c r="A7" s="13"/>
      <c r="B7" s="13"/>
      <c r="C7" s="13"/>
      <c r="D7" s="13"/>
      <c r="E7" s="13"/>
      <c r="F7" s="13"/>
      <c r="G7" s="13"/>
      <c r="H7" s="13"/>
      <c r="I7" s="115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21" ht="15" thickBot="1" x14ac:dyDescent="0.35">
      <c r="A8" s="13"/>
      <c r="B8" s="13"/>
      <c r="C8" s="13"/>
      <c r="D8" s="13"/>
      <c r="E8" s="13"/>
      <c r="F8" s="13"/>
      <c r="G8" s="13"/>
      <c r="H8" s="13"/>
      <c r="I8" s="116"/>
      <c r="J8" s="13"/>
      <c r="K8" s="13"/>
      <c r="L8" s="13"/>
      <c r="M8" s="13"/>
      <c r="N8" s="13"/>
      <c r="O8" s="13"/>
      <c r="P8" s="13"/>
      <c r="Q8" s="13"/>
      <c r="R8" s="13"/>
      <c r="S8" s="13"/>
    </row>
    <row r="9" spans="1:21" ht="21.6" thickBot="1" x14ac:dyDescent="0.45">
      <c r="A9" s="13"/>
      <c r="B9" s="13"/>
      <c r="C9" s="13"/>
      <c r="D9" s="13"/>
      <c r="E9" s="13"/>
      <c r="F9" s="13"/>
      <c r="G9" s="13"/>
      <c r="H9" s="40" t="s">
        <v>79</v>
      </c>
      <c r="I9" s="41" t="s">
        <v>80</v>
      </c>
      <c r="J9" s="42" t="s">
        <v>81</v>
      </c>
      <c r="K9" s="42" t="s">
        <v>110</v>
      </c>
      <c r="L9" s="43" t="s">
        <v>41</v>
      </c>
      <c r="M9" s="13"/>
      <c r="N9" s="13"/>
      <c r="O9" s="13"/>
      <c r="P9" s="36" t="s">
        <v>80</v>
      </c>
      <c r="Q9" s="28" t="s">
        <v>79</v>
      </c>
      <c r="R9" s="13"/>
      <c r="S9" s="13"/>
    </row>
    <row r="10" spans="1:21" ht="0.6" customHeight="1" x14ac:dyDescent="0.3">
      <c r="A10" s="15" t="s">
        <v>84</v>
      </c>
      <c r="B10" s="16"/>
      <c r="C10" s="13"/>
      <c r="D10" s="13"/>
      <c r="E10" s="13"/>
      <c r="F10" s="13"/>
      <c r="G10" s="13"/>
      <c r="H10" s="27">
        <v>0</v>
      </c>
      <c r="I10" s="104" t="s">
        <v>53</v>
      </c>
      <c r="J10" s="25" t="s">
        <v>85</v>
      </c>
      <c r="K10" s="26">
        <v>35</v>
      </c>
      <c r="L10" s="26" t="s">
        <v>71</v>
      </c>
      <c r="M10" s="13"/>
      <c r="N10" s="13"/>
      <c r="O10" s="13"/>
      <c r="P10" s="38" t="s">
        <v>140</v>
      </c>
      <c r="Q10" s="13">
        <v>9</v>
      </c>
      <c r="R10" s="13"/>
      <c r="S10" s="13"/>
    </row>
    <row r="11" spans="1:21" ht="15.6" x14ac:dyDescent="0.3">
      <c r="A11" s="29" t="s">
        <v>23</v>
      </c>
      <c r="B11" s="13"/>
      <c r="C11" s="13"/>
      <c r="D11" s="13"/>
      <c r="E11" s="13"/>
      <c r="F11" s="13"/>
      <c r="G11" s="13"/>
      <c r="H11" s="24">
        <v>1</v>
      </c>
      <c r="I11" s="105"/>
      <c r="J11" s="25"/>
      <c r="K11" s="26"/>
      <c r="L11" s="26"/>
      <c r="M11" s="13"/>
      <c r="N11" s="13"/>
      <c r="O11" s="13"/>
      <c r="P11" s="38"/>
      <c r="Q11" s="13"/>
      <c r="R11" s="13"/>
      <c r="S11" s="13"/>
    </row>
    <row r="12" spans="1:21" ht="15.6" x14ac:dyDescent="0.3">
      <c r="A12" s="29" t="s">
        <v>30</v>
      </c>
      <c r="B12" s="13"/>
      <c r="C12" s="13"/>
      <c r="D12" s="13"/>
      <c r="E12" s="13"/>
      <c r="F12" s="13"/>
      <c r="G12" s="13"/>
      <c r="H12" s="23">
        <v>2</v>
      </c>
      <c r="I12" s="19"/>
      <c r="J12" s="20"/>
      <c r="K12" s="18"/>
      <c r="L12" s="18"/>
      <c r="M12" s="13"/>
      <c r="N12" s="13"/>
      <c r="O12" s="13"/>
      <c r="P12" s="38"/>
      <c r="Q12" s="13"/>
      <c r="R12" s="13"/>
      <c r="S12" s="13"/>
    </row>
    <row r="13" spans="1:21" ht="15.6" x14ac:dyDescent="0.3">
      <c r="A13" s="29" t="s">
        <v>65</v>
      </c>
      <c r="B13" s="13"/>
      <c r="C13" s="13"/>
      <c r="D13" s="13"/>
      <c r="E13" s="13"/>
      <c r="F13" s="13"/>
      <c r="G13" s="13"/>
      <c r="H13" s="23">
        <v>3</v>
      </c>
      <c r="I13" s="19"/>
      <c r="J13" s="20"/>
      <c r="K13" s="18"/>
      <c r="L13" s="18"/>
      <c r="M13" s="13"/>
      <c r="N13" s="13"/>
      <c r="O13" s="13"/>
      <c r="P13" s="38"/>
      <c r="Q13" s="13"/>
      <c r="R13" s="13"/>
      <c r="S13" s="13"/>
    </row>
    <row r="14" spans="1:21" ht="15.6" x14ac:dyDescent="0.3">
      <c r="A14" s="29" t="s">
        <v>39</v>
      </c>
      <c r="B14" s="13"/>
      <c r="C14" s="13"/>
      <c r="D14" s="13"/>
      <c r="E14" s="13"/>
      <c r="F14" s="13"/>
      <c r="G14" s="13"/>
      <c r="H14" s="23">
        <v>4</v>
      </c>
      <c r="I14" s="30"/>
      <c r="J14" s="20"/>
      <c r="K14" s="18"/>
      <c r="L14" s="18"/>
      <c r="M14" s="13"/>
      <c r="N14" s="13"/>
      <c r="O14" s="13"/>
      <c r="P14" s="38"/>
      <c r="Q14" s="13"/>
      <c r="R14" s="13"/>
      <c r="S14" s="13"/>
    </row>
    <row r="15" spans="1:21" ht="15.6" x14ac:dyDescent="0.3">
      <c r="A15" s="29" t="s">
        <v>25</v>
      </c>
      <c r="B15" s="13"/>
      <c r="C15" s="13"/>
      <c r="D15" s="13"/>
      <c r="E15" s="13"/>
      <c r="F15" s="13"/>
      <c r="G15" s="13"/>
      <c r="H15" s="23">
        <v>5</v>
      </c>
      <c r="I15" s="19"/>
      <c r="J15" s="20"/>
      <c r="K15" s="18"/>
      <c r="L15" s="18"/>
      <c r="M15" s="13"/>
      <c r="N15" s="13"/>
      <c r="O15" s="13"/>
      <c r="P15" s="38"/>
      <c r="Q15" s="13"/>
      <c r="R15" s="13"/>
      <c r="S15" s="13"/>
    </row>
    <row r="16" spans="1:21" ht="15.6" x14ac:dyDescent="0.3">
      <c r="A16" s="29" t="s">
        <v>34</v>
      </c>
      <c r="B16" s="13"/>
      <c r="C16" s="13"/>
      <c r="D16" s="13"/>
      <c r="E16" s="13"/>
      <c r="F16" s="13"/>
      <c r="G16" s="13"/>
      <c r="H16" s="23">
        <v>6</v>
      </c>
      <c r="I16" s="30"/>
      <c r="J16" s="20"/>
      <c r="K16" s="18"/>
      <c r="L16" s="18"/>
      <c r="M16" s="13"/>
      <c r="N16" s="13"/>
      <c r="O16" s="13"/>
      <c r="P16" s="38"/>
      <c r="Q16" s="13"/>
      <c r="R16" s="13"/>
      <c r="S16" s="13"/>
    </row>
    <row r="17" spans="1:19" ht="15.6" x14ac:dyDescent="0.3">
      <c r="A17" s="29" t="s">
        <v>69</v>
      </c>
      <c r="B17" s="13"/>
      <c r="C17" s="13"/>
      <c r="D17" s="13"/>
      <c r="E17" s="13"/>
      <c r="F17" s="13"/>
      <c r="G17" s="13"/>
      <c r="H17" s="23">
        <v>7</v>
      </c>
      <c r="I17" s="103"/>
      <c r="J17" s="20"/>
      <c r="K17" s="18"/>
      <c r="L17" s="18"/>
      <c r="M17" s="13"/>
      <c r="N17" s="13"/>
      <c r="O17" s="13"/>
      <c r="P17" s="38"/>
      <c r="Q17" s="13"/>
      <c r="R17" s="13"/>
      <c r="S17" s="13"/>
    </row>
    <row r="18" spans="1:19" ht="15.6" x14ac:dyDescent="0.3">
      <c r="A18" s="29" t="s">
        <v>53</v>
      </c>
      <c r="B18" s="13"/>
      <c r="C18" s="13"/>
      <c r="D18" s="13"/>
      <c r="E18" s="13"/>
      <c r="F18" s="13"/>
      <c r="G18" s="13"/>
      <c r="H18" s="23">
        <v>8</v>
      </c>
      <c r="I18" s="19"/>
      <c r="J18" s="20"/>
      <c r="K18" s="18"/>
      <c r="L18" s="18"/>
      <c r="M18" s="13"/>
      <c r="N18" s="13"/>
      <c r="O18" s="13"/>
      <c r="P18" s="38"/>
      <c r="Q18" s="13"/>
      <c r="R18" s="13"/>
      <c r="S18" s="13"/>
    </row>
    <row r="19" spans="1:19" ht="15.6" x14ac:dyDescent="0.3">
      <c r="A19" s="29" t="s">
        <v>57</v>
      </c>
      <c r="B19" s="13"/>
      <c r="C19" s="13"/>
      <c r="D19" s="13"/>
      <c r="E19" s="13"/>
      <c r="F19" s="13"/>
      <c r="G19" s="13"/>
      <c r="H19" s="23">
        <v>9</v>
      </c>
      <c r="I19" s="19"/>
      <c r="J19" s="20"/>
      <c r="K19" s="18"/>
      <c r="L19" s="18"/>
      <c r="M19" s="13"/>
      <c r="N19" s="13"/>
      <c r="O19" s="13"/>
      <c r="P19" s="38"/>
      <c r="Q19" s="13"/>
      <c r="R19" s="13"/>
      <c r="S19" s="13"/>
    </row>
    <row r="20" spans="1:19" ht="15.6" x14ac:dyDescent="0.3">
      <c r="A20" s="29" t="s">
        <v>55</v>
      </c>
      <c r="B20" s="13"/>
      <c r="C20" s="13"/>
      <c r="D20" s="13"/>
      <c r="E20" s="13"/>
      <c r="F20" s="13"/>
      <c r="G20" s="13"/>
      <c r="H20" s="23">
        <v>10</v>
      </c>
      <c r="I20" s="30"/>
      <c r="J20" s="20"/>
      <c r="K20" s="18"/>
      <c r="L20" s="18"/>
      <c r="M20" s="13"/>
      <c r="N20" s="13"/>
      <c r="O20" s="13"/>
      <c r="P20" s="38"/>
      <c r="Q20" s="13"/>
      <c r="R20" s="13"/>
      <c r="S20" s="13"/>
    </row>
    <row r="21" spans="1:19" ht="15.6" x14ac:dyDescent="0.3">
      <c r="A21" s="29" t="s">
        <v>51</v>
      </c>
      <c r="B21" s="13"/>
      <c r="C21" s="13"/>
      <c r="D21" s="13"/>
      <c r="E21" s="13"/>
      <c r="F21" s="13"/>
      <c r="G21" s="13"/>
      <c r="H21" s="23">
        <v>11</v>
      </c>
      <c r="I21" s="30"/>
      <c r="J21" s="20"/>
      <c r="K21" s="18"/>
      <c r="L21" s="18"/>
      <c r="M21" s="13"/>
      <c r="N21" s="13"/>
      <c r="O21" s="13"/>
      <c r="P21" s="38"/>
      <c r="Q21" s="13"/>
      <c r="R21" s="13"/>
      <c r="S21" s="13"/>
    </row>
    <row r="22" spans="1:19" ht="15.6" x14ac:dyDescent="0.3">
      <c r="A22" s="29" t="s">
        <v>37</v>
      </c>
      <c r="B22" s="13"/>
      <c r="C22" s="13"/>
      <c r="D22" s="13"/>
      <c r="E22" s="13"/>
      <c r="F22" s="13"/>
      <c r="G22" s="13"/>
      <c r="H22" s="23">
        <v>12</v>
      </c>
      <c r="I22" s="30"/>
      <c r="J22" s="20"/>
      <c r="K22" s="18"/>
      <c r="L22" s="18"/>
      <c r="M22" s="13"/>
      <c r="N22" s="13"/>
      <c r="O22" s="13"/>
      <c r="P22" s="38"/>
      <c r="Q22" s="13"/>
      <c r="R22" s="13"/>
      <c r="S22" s="13"/>
    </row>
    <row r="23" spans="1:19" ht="15.6" x14ac:dyDescent="0.3">
      <c r="A23" s="29" t="s">
        <v>35</v>
      </c>
      <c r="B23" s="13"/>
      <c r="C23" s="13"/>
      <c r="D23" s="13"/>
      <c r="E23" s="13"/>
      <c r="F23" s="13"/>
      <c r="G23" s="13"/>
      <c r="H23" s="23">
        <v>13</v>
      </c>
      <c r="I23" s="30"/>
      <c r="J23" s="20"/>
      <c r="K23" s="18"/>
      <c r="L23" s="18"/>
      <c r="M23" s="13"/>
      <c r="N23" s="13"/>
      <c r="O23" s="13"/>
      <c r="P23" s="37"/>
      <c r="Q23" s="13"/>
      <c r="R23" s="13"/>
      <c r="S23" s="13"/>
    </row>
    <row r="24" spans="1:19" ht="15.6" x14ac:dyDescent="0.3">
      <c r="A24" s="29" t="s">
        <v>32</v>
      </c>
      <c r="B24" s="13"/>
      <c r="C24" s="13"/>
      <c r="D24" s="13"/>
      <c r="E24" s="13"/>
      <c r="F24" s="13"/>
      <c r="G24" s="13"/>
      <c r="H24" s="23">
        <v>14</v>
      </c>
      <c r="I24" s="30"/>
      <c r="J24" s="20"/>
      <c r="K24" s="18"/>
      <c r="L24" s="18"/>
      <c r="M24" s="13"/>
      <c r="N24" s="13"/>
      <c r="O24" s="13"/>
      <c r="P24" s="38"/>
      <c r="Q24" s="13"/>
      <c r="R24" s="13"/>
      <c r="S24" s="13"/>
    </row>
    <row r="25" spans="1:19" ht="15.6" x14ac:dyDescent="0.3">
      <c r="A25" s="29" t="s">
        <v>28</v>
      </c>
      <c r="B25" s="13"/>
      <c r="C25" s="13"/>
      <c r="D25" s="13"/>
      <c r="E25" s="13"/>
      <c r="F25" s="13"/>
      <c r="G25" s="13"/>
      <c r="H25" s="23">
        <v>15</v>
      </c>
      <c r="I25" s="30"/>
      <c r="J25" s="20"/>
      <c r="K25" s="18"/>
      <c r="L25" s="18"/>
      <c r="M25" s="13"/>
      <c r="N25" s="13"/>
      <c r="O25" s="13"/>
      <c r="P25" s="38"/>
      <c r="Q25" s="13"/>
      <c r="R25" s="13"/>
      <c r="S25" s="13"/>
    </row>
    <row r="26" spans="1:19" ht="15.6" x14ac:dyDescent="0.3">
      <c r="A26" s="29" t="s">
        <v>43</v>
      </c>
      <c r="B26" s="13"/>
      <c r="C26" s="13"/>
      <c r="D26" s="13"/>
      <c r="E26" s="13"/>
      <c r="F26" s="13"/>
      <c r="G26" s="13"/>
      <c r="H26" s="23">
        <v>16</v>
      </c>
      <c r="I26" s="39"/>
      <c r="J26" s="20"/>
      <c r="K26" s="18"/>
      <c r="L26" s="18"/>
      <c r="M26" s="13"/>
      <c r="N26" s="13"/>
      <c r="O26" s="13"/>
      <c r="P26" s="38"/>
      <c r="Q26" s="13"/>
      <c r="R26" s="13"/>
      <c r="S26" s="13"/>
    </row>
    <row r="27" spans="1:19" ht="15.6" x14ac:dyDescent="0.3">
      <c r="A27" s="29" t="s">
        <v>31</v>
      </c>
      <c r="B27" s="13"/>
      <c r="C27" s="13"/>
      <c r="D27" s="13"/>
      <c r="E27" s="13"/>
      <c r="F27" s="13"/>
      <c r="G27" s="13"/>
      <c r="H27" s="23">
        <v>17</v>
      </c>
      <c r="I27" s="39"/>
      <c r="J27" s="20"/>
      <c r="K27" s="18"/>
      <c r="L27" s="18"/>
      <c r="M27" s="13"/>
      <c r="N27" s="13"/>
      <c r="O27" s="13"/>
      <c r="P27" s="38"/>
      <c r="Q27" s="13"/>
      <c r="R27" s="13"/>
      <c r="S27" s="13"/>
    </row>
    <row r="28" spans="1:19" ht="15.6" x14ac:dyDescent="0.3">
      <c r="A28" s="29" t="s">
        <v>61</v>
      </c>
      <c r="B28" s="13"/>
      <c r="C28" s="13"/>
      <c r="D28" s="13"/>
      <c r="E28" s="13"/>
      <c r="F28" s="13"/>
      <c r="G28" s="13"/>
      <c r="H28" s="23">
        <v>18</v>
      </c>
      <c r="I28" s="32"/>
      <c r="J28" s="20"/>
      <c r="K28" s="18"/>
      <c r="L28" s="18"/>
      <c r="M28" s="13"/>
      <c r="N28" s="13"/>
      <c r="O28" s="13"/>
      <c r="P28" s="38"/>
      <c r="Q28" s="13"/>
      <c r="R28" s="13"/>
      <c r="S28" s="13"/>
    </row>
    <row r="29" spans="1:19" ht="15.6" x14ac:dyDescent="0.3">
      <c r="A29" s="29" t="s">
        <v>22</v>
      </c>
      <c r="B29" s="13"/>
      <c r="C29" s="13"/>
      <c r="D29" s="13"/>
      <c r="E29" s="13"/>
      <c r="F29" s="13"/>
      <c r="G29" s="13"/>
      <c r="H29" s="23">
        <v>19</v>
      </c>
      <c r="I29" s="32"/>
      <c r="J29" s="20"/>
      <c r="K29" s="18"/>
      <c r="L29" s="18"/>
      <c r="M29" s="13"/>
      <c r="N29" s="13"/>
      <c r="O29" s="13"/>
      <c r="P29" s="38"/>
      <c r="Q29" s="13"/>
      <c r="R29" s="13"/>
      <c r="S29" s="13"/>
    </row>
    <row r="30" spans="1:19" ht="15.6" x14ac:dyDescent="0.3">
      <c r="A30" s="29" t="s">
        <v>33</v>
      </c>
      <c r="B30" s="13"/>
      <c r="C30" s="13"/>
      <c r="D30" s="13"/>
      <c r="E30" s="13"/>
      <c r="F30" s="13"/>
      <c r="G30" s="13"/>
      <c r="H30" s="23">
        <v>20</v>
      </c>
      <c r="I30" s="32"/>
      <c r="J30" s="20"/>
      <c r="K30" s="18"/>
      <c r="L30" s="18"/>
      <c r="M30" s="13"/>
      <c r="N30" s="13"/>
      <c r="O30" s="13"/>
      <c r="P30" s="38"/>
      <c r="Q30" s="13"/>
      <c r="R30" s="13"/>
      <c r="S30" s="13"/>
    </row>
    <row r="31" spans="1:19" ht="15.6" x14ac:dyDescent="0.3">
      <c r="A31" s="29" t="s">
        <v>67</v>
      </c>
      <c r="B31" s="13"/>
      <c r="C31" s="13"/>
      <c r="D31" s="13"/>
      <c r="E31" s="13"/>
      <c r="F31" s="13"/>
      <c r="G31" s="13"/>
      <c r="H31" s="23">
        <v>21</v>
      </c>
      <c r="I31" s="32"/>
      <c r="J31" s="20"/>
      <c r="K31" s="18"/>
      <c r="L31" s="18"/>
      <c r="M31" s="13"/>
      <c r="N31" s="13"/>
      <c r="O31" s="13"/>
      <c r="P31" s="38"/>
      <c r="Q31" s="13"/>
      <c r="R31" s="13"/>
      <c r="S31" s="13"/>
    </row>
    <row r="32" spans="1:19" ht="15.6" x14ac:dyDescent="0.3">
      <c r="A32" s="29" t="s">
        <v>59</v>
      </c>
      <c r="B32" s="13"/>
      <c r="C32" s="13"/>
      <c r="D32" s="13"/>
      <c r="E32" s="13"/>
      <c r="F32" s="13"/>
      <c r="G32" s="13"/>
      <c r="H32" s="23">
        <v>22</v>
      </c>
      <c r="I32" s="32"/>
      <c r="J32" s="20"/>
      <c r="K32" s="18"/>
      <c r="L32" s="18"/>
      <c r="M32" s="13"/>
      <c r="N32" s="13"/>
      <c r="O32" s="13"/>
      <c r="P32" s="38"/>
      <c r="Q32" s="13"/>
      <c r="R32" s="13"/>
      <c r="S32" s="13"/>
    </row>
    <row r="33" spans="1:19" ht="15.6" x14ac:dyDescent="0.3">
      <c r="A33" s="29" t="s">
        <v>45</v>
      </c>
      <c r="B33" s="13"/>
      <c r="C33" s="13"/>
      <c r="D33" s="13"/>
      <c r="E33" s="13"/>
      <c r="F33" s="13"/>
      <c r="G33" s="13"/>
      <c r="H33" s="23">
        <v>23</v>
      </c>
      <c r="I33" s="32"/>
      <c r="J33" s="20"/>
      <c r="K33" s="18"/>
      <c r="L33" s="18"/>
      <c r="M33" s="13"/>
      <c r="N33" s="13"/>
      <c r="O33" s="13"/>
      <c r="P33" s="38"/>
      <c r="Q33" s="13"/>
      <c r="R33" s="13"/>
      <c r="S33" s="13"/>
    </row>
    <row r="34" spans="1:19" ht="15.6" x14ac:dyDescent="0.3">
      <c r="A34" s="29" t="s">
        <v>40</v>
      </c>
      <c r="B34" s="13"/>
      <c r="C34" s="13"/>
      <c r="D34" s="13"/>
      <c r="E34" s="13"/>
      <c r="F34" s="13"/>
      <c r="G34" s="13"/>
      <c r="H34" s="23">
        <v>24</v>
      </c>
      <c r="I34" s="32"/>
      <c r="J34" s="20"/>
      <c r="K34" s="18"/>
      <c r="L34" s="18"/>
      <c r="M34" s="13"/>
      <c r="N34" s="13"/>
      <c r="O34" s="13"/>
      <c r="P34" s="38"/>
      <c r="Q34" s="13"/>
      <c r="R34" s="13"/>
      <c r="S34" s="13"/>
    </row>
    <row r="35" spans="1:19" ht="15.6" x14ac:dyDescent="0.3">
      <c r="A35" s="29" t="s">
        <v>29</v>
      </c>
      <c r="B35" s="13"/>
      <c r="C35" s="13"/>
      <c r="D35" s="13"/>
      <c r="E35" s="13"/>
      <c r="F35" s="13"/>
      <c r="G35" s="13"/>
      <c r="H35" s="23">
        <v>25</v>
      </c>
      <c r="I35" s="32"/>
      <c r="J35" s="20"/>
      <c r="K35" s="18"/>
      <c r="L35" s="18"/>
      <c r="M35" s="13"/>
      <c r="N35" s="13"/>
      <c r="O35" s="13"/>
      <c r="P35" s="38"/>
      <c r="Q35" s="13"/>
      <c r="R35" s="13"/>
      <c r="S35" s="13"/>
    </row>
    <row r="36" spans="1:19" ht="15.6" x14ac:dyDescent="0.3">
      <c r="A36" s="29" t="s">
        <v>26</v>
      </c>
      <c r="B36" s="13"/>
      <c r="C36" s="13"/>
      <c r="D36" s="13"/>
      <c r="E36" s="13"/>
      <c r="F36" s="13"/>
      <c r="G36" s="13"/>
      <c r="H36" s="23">
        <v>26</v>
      </c>
      <c r="I36" s="32"/>
      <c r="J36" s="20"/>
      <c r="K36" s="18"/>
      <c r="L36" s="18"/>
      <c r="M36" s="13"/>
      <c r="N36" s="13"/>
      <c r="O36" s="13"/>
      <c r="P36" s="38"/>
      <c r="Q36" s="13"/>
      <c r="R36" s="13"/>
      <c r="S36" s="13"/>
    </row>
    <row r="37" spans="1:19" ht="15.6" x14ac:dyDescent="0.3">
      <c r="A37" s="29" t="s">
        <v>49</v>
      </c>
      <c r="B37" s="13"/>
      <c r="C37" s="13"/>
      <c r="D37" s="13"/>
      <c r="E37" s="13"/>
      <c r="F37" s="13"/>
      <c r="G37" s="13"/>
      <c r="H37" s="23">
        <v>27</v>
      </c>
      <c r="I37" s="32"/>
      <c r="J37" s="20"/>
      <c r="K37" s="18"/>
      <c r="L37" s="18"/>
      <c r="M37" s="13"/>
      <c r="N37" s="13"/>
      <c r="O37" s="13"/>
      <c r="P37" s="38"/>
      <c r="Q37" s="13"/>
      <c r="R37" s="13"/>
      <c r="S37" s="13"/>
    </row>
    <row r="38" spans="1:19" ht="15.6" x14ac:dyDescent="0.3">
      <c r="A38" s="29" t="s">
        <v>47</v>
      </c>
      <c r="B38" s="13"/>
      <c r="C38" s="13"/>
      <c r="D38" s="13"/>
      <c r="E38" s="13"/>
      <c r="F38" s="13"/>
      <c r="G38" s="13"/>
      <c r="H38" s="23">
        <v>28</v>
      </c>
      <c r="I38" s="31"/>
      <c r="J38" s="20"/>
      <c r="K38" s="18"/>
      <c r="L38" s="18"/>
      <c r="M38" s="13"/>
      <c r="N38" s="13"/>
      <c r="O38" s="13"/>
      <c r="P38" s="38"/>
      <c r="Q38" s="13"/>
      <c r="R38" s="13"/>
      <c r="S38" s="13"/>
    </row>
    <row r="39" spans="1:19" ht="15.6" x14ac:dyDescent="0.3">
      <c r="A39" s="29" t="s">
        <v>36</v>
      </c>
      <c r="B39" s="13"/>
      <c r="C39" s="13"/>
      <c r="D39" s="13"/>
      <c r="E39" s="13"/>
      <c r="F39" s="13"/>
      <c r="G39" s="13"/>
      <c r="H39" s="23">
        <v>29</v>
      </c>
      <c r="I39" s="39"/>
      <c r="J39" s="20"/>
      <c r="K39" s="18"/>
      <c r="L39" s="18"/>
      <c r="M39" s="13"/>
      <c r="N39" s="13"/>
      <c r="O39" s="13"/>
      <c r="P39" s="38"/>
      <c r="Q39" s="13"/>
      <c r="R39" s="13"/>
      <c r="S39" s="13"/>
    </row>
    <row r="40" spans="1:19" ht="15.6" x14ac:dyDescent="0.3">
      <c r="A40" s="29" t="s">
        <v>27</v>
      </c>
      <c r="B40" s="13"/>
      <c r="C40" s="13"/>
      <c r="D40" s="13"/>
      <c r="E40" s="13"/>
      <c r="F40" s="13"/>
      <c r="G40" s="13"/>
      <c r="H40" s="23">
        <v>30</v>
      </c>
      <c r="I40" s="31"/>
      <c r="J40" s="20"/>
      <c r="K40" s="18"/>
      <c r="L40" s="18"/>
      <c r="M40" s="13"/>
      <c r="N40" s="13"/>
      <c r="O40" s="13"/>
      <c r="P40" s="38"/>
      <c r="Q40" s="13"/>
      <c r="R40" s="13"/>
      <c r="S40" s="13"/>
    </row>
    <row r="41" spans="1:19" ht="15.6" x14ac:dyDescent="0.3">
      <c r="A41" s="29" t="s">
        <v>38</v>
      </c>
      <c r="B41" s="13"/>
      <c r="C41" s="13"/>
      <c r="D41" s="13"/>
      <c r="E41" s="13"/>
      <c r="F41" s="13"/>
      <c r="G41" s="13"/>
      <c r="H41" s="23">
        <v>31</v>
      </c>
      <c r="I41" s="106"/>
      <c r="J41" s="107"/>
      <c r="K41" s="107"/>
      <c r="L41" s="108"/>
      <c r="M41" s="13"/>
      <c r="N41" s="13"/>
      <c r="O41" s="13"/>
      <c r="P41" s="38"/>
      <c r="Q41" s="13"/>
      <c r="R41" s="13"/>
      <c r="S41" s="13"/>
    </row>
    <row r="42" spans="1:19" ht="15.6" x14ac:dyDescent="0.3">
      <c r="A42" s="29" t="s">
        <v>24</v>
      </c>
      <c r="B42" s="13"/>
      <c r="C42" s="13"/>
      <c r="D42" s="13"/>
      <c r="E42" s="13"/>
      <c r="F42" s="13"/>
      <c r="G42" s="13"/>
      <c r="H42" s="23">
        <v>32</v>
      </c>
      <c r="I42" s="32"/>
      <c r="J42" s="20"/>
      <c r="K42" s="18"/>
      <c r="L42" s="18"/>
      <c r="M42" s="13"/>
      <c r="N42" s="13"/>
      <c r="O42" s="13"/>
      <c r="P42" s="38"/>
      <c r="Q42" s="13"/>
      <c r="R42" s="13"/>
      <c r="S42" s="13"/>
    </row>
    <row r="43" spans="1:19" ht="15.6" x14ac:dyDescent="0.3">
      <c r="A43" s="29" t="s">
        <v>63</v>
      </c>
      <c r="B43" s="13"/>
      <c r="C43" s="13"/>
      <c r="D43" s="13"/>
      <c r="E43" s="13"/>
      <c r="F43" s="13"/>
      <c r="G43" s="13"/>
      <c r="H43" s="23">
        <v>33</v>
      </c>
      <c r="I43" s="32"/>
      <c r="J43" s="20"/>
      <c r="K43" s="18"/>
      <c r="L43" s="18"/>
      <c r="M43" s="13"/>
      <c r="N43" s="13"/>
      <c r="O43" s="13"/>
      <c r="P43" s="38"/>
      <c r="Q43" s="13"/>
      <c r="R43" s="13"/>
      <c r="S43" s="13"/>
    </row>
    <row r="44" spans="1:19" ht="15.6" x14ac:dyDescent="0.3">
      <c r="A44" s="29" t="s">
        <v>104</v>
      </c>
      <c r="B44" s="13"/>
      <c r="C44" s="13"/>
      <c r="D44" s="13"/>
      <c r="E44" s="13"/>
      <c r="F44" s="13"/>
      <c r="G44" s="13"/>
      <c r="H44" s="23">
        <v>34</v>
      </c>
      <c r="I44" s="32"/>
      <c r="J44" s="20"/>
      <c r="K44" s="18"/>
      <c r="L44" s="18"/>
      <c r="M44" s="13"/>
      <c r="N44" s="13"/>
      <c r="O44" s="13"/>
      <c r="P44" s="38"/>
      <c r="Q44" s="13"/>
      <c r="R44" s="13"/>
      <c r="S44" s="13"/>
    </row>
    <row r="45" spans="1:19" ht="15.6" x14ac:dyDescent="0.3">
      <c r="A45" s="29" t="s">
        <v>141</v>
      </c>
      <c r="B45" s="13"/>
      <c r="C45" s="13"/>
      <c r="D45" s="13"/>
      <c r="E45" s="13"/>
      <c r="F45" s="13"/>
      <c r="G45" s="13"/>
      <c r="H45" s="23">
        <v>35</v>
      </c>
      <c r="I45" s="39"/>
      <c r="J45" s="20"/>
      <c r="K45" s="18"/>
      <c r="L45" s="18"/>
      <c r="M45" s="13"/>
      <c r="N45" s="13"/>
      <c r="O45" s="13"/>
      <c r="P45" s="38"/>
      <c r="Q45" s="13"/>
      <c r="R45" s="13"/>
      <c r="S45" s="13"/>
    </row>
    <row r="46" spans="1:19" ht="15.6" x14ac:dyDescent="0.3">
      <c r="A46" s="29" t="s">
        <v>147</v>
      </c>
      <c r="B46" s="13"/>
      <c r="C46" s="13"/>
      <c r="D46" s="13"/>
      <c r="E46" s="13"/>
      <c r="F46" s="13"/>
      <c r="G46" s="13"/>
      <c r="H46" s="23">
        <v>36</v>
      </c>
      <c r="I46" s="39"/>
      <c r="J46" s="20"/>
      <c r="K46" s="18"/>
      <c r="L46" s="18"/>
      <c r="M46" s="13"/>
      <c r="N46" s="13"/>
      <c r="O46" s="13"/>
      <c r="P46" s="38"/>
      <c r="Q46" s="13"/>
      <c r="R46" s="13"/>
      <c r="S46" s="13"/>
    </row>
    <row r="47" spans="1:19" ht="15.6" x14ac:dyDescent="0.3">
      <c r="A47" s="29" t="s">
        <v>149</v>
      </c>
      <c r="B47" s="13"/>
      <c r="C47" s="13"/>
      <c r="D47" s="13"/>
      <c r="E47" s="13"/>
      <c r="F47" s="13"/>
      <c r="G47" s="13"/>
      <c r="H47" s="23">
        <v>37</v>
      </c>
      <c r="I47" s="39"/>
      <c r="J47" s="20"/>
      <c r="K47" s="18"/>
      <c r="L47" s="18"/>
      <c r="M47" s="13"/>
      <c r="N47" s="13"/>
      <c r="O47" s="13"/>
      <c r="P47" s="38"/>
      <c r="Q47" s="13"/>
      <c r="R47" s="13"/>
      <c r="S47" s="13"/>
    </row>
    <row r="48" spans="1:19" ht="15.6" x14ac:dyDescent="0.3">
      <c r="A48" s="29" t="s">
        <v>148</v>
      </c>
      <c r="B48" s="13"/>
      <c r="C48" s="13"/>
      <c r="D48" s="13"/>
      <c r="E48" s="13"/>
      <c r="F48" s="13"/>
      <c r="G48" s="13"/>
      <c r="H48" s="23">
        <v>38</v>
      </c>
      <c r="I48" s="32"/>
      <c r="J48" s="20"/>
      <c r="K48" s="18"/>
      <c r="L48" s="18"/>
      <c r="M48" s="13"/>
      <c r="N48" s="13"/>
      <c r="O48" s="13"/>
      <c r="P48" s="38"/>
      <c r="Q48" s="13"/>
      <c r="R48" s="13"/>
      <c r="S48" s="13"/>
    </row>
    <row r="49" spans="1:19" ht="15.6" x14ac:dyDescent="0.3">
      <c r="A49" s="29" t="s">
        <v>140</v>
      </c>
      <c r="B49" s="13"/>
      <c r="C49" s="13"/>
      <c r="D49" s="13"/>
      <c r="E49" s="13"/>
      <c r="F49" s="13"/>
      <c r="G49" s="13"/>
      <c r="H49" s="23">
        <v>39</v>
      </c>
      <c r="I49" s="32"/>
      <c r="J49" s="20"/>
      <c r="K49" s="18"/>
      <c r="L49" s="18"/>
      <c r="M49" s="13"/>
      <c r="N49" s="13"/>
      <c r="O49" s="13"/>
      <c r="P49" s="38"/>
      <c r="Q49" s="13"/>
      <c r="R49" s="13"/>
      <c r="S49" s="13"/>
    </row>
    <row r="50" spans="1:19" ht="15.6" x14ac:dyDescent="0.3">
      <c r="A50" s="29" t="s">
        <v>143</v>
      </c>
      <c r="B50" s="13"/>
      <c r="C50" s="13"/>
      <c r="D50" s="13"/>
      <c r="E50" s="13"/>
      <c r="F50" s="13"/>
      <c r="G50" s="13"/>
      <c r="H50" s="23">
        <v>40</v>
      </c>
      <c r="I50" s="103"/>
      <c r="J50" s="20"/>
      <c r="K50" s="18"/>
      <c r="L50" s="18"/>
      <c r="M50" s="13"/>
      <c r="N50" s="13"/>
      <c r="O50" s="13"/>
      <c r="P50" s="38"/>
      <c r="Q50" s="13"/>
      <c r="R50" s="13"/>
      <c r="S50" s="13"/>
    </row>
    <row r="51" spans="1:19" x14ac:dyDescent="0.3">
      <c r="A51" s="29" t="s">
        <v>145</v>
      </c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</row>
    <row r="52" spans="1:19" x14ac:dyDescent="0.3">
      <c r="A52" s="29" t="s">
        <v>150</v>
      </c>
    </row>
    <row r="53" spans="1:19" x14ac:dyDescent="0.3">
      <c r="A53" s="29" t="s">
        <v>158</v>
      </c>
    </row>
    <row r="57" spans="1:19" x14ac:dyDescent="0.3">
      <c r="B57" s="48" t="str">
        <f t="shared" ref="B57:G57" si="1">IF(B5=0," ",B5)</f>
        <v xml:space="preserve"> </v>
      </c>
      <c r="C57" s="48" t="str">
        <f t="shared" si="1"/>
        <v xml:space="preserve"> </v>
      </c>
      <c r="D57" s="48" t="str">
        <f t="shared" si="1"/>
        <v xml:space="preserve"> </v>
      </c>
      <c r="E57" s="48" t="str">
        <f t="shared" si="1"/>
        <v xml:space="preserve"> </v>
      </c>
      <c r="F57" s="48" t="str">
        <f t="shared" si="1"/>
        <v xml:space="preserve"> </v>
      </c>
      <c r="G57" s="48" t="str">
        <f t="shared" si="1"/>
        <v xml:space="preserve"> </v>
      </c>
    </row>
    <row r="58" spans="1:19" x14ac:dyDescent="0.3">
      <c r="B58" s="48" t="str">
        <f>IF(B57=" "," "," ; ")</f>
        <v xml:space="preserve"> </v>
      </c>
      <c r="C58" s="48" t="str">
        <f t="shared" ref="C58:G58" si="2">IF(C57=" "," "," ; ")</f>
        <v xml:space="preserve"> </v>
      </c>
      <c r="D58" s="48" t="str">
        <f t="shared" si="2"/>
        <v xml:space="preserve"> </v>
      </c>
      <c r="E58" s="48" t="str">
        <f t="shared" si="2"/>
        <v xml:space="preserve"> </v>
      </c>
      <c r="F58" s="48" t="str">
        <f t="shared" si="2"/>
        <v xml:space="preserve"> </v>
      </c>
      <c r="G58" s="48" t="str">
        <f t="shared" si="2"/>
        <v xml:space="preserve"> </v>
      </c>
    </row>
    <row r="59" spans="1:19" ht="27.75" customHeight="1" x14ac:dyDescent="0.35">
      <c r="H59" s="70" t="str">
        <f>A1</f>
        <v>PSM &amp; BIO</v>
      </c>
      <c r="I59" s="52"/>
      <c r="J59" s="52"/>
      <c r="K59" s="52"/>
    </row>
    <row r="60" spans="1:19" ht="24" customHeight="1" x14ac:dyDescent="0.35">
      <c r="H60" s="52"/>
      <c r="I60" s="69" t="str">
        <f>I1</f>
        <v>LISTADO DE PERSONAL PARA PESCA</v>
      </c>
      <c r="J60" s="53"/>
      <c r="K60" s="54" t="str">
        <f>CONCATENATE(A4," ",B4,C4,D4)</f>
        <v>NOCHE # /</v>
      </c>
    </row>
    <row r="61" spans="1:19" ht="15.6" x14ac:dyDescent="0.35">
      <c r="H61" s="52"/>
      <c r="I61" s="52"/>
      <c r="J61" s="52"/>
      <c r="K61" s="52"/>
    </row>
    <row r="62" spans="1:19" ht="17.399999999999999" x14ac:dyDescent="0.4">
      <c r="H62" s="55" t="s">
        <v>101</v>
      </c>
      <c r="I62" s="56">
        <f>B2</f>
        <v>0</v>
      </c>
      <c r="J62" s="55" t="s">
        <v>102</v>
      </c>
      <c r="K62" s="57">
        <f>B3</f>
        <v>0</v>
      </c>
    </row>
    <row r="63" spans="1:19" ht="28.5" customHeight="1" x14ac:dyDescent="0.4">
      <c r="H63" s="98" t="s">
        <v>115</v>
      </c>
      <c r="I63" s="52"/>
      <c r="J63" s="55" t="s">
        <v>103</v>
      </c>
      <c r="K63" s="57" t="str">
        <f>CONCATENATE($B$57,$C$58,$C$57,$D$58,$D$57,$E$58,$E$57,$F$58,$F$57,$G$58,$G$57)</f>
        <v xml:space="preserve">           </v>
      </c>
    </row>
    <row r="64" spans="1:19" ht="7.5" customHeight="1" thickBot="1" x14ac:dyDescent="0.4">
      <c r="H64" s="52"/>
      <c r="I64" s="52"/>
      <c r="J64" s="52"/>
      <c r="K64" s="52"/>
    </row>
    <row r="65" spans="5:15" ht="20.399999999999999" thickBot="1" x14ac:dyDescent="0.5">
      <c r="E65" t="s">
        <v>99</v>
      </c>
      <c r="F65" t="s">
        <v>95</v>
      </c>
      <c r="G65" t="s">
        <v>100</v>
      </c>
      <c r="H65" s="58" t="s">
        <v>79</v>
      </c>
      <c r="I65" s="59" t="s">
        <v>80</v>
      </c>
      <c r="J65" s="59" t="s">
        <v>81</v>
      </c>
      <c r="K65" s="60" t="s">
        <v>82</v>
      </c>
      <c r="L65" s="50" t="s">
        <v>41</v>
      </c>
      <c r="M65" s="43" t="s">
        <v>77</v>
      </c>
      <c r="N65" s="47" t="s">
        <v>96</v>
      </c>
      <c r="O65" s="43" t="s">
        <v>98</v>
      </c>
    </row>
    <row r="66" spans="5:15" ht="15.6" x14ac:dyDescent="0.35">
      <c r="E66" s="44" t="str">
        <f t="shared" ref="E66:E105" si="3">IF(I66=" "," ",CONCATENATE($B$4,$C$4,$D$4))</f>
        <v xml:space="preserve"> </v>
      </c>
      <c r="F66" s="45" t="str">
        <f>IF(I66=" "," ",$B$2)</f>
        <v xml:space="preserve"> </v>
      </c>
      <c r="G66" s="44" t="str">
        <f>IF(I66=" "," ",$B$3)</f>
        <v xml:space="preserve"> </v>
      </c>
      <c r="H66" s="61" t="str">
        <f>IF(I11=0," ",H11)</f>
        <v xml:space="preserve"> </v>
      </c>
      <c r="I66" s="62" t="str">
        <f>IF(I11=0," ",I11)</f>
        <v xml:space="preserve"> </v>
      </c>
      <c r="J66" s="62" t="str">
        <f>IF(J11=0," ",J11)</f>
        <v xml:space="preserve"> </v>
      </c>
      <c r="K66" s="61" t="str">
        <f>IF(K11=0," ",K11)</f>
        <v xml:space="preserve"> </v>
      </c>
      <c r="L66" s="44">
        <f>L11</f>
        <v>0</v>
      </c>
      <c r="M66" s="44">
        <f t="shared" ref="M66:M105" si="4">IF(I66=" ",0,CONCATENATE($B$57,$C$58,$C$57,$D$58,$D$57,$E$58,$E$57,$F$58,$F$57,$G$58,$G$57))</f>
        <v>0</v>
      </c>
      <c r="N66">
        <f t="shared" ref="N66:N105" si="5">IF(I11=0,0,1)</f>
        <v>0</v>
      </c>
      <c r="O66" s="46" t="str">
        <f t="shared" ref="O66:O105" si="6">IF(I66=" "," ",$J$2)</f>
        <v xml:space="preserve"> </v>
      </c>
    </row>
    <row r="67" spans="5:15" ht="15.6" x14ac:dyDescent="0.35">
      <c r="E67" s="44" t="str">
        <f t="shared" si="3"/>
        <v xml:space="preserve"> </v>
      </c>
      <c r="F67" s="45" t="str">
        <f t="shared" ref="F67:F105" si="7">IF(I67=" "," ",$B$2)</f>
        <v xml:space="preserve"> </v>
      </c>
      <c r="G67" s="44" t="str">
        <f t="shared" ref="G67:G105" si="8">IF(I67=" "," ",$B$3)</f>
        <v xml:space="preserve"> </v>
      </c>
      <c r="H67" s="63" t="str">
        <f>IF(I12=0," ",H12)</f>
        <v xml:space="preserve"> </v>
      </c>
      <c r="I67" s="64" t="str">
        <f t="shared" ref="I67:K105" si="9">IF(I12=0," ",I12)</f>
        <v xml:space="preserve"> </v>
      </c>
      <c r="J67" s="64" t="str">
        <f t="shared" si="9"/>
        <v xml:space="preserve"> </v>
      </c>
      <c r="K67" s="63" t="str">
        <f t="shared" si="9"/>
        <v xml:space="preserve"> </v>
      </c>
      <c r="L67" s="44">
        <f t="shared" ref="L67:L105" si="10">L12</f>
        <v>0</v>
      </c>
      <c r="M67" s="44">
        <f t="shared" si="4"/>
        <v>0</v>
      </c>
      <c r="N67">
        <f t="shared" si="5"/>
        <v>0</v>
      </c>
      <c r="O67" s="46" t="str">
        <f t="shared" si="6"/>
        <v xml:space="preserve"> </v>
      </c>
    </row>
    <row r="68" spans="5:15" ht="15.6" x14ac:dyDescent="0.35">
      <c r="E68" s="44" t="str">
        <f t="shared" si="3"/>
        <v xml:space="preserve"> </v>
      </c>
      <c r="F68" s="45" t="str">
        <f t="shared" si="7"/>
        <v xml:space="preserve"> </v>
      </c>
      <c r="G68" s="44" t="str">
        <f t="shared" si="8"/>
        <v xml:space="preserve"> </v>
      </c>
      <c r="H68" s="63" t="str">
        <f t="shared" ref="H68:H105" si="11">IF(I13=0," ",H13)</f>
        <v xml:space="preserve"> </v>
      </c>
      <c r="I68" s="64" t="str">
        <f t="shared" si="9"/>
        <v xml:space="preserve"> </v>
      </c>
      <c r="J68" s="64" t="str">
        <f t="shared" si="9"/>
        <v xml:space="preserve"> </v>
      </c>
      <c r="K68" s="63" t="str">
        <f t="shared" si="9"/>
        <v xml:space="preserve"> </v>
      </c>
      <c r="L68" s="44">
        <f t="shared" si="10"/>
        <v>0</v>
      </c>
      <c r="M68" s="44">
        <f t="shared" si="4"/>
        <v>0</v>
      </c>
      <c r="N68">
        <f t="shared" si="5"/>
        <v>0</v>
      </c>
      <c r="O68" s="46" t="str">
        <f t="shared" si="6"/>
        <v xml:space="preserve"> </v>
      </c>
    </row>
    <row r="69" spans="5:15" ht="15.6" x14ac:dyDescent="0.35">
      <c r="E69" s="44" t="str">
        <f t="shared" si="3"/>
        <v xml:space="preserve"> </v>
      </c>
      <c r="F69" s="45" t="str">
        <f t="shared" si="7"/>
        <v xml:space="preserve"> </v>
      </c>
      <c r="G69" s="44" t="str">
        <f t="shared" si="8"/>
        <v xml:space="preserve"> </v>
      </c>
      <c r="H69" s="63" t="str">
        <f t="shared" si="11"/>
        <v xml:space="preserve"> </v>
      </c>
      <c r="I69" s="64" t="str">
        <f t="shared" si="9"/>
        <v xml:space="preserve"> </v>
      </c>
      <c r="J69" s="64" t="str">
        <f t="shared" si="9"/>
        <v xml:space="preserve"> </v>
      </c>
      <c r="K69" s="63" t="str">
        <f t="shared" si="9"/>
        <v xml:space="preserve"> </v>
      </c>
      <c r="L69" s="44">
        <f t="shared" si="10"/>
        <v>0</v>
      </c>
      <c r="M69" s="44">
        <f t="shared" si="4"/>
        <v>0</v>
      </c>
      <c r="N69">
        <f t="shared" si="5"/>
        <v>0</v>
      </c>
      <c r="O69" s="46" t="str">
        <f t="shared" si="6"/>
        <v xml:space="preserve"> </v>
      </c>
    </row>
    <row r="70" spans="5:15" ht="15.6" x14ac:dyDescent="0.35">
      <c r="E70" s="44" t="str">
        <f t="shared" si="3"/>
        <v xml:space="preserve"> </v>
      </c>
      <c r="F70" s="45" t="str">
        <f t="shared" si="7"/>
        <v xml:space="preserve"> </v>
      </c>
      <c r="G70" s="44" t="str">
        <f t="shared" si="8"/>
        <v xml:space="preserve"> </v>
      </c>
      <c r="H70" s="63" t="str">
        <f t="shared" si="11"/>
        <v xml:space="preserve"> </v>
      </c>
      <c r="I70" s="64" t="str">
        <f t="shared" si="9"/>
        <v xml:space="preserve"> </v>
      </c>
      <c r="J70" s="64" t="str">
        <f t="shared" si="9"/>
        <v xml:space="preserve"> </v>
      </c>
      <c r="K70" s="63" t="str">
        <f t="shared" si="9"/>
        <v xml:space="preserve"> </v>
      </c>
      <c r="L70" s="44">
        <f t="shared" si="10"/>
        <v>0</v>
      </c>
      <c r="M70" s="44">
        <f t="shared" si="4"/>
        <v>0</v>
      </c>
      <c r="N70">
        <f t="shared" si="5"/>
        <v>0</v>
      </c>
      <c r="O70" s="46" t="str">
        <f t="shared" si="6"/>
        <v xml:space="preserve"> </v>
      </c>
    </row>
    <row r="71" spans="5:15" ht="15.6" x14ac:dyDescent="0.35">
      <c r="E71" s="44" t="str">
        <f t="shared" si="3"/>
        <v xml:space="preserve"> </v>
      </c>
      <c r="F71" s="45" t="str">
        <f t="shared" si="7"/>
        <v xml:space="preserve"> </v>
      </c>
      <c r="G71" s="44" t="str">
        <f t="shared" si="8"/>
        <v xml:space="preserve"> </v>
      </c>
      <c r="H71" s="63" t="str">
        <f t="shared" si="11"/>
        <v xml:space="preserve"> </v>
      </c>
      <c r="I71" s="64" t="str">
        <f t="shared" si="9"/>
        <v xml:space="preserve"> </v>
      </c>
      <c r="J71" s="64" t="str">
        <f t="shared" si="9"/>
        <v xml:space="preserve"> </v>
      </c>
      <c r="K71" s="63" t="str">
        <f t="shared" si="9"/>
        <v xml:space="preserve"> </v>
      </c>
      <c r="L71" s="44">
        <f t="shared" si="10"/>
        <v>0</v>
      </c>
      <c r="M71" s="44">
        <f t="shared" si="4"/>
        <v>0</v>
      </c>
      <c r="N71">
        <f t="shared" si="5"/>
        <v>0</v>
      </c>
      <c r="O71" s="46" t="str">
        <f t="shared" si="6"/>
        <v xml:space="preserve"> </v>
      </c>
    </row>
    <row r="72" spans="5:15" ht="15.6" x14ac:dyDescent="0.35">
      <c r="E72" s="44" t="str">
        <f t="shared" si="3"/>
        <v xml:space="preserve"> </v>
      </c>
      <c r="F72" s="45" t="str">
        <f t="shared" si="7"/>
        <v xml:space="preserve"> </v>
      </c>
      <c r="G72" s="44" t="str">
        <f t="shared" si="8"/>
        <v xml:space="preserve"> </v>
      </c>
      <c r="H72" s="63" t="str">
        <f t="shared" si="11"/>
        <v xml:space="preserve"> </v>
      </c>
      <c r="I72" s="64" t="str">
        <f t="shared" si="9"/>
        <v xml:space="preserve"> </v>
      </c>
      <c r="J72" s="64" t="str">
        <f t="shared" si="9"/>
        <v xml:space="preserve"> </v>
      </c>
      <c r="K72" s="63" t="str">
        <f t="shared" si="9"/>
        <v xml:space="preserve"> </v>
      </c>
      <c r="L72" s="44">
        <f t="shared" si="10"/>
        <v>0</v>
      </c>
      <c r="M72" s="44">
        <f t="shared" si="4"/>
        <v>0</v>
      </c>
      <c r="N72">
        <f t="shared" si="5"/>
        <v>0</v>
      </c>
      <c r="O72" s="46" t="str">
        <f t="shared" si="6"/>
        <v xml:space="preserve"> </v>
      </c>
    </row>
    <row r="73" spans="5:15" ht="15.6" x14ac:dyDescent="0.35">
      <c r="E73" s="44" t="str">
        <f t="shared" si="3"/>
        <v xml:space="preserve"> </v>
      </c>
      <c r="F73" s="45" t="str">
        <f t="shared" si="7"/>
        <v xml:space="preserve"> </v>
      </c>
      <c r="G73" s="44" t="str">
        <f t="shared" si="8"/>
        <v xml:space="preserve"> </v>
      </c>
      <c r="H73" s="63" t="str">
        <f t="shared" si="11"/>
        <v xml:space="preserve"> </v>
      </c>
      <c r="I73" s="64" t="str">
        <f t="shared" si="9"/>
        <v xml:space="preserve"> </v>
      </c>
      <c r="J73" s="64" t="str">
        <f t="shared" si="9"/>
        <v xml:space="preserve"> </v>
      </c>
      <c r="K73" s="63" t="str">
        <f t="shared" si="9"/>
        <v xml:space="preserve"> </v>
      </c>
      <c r="L73" s="44">
        <f t="shared" si="10"/>
        <v>0</v>
      </c>
      <c r="M73" s="44">
        <f t="shared" si="4"/>
        <v>0</v>
      </c>
      <c r="N73">
        <f t="shared" si="5"/>
        <v>0</v>
      </c>
      <c r="O73" s="46" t="str">
        <f t="shared" si="6"/>
        <v xml:space="preserve"> </v>
      </c>
    </row>
    <row r="74" spans="5:15" ht="15.6" x14ac:dyDescent="0.35">
      <c r="E74" s="44" t="str">
        <f t="shared" si="3"/>
        <v xml:space="preserve"> </v>
      </c>
      <c r="F74" s="45" t="str">
        <f t="shared" si="7"/>
        <v xml:space="preserve"> </v>
      </c>
      <c r="G74" s="44" t="str">
        <f t="shared" si="8"/>
        <v xml:space="preserve"> </v>
      </c>
      <c r="H74" s="63" t="str">
        <f t="shared" si="11"/>
        <v xml:space="preserve"> </v>
      </c>
      <c r="I74" s="64" t="str">
        <f t="shared" si="9"/>
        <v xml:space="preserve"> </v>
      </c>
      <c r="J74" s="64" t="str">
        <f t="shared" si="9"/>
        <v xml:space="preserve"> </v>
      </c>
      <c r="K74" s="63" t="str">
        <f t="shared" si="9"/>
        <v xml:space="preserve"> </v>
      </c>
      <c r="L74" s="44">
        <f t="shared" si="10"/>
        <v>0</v>
      </c>
      <c r="M74" s="44">
        <f t="shared" si="4"/>
        <v>0</v>
      </c>
      <c r="N74">
        <f t="shared" si="5"/>
        <v>0</v>
      </c>
      <c r="O74" s="46" t="str">
        <f t="shared" si="6"/>
        <v xml:space="preserve"> </v>
      </c>
    </row>
    <row r="75" spans="5:15" ht="15.6" x14ac:dyDescent="0.35">
      <c r="E75" s="44" t="str">
        <f t="shared" si="3"/>
        <v xml:space="preserve"> </v>
      </c>
      <c r="F75" s="45" t="str">
        <f t="shared" si="7"/>
        <v xml:space="preserve"> </v>
      </c>
      <c r="G75" s="44" t="str">
        <f t="shared" si="8"/>
        <v xml:space="preserve"> </v>
      </c>
      <c r="H75" s="63" t="str">
        <f t="shared" si="11"/>
        <v xml:space="preserve"> </v>
      </c>
      <c r="I75" s="64" t="str">
        <f t="shared" si="9"/>
        <v xml:space="preserve"> </v>
      </c>
      <c r="J75" s="64" t="str">
        <f t="shared" si="9"/>
        <v xml:space="preserve"> </v>
      </c>
      <c r="K75" s="63" t="str">
        <f t="shared" si="9"/>
        <v xml:space="preserve"> </v>
      </c>
      <c r="L75" s="44">
        <f t="shared" si="10"/>
        <v>0</v>
      </c>
      <c r="M75" s="44">
        <f t="shared" si="4"/>
        <v>0</v>
      </c>
      <c r="N75">
        <f t="shared" si="5"/>
        <v>0</v>
      </c>
      <c r="O75" s="46" t="str">
        <f t="shared" si="6"/>
        <v xml:space="preserve"> </v>
      </c>
    </row>
    <row r="76" spans="5:15" ht="15.6" x14ac:dyDescent="0.35">
      <c r="E76" s="44" t="str">
        <f t="shared" si="3"/>
        <v xml:space="preserve"> </v>
      </c>
      <c r="F76" s="45" t="str">
        <f t="shared" si="7"/>
        <v xml:space="preserve"> </v>
      </c>
      <c r="G76" s="44" t="str">
        <f t="shared" si="8"/>
        <v xml:space="preserve"> </v>
      </c>
      <c r="H76" s="63" t="str">
        <f t="shared" si="11"/>
        <v xml:space="preserve"> </v>
      </c>
      <c r="I76" s="64" t="str">
        <f t="shared" si="9"/>
        <v xml:space="preserve"> </v>
      </c>
      <c r="J76" s="64" t="str">
        <f t="shared" si="9"/>
        <v xml:space="preserve"> </v>
      </c>
      <c r="K76" s="63" t="str">
        <f t="shared" si="9"/>
        <v xml:space="preserve"> </v>
      </c>
      <c r="L76" s="44">
        <f t="shared" si="10"/>
        <v>0</v>
      </c>
      <c r="M76" s="44">
        <f t="shared" si="4"/>
        <v>0</v>
      </c>
      <c r="N76">
        <f t="shared" si="5"/>
        <v>0</v>
      </c>
      <c r="O76" s="46" t="str">
        <f t="shared" si="6"/>
        <v xml:space="preserve"> </v>
      </c>
    </row>
    <row r="77" spans="5:15" ht="15.6" x14ac:dyDescent="0.35">
      <c r="E77" s="44" t="str">
        <f t="shared" si="3"/>
        <v xml:space="preserve"> </v>
      </c>
      <c r="F77" s="45" t="str">
        <f t="shared" si="7"/>
        <v xml:space="preserve"> </v>
      </c>
      <c r="G77" s="44" t="str">
        <f t="shared" si="8"/>
        <v xml:space="preserve"> </v>
      </c>
      <c r="H77" s="63" t="str">
        <f t="shared" si="11"/>
        <v xml:space="preserve"> </v>
      </c>
      <c r="I77" s="64" t="str">
        <f t="shared" si="9"/>
        <v xml:space="preserve"> </v>
      </c>
      <c r="J77" s="64" t="str">
        <f t="shared" si="9"/>
        <v xml:space="preserve"> </v>
      </c>
      <c r="K77" s="63" t="str">
        <f t="shared" si="9"/>
        <v xml:space="preserve"> </v>
      </c>
      <c r="L77" s="44">
        <f t="shared" si="10"/>
        <v>0</v>
      </c>
      <c r="M77" s="44">
        <f t="shared" si="4"/>
        <v>0</v>
      </c>
      <c r="N77">
        <f t="shared" si="5"/>
        <v>0</v>
      </c>
      <c r="O77" s="46" t="str">
        <f t="shared" si="6"/>
        <v xml:space="preserve"> </v>
      </c>
    </row>
    <row r="78" spans="5:15" ht="15.6" x14ac:dyDescent="0.35">
      <c r="E78" s="44" t="str">
        <f t="shared" si="3"/>
        <v xml:space="preserve"> </v>
      </c>
      <c r="F78" s="45" t="str">
        <f t="shared" si="7"/>
        <v xml:space="preserve"> </v>
      </c>
      <c r="G78" s="44" t="str">
        <f t="shared" si="8"/>
        <v xml:space="preserve"> </v>
      </c>
      <c r="H78" s="63" t="str">
        <f t="shared" si="11"/>
        <v xml:space="preserve"> </v>
      </c>
      <c r="I78" s="64" t="str">
        <f t="shared" si="9"/>
        <v xml:space="preserve"> </v>
      </c>
      <c r="J78" s="64" t="str">
        <f t="shared" si="9"/>
        <v xml:space="preserve"> </v>
      </c>
      <c r="K78" s="63" t="str">
        <f t="shared" si="9"/>
        <v xml:space="preserve"> </v>
      </c>
      <c r="L78" s="44">
        <f t="shared" si="10"/>
        <v>0</v>
      </c>
      <c r="M78" s="44">
        <f t="shared" si="4"/>
        <v>0</v>
      </c>
      <c r="N78">
        <f t="shared" si="5"/>
        <v>0</v>
      </c>
      <c r="O78" s="46" t="str">
        <f t="shared" si="6"/>
        <v xml:space="preserve"> </v>
      </c>
    </row>
    <row r="79" spans="5:15" ht="15.6" x14ac:dyDescent="0.35">
      <c r="E79" s="44" t="str">
        <f t="shared" si="3"/>
        <v xml:space="preserve"> </v>
      </c>
      <c r="F79" s="45" t="str">
        <f t="shared" si="7"/>
        <v xml:space="preserve"> </v>
      </c>
      <c r="G79" s="44" t="str">
        <f t="shared" si="8"/>
        <v xml:space="preserve"> </v>
      </c>
      <c r="H79" s="63" t="str">
        <f t="shared" si="11"/>
        <v xml:space="preserve"> </v>
      </c>
      <c r="I79" s="64" t="str">
        <f t="shared" si="9"/>
        <v xml:space="preserve"> </v>
      </c>
      <c r="J79" s="64" t="str">
        <f t="shared" si="9"/>
        <v xml:space="preserve"> </v>
      </c>
      <c r="K79" s="63" t="str">
        <f t="shared" si="9"/>
        <v xml:space="preserve"> </v>
      </c>
      <c r="L79" s="44">
        <f t="shared" si="10"/>
        <v>0</v>
      </c>
      <c r="M79" s="44">
        <f t="shared" si="4"/>
        <v>0</v>
      </c>
      <c r="N79">
        <f t="shared" si="5"/>
        <v>0</v>
      </c>
      <c r="O79" s="46" t="str">
        <f t="shared" si="6"/>
        <v xml:space="preserve"> </v>
      </c>
    </row>
    <row r="80" spans="5:15" ht="15.6" x14ac:dyDescent="0.35">
      <c r="E80" s="44" t="str">
        <f t="shared" si="3"/>
        <v xml:space="preserve"> </v>
      </c>
      <c r="F80" s="45" t="str">
        <f t="shared" si="7"/>
        <v xml:space="preserve"> </v>
      </c>
      <c r="G80" s="44" t="str">
        <f t="shared" si="8"/>
        <v xml:space="preserve"> </v>
      </c>
      <c r="H80" s="63" t="str">
        <f t="shared" si="11"/>
        <v xml:space="preserve"> </v>
      </c>
      <c r="I80" s="64" t="str">
        <f t="shared" si="9"/>
        <v xml:space="preserve"> </v>
      </c>
      <c r="J80" s="64" t="str">
        <f t="shared" si="9"/>
        <v xml:space="preserve"> </v>
      </c>
      <c r="K80" s="63" t="str">
        <f t="shared" si="9"/>
        <v xml:space="preserve"> </v>
      </c>
      <c r="L80" s="44">
        <f t="shared" si="10"/>
        <v>0</v>
      </c>
      <c r="M80" s="44">
        <f t="shared" si="4"/>
        <v>0</v>
      </c>
      <c r="N80">
        <f t="shared" si="5"/>
        <v>0</v>
      </c>
      <c r="O80" s="46" t="str">
        <f t="shared" si="6"/>
        <v xml:space="preserve"> </v>
      </c>
    </row>
    <row r="81" spans="5:15" ht="15.6" x14ac:dyDescent="0.35">
      <c r="E81" s="44" t="str">
        <f t="shared" si="3"/>
        <v xml:space="preserve"> </v>
      </c>
      <c r="F81" s="45" t="str">
        <f t="shared" si="7"/>
        <v xml:space="preserve"> </v>
      </c>
      <c r="G81" s="44" t="str">
        <f t="shared" si="8"/>
        <v xml:space="preserve"> </v>
      </c>
      <c r="H81" s="63" t="str">
        <f t="shared" si="11"/>
        <v xml:space="preserve"> </v>
      </c>
      <c r="I81" s="64" t="str">
        <f t="shared" si="9"/>
        <v xml:space="preserve"> </v>
      </c>
      <c r="J81" s="64" t="str">
        <f t="shared" si="9"/>
        <v xml:space="preserve"> </v>
      </c>
      <c r="K81" s="63" t="str">
        <f t="shared" si="9"/>
        <v xml:space="preserve"> </v>
      </c>
      <c r="L81" s="44">
        <f t="shared" si="10"/>
        <v>0</v>
      </c>
      <c r="M81" s="44">
        <f t="shared" si="4"/>
        <v>0</v>
      </c>
      <c r="N81">
        <f t="shared" si="5"/>
        <v>0</v>
      </c>
      <c r="O81" s="46" t="str">
        <f t="shared" si="6"/>
        <v xml:space="preserve"> </v>
      </c>
    </row>
    <row r="82" spans="5:15" ht="15.6" x14ac:dyDescent="0.35">
      <c r="E82" s="44" t="str">
        <f t="shared" si="3"/>
        <v xml:space="preserve"> </v>
      </c>
      <c r="F82" s="45" t="str">
        <f t="shared" si="7"/>
        <v xml:space="preserve"> </v>
      </c>
      <c r="G82" s="44" t="str">
        <f t="shared" si="8"/>
        <v xml:space="preserve"> </v>
      </c>
      <c r="H82" s="63" t="str">
        <f t="shared" si="11"/>
        <v xml:space="preserve"> </v>
      </c>
      <c r="I82" s="64" t="str">
        <f t="shared" si="9"/>
        <v xml:space="preserve"> </v>
      </c>
      <c r="J82" s="64" t="str">
        <f t="shared" si="9"/>
        <v xml:space="preserve"> </v>
      </c>
      <c r="K82" s="63" t="str">
        <f t="shared" si="9"/>
        <v xml:space="preserve"> </v>
      </c>
      <c r="L82" s="44">
        <f t="shared" si="10"/>
        <v>0</v>
      </c>
      <c r="M82" s="44">
        <f t="shared" si="4"/>
        <v>0</v>
      </c>
      <c r="N82">
        <f t="shared" si="5"/>
        <v>0</v>
      </c>
      <c r="O82" s="46" t="str">
        <f t="shared" si="6"/>
        <v xml:space="preserve"> </v>
      </c>
    </row>
    <row r="83" spans="5:15" ht="15.6" x14ac:dyDescent="0.35">
      <c r="E83" s="44" t="str">
        <f t="shared" si="3"/>
        <v xml:space="preserve"> </v>
      </c>
      <c r="F83" s="45" t="str">
        <f t="shared" si="7"/>
        <v xml:space="preserve"> </v>
      </c>
      <c r="G83" s="44" t="str">
        <f t="shared" si="8"/>
        <v xml:space="preserve"> </v>
      </c>
      <c r="H83" s="63" t="str">
        <f t="shared" si="11"/>
        <v xml:space="preserve"> </v>
      </c>
      <c r="I83" s="64" t="str">
        <f t="shared" si="9"/>
        <v xml:space="preserve"> </v>
      </c>
      <c r="J83" s="64" t="str">
        <f t="shared" si="9"/>
        <v xml:space="preserve"> </v>
      </c>
      <c r="K83" s="63" t="str">
        <f t="shared" si="9"/>
        <v xml:space="preserve"> </v>
      </c>
      <c r="L83" s="44">
        <f t="shared" si="10"/>
        <v>0</v>
      </c>
      <c r="M83" s="44">
        <f t="shared" si="4"/>
        <v>0</v>
      </c>
      <c r="N83">
        <f t="shared" si="5"/>
        <v>0</v>
      </c>
      <c r="O83" s="46" t="str">
        <f t="shared" si="6"/>
        <v xml:space="preserve"> </v>
      </c>
    </row>
    <row r="84" spans="5:15" ht="15.6" x14ac:dyDescent="0.35">
      <c r="E84" s="44" t="str">
        <f t="shared" si="3"/>
        <v xml:space="preserve"> </v>
      </c>
      <c r="F84" s="45" t="str">
        <f t="shared" si="7"/>
        <v xml:space="preserve"> </v>
      </c>
      <c r="G84" s="44" t="str">
        <f t="shared" si="8"/>
        <v xml:space="preserve"> </v>
      </c>
      <c r="H84" s="63" t="str">
        <f t="shared" si="11"/>
        <v xml:space="preserve"> </v>
      </c>
      <c r="I84" s="64" t="str">
        <f t="shared" si="9"/>
        <v xml:space="preserve"> </v>
      </c>
      <c r="J84" s="64" t="str">
        <f t="shared" si="9"/>
        <v xml:space="preserve"> </v>
      </c>
      <c r="K84" s="63" t="str">
        <f t="shared" si="9"/>
        <v xml:space="preserve"> </v>
      </c>
      <c r="L84" s="44">
        <f t="shared" si="10"/>
        <v>0</v>
      </c>
      <c r="M84" s="44">
        <f t="shared" si="4"/>
        <v>0</v>
      </c>
      <c r="N84">
        <f t="shared" si="5"/>
        <v>0</v>
      </c>
      <c r="O84" s="46" t="str">
        <f t="shared" si="6"/>
        <v xml:space="preserve"> </v>
      </c>
    </row>
    <row r="85" spans="5:15" ht="15.6" x14ac:dyDescent="0.35">
      <c r="E85" s="44" t="str">
        <f t="shared" si="3"/>
        <v xml:space="preserve"> </v>
      </c>
      <c r="F85" s="45" t="str">
        <f t="shared" si="7"/>
        <v xml:space="preserve"> </v>
      </c>
      <c r="G85" s="44" t="str">
        <f t="shared" si="8"/>
        <v xml:space="preserve"> </v>
      </c>
      <c r="H85" s="63" t="str">
        <f t="shared" si="11"/>
        <v xml:space="preserve"> </v>
      </c>
      <c r="I85" s="64" t="str">
        <f t="shared" si="9"/>
        <v xml:space="preserve"> </v>
      </c>
      <c r="J85" s="64" t="str">
        <f t="shared" si="9"/>
        <v xml:space="preserve"> </v>
      </c>
      <c r="K85" s="63" t="str">
        <f t="shared" si="9"/>
        <v xml:space="preserve"> </v>
      </c>
      <c r="L85" s="44">
        <f t="shared" si="10"/>
        <v>0</v>
      </c>
      <c r="M85" s="44">
        <f t="shared" si="4"/>
        <v>0</v>
      </c>
      <c r="N85">
        <f t="shared" si="5"/>
        <v>0</v>
      </c>
      <c r="O85" s="46" t="str">
        <f t="shared" si="6"/>
        <v xml:space="preserve"> </v>
      </c>
    </row>
    <row r="86" spans="5:15" ht="15.6" x14ac:dyDescent="0.35">
      <c r="E86" s="44" t="str">
        <f t="shared" si="3"/>
        <v xml:space="preserve"> </v>
      </c>
      <c r="F86" s="45" t="str">
        <f t="shared" si="7"/>
        <v xml:space="preserve"> </v>
      </c>
      <c r="G86" s="44" t="str">
        <f t="shared" si="8"/>
        <v xml:space="preserve"> </v>
      </c>
      <c r="H86" s="63" t="str">
        <f t="shared" si="11"/>
        <v xml:space="preserve"> </v>
      </c>
      <c r="I86" s="64" t="str">
        <f t="shared" si="9"/>
        <v xml:space="preserve"> </v>
      </c>
      <c r="J86" s="64" t="str">
        <f t="shared" si="9"/>
        <v xml:space="preserve"> </v>
      </c>
      <c r="K86" s="63" t="str">
        <f t="shared" si="9"/>
        <v xml:space="preserve"> </v>
      </c>
      <c r="L86" s="44">
        <f t="shared" si="10"/>
        <v>0</v>
      </c>
      <c r="M86" s="44">
        <f t="shared" si="4"/>
        <v>0</v>
      </c>
      <c r="N86">
        <f t="shared" si="5"/>
        <v>0</v>
      </c>
      <c r="O86" s="46" t="str">
        <f t="shared" si="6"/>
        <v xml:space="preserve"> </v>
      </c>
    </row>
    <row r="87" spans="5:15" ht="15.6" x14ac:dyDescent="0.35">
      <c r="E87" s="44" t="str">
        <f t="shared" si="3"/>
        <v xml:space="preserve"> </v>
      </c>
      <c r="F87" s="45" t="str">
        <f t="shared" si="7"/>
        <v xml:space="preserve"> </v>
      </c>
      <c r="G87" s="44" t="str">
        <f t="shared" si="8"/>
        <v xml:space="preserve"> </v>
      </c>
      <c r="H87" s="63" t="str">
        <f t="shared" si="11"/>
        <v xml:space="preserve"> </v>
      </c>
      <c r="I87" s="64" t="str">
        <f t="shared" si="9"/>
        <v xml:space="preserve"> </v>
      </c>
      <c r="J87" s="64" t="str">
        <f t="shared" si="9"/>
        <v xml:space="preserve"> </v>
      </c>
      <c r="K87" s="63" t="str">
        <f t="shared" si="9"/>
        <v xml:space="preserve"> </v>
      </c>
      <c r="L87" s="44">
        <f t="shared" si="10"/>
        <v>0</v>
      </c>
      <c r="M87" s="44">
        <f t="shared" si="4"/>
        <v>0</v>
      </c>
      <c r="N87">
        <f t="shared" si="5"/>
        <v>0</v>
      </c>
      <c r="O87" s="46" t="str">
        <f t="shared" si="6"/>
        <v xml:space="preserve"> </v>
      </c>
    </row>
    <row r="88" spans="5:15" ht="15.6" x14ac:dyDescent="0.35">
      <c r="E88" s="44" t="str">
        <f t="shared" si="3"/>
        <v xml:space="preserve"> </v>
      </c>
      <c r="F88" s="45" t="str">
        <f t="shared" si="7"/>
        <v xml:space="preserve"> </v>
      </c>
      <c r="G88" s="44" t="str">
        <f t="shared" si="8"/>
        <v xml:space="preserve"> </v>
      </c>
      <c r="H88" s="63" t="str">
        <f t="shared" si="11"/>
        <v xml:space="preserve"> </v>
      </c>
      <c r="I88" s="64" t="str">
        <f t="shared" si="9"/>
        <v xml:space="preserve"> </v>
      </c>
      <c r="J88" s="64" t="str">
        <f t="shared" si="9"/>
        <v xml:space="preserve"> </v>
      </c>
      <c r="K88" s="63" t="str">
        <f t="shared" si="9"/>
        <v xml:space="preserve"> </v>
      </c>
      <c r="L88" s="44">
        <f t="shared" si="10"/>
        <v>0</v>
      </c>
      <c r="M88" s="44">
        <f t="shared" si="4"/>
        <v>0</v>
      </c>
      <c r="N88">
        <f t="shared" si="5"/>
        <v>0</v>
      </c>
      <c r="O88" s="46" t="str">
        <f t="shared" si="6"/>
        <v xml:space="preserve"> </v>
      </c>
    </row>
    <row r="89" spans="5:15" ht="15.6" x14ac:dyDescent="0.35">
      <c r="E89" s="44" t="str">
        <f t="shared" si="3"/>
        <v xml:space="preserve"> </v>
      </c>
      <c r="F89" s="45" t="str">
        <f t="shared" si="7"/>
        <v xml:space="preserve"> </v>
      </c>
      <c r="G89" s="44" t="str">
        <f t="shared" si="8"/>
        <v xml:space="preserve"> </v>
      </c>
      <c r="H89" s="63" t="str">
        <f t="shared" si="11"/>
        <v xml:space="preserve"> </v>
      </c>
      <c r="I89" s="64" t="str">
        <f t="shared" si="9"/>
        <v xml:space="preserve"> </v>
      </c>
      <c r="J89" s="64" t="str">
        <f t="shared" si="9"/>
        <v xml:space="preserve"> </v>
      </c>
      <c r="K89" s="63" t="str">
        <f t="shared" si="9"/>
        <v xml:space="preserve"> </v>
      </c>
      <c r="L89" s="44">
        <f t="shared" si="10"/>
        <v>0</v>
      </c>
      <c r="M89" s="44">
        <f t="shared" si="4"/>
        <v>0</v>
      </c>
      <c r="N89">
        <f t="shared" si="5"/>
        <v>0</v>
      </c>
      <c r="O89" s="46" t="str">
        <f t="shared" si="6"/>
        <v xml:space="preserve"> </v>
      </c>
    </row>
    <row r="90" spans="5:15" ht="15.6" x14ac:dyDescent="0.35">
      <c r="E90" s="44" t="str">
        <f t="shared" si="3"/>
        <v xml:space="preserve"> </v>
      </c>
      <c r="F90" s="45" t="str">
        <f t="shared" si="7"/>
        <v xml:space="preserve"> </v>
      </c>
      <c r="G90" s="44" t="str">
        <f t="shared" si="8"/>
        <v xml:space="preserve"> </v>
      </c>
      <c r="H90" s="63" t="str">
        <f t="shared" si="11"/>
        <v xml:space="preserve"> </v>
      </c>
      <c r="I90" s="64" t="str">
        <f t="shared" si="9"/>
        <v xml:space="preserve"> </v>
      </c>
      <c r="J90" s="64" t="str">
        <f t="shared" si="9"/>
        <v xml:space="preserve"> </v>
      </c>
      <c r="K90" s="63" t="str">
        <f t="shared" si="9"/>
        <v xml:space="preserve"> </v>
      </c>
      <c r="L90" s="44">
        <f t="shared" si="10"/>
        <v>0</v>
      </c>
      <c r="M90" s="44">
        <f t="shared" si="4"/>
        <v>0</v>
      </c>
      <c r="N90">
        <f t="shared" si="5"/>
        <v>0</v>
      </c>
      <c r="O90" s="46" t="str">
        <f t="shared" si="6"/>
        <v xml:space="preserve"> </v>
      </c>
    </row>
    <row r="91" spans="5:15" ht="15.6" x14ac:dyDescent="0.35">
      <c r="E91" s="44" t="str">
        <f t="shared" si="3"/>
        <v xml:space="preserve"> </v>
      </c>
      <c r="F91" s="45" t="str">
        <f t="shared" si="7"/>
        <v xml:space="preserve"> </v>
      </c>
      <c r="G91" s="44" t="str">
        <f t="shared" si="8"/>
        <v xml:space="preserve"> </v>
      </c>
      <c r="H91" s="63" t="str">
        <f t="shared" si="11"/>
        <v xml:space="preserve"> </v>
      </c>
      <c r="I91" s="64" t="str">
        <f t="shared" si="9"/>
        <v xml:space="preserve"> </v>
      </c>
      <c r="J91" s="64" t="str">
        <f t="shared" si="9"/>
        <v xml:space="preserve"> </v>
      </c>
      <c r="K91" s="63" t="str">
        <f t="shared" si="9"/>
        <v xml:space="preserve"> </v>
      </c>
      <c r="L91" s="44">
        <f t="shared" si="10"/>
        <v>0</v>
      </c>
      <c r="M91" s="44">
        <f t="shared" si="4"/>
        <v>0</v>
      </c>
      <c r="N91">
        <f t="shared" si="5"/>
        <v>0</v>
      </c>
      <c r="O91" s="46" t="str">
        <f t="shared" si="6"/>
        <v xml:space="preserve"> </v>
      </c>
    </row>
    <row r="92" spans="5:15" ht="15.6" x14ac:dyDescent="0.35">
      <c r="E92" s="44" t="str">
        <f t="shared" si="3"/>
        <v xml:space="preserve"> </v>
      </c>
      <c r="F92" s="45" t="str">
        <f t="shared" si="7"/>
        <v xml:space="preserve"> </v>
      </c>
      <c r="G92" s="44" t="str">
        <f t="shared" si="8"/>
        <v xml:space="preserve"> </v>
      </c>
      <c r="H92" s="63" t="str">
        <f t="shared" si="11"/>
        <v xml:space="preserve"> </v>
      </c>
      <c r="I92" s="64" t="str">
        <f t="shared" si="9"/>
        <v xml:space="preserve"> </v>
      </c>
      <c r="J92" s="64" t="str">
        <f t="shared" si="9"/>
        <v xml:space="preserve"> </v>
      </c>
      <c r="K92" s="63" t="str">
        <f t="shared" si="9"/>
        <v xml:space="preserve"> </v>
      </c>
      <c r="L92" s="44">
        <f t="shared" si="10"/>
        <v>0</v>
      </c>
      <c r="M92" s="44">
        <f t="shared" si="4"/>
        <v>0</v>
      </c>
      <c r="N92">
        <f t="shared" si="5"/>
        <v>0</v>
      </c>
      <c r="O92" s="46" t="str">
        <f t="shared" si="6"/>
        <v xml:space="preserve"> </v>
      </c>
    </row>
    <row r="93" spans="5:15" ht="15.6" x14ac:dyDescent="0.35">
      <c r="E93" s="44" t="str">
        <f t="shared" si="3"/>
        <v xml:space="preserve"> </v>
      </c>
      <c r="F93" s="45" t="str">
        <f t="shared" si="7"/>
        <v xml:space="preserve"> </v>
      </c>
      <c r="G93" s="44" t="str">
        <f t="shared" si="8"/>
        <v xml:space="preserve"> </v>
      </c>
      <c r="H93" s="63" t="str">
        <f t="shared" si="11"/>
        <v xml:space="preserve"> </v>
      </c>
      <c r="I93" s="64" t="str">
        <f t="shared" si="9"/>
        <v xml:space="preserve"> </v>
      </c>
      <c r="J93" s="64" t="str">
        <f t="shared" si="9"/>
        <v xml:space="preserve"> </v>
      </c>
      <c r="K93" s="63" t="str">
        <f t="shared" si="9"/>
        <v xml:space="preserve"> </v>
      </c>
      <c r="L93" s="44">
        <f t="shared" si="10"/>
        <v>0</v>
      </c>
      <c r="M93" s="44">
        <f t="shared" si="4"/>
        <v>0</v>
      </c>
      <c r="N93">
        <f t="shared" si="5"/>
        <v>0</v>
      </c>
      <c r="O93" s="46" t="str">
        <f t="shared" si="6"/>
        <v xml:space="preserve"> </v>
      </c>
    </row>
    <row r="94" spans="5:15" ht="15.6" x14ac:dyDescent="0.35">
      <c r="E94" s="44" t="str">
        <f t="shared" si="3"/>
        <v xml:space="preserve"> </v>
      </c>
      <c r="F94" s="45" t="str">
        <f t="shared" si="7"/>
        <v xml:space="preserve"> </v>
      </c>
      <c r="G94" s="44" t="str">
        <f t="shared" si="8"/>
        <v xml:space="preserve"> </v>
      </c>
      <c r="H94" s="63" t="str">
        <f t="shared" si="11"/>
        <v xml:space="preserve"> </v>
      </c>
      <c r="I94" s="64" t="str">
        <f t="shared" si="9"/>
        <v xml:space="preserve"> </v>
      </c>
      <c r="J94" s="64" t="str">
        <f t="shared" si="9"/>
        <v xml:space="preserve"> </v>
      </c>
      <c r="K94" s="63" t="str">
        <f t="shared" si="9"/>
        <v xml:space="preserve"> </v>
      </c>
      <c r="L94" s="44">
        <f t="shared" si="10"/>
        <v>0</v>
      </c>
      <c r="M94" s="44">
        <f t="shared" si="4"/>
        <v>0</v>
      </c>
      <c r="N94">
        <f t="shared" si="5"/>
        <v>0</v>
      </c>
      <c r="O94" s="46" t="str">
        <f t="shared" si="6"/>
        <v xml:space="preserve"> </v>
      </c>
    </row>
    <row r="95" spans="5:15" ht="15.6" x14ac:dyDescent="0.35">
      <c r="E95" s="44" t="str">
        <f t="shared" si="3"/>
        <v xml:space="preserve"> </v>
      </c>
      <c r="F95" s="45" t="str">
        <f t="shared" si="7"/>
        <v xml:space="preserve"> </v>
      </c>
      <c r="G95" s="44" t="str">
        <f t="shared" si="8"/>
        <v xml:space="preserve"> </v>
      </c>
      <c r="H95" s="63" t="str">
        <f t="shared" si="11"/>
        <v xml:space="preserve"> </v>
      </c>
      <c r="I95" s="64" t="str">
        <f t="shared" si="9"/>
        <v xml:space="preserve"> </v>
      </c>
      <c r="J95" s="64" t="str">
        <f t="shared" si="9"/>
        <v xml:space="preserve"> </v>
      </c>
      <c r="K95" s="63" t="str">
        <f t="shared" si="9"/>
        <v xml:space="preserve"> </v>
      </c>
      <c r="L95" s="44">
        <f t="shared" si="10"/>
        <v>0</v>
      </c>
      <c r="M95" s="44">
        <f t="shared" si="4"/>
        <v>0</v>
      </c>
      <c r="N95">
        <f t="shared" si="5"/>
        <v>0</v>
      </c>
      <c r="O95" s="46" t="str">
        <f t="shared" si="6"/>
        <v xml:space="preserve"> </v>
      </c>
    </row>
    <row r="96" spans="5:15" ht="15.6" x14ac:dyDescent="0.35">
      <c r="E96" s="44" t="str">
        <f t="shared" si="3"/>
        <v xml:space="preserve"> </v>
      </c>
      <c r="F96" s="45" t="str">
        <f t="shared" si="7"/>
        <v xml:space="preserve"> </v>
      </c>
      <c r="G96" s="44" t="str">
        <f t="shared" si="8"/>
        <v xml:space="preserve"> </v>
      </c>
      <c r="H96" s="63" t="str">
        <f t="shared" si="11"/>
        <v xml:space="preserve"> </v>
      </c>
      <c r="I96" s="64" t="str">
        <f t="shared" si="9"/>
        <v xml:space="preserve"> </v>
      </c>
      <c r="J96" s="64" t="str">
        <f t="shared" si="9"/>
        <v xml:space="preserve"> </v>
      </c>
      <c r="K96" s="63" t="str">
        <f t="shared" si="9"/>
        <v xml:space="preserve"> </v>
      </c>
      <c r="L96" s="44">
        <f t="shared" si="10"/>
        <v>0</v>
      </c>
      <c r="M96" s="44">
        <f t="shared" si="4"/>
        <v>0</v>
      </c>
      <c r="N96">
        <f t="shared" si="5"/>
        <v>0</v>
      </c>
      <c r="O96" s="46" t="str">
        <f t="shared" si="6"/>
        <v xml:space="preserve"> </v>
      </c>
    </row>
    <row r="97" spans="5:15" ht="15.6" x14ac:dyDescent="0.35">
      <c r="E97" s="44" t="str">
        <f t="shared" si="3"/>
        <v xml:space="preserve"> </v>
      </c>
      <c r="F97" s="45" t="str">
        <f t="shared" si="7"/>
        <v xml:space="preserve"> </v>
      </c>
      <c r="G97" s="44" t="str">
        <f t="shared" si="8"/>
        <v xml:space="preserve"> </v>
      </c>
      <c r="H97" s="63" t="str">
        <f t="shared" si="11"/>
        <v xml:space="preserve"> </v>
      </c>
      <c r="I97" s="64" t="str">
        <f t="shared" si="9"/>
        <v xml:space="preserve"> </v>
      </c>
      <c r="J97" s="64" t="str">
        <f t="shared" si="9"/>
        <v xml:space="preserve"> </v>
      </c>
      <c r="K97" s="63" t="str">
        <f t="shared" si="9"/>
        <v xml:space="preserve"> </v>
      </c>
      <c r="L97" s="44">
        <f t="shared" si="10"/>
        <v>0</v>
      </c>
      <c r="M97" s="44">
        <f t="shared" si="4"/>
        <v>0</v>
      </c>
      <c r="N97">
        <f t="shared" si="5"/>
        <v>0</v>
      </c>
      <c r="O97" s="46" t="str">
        <f t="shared" si="6"/>
        <v xml:space="preserve"> </v>
      </c>
    </row>
    <row r="98" spans="5:15" ht="15.6" x14ac:dyDescent="0.35">
      <c r="E98" s="44" t="str">
        <f t="shared" si="3"/>
        <v xml:space="preserve"> </v>
      </c>
      <c r="F98" s="45" t="str">
        <f t="shared" si="7"/>
        <v xml:space="preserve"> </v>
      </c>
      <c r="G98" s="44" t="str">
        <f t="shared" si="8"/>
        <v xml:space="preserve"> </v>
      </c>
      <c r="H98" s="63" t="str">
        <f t="shared" si="11"/>
        <v xml:space="preserve"> </v>
      </c>
      <c r="I98" s="64" t="str">
        <f t="shared" si="9"/>
        <v xml:space="preserve"> </v>
      </c>
      <c r="J98" s="64" t="str">
        <f t="shared" si="9"/>
        <v xml:space="preserve"> </v>
      </c>
      <c r="K98" s="63" t="str">
        <f t="shared" si="9"/>
        <v xml:space="preserve"> </v>
      </c>
      <c r="L98" s="44">
        <f t="shared" si="10"/>
        <v>0</v>
      </c>
      <c r="M98" s="44">
        <f t="shared" si="4"/>
        <v>0</v>
      </c>
      <c r="N98">
        <f t="shared" si="5"/>
        <v>0</v>
      </c>
      <c r="O98" s="46" t="str">
        <f t="shared" si="6"/>
        <v xml:space="preserve"> </v>
      </c>
    </row>
    <row r="99" spans="5:15" ht="15.6" x14ac:dyDescent="0.35">
      <c r="E99" s="44" t="str">
        <f t="shared" si="3"/>
        <v xml:space="preserve"> </v>
      </c>
      <c r="F99" s="45" t="str">
        <f t="shared" si="7"/>
        <v xml:space="preserve"> </v>
      </c>
      <c r="G99" s="44" t="str">
        <f t="shared" si="8"/>
        <v xml:space="preserve"> </v>
      </c>
      <c r="H99" s="63" t="str">
        <f t="shared" si="11"/>
        <v xml:space="preserve"> </v>
      </c>
      <c r="I99" s="64" t="str">
        <f t="shared" si="9"/>
        <v xml:space="preserve"> </v>
      </c>
      <c r="J99" s="64" t="str">
        <f t="shared" si="9"/>
        <v xml:space="preserve"> </v>
      </c>
      <c r="K99" s="63" t="str">
        <f t="shared" si="9"/>
        <v xml:space="preserve"> </v>
      </c>
      <c r="L99" s="44">
        <f t="shared" si="10"/>
        <v>0</v>
      </c>
      <c r="M99" s="44">
        <f t="shared" si="4"/>
        <v>0</v>
      </c>
      <c r="N99">
        <f t="shared" si="5"/>
        <v>0</v>
      </c>
      <c r="O99" s="46" t="str">
        <f t="shared" si="6"/>
        <v xml:space="preserve"> </v>
      </c>
    </row>
    <row r="100" spans="5:15" ht="15.6" x14ac:dyDescent="0.35">
      <c r="E100" s="44" t="str">
        <f t="shared" si="3"/>
        <v xml:space="preserve"> </v>
      </c>
      <c r="F100" s="45" t="str">
        <f t="shared" si="7"/>
        <v xml:space="preserve"> </v>
      </c>
      <c r="G100" s="44" t="str">
        <f t="shared" si="8"/>
        <v xml:space="preserve"> </v>
      </c>
      <c r="H100" s="63" t="str">
        <f t="shared" si="11"/>
        <v xml:space="preserve"> </v>
      </c>
      <c r="I100" s="64" t="str">
        <f t="shared" si="9"/>
        <v xml:space="preserve"> </v>
      </c>
      <c r="J100" s="64" t="str">
        <f t="shared" si="9"/>
        <v xml:space="preserve"> </v>
      </c>
      <c r="K100" s="63" t="str">
        <f t="shared" si="9"/>
        <v xml:space="preserve"> </v>
      </c>
      <c r="L100" s="44">
        <f t="shared" si="10"/>
        <v>0</v>
      </c>
      <c r="M100" s="44">
        <f t="shared" si="4"/>
        <v>0</v>
      </c>
      <c r="N100">
        <f t="shared" si="5"/>
        <v>0</v>
      </c>
      <c r="O100" s="46" t="str">
        <f t="shared" si="6"/>
        <v xml:space="preserve"> </v>
      </c>
    </row>
    <row r="101" spans="5:15" ht="15.6" x14ac:dyDescent="0.35">
      <c r="E101" s="44" t="str">
        <f t="shared" si="3"/>
        <v xml:space="preserve"> </v>
      </c>
      <c r="F101" s="45" t="str">
        <f t="shared" si="7"/>
        <v xml:space="preserve"> </v>
      </c>
      <c r="G101" s="44" t="str">
        <f t="shared" si="8"/>
        <v xml:space="preserve"> </v>
      </c>
      <c r="H101" s="63" t="str">
        <f t="shared" si="11"/>
        <v xml:space="preserve"> </v>
      </c>
      <c r="I101" s="64" t="str">
        <f t="shared" si="9"/>
        <v xml:space="preserve"> </v>
      </c>
      <c r="J101" s="64" t="str">
        <f t="shared" si="9"/>
        <v xml:space="preserve"> </v>
      </c>
      <c r="K101" s="63" t="str">
        <f t="shared" si="9"/>
        <v xml:space="preserve"> </v>
      </c>
      <c r="L101" s="44">
        <f t="shared" si="10"/>
        <v>0</v>
      </c>
      <c r="M101" s="44">
        <f t="shared" si="4"/>
        <v>0</v>
      </c>
      <c r="N101">
        <f t="shared" si="5"/>
        <v>0</v>
      </c>
      <c r="O101" s="46" t="str">
        <f t="shared" si="6"/>
        <v xml:space="preserve"> </v>
      </c>
    </row>
    <row r="102" spans="5:15" ht="15.6" x14ac:dyDescent="0.35">
      <c r="E102" s="44" t="str">
        <f t="shared" si="3"/>
        <v xml:space="preserve"> </v>
      </c>
      <c r="F102" s="45" t="str">
        <f t="shared" si="7"/>
        <v xml:space="preserve"> </v>
      </c>
      <c r="G102" s="44" t="str">
        <f t="shared" si="8"/>
        <v xml:space="preserve"> </v>
      </c>
      <c r="H102" s="63" t="str">
        <f t="shared" si="11"/>
        <v xml:space="preserve"> </v>
      </c>
      <c r="I102" s="64" t="str">
        <f t="shared" si="9"/>
        <v xml:space="preserve"> </v>
      </c>
      <c r="J102" s="64" t="str">
        <f t="shared" si="9"/>
        <v xml:space="preserve"> </v>
      </c>
      <c r="K102" s="63" t="str">
        <f t="shared" si="9"/>
        <v xml:space="preserve"> </v>
      </c>
      <c r="L102" s="44">
        <f t="shared" si="10"/>
        <v>0</v>
      </c>
      <c r="M102" s="44">
        <f t="shared" si="4"/>
        <v>0</v>
      </c>
      <c r="N102">
        <f t="shared" si="5"/>
        <v>0</v>
      </c>
      <c r="O102" s="46" t="str">
        <f t="shared" si="6"/>
        <v xml:space="preserve"> </v>
      </c>
    </row>
    <row r="103" spans="5:15" ht="15.6" x14ac:dyDescent="0.35">
      <c r="E103" s="44" t="str">
        <f t="shared" si="3"/>
        <v xml:space="preserve"> </v>
      </c>
      <c r="F103" s="45" t="str">
        <f t="shared" si="7"/>
        <v xml:space="preserve"> </v>
      </c>
      <c r="G103" s="44" t="str">
        <f t="shared" si="8"/>
        <v xml:space="preserve"> </v>
      </c>
      <c r="H103" s="63" t="str">
        <f t="shared" si="11"/>
        <v xml:space="preserve"> </v>
      </c>
      <c r="I103" s="64" t="str">
        <f t="shared" si="9"/>
        <v xml:space="preserve"> </v>
      </c>
      <c r="J103" s="64" t="str">
        <f t="shared" si="9"/>
        <v xml:space="preserve"> </v>
      </c>
      <c r="K103" s="63" t="str">
        <f t="shared" si="9"/>
        <v xml:space="preserve"> </v>
      </c>
      <c r="L103" s="44">
        <f t="shared" si="10"/>
        <v>0</v>
      </c>
      <c r="M103" s="44">
        <f t="shared" si="4"/>
        <v>0</v>
      </c>
      <c r="N103">
        <f t="shared" si="5"/>
        <v>0</v>
      </c>
      <c r="O103" s="46" t="str">
        <f t="shared" si="6"/>
        <v xml:space="preserve"> </v>
      </c>
    </row>
    <row r="104" spans="5:15" ht="15.6" x14ac:dyDescent="0.35">
      <c r="E104" s="44" t="str">
        <f t="shared" si="3"/>
        <v xml:space="preserve"> </v>
      </c>
      <c r="F104" s="45" t="str">
        <f t="shared" si="7"/>
        <v xml:space="preserve"> </v>
      </c>
      <c r="G104" s="44" t="str">
        <f t="shared" si="8"/>
        <v xml:space="preserve"> </v>
      </c>
      <c r="H104" s="63" t="str">
        <f t="shared" si="11"/>
        <v xml:space="preserve"> </v>
      </c>
      <c r="I104" s="64" t="str">
        <f t="shared" si="9"/>
        <v xml:space="preserve"> </v>
      </c>
      <c r="J104" s="64" t="str">
        <f t="shared" si="9"/>
        <v xml:space="preserve"> </v>
      </c>
      <c r="K104" s="63" t="str">
        <f t="shared" si="9"/>
        <v xml:space="preserve"> </v>
      </c>
      <c r="L104" s="44">
        <f t="shared" si="10"/>
        <v>0</v>
      </c>
      <c r="M104" s="44">
        <f t="shared" si="4"/>
        <v>0</v>
      </c>
      <c r="N104">
        <f t="shared" si="5"/>
        <v>0</v>
      </c>
      <c r="O104" s="46" t="str">
        <f t="shared" si="6"/>
        <v xml:space="preserve"> </v>
      </c>
    </row>
    <row r="105" spans="5:15" ht="15.6" x14ac:dyDescent="0.35">
      <c r="E105" s="44" t="str">
        <f t="shared" si="3"/>
        <v xml:space="preserve"> </v>
      </c>
      <c r="F105" s="45" t="str">
        <f t="shared" si="7"/>
        <v xml:space="preserve"> </v>
      </c>
      <c r="G105" s="44" t="str">
        <f t="shared" si="8"/>
        <v xml:space="preserve"> </v>
      </c>
      <c r="H105" s="65" t="str">
        <f t="shared" si="11"/>
        <v xml:space="preserve"> </v>
      </c>
      <c r="I105" s="66" t="str">
        <f t="shared" si="9"/>
        <v xml:space="preserve"> </v>
      </c>
      <c r="J105" s="66" t="str">
        <f t="shared" si="9"/>
        <v xml:space="preserve"> </v>
      </c>
      <c r="K105" s="65" t="str">
        <f t="shared" si="9"/>
        <v xml:space="preserve"> </v>
      </c>
      <c r="L105" s="44">
        <f t="shared" si="10"/>
        <v>0</v>
      </c>
      <c r="M105" s="44">
        <f t="shared" si="4"/>
        <v>0</v>
      </c>
      <c r="N105">
        <f t="shared" si="5"/>
        <v>0</v>
      </c>
      <c r="O105" s="46" t="str">
        <f t="shared" si="6"/>
        <v xml:space="preserve"> </v>
      </c>
    </row>
    <row r="106" spans="5:15" ht="16.2" thickBot="1" x14ac:dyDescent="0.4">
      <c r="H106" s="52"/>
      <c r="I106" s="52"/>
      <c r="J106" s="52"/>
      <c r="K106" s="52"/>
    </row>
    <row r="107" spans="5:15" ht="19.8" x14ac:dyDescent="0.45">
      <c r="H107" s="52"/>
      <c r="I107" s="67" t="s">
        <v>97</v>
      </c>
      <c r="J107" s="68">
        <f>J2</f>
        <v>0</v>
      </c>
      <c r="K107" s="52"/>
    </row>
    <row r="108" spans="5:15" ht="15.6" customHeight="1" x14ac:dyDescent="0.3">
      <c r="H108" s="119" t="s">
        <v>152</v>
      </c>
      <c r="I108" s="119"/>
      <c r="J108" s="119"/>
      <c r="K108" s="119"/>
    </row>
    <row r="109" spans="5:15" ht="15.6" customHeight="1" x14ac:dyDescent="0.3">
      <c r="H109" s="119"/>
      <c r="I109" s="119"/>
      <c r="J109" s="119"/>
      <c r="K109" s="119"/>
    </row>
  </sheetData>
  <sortState ref="I11:L50">
    <sortCondition ref="I11"/>
  </sortState>
  <mergeCells count="4">
    <mergeCell ref="B2:H2"/>
    <mergeCell ref="I6:I8"/>
    <mergeCell ref="B3:C3"/>
    <mergeCell ref="H108:K109"/>
  </mergeCells>
  <pageMargins left="1.4960629921259843" right="0.51181102362204722" top="0.15748031496062992" bottom="0.15748031496062992" header="0.31496062992125984" footer="0.31496062992125984"/>
  <pageSetup scale="90" orientation="portrait" r:id="rId2"/>
  <headerFooter>
    <oddFooter>&amp;L&amp;"-,Negrita"&amp;12ELABORADO POR: __________&amp;C&amp;"-,Negrita"&amp;12REVISADO POR: __________&amp;R&amp;"-,Negrita"&amp;12VISTO BUENO POR: __________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0</xdr:col>
                <xdr:colOff>0</xdr:colOff>
                <xdr:row>7</xdr:row>
                <xdr:rowOff>83820</xdr:rowOff>
              </from>
              <to>
                <xdr:col>1</xdr:col>
                <xdr:colOff>289560</xdr:colOff>
                <xdr:row>8</xdr:row>
                <xdr:rowOff>251460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Agregar_List_Pesc">
            <anchor moveWithCells="1" sizeWithCells="1">
              <from>
                <xdr:col>9</xdr:col>
                <xdr:colOff>76200</xdr:colOff>
                <xdr:row>5</xdr:row>
                <xdr:rowOff>99060</xdr:rowOff>
              </from>
              <to>
                <xdr:col>9</xdr:col>
                <xdr:colOff>1226820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Reg_Pers_Pesc">
            <anchor moveWithCells="1" sizeWithCells="1">
              <from>
                <xdr:col>12</xdr:col>
                <xdr:colOff>152400</xdr:colOff>
                <xdr:row>5</xdr:row>
                <xdr:rowOff>76200</xdr:rowOff>
              </from>
              <to>
                <xdr:col>12</xdr:col>
                <xdr:colOff>1203960</xdr:colOff>
                <xdr:row>8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FUNCIONES!$B$3:$B$11</xm:f>
          </x14:formula1>
          <xm:sqref>J5 J11:J50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165"/>
  <sheetViews>
    <sheetView zoomScale="90" zoomScaleNormal="90" workbookViewId="0">
      <selection activeCell="F3" sqref="F3"/>
    </sheetView>
  </sheetViews>
  <sheetFormatPr baseColWidth="10" defaultRowHeight="14.4" x14ac:dyDescent="0.3"/>
  <cols>
    <col min="1" max="1" width="12.33203125" bestFit="1" customWidth="1"/>
    <col min="2" max="2" width="7.33203125" bestFit="1" customWidth="1"/>
    <col min="4" max="4" width="8.109375" bestFit="1" customWidth="1"/>
    <col min="5" max="5" width="3.33203125" bestFit="1" customWidth="1"/>
    <col min="6" max="6" width="37.5546875" bestFit="1" customWidth="1"/>
    <col min="7" max="7" width="15.109375" bestFit="1" customWidth="1"/>
    <col min="8" max="8" width="4.33203125" bestFit="1" customWidth="1"/>
    <col min="9" max="9" width="9.44140625" bestFit="1" customWidth="1"/>
    <col min="10" max="10" width="9.6640625" bestFit="1" customWidth="1"/>
    <col min="11" max="11" width="6" bestFit="1" customWidth="1"/>
  </cols>
  <sheetData>
    <row r="2" spans="1:12" x14ac:dyDescent="0.3">
      <c r="A2" s="102" t="s">
        <v>106</v>
      </c>
      <c r="B2" s="102" t="s">
        <v>99</v>
      </c>
      <c r="C2" s="102" t="s">
        <v>95</v>
      </c>
      <c r="D2" s="102" t="s">
        <v>100</v>
      </c>
      <c r="E2" s="102" t="s">
        <v>79</v>
      </c>
      <c r="F2" s="102" t="s">
        <v>80</v>
      </c>
      <c r="G2" s="102" t="s">
        <v>81</v>
      </c>
      <c r="H2" s="102" t="s">
        <v>109</v>
      </c>
      <c r="I2" s="102" t="s">
        <v>41</v>
      </c>
      <c r="J2" s="102" t="s">
        <v>108</v>
      </c>
      <c r="K2" s="102" t="s">
        <v>107</v>
      </c>
      <c r="L2" s="102" t="s">
        <v>98</v>
      </c>
    </row>
    <row r="3" spans="1:12" x14ac:dyDescent="0.3">
      <c r="A3" s="51">
        <f t="shared" ref="A3:A34" si="0">K3</f>
        <v>1</v>
      </c>
      <c r="B3" s="44" t="s">
        <v>156</v>
      </c>
      <c r="C3" s="75">
        <v>43105</v>
      </c>
      <c r="D3" s="44">
        <v>1</v>
      </c>
      <c r="E3">
        <v>1</v>
      </c>
      <c r="F3" t="s">
        <v>39</v>
      </c>
      <c r="G3" t="s">
        <v>85</v>
      </c>
      <c r="H3" s="44">
        <v>12</v>
      </c>
      <c r="I3" t="s">
        <v>42</v>
      </c>
      <c r="J3" s="44" t="s">
        <v>157</v>
      </c>
      <c r="K3" s="51">
        <v>1</v>
      </c>
      <c r="L3" s="46">
        <v>0.85416666666666663</v>
      </c>
    </row>
    <row r="4" spans="1:12" x14ac:dyDescent="0.3">
      <c r="A4" s="51">
        <f t="shared" si="0"/>
        <v>1</v>
      </c>
      <c r="B4" s="44" t="s">
        <v>156</v>
      </c>
      <c r="C4" s="75">
        <v>43105</v>
      </c>
      <c r="D4" s="44">
        <v>1</v>
      </c>
      <c r="E4">
        <v>2</v>
      </c>
      <c r="F4" s="3" t="s">
        <v>47</v>
      </c>
      <c r="G4" t="s">
        <v>86</v>
      </c>
      <c r="H4" s="44">
        <v>12</v>
      </c>
      <c r="I4" t="s">
        <v>71</v>
      </c>
      <c r="J4" s="44" t="s">
        <v>157</v>
      </c>
      <c r="K4" s="51">
        <v>1</v>
      </c>
      <c r="L4" s="46">
        <v>0.85416666666666663</v>
      </c>
    </row>
    <row r="5" spans="1:12" x14ac:dyDescent="0.3">
      <c r="A5" s="51">
        <f t="shared" si="0"/>
        <v>1</v>
      </c>
      <c r="B5" s="44" t="s">
        <v>156</v>
      </c>
      <c r="C5" s="75">
        <v>43105</v>
      </c>
      <c r="D5" s="44">
        <v>1</v>
      </c>
      <c r="E5">
        <v>3</v>
      </c>
      <c r="F5" t="s">
        <v>31</v>
      </c>
      <c r="G5" t="s">
        <v>87</v>
      </c>
      <c r="H5" s="44">
        <v>12</v>
      </c>
      <c r="I5" t="s">
        <v>42</v>
      </c>
      <c r="J5" s="44" t="s">
        <v>157</v>
      </c>
      <c r="K5" s="51">
        <v>1</v>
      </c>
      <c r="L5" s="46">
        <v>0.85416666666666663</v>
      </c>
    </row>
    <row r="6" spans="1:12" x14ac:dyDescent="0.3">
      <c r="A6" s="51">
        <f t="shared" si="0"/>
        <v>1</v>
      </c>
      <c r="B6" s="44" t="s">
        <v>156</v>
      </c>
      <c r="C6" s="75">
        <v>43105</v>
      </c>
      <c r="D6" s="44">
        <v>1</v>
      </c>
      <c r="E6">
        <v>4</v>
      </c>
      <c r="F6" t="s">
        <v>28</v>
      </c>
      <c r="G6" t="s">
        <v>87</v>
      </c>
      <c r="H6" s="44">
        <v>12</v>
      </c>
      <c r="I6" t="s">
        <v>42</v>
      </c>
      <c r="J6" s="44" t="s">
        <v>157</v>
      </c>
      <c r="K6" s="51">
        <v>1</v>
      </c>
      <c r="L6" s="46">
        <v>0.85416666666666663</v>
      </c>
    </row>
    <row r="7" spans="1:12" x14ac:dyDescent="0.3">
      <c r="A7" s="51">
        <f t="shared" si="0"/>
        <v>1</v>
      </c>
      <c r="B7" s="44" t="s">
        <v>156</v>
      </c>
      <c r="C7" s="75">
        <v>43105</v>
      </c>
      <c r="D7" s="44">
        <v>1</v>
      </c>
      <c r="E7">
        <v>5</v>
      </c>
      <c r="F7" t="s">
        <v>65</v>
      </c>
      <c r="G7" t="s">
        <v>88</v>
      </c>
      <c r="H7" s="44">
        <v>12</v>
      </c>
      <c r="I7" t="s">
        <v>71</v>
      </c>
      <c r="J7" s="44" t="s">
        <v>157</v>
      </c>
      <c r="K7" s="51">
        <v>1</v>
      </c>
      <c r="L7" s="46">
        <v>0.85416666666666663</v>
      </c>
    </row>
    <row r="8" spans="1:12" x14ac:dyDescent="0.3">
      <c r="A8" s="51">
        <f t="shared" si="0"/>
        <v>1</v>
      </c>
      <c r="B8" s="44" t="s">
        <v>156</v>
      </c>
      <c r="C8" s="75">
        <v>43105</v>
      </c>
      <c r="D8" s="44">
        <v>1</v>
      </c>
      <c r="E8">
        <v>6</v>
      </c>
      <c r="F8" t="s">
        <v>32</v>
      </c>
      <c r="G8" t="s">
        <v>89</v>
      </c>
      <c r="H8" s="44">
        <v>12</v>
      </c>
      <c r="I8" t="s">
        <v>42</v>
      </c>
      <c r="J8" s="44" t="s">
        <v>157</v>
      </c>
      <c r="K8" s="51">
        <v>1</v>
      </c>
      <c r="L8" s="46">
        <v>0.85416666666666663</v>
      </c>
    </row>
    <row r="9" spans="1:12" x14ac:dyDescent="0.3">
      <c r="A9" s="51">
        <f t="shared" si="0"/>
        <v>1</v>
      </c>
      <c r="B9" s="44" t="s">
        <v>156</v>
      </c>
      <c r="C9" s="75">
        <v>43105</v>
      </c>
      <c r="D9" s="44">
        <v>1</v>
      </c>
      <c r="E9">
        <v>7</v>
      </c>
      <c r="F9" t="s">
        <v>59</v>
      </c>
      <c r="G9" t="s">
        <v>90</v>
      </c>
      <c r="H9" s="44">
        <v>12</v>
      </c>
      <c r="I9" t="s">
        <v>71</v>
      </c>
      <c r="J9" s="44" t="s">
        <v>157</v>
      </c>
      <c r="K9" s="51">
        <v>1</v>
      </c>
      <c r="L9" s="46">
        <v>0.85416666666666663</v>
      </c>
    </row>
    <row r="10" spans="1:12" x14ac:dyDescent="0.3">
      <c r="A10" s="51">
        <f t="shared" si="0"/>
        <v>1</v>
      </c>
      <c r="B10" s="44" t="s">
        <v>156</v>
      </c>
      <c r="C10" s="75">
        <v>43105</v>
      </c>
      <c r="D10" s="44">
        <v>1</v>
      </c>
      <c r="E10">
        <v>8</v>
      </c>
      <c r="F10" t="s">
        <v>149</v>
      </c>
      <c r="G10" t="s">
        <v>90</v>
      </c>
      <c r="H10" s="44">
        <v>12</v>
      </c>
      <c r="I10" t="s">
        <v>71</v>
      </c>
      <c r="J10" s="44" t="s">
        <v>157</v>
      </c>
      <c r="K10" s="51">
        <v>1</v>
      </c>
      <c r="L10" s="46">
        <v>0.85416666666666663</v>
      </c>
    </row>
    <row r="11" spans="1:12" x14ac:dyDescent="0.3">
      <c r="A11" s="51">
        <f t="shared" si="0"/>
        <v>1</v>
      </c>
      <c r="B11" s="44" t="s">
        <v>156</v>
      </c>
      <c r="C11" s="75">
        <v>43105</v>
      </c>
      <c r="D11" s="44">
        <v>1</v>
      </c>
      <c r="E11">
        <v>9</v>
      </c>
      <c r="F11" t="s">
        <v>34</v>
      </c>
      <c r="G11" t="s">
        <v>90</v>
      </c>
      <c r="H11" s="44">
        <v>12</v>
      </c>
      <c r="I11" t="s">
        <v>42</v>
      </c>
      <c r="J11" s="44" t="s">
        <v>157</v>
      </c>
      <c r="K11" s="51">
        <v>1</v>
      </c>
      <c r="L11" s="46">
        <v>0.85416666666666663</v>
      </c>
    </row>
    <row r="12" spans="1:12" x14ac:dyDescent="0.3">
      <c r="A12" s="51">
        <f t="shared" si="0"/>
        <v>1</v>
      </c>
      <c r="B12" s="44" t="s">
        <v>156</v>
      </c>
      <c r="C12" s="75">
        <v>43105</v>
      </c>
      <c r="D12" s="44">
        <v>1</v>
      </c>
      <c r="E12">
        <v>10</v>
      </c>
      <c r="F12" t="s">
        <v>148</v>
      </c>
      <c r="G12" t="s">
        <v>90</v>
      </c>
      <c r="H12" s="44">
        <v>12</v>
      </c>
      <c r="I12" t="s">
        <v>71</v>
      </c>
      <c r="J12" s="44" t="s">
        <v>157</v>
      </c>
      <c r="K12" s="51">
        <v>1</v>
      </c>
      <c r="L12" s="46">
        <v>0.85416666666666663</v>
      </c>
    </row>
    <row r="13" spans="1:12" x14ac:dyDescent="0.3">
      <c r="A13" s="51">
        <f t="shared" si="0"/>
        <v>1</v>
      </c>
      <c r="B13" s="44" t="s">
        <v>156</v>
      </c>
      <c r="C13" s="75">
        <v>43105</v>
      </c>
      <c r="D13" s="44">
        <v>1</v>
      </c>
      <c r="E13">
        <v>11</v>
      </c>
      <c r="F13" t="s">
        <v>36</v>
      </c>
      <c r="G13" t="s">
        <v>90</v>
      </c>
      <c r="H13" s="44">
        <v>12</v>
      </c>
      <c r="I13" t="s">
        <v>42</v>
      </c>
      <c r="J13" s="44" t="s">
        <v>157</v>
      </c>
      <c r="K13" s="51">
        <v>1</v>
      </c>
      <c r="L13" s="46">
        <v>0.85416666666666663</v>
      </c>
    </row>
    <row r="14" spans="1:12" x14ac:dyDescent="0.3">
      <c r="A14" s="51">
        <f t="shared" si="0"/>
        <v>1</v>
      </c>
      <c r="B14" s="44" t="s">
        <v>156</v>
      </c>
      <c r="C14" s="75">
        <v>43105</v>
      </c>
      <c r="D14" s="44">
        <v>1</v>
      </c>
      <c r="E14">
        <v>12</v>
      </c>
      <c r="F14" t="s">
        <v>145</v>
      </c>
      <c r="G14" t="s">
        <v>90</v>
      </c>
      <c r="H14" s="44">
        <v>12</v>
      </c>
      <c r="I14" t="s">
        <v>71</v>
      </c>
      <c r="J14" s="44" t="s">
        <v>157</v>
      </c>
      <c r="K14" s="51">
        <v>1</v>
      </c>
      <c r="L14" s="46">
        <v>0.85416666666666663</v>
      </c>
    </row>
    <row r="15" spans="1:12" x14ac:dyDescent="0.3">
      <c r="A15" s="51">
        <f t="shared" si="0"/>
        <v>1</v>
      </c>
      <c r="B15" s="44" t="s">
        <v>156</v>
      </c>
      <c r="C15" s="75">
        <v>43105</v>
      </c>
      <c r="D15" s="44">
        <v>1</v>
      </c>
      <c r="E15">
        <v>13</v>
      </c>
      <c r="F15" t="s">
        <v>24</v>
      </c>
      <c r="G15" t="s">
        <v>90</v>
      </c>
      <c r="H15" s="44">
        <v>12</v>
      </c>
      <c r="I15" t="s">
        <v>42</v>
      </c>
      <c r="J15" s="44" t="s">
        <v>157</v>
      </c>
      <c r="K15" s="51">
        <v>1</v>
      </c>
      <c r="L15" s="46">
        <v>0.85416666666666663</v>
      </c>
    </row>
    <row r="16" spans="1:12" x14ac:dyDescent="0.3">
      <c r="A16" s="51">
        <f t="shared" si="0"/>
        <v>1</v>
      </c>
      <c r="B16" s="44" t="s">
        <v>156</v>
      </c>
      <c r="C16" s="75">
        <v>43105</v>
      </c>
      <c r="D16" s="44">
        <v>1</v>
      </c>
      <c r="E16">
        <v>14</v>
      </c>
      <c r="F16" t="s">
        <v>22</v>
      </c>
      <c r="G16" t="s">
        <v>91</v>
      </c>
      <c r="H16" s="44">
        <v>12</v>
      </c>
      <c r="I16" t="s">
        <v>42</v>
      </c>
      <c r="J16" s="44" t="s">
        <v>157</v>
      </c>
      <c r="K16" s="51">
        <v>1</v>
      </c>
      <c r="L16" s="46">
        <v>0.85416666666666663</v>
      </c>
    </row>
    <row r="17" spans="1:12" x14ac:dyDescent="0.3">
      <c r="A17" s="51">
        <f t="shared" si="0"/>
        <v>1</v>
      </c>
      <c r="B17" s="44" t="s">
        <v>156</v>
      </c>
      <c r="C17" s="75">
        <v>43105</v>
      </c>
      <c r="D17" s="44">
        <v>1</v>
      </c>
      <c r="E17">
        <v>15</v>
      </c>
      <c r="F17" t="s">
        <v>53</v>
      </c>
      <c r="G17" t="s">
        <v>85</v>
      </c>
      <c r="H17" s="44">
        <v>28</v>
      </c>
      <c r="I17" t="s">
        <v>71</v>
      </c>
      <c r="J17" s="44" t="s">
        <v>157</v>
      </c>
      <c r="K17" s="51">
        <v>1</v>
      </c>
      <c r="L17" s="46">
        <v>0.85416666666666663</v>
      </c>
    </row>
    <row r="18" spans="1:12" x14ac:dyDescent="0.3">
      <c r="A18" s="51">
        <f t="shared" si="0"/>
        <v>1</v>
      </c>
      <c r="B18" s="44" t="s">
        <v>156</v>
      </c>
      <c r="C18" s="75">
        <v>43105</v>
      </c>
      <c r="D18" s="44">
        <v>1</v>
      </c>
      <c r="E18">
        <v>16</v>
      </c>
      <c r="F18" t="s">
        <v>33</v>
      </c>
      <c r="G18" t="s">
        <v>86</v>
      </c>
      <c r="H18" s="44">
        <v>28</v>
      </c>
      <c r="I18" t="s">
        <v>42</v>
      </c>
      <c r="J18" s="44" t="s">
        <v>157</v>
      </c>
      <c r="K18" s="51">
        <v>1</v>
      </c>
      <c r="L18" s="46">
        <v>0.85416666666666663</v>
      </c>
    </row>
    <row r="19" spans="1:12" x14ac:dyDescent="0.3">
      <c r="A19" s="51">
        <f t="shared" si="0"/>
        <v>1</v>
      </c>
      <c r="B19" s="44" t="s">
        <v>156</v>
      </c>
      <c r="C19" s="75">
        <v>43105</v>
      </c>
      <c r="D19" s="44">
        <v>1</v>
      </c>
      <c r="E19">
        <v>17</v>
      </c>
      <c r="F19" t="s">
        <v>27</v>
      </c>
      <c r="G19" t="s">
        <v>87</v>
      </c>
      <c r="H19" s="44">
        <v>28</v>
      </c>
      <c r="I19" t="s">
        <v>42</v>
      </c>
      <c r="J19" s="44" t="s">
        <v>157</v>
      </c>
      <c r="K19" s="51">
        <v>1</v>
      </c>
      <c r="L19" s="46">
        <v>0.85416666666666663</v>
      </c>
    </row>
    <row r="20" spans="1:12" x14ac:dyDescent="0.3">
      <c r="A20" s="51">
        <f t="shared" si="0"/>
        <v>1</v>
      </c>
      <c r="B20" s="44" t="s">
        <v>156</v>
      </c>
      <c r="C20" s="75">
        <v>43105</v>
      </c>
      <c r="D20" s="44">
        <v>1</v>
      </c>
      <c r="E20">
        <v>18</v>
      </c>
      <c r="F20" t="s">
        <v>38</v>
      </c>
      <c r="G20" t="s">
        <v>87</v>
      </c>
      <c r="H20" s="44">
        <v>28</v>
      </c>
      <c r="I20" t="s">
        <v>42</v>
      </c>
      <c r="J20" s="44" t="s">
        <v>157</v>
      </c>
      <c r="K20" s="51">
        <v>1</v>
      </c>
      <c r="L20" s="46">
        <v>0.85416666666666663</v>
      </c>
    </row>
    <row r="21" spans="1:12" x14ac:dyDescent="0.3">
      <c r="A21" s="51">
        <f t="shared" si="0"/>
        <v>1</v>
      </c>
      <c r="B21" s="44" t="s">
        <v>156</v>
      </c>
      <c r="C21" s="75">
        <v>43105</v>
      </c>
      <c r="D21" s="44">
        <v>1</v>
      </c>
      <c r="E21">
        <v>19</v>
      </c>
      <c r="F21" t="s">
        <v>37</v>
      </c>
      <c r="G21" t="s">
        <v>88</v>
      </c>
      <c r="H21" s="44">
        <v>28</v>
      </c>
      <c r="I21" t="s">
        <v>42</v>
      </c>
      <c r="J21" s="44" t="s">
        <v>157</v>
      </c>
      <c r="K21" s="51">
        <v>1</v>
      </c>
      <c r="L21" s="46">
        <v>0.85416666666666663</v>
      </c>
    </row>
    <row r="22" spans="1:12" x14ac:dyDescent="0.3">
      <c r="A22" s="51">
        <f t="shared" si="0"/>
        <v>1</v>
      </c>
      <c r="B22" s="44" t="s">
        <v>156</v>
      </c>
      <c r="C22" s="75">
        <v>43105</v>
      </c>
      <c r="D22" s="44">
        <v>1</v>
      </c>
      <c r="E22">
        <v>20</v>
      </c>
      <c r="F22" t="s">
        <v>55</v>
      </c>
      <c r="G22" t="s">
        <v>89</v>
      </c>
      <c r="H22" s="44">
        <v>28</v>
      </c>
      <c r="I22" t="s">
        <v>71</v>
      </c>
      <c r="J22" s="44" t="s">
        <v>157</v>
      </c>
      <c r="K22" s="51">
        <v>1</v>
      </c>
      <c r="L22" s="46">
        <v>0.85416666666666663</v>
      </c>
    </row>
    <row r="23" spans="1:12" x14ac:dyDescent="0.3">
      <c r="A23" s="51">
        <f t="shared" si="0"/>
        <v>1</v>
      </c>
      <c r="B23" s="44" t="s">
        <v>156</v>
      </c>
      <c r="C23" s="75">
        <v>43105</v>
      </c>
      <c r="D23" s="44">
        <v>1</v>
      </c>
      <c r="E23">
        <v>21</v>
      </c>
      <c r="F23" t="s">
        <v>25</v>
      </c>
      <c r="G23" t="s">
        <v>90</v>
      </c>
      <c r="H23" s="44">
        <v>28</v>
      </c>
      <c r="I23" t="s">
        <v>42</v>
      </c>
      <c r="J23" s="44" t="s">
        <v>157</v>
      </c>
      <c r="K23" s="51">
        <v>1</v>
      </c>
      <c r="L23" s="46">
        <v>0.85416666666666663</v>
      </c>
    </row>
    <row r="24" spans="1:12" x14ac:dyDescent="0.3">
      <c r="A24" s="51">
        <f t="shared" si="0"/>
        <v>1</v>
      </c>
      <c r="B24" s="44" t="s">
        <v>156</v>
      </c>
      <c r="C24" s="75">
        <v>43105</v>
      </c>
      <c r="D24" s="44">
        <v>1</v>
      </c>
      <c r="E24">
        <v>22</v>
      </c>
      <c r="F24" t="s">
        <v>69</v>
      </c>
      <c r="G24" t="s">
        <v>90</v>
      </c>
      <c r="H24" s="44">
        <v>28</v>
      </c>
      <c r="I24" t="s">
        <v>71</v>
      </c>
      <c r="J24" s="44" t="s">
        <v>157</v>
      </c>
      <c r="K24" s="51">
        <v>1</v>
      </c>
      <c r="L24" s="46">
        <v>0.85416666666666663</v>
      </c>
    </row>
    <row r="25" spans="1:12" x14ac:dyDescent="0.3">
      <c r="A25" s="51">
        <f t="shared" si="0"/>
        <v>1</v>
      </c>
      <c r="B25" s="44" t="s">
        <v>156</v>
      </c>
      <c r="C25" s="75">
        <v>43105</v>
      </c>
      <c r="D25" s="44">
        <v>1</v>
      </c>
      <c r="E25">
        <v>23</v>
      </c>
      <c r="F25" t="s">
        <v>40</v>
      </c>
      <c r="G25" t="s">
        <v>90</v>
      </c>
      <c r="H25" s="44">
        <v>28</v>
      </c>
      <c r="I25" t="s">
        <v>42</v>
      </c>
      <c r="J25" s="44" t="s">
        <v>157</v>
      </c>
      <c r="K25" s="51">
        <v>1</v>
      </c>
      <c r="L25" s="46">
        <v>0.85416666666666663</v>
      </c>
    </row>
    <row r="26" spans="1:12" x14ac:dyDescent="0.3">
      <c r="A26" s="51">
        <f t="shared" si="0"/>
        <v>1</v>
      </c>
      <c r="B26" s="44" t="s">
        <v>156</v>
      </c>
      <c r="C26" s="75">
        <v>43105</v>
      </c>
      <c r="D26" s="44">
        <v>1</v>
      </c>
      <c r="E26">
        <v>24</v>
      </c>
      <c r="F26" t="s">
        <v>35</v>
      </c>
      <c r="G26" t="s">
        <v>90</v>
      </c>
      <c r="H26" s="44">
        <v>28</v>
      </c>
      <c r="I26" t="s">
        <v>42</v>
      </c>
      <c r="J26" s="44" t="s">
        <v>157</v>
      </c>
      <c r="K26" s="51">
        <v>1</v>
      </c>
      <c r="L26" s="46">
        <v>0.85416666666666663</v>
      </c>
    </row>
    <row r="27" spans="1:12" x14ac:dyDescent="0.3">
      <c r="A27" s="51">
        <f t="shared" si="0"/>
        <v>1</v>
      </c>
      <c r="B27" s="44" t="s">
        <v>156</v>
      </c>
      <c r="C27" s="75">
        <v>43105</v>
      </c>
      <c r="D27" s="44">
        <v>1</v>
      </c>
      <c r="E27">
        <v>25</v>
      </c>
      <c r="F27" t="s">
        <v>147</v>
      </c>
      <c r="G27" t="s">
        <v>90</v>
      </c>
      <c r="H27" s="44">
        <v>28</v>
      </c>
      <c r="I27" t="s">
        <v>71</v>
      </c>
      <c r="J27" s="44" t="s">
        <v>157</v>
      </c>
      <c r="K27" s="51">
        <v>1</v>
      </c>
      <c r="L27" s="46">
        <v>0.85416666666666663</v>
      </c>
    </row>
    <row r="28" spans="1:12" x14ac:dyDescent="0.3">
      <c r="A28" s="51">
        <f t="shared" si="0"/>
        <v>1</v>
      </c>
      <c r="B28" s="44" t="s">
        <v>156</v>
      </c>
      <c r="C28" s="75">
        <v>43105</v>
      </c>
      <c r="D28" s="44">
        <v>1</v>
      </c>
      <c r="E28">
        <v>26</v>
      </c>
      <c r="F28" t="s">
        <v>143</v>
      </c>
      <c r="G28" t="s">
        <v>90</v>
      </c>
      <c r="H28" s="44">
        <v>28</v>
      </c>
      <c r="I28" t="s">
        <v>71</v>
      </c>
      <c r="J28" s="44" t="s">
        <v>157</v>
      </c>
      <c r="K28" s="51">
        <v>1</v>
      </c>
      <c r="L28" s="46">
        <v>0.85416666666666663</v>
      </c>
    </row>
    <row r="29" spans="1:12" x14ac:dyDescent="0.3">
      <c r="A29" s="51">
        <f t="shared" si="0"/>
        <v>1</v>
      </c>
      <c r="B29" s="44" t="s">
        <v>156</v>
      </c>
      <c r="C29" s="75">
        <v>43105</v>
      </c>
      <c r="D29" s="44">
        <v>1</v>
      </c>
      <c r="E29">
        <v>27</v>
      </c>
      <c r="F29" t="s">
        <v>140</v>
      </c>
      <c r="G29" t="s">
        <v>90</v>
      </c>
      <c r="H29" s="44">
        <v>28</v>
      </c>
      <c r="I29" t="s">
        <v>71</v>
      </c>
      <c r="J29" s="44" t="s">
        <v>157</v>
      </c>
      <c r="K29" s="51">
        <v>1</v>
      </c>
      <c r="L29" s="46">
        <v>0.85416666666666663</v>
      </c>
    </row>
    <row r="30" spans="1:12" x14ac:dyDescent="0.3">
      <c r="A30" s="51">
        <f t="shared" si="0"/>
        <v>1</v>
      </c>
      <c r="B30" s="44" t="s">
        <v>156</v>
      </c>
      <c r="C30" s="75">
        <v>43105</v>
      </c>
      <c r="D30" s="44">
        <v>1</v>
      </c>
      <c r="E30">
        <v>28</v>
      </c>
      <c r="F30" t="s">
        <v>45</v>
      </c>
      <c r="G30" t="s">
        <v>91</v>
      </c>
      <c r="H30" s="44">
        <v>28</v>
      </c>
      <c r="I30" t="s">
        <v>71</v>
      </c>
      <c r="J30" s="44" t="s">
        <v>157</v>
      </c>
      <c r="K30" s="51">
        <v>1</v>
      </c>
      <c r="L30" s="46">
        <v>0.85416666666666663</v>
      </c>
    </row>
    <row r="31" spans="1:12" x14ac:dyDescent="0.3">
      <c r="A31" s="51">
        <f t="shared" si="0"/>
        <v>1</v>
      </c>
      <c r="B31" s="44" t="s">
        <v>160</v>
      </c>
      <c r="C31" s="75">
        <v>43115</v>
      </c>
      <c r="D31" s="44">
        <v>2</v>
      </c>
      <c r="E31">
        <v>1</v>
      </c>
      <c r="F31" t="s">
        <v>53</v>
      </c>
      <c r="G31" t="s">
        <v>85</v>
      </c>
      <c r="H31" s="44">
        <v>35</v>
      </c>
      <c r="I31" t="s">
        <v>71</v>
      </c>
      <c r="J31" s="44" t="s">
        <v>161</v>
      </c>
      <c r="K31" s="51">
        <v>1</v>
      </c>
      <c r="L31" s="46">
        <v>0.79166666666666663</v>
      </c>
    </row>
    <row r="32" spans="1:12" x14ac:dyDescent="0.3">
      <c r="A32" s="51">
        <f t="shared" si="0"/>
        <v>1</v>
      </c>
      <c r="B32" s="44" t="s">
        <v>160</v>
      </c>
      <c r="C32" s="75">
        <v>43115</v>
      </c>
      <c r="D32" s="44">
        <v>2</v>
      </c>
      <c r="E32">
        <v>2</v>
      </c>
      <c r="F32" t="s">
        <v>33</v>
      </c>
      <c r="G32" t="s">
        <v>86</v>
      </c>
      <c r="H32" s="44">
        <v>35</v>
      </c>
      <c r="I32" t="s">
        <v>42</v>
      </c>
      <c r="J32" s="44" t="s">
        <v>161</v>
      </c>
      <c r="K32" s="51">
        <v>1</v>
      </c>
      <c r="L32" s="46">
        <v>0.79166666666666663</v>
      </c>
    </row>
    <row r="33" spans="1:12" x14ac:dyDescent="0.3">
      <c r="A33" s="51">
        <f t="shared" si="0"/>
        <v>1</v>
      </c>
      <c r="B33" s="44" t="s">
        <v>160</v>
      </c>
      <c r="C33" s="75">
        <v>43115</v>
      </c>
      <c r="D33" s="44">
        <v>2</v>
      </c>
      <c r="E33">
        <v>3</v>
      </c>
      <c r="F33" t="s">
        <v>26</v>
      </c>
      <c r="G33" t="s">
        <v>87</v>
      </c>
      <c r="H33" s="44">
        <v>35</v>
      </c>
      <c r="I33" t="s">
        <v>42</v>
      </c>
      <c r="J33" s="44" t="s">
        <v>161</v>
      </c>
      <c r="K33" s="51">
        <v>1</v>
      </c>
      <c r="L33" s="46">
        <v>0.79166666666666663</v>
      </c>
    </row>
    <row r="34" spans="1:12" x14ac:dyDescent="0.3">
      <c r="A34" s="51">
        <f t="shared" si="0"/>
        <v>1</v>
      </c>
      <c r="B34" s="44" t="s">
        <v>160</v>
      </c>
      <c r="C34" s="75">
        <v>43115</v>
      </c>
      <c r="D34" s="44">
        <v>2</v>
      </c>
      <c r="E34">
        <v>4</v>
      </c>
      <c r="F34" t="s">
        <v>27</v>
      </c>
      <c r="G34" t="s">
        <v>87</v>
      </c>
      <c r="H34" s="44">
        <v>35</v>
      </c>
      <c r="I34" t="s">
        <v>42</v>
      </c>
      <c r="J34" s="44" t="s">
        <v>161</v>
      </c>
      <c r="K34" s="51">
        <v>1</v>
      </c>
      <c r="L34" s="46">
        <v>0.79166666666666663</v>
      </c>
    </row>
    <row r="35" spans="1:12" x14ac:dyDescent="0.3">
      <c r="A35" s="51">
        <f t="shared" ref="A35:A66" si="1">K35</f>
        <v>1</v>
      </c>
      <c r="B35" s="44" t="s">
        <v>160</v>
      </c>
      <c r="C35" s="75">
        <v>43115</v>
      </c>
      <c r="D35" s="44">
        <v>2</v>
      </c>
      <c r="E35">
        <v>5</v>
      </c>
      <c r="F35" t="s">
        <v>37</v>
      </c>
      <c r="G35" t="s">
        <v>88</v>
      </c>
      <c r="H35" s="44">
        <v>35</v>
      </c>
      <c r="I35" t="s">
        <v>42</v>
      </c>
      <c r="J35" s="44" t="s">
        <v>161</v>
      </c>
      <c r="K35" s="51">
        <v>1</v>
      </c>
      <c r="L35" s="46">
        <v>0.79166666666666663</v>
      </c>
    </row>
    <row r="36" spans="1:12" x14ac:dyDescent="0.3">
      <c r="A36" s="51">
        <f t="shared" si="1"/>
        <v>1</v>
      </c>
      <c r="B36" s="44" t="s">
        <v>160</v>
      </c>
      <c r="C36" s="75">
        <v>43115</v>
      </c>
      <c r="D36" s="44">
        <v>2</v>
      </c>
      <c r="E36">
        <v>6</v>
      </c>
      <c r="F36" t="s">
        <v>55</v>
      </c>
      <c r="G36" t="s">
        <v>89</v>
      </c>
      <c r="H36" s="44">
        <v>35</v>
      </c>
      <c r="I36" t="s">
        <v>71</v>
      </c>
      <c r="J36" s="44" t="s">
        <v>161</v>
      </c>
      <c r="K36" s="51">
        <v>1</v>
      </c>
      <c r="L36" s="46">
        <v>0.79166666666666663</v>
      </c>
    </row>
    <row r="37" spans="1:12" x14ac:dyDescent="0.3">
      <c r="A37" s="51">
        <f t="shared" si="1"/>
        <v>1</v>
      </c>
      <c r="B37" s="44" t="s">
        <v>160</v>
      </c>
      <c r="C37" s="75">
        <v>43115</v>
      </c>
      <c r="D37" s="44">
        <v>2</v>
      </c>
      <c r="E37">
        <v>7</v>
      </c>
      <c r="F37" t="s">
        <v>25</v>
      </c>
      <c r="G37" t="s">
        <v>90</v>
      </c>
      <c r="H37" s="44">
        <v>35</v>
      </c>
      <c r="I37" t="s">
        <v>42</v>
      </c>
      <c r="J37" s="44" t="s">
        <v>161</v>
      </c>
      <c r="K37" s="51">
        <v>1</v>
      </c>
      <c r="L37" s="46">
        <v>0.79166666666666663</v>
      </c>
    </row>
    <row r="38" spans="1:12" x14ac:dyDescent="0.3">
      <c r="A38" s="51">
        <f t="shared" si="1"/>
        <v>1</v>
      </c>
      <c r="B38" s="44" t="s">
        <v>160</v>
      </c>
      <c r="C38" s="75">
        <v>43115</v>
      </c>
      <c r="D38" s="44">
        <v>2</v>
      </c>
      <c r="E38">
        <v>8</v>
      </c>
      <c r="F38" t="s">
        <v>35</v>
      </c>
      <c r="G38" t="s">
        <v>90</v>
      </c>
      <c r="H38" s="44">
        <v>35</v>
      </c>
      <c r="I38" t="s">
        <v>42</v>
      </c>
      <c r="J38" s="44" t="s">
        <v>161</v>
      </c>
      <c r="K38" s="51">
        <v>1</v>
      </c>
      <c r="L38" s="46">
        <v>0.79166666666666663</v>
      </c>
    </row>
    <row r="39" spans="1:12" x14ac:dyDescent="0.3">
      <c r="A39" s="51">
        <f t="shared" si="1"/>
        <v>1</v>
      </c>
      <c r="B39" s="44" t="s">
        <v>160</v>
      </c>
      <c r="C39" s="75">
        <v>43115</v>
      </c>
      <c r="D39" s="44">
        <v>2</v>
      </c>
      <c r="E39">
        <v>9</v>
      </c>
      <c r="F39" t="s">
        <v>34</v>
      </c>
      <c r="G39" t="s">
        <v>90</v>
      </c>
      <c r="H39" s="44">
        <v>35</v>
      </c>
      <c r="I39" t="s">
        <v>42</v>
      </c>
      <c r="J39" s="44" t="s">
        <v>161</v>
      </c>
      <c r="K39" s="51">
        <v>1</v>
      </c>
      <c r="L39" s="46">
        <v>0.79166666666666663</v>
      </c>
    </row>
    <row r="40" spans="1:12" x14ac:dyDescent="0.3">
      <c r="A40" s="51">
        <f t="shared" si="1"/>
        <v>1</v>
      </c>
      <c r="B40" s="44" t="s">
        <v>160</v>
      </c>
      <c r="C40" s="75">
        <v>43115</v>
      </c>
      <c r="D40" s="44">
        <v>2</v>
      </c>
      <c r="E40">
        <v>10</v>
      </c>
      <c r="F40" t="s">
        <v>148</v>
      </c>
      <c r="G40" t="s">
        <v>90</v>
      </c>
      <c r="H40" s="44">
        <v>35</v>
      </c>
      <c r="I40" t="s">
        <v>71</v>
      </c>
      <c r="J40" s="44" t="s">
        <v>161</v>
      </c>
      <c r="K40" s="51">
        <v>1</v>
      </c>
      <c r="L40" s="46">
        <v>0.79166666666666663</v>
      </c>
    </row>
    <row r="41" spans="1:12" x14ac:dyDescent="0.3">
      <c r="A41" s="51">
        <f t="shared" si="1"/>
        <v>1</v>
      </c>
      <c r="B41" s="44" t="s">
        <v>160</v>
      </c>
      <c r="C41" s="75">
        <v>43115</v>
      </c>
      <c r="D41" s="44">
        <v>2</v>
      </c>
      <c r="E41">
        <v>11</v>
      </c>
      <c r="F41" t="s">
        <v>36</v>
      </c>
      <c r="G41" t="s">
        <v>90</v>
      </c>
      <c r="H41" s="44">
        <v>35</v>
      </c>
      <c r="I41" t="s">
        <v>42</v>
      </c>
      <c r="J41" s="44" t="s">
        <v>161</v>
      </c>
      <c r="K41" s="51">
        <v>1</v>
      </c>
      <c r="L41" s="46">
        <v>0.79166666666666663</v>
      </c>
    </row>
    <row r="42" spans="1:12" x14ac:dyDescent="0.3">
      <c r="A42" s="51">
        <f t="shared" si="1"/>
        <v>1</v>
      </c>
      <c r="B42" s="44" t="s">
        <v>160</v>
      </c>
      <c r="C42" s="75">
        <v>43115</v>
      </c>
      <c r="D42" s="44">
        <v>2</v>
      </c>
      <c r="E42">
        <v>12</v>
      </c>
      <c r="F42" t="s">
        <v>24</v>
      </c>
      <c r="G42" t="s">
        <v>90</v>
      </c>
      <c r="H42" s="44">
        <v>35</v>
      </c>
      <c r="I42" t="s">
        <v>42</v>
      </c>
      <c r="J42" s="44" t="s">
        <v>161</v>
      </c>
      <c r="K42" s="51">
        <v>1</v>
      </c>
      <c r="L42" s="46">
        <v>0.79166666666666663</v>
      </c>
    </row>
    <row r="43" spans="1:12" x14ac:dyDescent="0.3">
      <c r="A43" s="51">
        <f t="shared" si="1"/>
        <v>1</v>
      </c>
      <c r="B43" s="44" t="s">
        <v>160</v>
      </c>
      <c r="C43" s="75">
        <v>43115</v>
      </c>
      <c r="D43" s="44">
        <v>2</v>
      </c>
      <c r="E43">
        <v>13</v>
      </c>
      <c r="F43" t="s">
        <v>149</v>
      </c>
      <c r="G43" t="s">
        <v>90</v>
      </c>
      <c r="H43" s="44">
        <v>35</v>
      </c>
      <c r="I43" t="s">
        <v>71</v>
      </c>
      <c r="J43" s="44" t="s">
        <v>161</v>
      </c>
      <c r="K43" s="51">
        <v>1</v>
      </c>
      <c r="L43" s="46">
        <v>0.79166666666666663</v>
      </c>
    </row>
    <row r="44" spans="1:12" x14ac:dyDescent="0.3">
      <c r="A44" s="51">
        <f t="shared" si="1"/>
        <v>1</v>
      </c>
      <c r="B44" s="44" t="s">
        <v>160</v>
      </c>
      <c r="C44" s="75">
        <v>43115</v>
      </c>
      <c r="D44" s="44">
        <v>2</v>
      </c>
      <c r="E44">
        <v>14</v>
      </c>
      <c r="F44" t="s">
        <v>45</v>
      </c>
      <c r="G44" t="s">
        <v>91</v>
      </c>
      <c r="H44" s="44">
        <v>35</v>
      </c>
      <c r="I44" t="s">
        <v>71</v>
      </c>
      <c r="J44" s="44" t="s">
        <v>161</v>
      </c>
      <c r="K44" s="51">
        <v>1</v>
      </c>
      <c r="L44" s="46">
        <v>0.79166666666666663</v>
      </c>
    </row>
    <row r="45" spans="1:12" x14ac:dyDescent="0.3">
      <c r="A45" s="51">
        <f t="shared" si="1"/>
        <v>1</v>
      </c>
      <c r="B45" s="44" t="s">
        <v>160</v>
      </c>
      <c r="C45" s="75">
        <v>43115</v>
      </c>
      <c r="D45" s="44">
        <v>2</v>
      </c>
      <c r="E45">
        <v>15</v>
      </c>
      <c r="F45" t="s">
        <v>39</v>
      </c>
      <c r="G45" t="s">
        <v>85</v>
      </c>
      <c r="H45" s="44">
        <v>14</v>
      </c>
      <c r="I45" t="s">
        <v>42</v>
      </c>
      <c r="J45" s="44" t="s">
        <v>161</v>
      </c>
      <c r="K45" s="51">
        <v>1</v>
      </c>
      <c r="L45" s="46">
        <v>0.79166666666666663</v>
      </c>
    </row>
    <row r="46" spans="1:12" x14ac:dyDescent="0.3">
      <c r="A46" s="51">
        <f t="shared" si="1"/>
        <v>1</v>
      </c>
      <c r="B46" s="44" t="s">
        <v>160</v>
      </c>
      <c r="C46" s="75">
        <v>43115</v>
      </c>
      <c r="D46" s="44">
        <v>2</v>
      </c>
      <c r="E46">
        <v>16</v>
      </c>
      <c r="F46" t="s">
        <v>47</v>
      </c>
      <c r="G46" t="s">
        <v>86</v>
      </c>
      <c r="H46" s="44">
        <v>14</v>
      </c>
      <c r="I46" t="s">
        <v>71</v>
      </c>
      <c r="J46" s="44" t="s">
        <v>161</v>
      </c>
      <c r="K46" s="51">
        <v>1</v>
      </c>
      <c r="L46" s="46">
        <v>0.79166666666666663</v>
      </c>
    </row>
    <row r="47" spans="1:12" x14ac:dyDescent="0.3">
      <c r="A47" s="51">
        <f t="shared" si="1"/>
        <v>1</v>
      </c>
      <c r="B47" s="44" t="s">
        <v>160</v>
      </c>
      <c r="C47" s="75">
        <v>43115</v>
      </c>
      <c r="D47" s="44">
        <v>2</v>
      </c>
      <c r="E47">
        <v>17</v>
      </c>
      <c r="F47" t="s">
        <v>31</v>
      </c>
      <c r="G47" t="s">
        <v>87</v>
      </c>
      <c r="H47" s="44">
        <v>14</v>
      </c>
      <c r="I47" t="s">
        <v>42</v>
      </c>
      <c r="J47" s="44" t="s">
        <v>161</v>
      </c>
      <c r="K47" s="51">
        <v>1</v>
      </c>
      <c r="L47" s="46">
        <v>0.79166666666666663</v>
      </c>
    </row>
    <row r="48" spans="1:12" x14ac:dyDescent="0.3">
      <c r="A48" s="51">
        <f t="shared" si="1"/>
        <v>1</v>
      </c>
      <c r="B48" s="44" t="s">
        <v>160</v>
      </c>
      <c r="C48" s="75">
        <v>43115</v>
      </c>
      <c r="D48" s="44">
        <v>2</v>
      </c>
      <c r="E48">
        <v>18</v>
      </c>
      <c r="F48" t="s">
        <v>28</v>
      </c>
      <c r="G48" t="s">
        <v>87</v>
      </c>
      <c r="H48" s="44">
        <v>14</v>
      </c>
      <c r="I48" t="s">
        <v>42</v>
      </c>
      <c r="J48" s="44" t="s">
        <v>161</v>
      </c>
      <c r="K48" s="51">
        <v>1</v>
      </c>
      <c r="L48" s="46">
        <v>0.79166666666666663</v>
      </c>
    </row>
    <row r="49" spans="1:12" x14ac:dyDescent="0.3">
      <c r="A49" s="51">
        <f t="shared" si="1"/>
        <v>1</v>
      </c>
      <c r="B49" s="44" t="s">
        <v>160</v>
      </c>
      <c r="C49" s="75">
        <v>43115</v>
      </c>
      <c r="D49" s="44">
        <v>2</v>
      </c>
      <c r="E49">
        <v>19</v>
      </c>
      <c r="F49" t="s">
        <v>65</v>
      </c>
      <c r="G49" t="s">
        <v>88</v>
      </c>
      <c r="H49" s="44">
        <v>14</v>
      </c>
      <c r="I49" t="s">
        <v>71</v>
      </c>
      <c r="J49" s="44" t="s">
        <v>161</v>
      </c>
      <c r="K49" s="51">
        <v>1</v>
      </c>
      <c r="L49" s="46">
        <v>0.79166666666666663</v>
      </c>
    </row>
    <row r="50" spans="1:12" x14ac:dyDescent="0.3">
      <c r="A50" s="51">
        <f t="shared" si="1"/>
        <v>1</v>
      </c>
      <c r="B50" s="44" t="s">
        <v>160</v>
      </c>
      <c r="C50" s="75">
        <v>43115</v>
      </c>
      <c r="D50" s="44">
        <v>2</v>
      </c>
      <c r="E50">
        <v>20</v>
      </c>
      <c r="F50" t="s">
        <v>32</v>
      </c>
      <c r="G50" t="s">
        <v>89</v>
      </c>
      <c r="H50" s="44">
        <v>14</v>
      </c>
      <c r="I50" t="s">
        <v>42</v>
      </c>
      <c r="J50" s="44" t="s">
        <v>161</v>
      </c>
      <c r="K50" s="51">
        <v>1</v>
      </c>
      <c r="L50" s="46">
        <v>0.79166666666666663</v>
      </c>
    </row>
    <row r="51" spans="1:12" x14ac:dyDescent="0.3">
      <c r="A51" s="51">
        <f t="shared" si="1"/>
        <v>1</v>
      </c>
      <c r="B51" s="44" t="s">
        <v>160</v>
      </c>
      <c r="C51" s="75">
        <v>43115</v>
      </c>
      <c r="D51" s="44">
        <v>2</v>
      </c>
      <c r="E51">
        <v>21</v>
      </c>
      <c r="F51" t="s">
        <v>59</v>
      </c>
      <c r="G51" t="s">
        <v>90</v>
      </c>
      <c r="H51" s="44">
        <v>14</v>
      </c>
      <c r="I51" t="s">
        <v>71</v>
      </c>
      <c r="J51" s="44" t="s">
        <v>161</v>
      </c>
      <c r="K51" s="51">
        <v>1</v>
      </c>
      <c r="L51" s="46">
        <v>0.79166666666666663</v>
      </c>
    </row>
    <row r="52" spans="1:12" x14ac:dyDescent="0.3">
      <c r="A52" s="51">
        <f t="shared" si="1"/>
        <v>1</v>
      </c>
      <c r="B52" s="44" t="s">
        <v>160</v>
      </c>
      <c r="C52" s="75">
        <v>43115</v>
      </c>
      <c r="D52" s="44">
        <v>2</v>
      </c>
      <c r="E52">
        <v>22</v>
      </c>
      <c r="F52" t="s">
        <v>147</v>
      </c>
      <c r="G52" t="s">
        <v>90</v>
      </c>
      <c r="H52" s="44">
        <v>14</v>
      </c>
      <c r="I52" t="s">
        <v>71</v>
      </c>
      <c r="J52" s="44" t="s">
        <v>161</v>
      </c>
      <c r="K52" s="51">
        <v>1</v>
      </c>
      <c r="L52" s="46">
        <v>0.79166666666666663</v>
      </c>
    </row>
    <row r="53" spans="1:12" x14ac:dyDescent="0.3">
      <c r="A53" s="51">
        <f t="shared" si="1"/>
        <v>1</v>
      </c>
      <c r="B53" s="44" t="s">
        <v>160</v>
      </c>
      <c r="C53" s="75">
        <v>43115</v>
      </c>
      <c r="D53" s="44">
        <v>2</v>
      </c>
      <c r="E53">
        <v>23</v>
      </c>
      <c r="F53" t="s">
        <v>40</v>
      </c>
      <c r="G53" t="s">
        <v>90</v>
      </c>
      <c r="H53" s="44">
        <v>14</v>
      </c>
      <c r="I53" t="s">
        <v>42</v>
      </c>
      <c r="J53" s="44" t="s">
        <v>161</v>
      </c>
      <c r="K53" s="51">
        <v>1</v>
      </c>
      <c r="L53" s="46">
        <v>0.79166666666666663</v>
      </c>
    </row>
    <row r="54" spans="1:12" x14ac:dyDescent="0.3">
      <c r="A54" s="51">
        <f t="shared" si="1"/>
        <v>1</v>
      </c>
      <c r="B54" s="44" t="s">
        <v>160</v>
      </c>
      <c r="C54" s="75">
        <v>43115</v>
      </c>
      <c r="D54" s="44">
        <v>2</v>
      </c>
      <c r="E54">
        <v>24</v>
      </c>
      <c r="F54" t="s">
        <v>140</v>
      </c>
      <c r="G54" t="s">
        <v>90</v>
      </c>
      <c r="H54" s="44">
        <v>14</v>
      </c>
      <c r="I54" t="s">
        <v>71</v>
      </c>
      <c r="J54" s="44" t="s">
        <v>161</v>
      </c>
      <c r="K54" s="51">
        <v>1</v>
      </c>
      <c r="L54" s="46">
        <v>0.79166666666666663</v>
      </c>
    </row>
    <row r="55" spans="1:12" x14ac:dyDescent="0.3">
      <c r="A55" s="51">
        <f t="shared" si="1"/>
        <v>1</v>
      </c>
      <c r="B55" s="44" t="s">
        <v>160</v>
      </c>
      <c r="C55" s="75">
        <v>43115</v>
      </c>
      <c r="D55" s="44">
        <v>2</v>
      </c>
      <c r="E55">
        <v>25</v>
      </c>
      <c r="F55" t="s">
        <v>145</v>
      </c>
      <c r="G55" t="s">
        <v>90</v>
      </c>
      <c r="H55" s="44">
        <v>14</v>
      </c>
      <c r="I55" t="s">
        <v>71</v>
      </c>
      <c r="J55" s="44" t="s">
        <v>161</v>
      </c>
      <c r="K55" s="51">
        <v>1</v>
      </c>
      <c r="L55" s="46">
        <v>0.79166666666666663</v>
      </c>
    </row>
    <row r="56" spans="1:12" x14ac:dyDescent="0.3">
      <c r="A56" s="51">
        <f t="shared" si="1"/>
        <v>1</v>
      </c>
      <c r="B56" s="44" t="s">
        <v>160</v>
      </c>
      <c r="C56" s="75">
        <v>43115</v>
      </c>
      <c r="D56" s="44">
        <v>2</v>
      </c>
      <c r="E56">
        <v>26</v>
      </c>
      <c r="F56" t="s">
        <v>143</v>
      </c>
      <c r="G56" t="s">
        <v>90</v>
      </c>
      <c r="H56" s="44">
        <v>14</v>
      </c>
      <c r="I56" t="s">
        <v>71</v>
      </c>
      <c r="J56" s="44" t="s">
        <v>161</v>
      </c>
      <c r="K56" s="51">
        <v>1</v>
      </c>
      <c r="L56" s="46">
        <v>0.79166666666666663</v>
      </c>
    </row>
    <row r="57" spans="1:12" x14ac:dyDescent="0.3">
      <c r="A57" s="51">
        <f t="shared" si="1"/>
        <v>1</v>
      </c>
      <c r="B57" s="44" t="s">
        <v>160</v>
      </c>
      <c r="C57" s="75">
        <v>43115</v>
      </c>
      <c r="D57" s="44">
        <v>2</v>
      </c>
      <c r="E57">
        <v>27</v>
      </c>
      <c r="F57" t="s">
        <v>69</v>
      </c>
      <c r="G57" t="s">
        <v>90</v>
      </c>
      <c r="H57" s="44">
        <v>14</v>
      </c>
      <c r="I57" t="s">
        <v>71</v>
      </c>
      <c r="J57" s="44" t="s">
        <v>161</v>
      </c>
      <c r="K57" s="51">
        <v>1</v>
      </c>
      <c r="L57" s="46">
        <v>0.79166666666666663</v>
      </c>
    </row>
    <row r="58" spans="1:12" x14ac:dyDescent="0.3">
      <c r="A58" s="51">
        <f t="shared" si="1"/>
        <v>1</v>
      </c>
      <c r="B58" s="44" t="s">
        <v>160</v>
      </c>
      <c r="C58" s="75">
        <v>43115</v>
      </c>
      <c r="D58" s="44">
        <v>2</v>
      </c>
      <c r="E58">
        <v>28</v>
      </c>
      <c r="F58" t="s">
        <v>158</v>
      </c>
      <c r="G58" t="s">
        <v>90</v>
      </c>
      <c r="H58" s="44">
        <v>14</v>
      </c>
      <c r="I58" t="s">
        <v>42</v>
      </c>
      <c r="J58" s="44" t="s">
        <v>161</v>
      </c>
      <c r="K58" s="51">
        <v>1</v>
      </c>
      <c r="L58" s="46">
        <v>0.79166666666666663</v>
      </c>
    </row>
    <row r="59" spans="1:12" x14ac:dyDescent="0.3">
      <c r="A59" s="51">
        <f t="shared" si="1"/>
        <v>1</v>
      </c>
      <c r="B59" s="44" t="s">
        <v>160</v>
      </c>
      <c r="C59" s="75">
        <v>43115</v>
      </c>
      <c r="D59" s="44">
        <v>2</v>
      </c>
      <c r="E59">
        <v>29</v>
      </c>
      <c r="F59" t="s">
        <v>22</v>
      </c>
      <c r="G59" t="s">
        <v>91</v>
      </c>
      <c r="H59" s="44">
        <v>14</v>
      </c>
      <c r="I59" t="s">
        <v>42</v>
      </c>
      <c r="J59" s="44" t="s">
        <v>161</v>
      </c>
      <c r="K59" s="51">
        <v>1</v>
      </c>
      <c r="L59" s="46">
        <v>0.79166666666666663</v>
      </c>
    </row>
    <row r="60" spans="1:12" x14ac:dyDescent="0.3">
      <c r="A60" s="51">
        <f t="shared" si="1"/>
        <v>1</v>
      </c>
      <c r="B60" s="44" t="s">
        <v>153</v>
      </c>
      <c r="C60" s="75">
        <v>43104</v>
      </c>
      <c r="D60" s="44">
        <v>1</v>
      </c>
      <c r="E60">
        <v>1</v>
      </c>
      <c r="F60" t="s">
        <v>53</v>
      </c>
      <c r="G60" t="s">
        <v>85</v>
      </c>
      <c r="H60" s="44">
        <v>6</v>
      </c>
      <c r="I60" t="s">
        <v>71</v>
      </c>
      <c r="J60" s="44" t="s">
        <v>154</v>
      </c>
      <c r="K60" s="51">
        <v>1</v>
      </c>
      <c r="L60" s="46">
        <v>0.77083333333333337</v>
      </c>
    </row>
    <row r="61" spans="1:12" x14ac:dyDescent="0.3">
      <c r="A61" s="51">
        <f t="shared" si="1"/>
        <v>1</v>
      </c>
      <c r="B61" s="44" t="s">
        <v>153</v>
      </c>
      <c r="C61" s="75">
        <v>43104</v>
      </c>
      <c r="D61" s="44">
        <v>1</v>
      </c>
      <c r="E61">
        <v>2</v>
      </c>
      <c r="F61" s="109" t="s">
        <v>47</v>
      </c>
      <c r="G61" t="s">
        <v>86</v>
      </c>
      <c r="H61" s="44">
        <v>6</v>
      </c>
      <c r="I61" t="s">
        <v>71</v>
      </c>
      <c r="J61" s="44" t="s">
        <v>154</v>
      </c>
      <c r="K61" s="51">
        <v>1</v>
      </c>
      <c r="L61" s="46">
        <v>0.77083333333333337</v>
      </c>
    </row>
    <row r="62" spans="1:12" x14ac:dyDescent="0.3">
      <c r="A62" s="51">
        <f t="shared" si="1"/>
        <v>1</v>
      </c>
      <c r="B62" s="44" t="s">
        <v>153</v>
      </c>
      <c r="C62" s="75">
        <v>43104</v>
      </c>
      <c r="D62" s="44">
        <v>1</v>
      </c>
      <c r="E62">
        <v>3</v>
      </c>
      <c r="F62" t="s">
        <v>27</v>
      </c>
      <c r="G62" t="s">
        <v>87</v>
      </c>
      <c r="H62" s="44">
        <v>6</v>
      </c>
      <c r="I62" t="s">
        <v>42</v>
      </c>
      <c r="J62" s="44" t="s">
        <v>154</v>
      </c>
      <c r="K62" s="51">
        <v>1</v>
      </c>
      <c r="L62" s="46">
        <v>0.77083333333333337</v>
      </c>
    </row>
    <row r="63" spans="1:12" x14ac:dyDescent="0.3">
      <c r="A63" s="51">
        <f t="shared" si="1"/>
        <v>1</v>
      </c>
      <c r="B63" s="44" t="s">
        <v>153</v>
      </c>
      <c r="C63" s="75">
        <v>43104</v>
      </c>
      <c r="D63" s="44">
        <v>1</v>
      </c>
      <c r="E63">
        <v>4</v>
      </c>
      <c r="F63" t="s">
        <v>33</v>
      </c>
      <c r="G63" t="s">
        <v>87</v>
      </c>
      <c r="H63" s="44">
        <v>6</v>
      </c>
      <c r="I63" t="s">
        <v>42</v>
      </c>
      <c r="J63" s="44" t="s">
        <v>154</v>
      </c>
      <c r="K63" s="51">
        <v>1</v>
      </c>
      <c r="L63" s="46">
        <v>0.77083333333333337</v>
      </c>
    </row>
    <row r="64" spans="1:12" x14ac:dyDescent="0.3">
      <c r="A64" s="51">
        <f t="shared" si="1"/>
        <v>1</v>
      </c>
      <c r="B64" s="44" t="s">
        <v>153</v>
      </c>
      <c r="C64" s="75">
        <v>43104</v>
      </c>
      <c r="D64" s="44">
        <v>1</v>
      </c>
      <c r="E64">
        <v>5</v>
      </c>
      <c r="F64" t="s">
        <v>37</v>
      </c>
      <c r="G64" t="s">
        <v>88</v>
      </c>
      <c r="H64" s="44">
        <v>6</v>
      </c>
      <c r="I64" t="s">
        <v>42</v>
      </c>
      <c r="J64" s="44" t="s">
        <v>154</v>
      </c>
      <c r="K64" s="51">
        <v>1</v>
      </c>
      <c r="L64" s="46">
        <v>0.77083333333333337</v>
      </c>
    </row>
    <row r="65" spans="1:12" x14ac:dyDescent="0.3">
      <c r="A65" s="51">
        <f t="shared" si="1"/>
        <v>1</v>
      </c>
      <c r="B65" s="44" t="s">
        <v>153</v>
      </c>
      <c r="C65" s="75">
        <v>43104</v>
      </c>
      <c r="D65" s="44">
        <v>1</v>
      </c>
      <c r="E65">
        <v>6</v>
      </c>
      <c r="F65" t="s">
        <v>55</v>
      </c>
      <c r="G65" t="s">
        <v>89</v>
      </c>
      <c r="H65" s="44">
        <v>6</v>
      </c>
      <c r="I65" t="s">
        <v>71</v>
      </c>
      <c r="J65" s="44" t="s">
        <v>154</v>
      </c>
      <c r="K65" s="51">
        <v>1</v>
      </c>
      <c r="L65" s="46">
        <v>0.77083333333333337</v>
      </c>
    </row>
    <row r="66" spans="1:12" x14ac:dyDescent="0.3">
      <c r="A66" s="51">
        <f t="shared" si="1"/>
        <v>1</v>
      </c>
      <c r="B66" s="44" t="s">
        <v>153</v>
      </c>
      <c r="C66" s="75">
        <v>43104</v>
      </c>
      <c r="D66" s="44">
        <v>1</v>
      </c>
      <c r="E66">
        <v>7</v>
      </c>
      <c r="F66" t="s">
        <v>147</v>
      </c>
      <c r="G66" t="s">
        <v>90</v>
      </c>
      <c r="H66" s="44">
        <v>6</v>
      </c>
      <c r="I66" t="s">
        <v>71</v>
      </c>
      <c r="J66" s="44" t="s">
        <v>154</v>
      </c>
      <c r="K66" s="51">
        <v>1</v>
      </c>
      <c r="L66" s="46">
        <v>0.77083333333333337</v>
      </c>
    </row>
    <row r="67" spans="1:12" x14ac:dyDescent="0.3">
      <c r="A67" s="51">
        <f t="shared" ref="A67:A98" si="2">K67</f>
        <v>1</v>
      </c>
      <c r="B67" s="44" t="s">
        <v>153</v>
      </c>
      <c r="C67" s="75">
        <v>43104</v>
      </c>
      <c r="D67" s="44">
        <v>1</v>
      </c>
      <c r="E67">
        <v>8</v>
      </c>
      <c r="F67" t="s">
        <v>51</v>
      </c>
      <c r="G67" t="s">
        <v>90</v>
      </c>
      <c r="H67" s="44">
        <v>6</v>
      </c>
      <c r="I67" t="s">
        <v>71</v>
      </c>
      <c r="J67" s="44" t="s">
        <v>154</v>
      </c>
      <c r="K67" s="51">
        <v>1</v>
      </c>
      <c r="L67" s="46">
        <v>0.77083333333333337</v>
      </c>
    </row>
    <row r="68" spans="1:12" x14ac:dyDescent="0.3">
      <c r="A68" s="51">
        <f t="shared" si="2"/>
        <v>1</v>
      </c>
      <c r="B68" s="44" t="s">
        <v>153</v>
      </c>
      <c r="C68" s="75">
        <v>43104</v>
      </c>
      <c r="D68" s="44">
        <v>1</v>
      </c>
      <c r="E68">
        <v>9</v>
      </c>
      <c r="F68" t="s">
        <v>24</v>
      </c>
      <c r="G68" t="s">
        <v>90</v>
      </c>
      <c r="H68" s="44">
        <v>6</v>
      </c>
      <c r="I68" t="s">
        <v>42</v>
      </c>
      <c r="J68" s="44" t="s">
        <v>154</v>
      </c>
      <c r="K68" s="51">
        <v>1</v>
      </c>
      <c r="L68" s="46">
        <v>0.77083333333333337</v>
      </c>
    </row>
    <row r="69" spans="1:12" x14ac:dyDescent="0.3">
      <c r="A69" s="51">
        <f t="shared" si="2"/>
        <v>1</v>
      </c>
      <c r="B69" s="44" t="s">
        <v>153</v>
      </c>
      <c r="C69" s="75">
        <v>43104</v>
      </c>
      <c r="D69" s="44">
        <v>1</v>
      </c>
      <c r="E69">
        <v>10</v>
      </c>
      <c r="F69" t="s">
        <v>140</v>
      </c>
      <c r="G69" t="s">
        <v>90</v>
      </c>
      <c r="H69" s="44">
        <v>6</v>
      </c>
      <c r="I69" t="s">
        <v>71</v>
      </c>
      <c r="J69" s="44" t="s">
        <v>154</v>
      </c>
      <c r="K69" s="51">
        <v>1</v>
      </c>
      <c r="L69" s="46">
        <v>0.77083333333333337</v>
      </c>
    </row>
    <row r="70" spans="1:12" x14ac:dyDescent="0.3">
      <c r="A70" s="51">
        <f t="shared" si="2"/>
        <v>1</v>
      </c>
      <c r="B70" s="44" t="s">
        <v>153</v>
      </c>
      <c r="C70" s="75">
        <v>43104</v>
      </c>
      <c r="D70" s="44">
        <v>1</v>
      </c>
      <c r="E70">
        <v>11</v>
      </c>
      <c r="F70" t="s">
        <v>49</v>
      </c>
      <c r="G70" t="s">
        <v>90</v>
      </c>
      <c r="H70" s="44">
        <v>6</v>
      </c>
      <c r="I70" t="s">
        <v>71</v>
      </c>
      <c r="J70" s="44" t="s">
        <v>154</v>
      </c>
      <c r="K70" s="51">
        <v>1</v>
      </c>
      <c r="L70" s="46">
        <v>0.77083333333333337</v>
      </c>
    </row>
    <row r="71" spans="1:12" x14ac:dyDescent="0.3">
      <c r="A71" s="51">
        <f t="shared" si="2"/>
        <v>1</v>
      </c>
      <c r="B71" s="44" t="s">
        <v>153</v>
      </c>
      <c r="C71" s="75">
        <v>43104</v>
      </c>
      <c r="D71" s="44">
        <v>1</v>
      </c>
      <c r="E71">
        <v>12</v>
      </c>
      <c r="F71" t="s">
        <v>143</v>
      </c>
      <c r="G71" t="s">
        <v>90</v>
      </c>
      <c r="H71" s="44">
        <v>6</v>
      </c>
      <c r="I71" t="s">
        <v>71</v>
      </c>
      <c r="J71" s="44" t="s">
        <v>154</v>
      </c>
      <c r="K71" s="51">
        <v>1</v>
      </c>
      <c r="L71" s="46">
        <v>0.77083333333333337</v>
      </c>
    </row>
    <row r="72" spans="1:12" x14ac:dyDescent="0.3">
      <c r="A72" s="51">
        <f t="shared" si="2"/>
        <v>1</v>
      </c>
      <c r="B72" s="44" t="s">
        <v>153</v>
      </c>
      <c r="C72" s="75">
        <v>43104</v>
      </c>
      <c r="D72" s="44">
        <v>1</v>
      </c>
      <c r="E72">
        <v>13</v>
      </c>
      <c r="F72" s="110" t="s">
        <v>25</v>
      </c>
      <c r="G72" t="s">
        <v>90</v>
      </c>
      <c r="H72" s="44">
        <v>6</v>
      </c>
      <c r="I72" t="s">
        <v>42</v>
      </c>
      <c r="J72" s="44" t="s">
        <v>154</v>
      </c>
      <c r="K72" s="51">
        <v>1</v>
      </c>
      <c r="L72" s="46">
        <v>0.77083333333333337</v>
      </c>
    </row>
    <row r="73" spans="1:12" x14ac:dyDescent="0.3">
      <c r="A73" s="51">
        <f t="shared" si="2"/>
        <v>1</v>
      </c>
      <c r="B73" s="44" t="s">
        <v>153</v>
      </c>
      <c r="C73" s="75">
        <v>43104</v>
      </c>
      <c r="D73" s="44">
        <v>1</v>
      </c>
      <c r="E73">
        <v>14</v>
      </c>
      <c r="F73" t="s">
        <v>45</v>
      </c>
      <c r="G73" t="s">
        <v>91</v>
      </c>
      <c r="H73" s="44">
        <v>6</v>
      </c>
      <c r="I73" t="s">
        <v>71</v>
      </c>
      <c r="J73" s="44" t="s">
        <v>154</v>
      </c>
      <c r="K73" s="51">
        <v>1</v>
      </c>
      <c r="L73" s="46">
        <v>0.77083333333333337</v>
      </c>
    </row>
    <row r="74" spans="1:12" x14ac:dyDescent="0.3">
      <c r="A74" s="51">
        <f t="shared" si="2"/>
        <v>1</v>
      </c>
      <c r="B74" s="44" t="s">
        <v>153</v>
      </c>
      <c r="C74" s="75">
        <v>43104</v>
      </c>
      <c r="D74" s="44">
        <v>1</v>
      </c>
      <c r="E74">
        <v>15</v>
      </c>
      <c r="F74" t="s">
        <v>39</v>
      </c>
      <c r="G74" t="s">
        <v>85</v>
      </c>
      <c r="H74" s="44">
        <v>9</v>
      </c>
      <c r="I74" t="s">
        <v>42</v>
      </c>
      <c r="J74" s="44" t="s">
        <v>154</v>
      </c>
      <c r="K74" s="51">
        <v>1</v>
      </c>
      <c r="L74" s="46">
        <v>0.77083333333333337</v>
      </c>
    </row>
    <row r="75" spans="1:12" x14ac:dyDescent="0.3">
      <c r="A75" s="51">
        <f t="shared" si="2"/>
        <v>1</v>
      </c>
      <c r="B75" s="44" t="s">
        <v>153</v>
      </c>
      <c r="C75" s="75">
        <v>43104</v>
      </c>
      <c r="D75" s="44">
        <v>1</v>
      </c>
      <c r="E75">
        <v>16</v>
      </c>
      <c r="F75" t="s">
        <v>30</v>
      </c>
      <c r="G75" t="s">
        <v>86</v>
      </c>
      <c r="H75" s="44">
        <v>9</v>
      </c>
      <c r="I75" t="s">
        <v>42</v>
      </c>
      <c r="J75" s="44" t="s">
        <v>154</v>
      </c>
      <c r="K75" s="51">
        <v>1</v>
      </c>
      <c r="L75" s="46">
        <v>0.77083333333333337</v>
      </c>
    </row>
    <row r="76" spans="1:12" x14ac:dyDescent="0.3">
      <c r="A76" s="51">
        <f t="shared" si="2"/>
        <v>1</v>
      </c>
      <c r="B76" s="44" t="s">
        <v>153</v>
      </c>
      <c r="C76" s="75">
        <v>43104</v>
      </c>
      <c r="D76" s="44">
        <v>1</v>
      </c>
      <c r="E76">
        <v>17</v>
      </c>
      <c r="F76" t="s">
        <v>28</v>
      </c>
      <c r="G76" t="s">
        <v>87</v>
      </c>
      <c r="H76" s="44">
        <v>9</v>
      </c>
      <c r="I76" t="s">
        <v>42</v>
      </c>
      <c r="J76" s="44" t="s">
        <v>154</v>
      </c>
      <c r="K76" s="51">
        <v>1</v>
      </c>
      <c r="L76" s="46">
        <v>0.77083333333333337</v>
      </c>
    </row>
    <row r="77" spans="1:12" x14ac:dyDescent="0.3">
      <c r="A77" s="51">
        <f t="shared" si="2"/>
        <v>1</v>
      </c>
      <c r="B77" s="44" t="s">
        <v>153</v>
      </c>
      <c r="C77" s="75">
        <v>43104</v>
      </c>
      <c r="D77" s="44">
        <v>1</v>
      </c>
      <c r="E77">
        <v>18</v>
      </c>
      <c r="F77" t="s">
        <v>31</v>
      </c>
      <c r="G77" t="s">
        <v>87</v>
      </c>
      <c r="H77" s="44">
        <v>9</v>
      </c>
      <c r="I77" t="s">
        <v>42</v>
      </c>
      <c r="J77" s="44" t="s">
        <v>154</v>
      </c>
      <c r="K77" s="51">
        <v>1</v>
      </c>
      <c r="L77" s="46">
        <v>0.77083333333333337</v>
      </c>
    </row>
    <row r="78" spans="1:12" x14ac:dyDescent="0.3">
      <c r="A78" s="51">
        <f t="shared" si="2"/>
        <v>1</v>
      </c>
      <c r="B78" s="44" t="s">
        <v>153</v>
      </c>
      <c r="C78" s="75">
        <v>43104</v>
      </c>
      <c r="D78" s="44">
        <v>1</v>
      </c>
      <c r="E78">
        <v>19</v>
      </c>
      <c r="F78" t="s">
        <v>38</v>
      </c>
      <c r="G78" t="s">
        <v>88</v>
      </c>
      <c r="H78" s="44">
        <v>9</v>
      </c>
      <c r="I78" t="s">
        <v>42</v>
      </c>
      <c r="J78" s="44" t="s">
        <v>154</v>
      </c>
      <c r="K78" s="51">
        <v>1</v>
      </c>
      <c r="L78" s="46">
        <v>0.77083333333333337</v>
      </c>
    </row>
    <row r="79" spans="1:12" x14ac:dyDescent="0.3">
      <c r="A79" s="51">
        <f t="shared" si="2"/>
        <v>1</v>
      </c>
      <c r="B79" s="44" t="s">
        <v>153</v>
      </c>
      <c r="C79" s="75">
        <v>43104</v>
      </c>
      <c r="D79" s="44">
        <v>1</v>
      </c>
      <c r="E79">
        <v>20</v>
      </c>
      <c r="F79" t="s">
        <v>65</v>
      </c>
      <c r="G79" t="s">
        <v>89</v>
      </c>
      <c r="H79" s="44">
        <v>9</v>
      </c>
      <c r="I79" t="s">
        <v>71</v>
      </c>
      <c r="J79" s="44" t="s">
        <v>154</v>
      </c>
      <c r="K79" s="51">
        <v>1</v>
      </c>
      <c r="L79" s="46">
        <v>0.77083333333333337</v>
      </c>
    </row>
    <row r="80" spans="1:12" x14ac:dyDescent="0.3">
      <c r="A80" s="51">
        <f t="shared" si="2"/>
        <v>1</v>
      </c>
      <c r="B80" s="44" t="s">
        <v>153</v>
      </c>
      <c r="C80" s="75">
        <v>43104</v>
      </c>
      <c r="D80" s="44">
        <v>1</v>
      </c>
      <c r="E80">
        <v>21</v>
      </c>
      <c r="F80" t="s">
        <v>32</v>
      </c>
      <c r="G80" t="s">
        <v>90</v>
      </c>
      <c r="H80" s="44">
        <v>9</v>
      </c>
      <c r="I80" t="s">
        <v>42</v>
      </c>
      <c r="J80" s="44" t="s">
        <v>154</v>
      </c>
      <c r="K80" s="51">
        <v>1</v>
      </c>
      <c r="L80" s="46">
        <v>0.77083333333333337</v>
      </c>
    </row>
    <row r="81" spans="1:12" x14ac:dyDescent="0.3">
      <c r="A81" s="51">
        <f t="shared" si="2"/>
        <v>1</v>
      </c>
      <c r="B81" s="44" t="s">
        <v>153</v>
      </c>
      <c r="C81" s="75">
        <v>43104</v>
      </c>
      <c r="D81" s="44">
        <v>1</v>
      </c>
      <c r="E81">
        <v>22</v>
      </c>
      <c r="F81" t="s">
        <v>149</v>
      </c>
      <c r="G81" t="s">
        <v>90</v>
      </c>
      <c r="H81" s="44">
        <v>9</v>
      </c>
      <c r="I81" t="s">
        <v>71</v>
      </c>
      <c r="J81" s="44" t="s">
        <v>154</v>
      </c>
      <c r="K81" s="51">
        <v>1</v>
      </c>
      <c r="L81" s="46">
        <v>0.77083333333333337</v>
      </c>
    </row>
    <row r="82" spans="1:12" x14ac:dyDescent="0.3">
      <c r="A82" s="51">
        <f t="shared" si="2"/>
        <v>1</v>
      </c>
      <c r="B82" s="44" t="s">
        <v>153</v>
      </c>
      <c r="C82" s="75">
        <v>43104</v>
      </c>
      <c r="D82" s="44">
        <v>1</v>
      </c>
      <c r="E82">
        <v>23</v>
      </c>
      <c r="F82" t="s">
        <v>34</v>
      </c>
      <c r="G82" t="s">
        <v>90</v>
      </c>
      <c r="H82" s="44">
        <v>9</v>
      </c>
      <c r="I82" t="s">
        <v>42</v>
      </c>
      <c r="J82" s="44" t="s">
        <v>154</v>
      </c>
      <c r="K82" s="51">
        <v>1</v>
      </c>
      <c r="L82" s="46">
        <v>0.77083333333333337</v>
      </c>
    </row>
    <row r="83" spans="1:12" x14ac:dyDescent="0.3">
      <c r="A83" s="51">
        <f t="shared" si="2"/>
        <v>1</v>
      </c>
      <c r="B83" s="44" t="s">
        <v>153</v>
      </c>
      <c r="C83" s="75">
        <v>43104</v>
      </c>
      <c r="D83" s="44">
        <v>1</v>
      </c>
      <c r="E83">
        <v>24</v>
      </c>
      <c r="F83" t="s">
        <v>57</v>
      </c>
      <c r="G83" t="s">
        <v>90</v>
      </c>
      <c r="H83" s="44">
        <v>9</v>
      </c>
      <c r="I83" t="s">
        <v>71</v>
      </c>
      <c r="J83" s="44" t="s">
        <v>154</v>
      </c>
      <c r="K83" s="51">
        <v>1</v>
      </c>
      <c r="L83" s="46">
        <v>0.77083333333333337</v>
      </c>
    </row>
    <row r="84" spans="1:12" x14ac:dyDescent="0.3">
      <c r="A84" s="51">
        <f t="shared" si="2"/>
        <v>1</v>
      </c>
      <c r="B84" s="44" t="s">
        <v>153</v>
      </c>
      <c r="C84" s="75">
        <v>43104</v>
      </c>
      <c r="D84" s="44">
        <v>1</v>
      </c>
      <c r="E84">
        <v>25</v>
      </c>
      <c r="F84" t="s">
        <v>145</v>
      </c>
      <c r="G84" t="s">
        <v>90</v>
      </c>
      <c r="H84" s="44">
        <v>9</v>
      </c>
      <c r="I84" t="s">
        <v>71</v>
      </c>
      <c r="J84" s="44" t="s">
        <v>154</v>
      </c>
      <c r="K84" s="51">
        <v>1</v>
      </c>
      <c r="L84" s="46">
        <v>0.77083333333333337</v>
      </c>
    </row>
    <row r="85" spans="1:12" x14ac:dyDescent="0.3">
      <c r="A85" s="51">
        <f t="shared" si="2"/>
        <v>1</v>
      </c>
      <c r="B85" s="44" t="s">
        <v>153</v>
      </c>
      <c r="C85" s="75">
        <v>43104</v>
      </c>
      <c r="D85" s="44">
        <v>1</v>
      </c>
      <c r="E85">
        <v>26</v>
      </c>
      <c r="F85" t="s">
        <v>148</v>
      </c>
      <c r="G85" t="s">
        <v>90</v>
      </c>
      <c r="H85" s="44">
        <v>9</v>
      </c>
      <c r="I85" t="s">
        <v>71</v>
      </c>
      <c r="J85" s="44" t="s">
        <v>154</v>
      </c>
      <c r="K85" s="51">
        <v>1</v>
      </c>
      <c r="L85" s="46">
        <v>0.77083333333333337</v>
      </c>
    </row>
    <row r="86" spans="1:12" x14ac:dyDescent="0.3">
      <c r="A86" s="51">
        <f t="shared" si="2"/>
        <v>1</v>
      </c>
      <c r="B86" s="44" t="s">
        <v>153</v>
      </c>
      <c r="C86" s="75">
        <v>43104</v>
      </c>
      <c r="D86" s="44">
        <v>1</v>
      </c>
      <c r="E86">
        <v>27</v>
      </c>
      <c r="F86" t="s">
        <v>36</v>
      </c>
      <c r="G86" t="s">
        <v>90</v>
      </c>
      <c r="H86" s="44">
        <v>9</v>
      </c>
      <c r="I86" t="s">
        <v>42</v>
      </c>
      <c r="J86" s="44" t="s">
        <v>154</v>
      </c>
      <c r="K86" s="51">
        <v>1</v>
      </c>
      <c r="L86" s="46">
        <v>0.77083333333333337</v>
      </c>
    </row>
    <row r="87" spans="1:12" x14ac:dyDescent="0.3">
      <c r="A87" s="51">
        <f t="shared" si="2"/>
        <v>1</v>
      </c>
      <c r="B87" s="44" t="s">
        <v>153</v>
      </c>
      <c r="C87" s="75">
        <v>43104</v>
      </c>
      <c r="D87" s="44">
        <v>1</v>
      </c>
      <c r="E87">
        <v>28</v>
      </c>
      <c r="F87" t="s">
        <v>22</v>
      </c>
      <c r="G87" t="s">
        <v>91</v>
      </c>
      <c r="H87" s="44">
        <v>9</v>
      </c>
      <c r="I87" t="s">
        <v>42</v>
      </c>
      <c r="J87" s="44" t="s">
        <v>154</v>
      </c>
      <c r="K87" s="51">
        <v>1</v>
      </c>
      <c r="L87" s="46">
        <v>0.77083333333333337</v>
      </c>
    </row>
    <row r="88" spans="1:12" x14ac:dyDescent="0.3">
      <c r="A88" s="51">
        <f t="shared" si="2"/>
        <v>0</v>
      </c>
      <c r="B88" s="44" t="s">
        <v>155</v>
      </c>
      <c r="C88" s="75" t="s">
        <v>155</v>
      </c>
      <c r="D88" s="44" t="s">
        <v>155</v>
      </c>
      <c r="E88" t="s">
        <v>155</v>
      </c>
      <c r="F88" t="s">
        <v>155</v>
      </c>
      <c r="G88" t="s">
        <v>155</v>
      </c>
      <c r="H88" s="44" t="s">
        <v>155</v>
      </c>
      <c r="I88">
        <v>0</v>
      </c>
      <c r="J88" s="44">
        <v>0</v>
      </c>
      <c r="K88" s="51">
        <v>0</v>
      </c>
      <c r="L88" s="46" t="s">
        <v>155</v>
      </c>
    </row>
    <row r="89" spans="1:12" x14ac:dyDescent="0.3">
      <c r="A89" s="51">
        <f t="shared" si="2"/>
        <v>0</v>
      </c>
      <c r="B89" s="44" t="s">
        <v>155</v>
      </c>
      <c r="C89" s="75" t="s">
        <v>155</v>
      </c>
      <c r="D89" s="44" t="s">
        <v>155</v>
      </c>
      <c r="E89" t="s">
        <v>155</v>
      </c>
      <c r="F89" t="s">
        <v>155</v>
      </c>
      <c r="G89" t="s">
        <v>155</v>
      </c>
      <c r="H89" s="44" t="s">
        <v>155</v>
      </c>
      <c r="I89">
        <v>0</v>
      </c>
      <c r="J89" s="44">
        <v>0</v>
      </c>
      <c r="K89" s="51">
        <v>0</v>
      </c>
      <c r="L89" s="46" t="s">
        <v>155</v>
      </c>
    </row>
    <row r="90" spans="1:12" x14ac:dyDescent="0.3">
      <c r="A90" s="51">
        <f t="shared" si="2"/>
        <v>0</v>
      </c>
      <c r="B90" s="44" t="s">
        <v>155</v>
      </c>
      <c r="C90" s="75" t="s">
        <v>155</v>
      </c>
      <c r="D90" s="44" t="s">
        <v>155</v>
      </c>
      <c r="E90" t="s">
        <v>155</v>
      </c>
      <c r="F90" t="s">
        <v>155</v>
      </c>
      <c r="G90" t="s">
        <v>155</v>
      </c>
      <c r="H90" s="44" t="s">
        <v>155</v>
      </c>
      <c r="I90">
        <v>0</v>
      </c>
      <c r="J90" s="44">
        <v>0</v>
      </c>
      <c r="K90" s="51">
        <v>0</v>
      </c>
      <c r="L90" s="46" t="s">
        <v>155</v>
      </c>
    </row>
    <row r="91" spans="1:12" x14ac:dyDescent="0.3">
      <c r="A91" s="51">
        <f t="shared" si="2"/>
        <v>0</v>
      </c>
      <c r="B91" s="44" t="s">
        <v>155</v>
      </c>
      <c r="C91" s="75" t="s">
        <v>155</v>
      </c>
      <c r="D91" s="44" t="s">
        <v>155</v>
      </c>
      <c r="E91" t="s">
        <v>155</v>
      </c>
      <c r="F91" t="s">
        <v>155</v>
      </c>
      <c r="G91" t="s">
        <v>155</v>
      </c>
      <c r="H91" s="44" t="s">
        <v>155</v>
      </c>
      <c r="I91">
        <v>0</v>
      </c>
      <c r="J91" s="44">
        <v>0</v>
      </c>
      <c r="K91" s="51">
        <v>0</v>
      </c>
      <c r="L91" s="46" t="s">
        <v>155</v>
      </c>
    </row>
    <row r="92" spans="1:12" x14ac:dyDescent="0.3">
      <c r="A92" s="51">
        <f t="shared" si="2"/>
        <v>0</v>
      </c>
      <c r="B92" s="44" t="s">
        <v>155</v>
      </c>
      <c r="C92" s="75" t="s">
        <v>155</v>
      </c>
      <c r="D92" s="44" t="s">
        <v>155</v>
      </c>
      <c r="E92" t="s">
        <v>155</v>
      </c>
      <c r="F92" t="s">
        <v>155</v>
      </c>
      <c r="G92" t="s">
        <v>155</v>
      </c>
      <c r="H92" s="44" t="s">
        <v>155</v>
      </c>
      <c r="I92">
        <v>0</v>
      </c>
      <c r="J92" s="44">
        <v>0</v>
      </c>
      <c r="K92" s="51">
        <v>0</v>
      </c>
      <c r="L92" s="46" t="s">
        <v>155</v>
      </c>
    </row>
    <row r="93" spans="1:12" x14ac:dyDescent="0.3">
      <c r="A93" s="51">
        <f t="shared" si="2"/>
        <v>0</v>
      </c>
      <c r="B93" s="44" t="s">
        <v>155</v>
      </c>
      <c r="C93" s="75" t="s">
        <v>155</v>
      </c>
      <c r="D93" s="44" t="s">
        <v>155</v>
      </c>
      <c r="E93" t="s">
        <v>155</v>
      </c>
      <c r="F93" t="s">
        <v>155</v>
      </c>
      <c r="G93" t="s">
        <v>155</v>
      </c>
      <c r="H93" s="44" t="s">
        <v>155</v>
      </c>
      <c r="I93">
        <v>0</v>
      </c>
      <c r="J93" s="44">
        <v>0</v>
      </c>
      <c r="K93" s="51">
        <v>0</v>
      </c>
      <c r="L93" s="46" t="s">
        <v>155</v>
      </c>
    </row>
    <row r="94" spans="1:12" x14ac:dyDescent="0.3">
      <c r="A94" s="51">
        <f t="shared" si="2"/>
        <v>0</v>
      </c>
      <c r="B94" s="44" t="s">
        <v>155</v>
      </c>
      <c r="C94" s="75" t="s">
        <v>155</v>
      </c>
      <c r="D94" s="44" t="s">
        <v>155</v>
      </c>
      <c r="E94" t="s">
        <v>155</v>
      </c>
      <c r="F94" t="s">
        <v>155</v>
      </c>
      <c r="G94" t="s">
        <v>155</v>
      </c>
      <c r="H94" s="44" t="s">
        <v>155</v>
      </c>
      <c r="I94">
        <v>0</v>
      </c>
      <c r="J94" s="44">
        <v>0</v>
      </c>
      <c r="K94" s="51">
        <v>0</v>
      </c>
      <c r="L94" s="46" t="s">
        <v>155</v>
      </c>
    </row>
    <row r="95" spans="1:12" x14ac:dyDescent="0.3">
      <c r="A95" s="51">
        <f t="shared" si="2"/>
        <v>0</v>
      </c>
      <c r="B95" s="44" t="s">
        <v>155</v>
      </c>
      <c r="C95" s="75" t="s">
        <v>155</v>
      </c>
      <c r="D95" s="44" t="s">
        <v>155</v>
      </c>
      <c r="E95" t="s">
        <v>155</v>
      </c>
      <c r="F95" t="s">
        <v>155</v>
      </c>
      <c r="G95" t="s">
        <v>155</v>
      </c>
      <c r="H95" s="44" t="s">
        <v>155</v>
      </c>
      <c r="I95">
        <v>0</v>
      </c>
      <c r="J95" s="44">
        <v>0</v>
      </c>
      <c r="K95" s="51">
        <v>0</v>
      </c>
      <c r="L95" s="46" t="s">
        <v>155</v>
      </c>
    </row>
    <row r="96" spans="1:12" x14ac:dyDescent="0.3">
      <c r="A96" s="51">
        <f t="shared" si="2"/>
        <v>0</v>
      </c>
      <c r="B96" s="44" t="s">
        <v>155</v>
      </c>
      <c r="C96" s="75" t="s">
        <v>155</v>
      </c>
      <c r="D96" s="44" t="s">
        <v>155</v>
      </c>
      <c r="E96" t="s">
        <v>155</v>
      </c>
      <c r="F96" t="s">
        <v>155</v>
      </c>
      <c r="G96" t="s">
        <v>155</v>
      </c>
      <c r="H96" s="44" t="s">
        <v>155</v>
      </c>
      <c r="I96">
        <v>0</v>
      </c>
      <c r="J96" s="44">
        <v>0</v>
      </c>
      <c r="K96" s="51">
        <v>0</v>
      </c>
      <c r="L96" s="46" t="s">
        <v>155</v>
      </c>
    </row>
    <row r="97" spans="1:12" x14ac:dyDescent="0.3">
      <c r="A97" s="51">
        <f t="shared" si="2"/>
        <v>0</v>
      </c>
      <c r="B97" s="44" t="s">
        <v>155</v>
      </c>
      <c r="C97" s="75" t="s">
        <v>155</v>
      </c>
      <c r="D97" s="44" t="s">
        <v>155</v>
      </c>
      <c r="E97" t="s">
        <v>155</v>
      </c>
      <c r="F97" t="s">
        <v>155</v>
      </c>
      <c r="G97" t="s">
        <v>155</v>
      </c>
      <c r="H97" s="44" t="s">
        <v>155</v>
      </c>
      <c r="I97">
        <v>0</v>
      </c>
      <c r="J97" s="44">
        <v>0</v>
      </c>
      <c r="K97" s="51">
        <v>0</v>
      </c>
      <c r="L97" s="46" t="s">
        <v>155</v>
      </c>
    </row>
    <row r="98" spans="1:12" x14ac:dyDescent="0.3">
      <c r="A98" s="51">
        <f t="shared" si="2"/>
        <v>0</v>
      </c>
      <c r="B98" s="44" t="s">
        <v>155</v>
      </c>
      <c r="C98" s="75" t="s">
        <v>155</v>
      </c>
      <c r="D98" s="44" t="s">
        <v>155</v>
      </c>
      <c r="E98" t="s">
        <v>155</v>
      </c>
      <c r="F98" t="s">
        <v>155</v>
      </c>
      <c r="G98" t="s">
        <v>155</v>
      </c>
      <c r="H98" s="44" t="s">
        <v>155</v>
      </c>
      <c r="I98">
        <v>0</v>
      </c>
      <c r="J98" s="44">
        <v>0</v>
      </c>
      <c r="K98" s="51">
        <v>0</v>
      </c>
      <c r="L98" s="46" t="s">
        <v>155</v>
      </c>
    </row>
    <row r="99" spans="1:12" x14ac:dyDescent="0.3">
      <c r="A99" s="51">
        <f t="shared" ref="A99:A124" si="3">K99</f>
        <v>0</v>
      </c>
      <c r="B99" s="44" t="s">
        <v>155</v>
      </c>
      <c r="C99" s="75" t="s">
        <v>155</v>
      </c>
      <c r="D99" s="44" t="s">
        <v>155</v>
      </c>
      <c r="E99" t="s">
        <v>155</v>
      </c>
      <c r="F99" t="s">
        <v>155</v>
      </c>
      <c r="G99" t="s">
        <v>155</v>
      </c>
      <c r="H99" s="44" t="s">
        <v>155</v>
      </c>
      <c r="I99">
        <v>0</v>
      </c>
      <c r="J99" s="44">
        <v>0</v>
      </c>
      <c r="K99" s="51">
        <v>0</v>
      </c>
      <c r="L99" s="46" t="s">
        <v>155</v>
      </c>
    </row>
    <row r="100" spans="1:12" x14ac:dyDescent="0.3">
      <c r="A100" s="51">
        <f t="shared" si="3"/>
        <v>0</v>
      </c>
      <c r="B100" s="44" t="s">
        <v>155</v>
      </c>
      <c r="C100" s="75" t="s">
        <v>155</v>
      </c>
      <c r="D100" s="44" t="s">
        <v>155</v>
      </c>
      <c r="E100" t="s">
        <v>155</v>
      </c>
      <c r="F100" t="s">
        <v>155</v>
      </c>
      <c r="G100" t="s">
        <v>155</v>
      </c>
      <c r="H100" s="44" t="s">
        <v>155</v>
      </c>
      <c r="I100">
        <v>0</v>
      </c>
      <c r="J100" s="44">
        <v>0</v>
      </c>
      <c r="K100" s="51">
        <v>0</v>
      </c>
      <c r="L100" s="46" t="s">
        <v>155</v>
      </c>
    </row>
    <row r="101" spans="1:12" x14ac:dyDescent="0.3">
      <c r="A101" s="51">
        <f t="shared" si="3"/>
        <v>0</v>
      </c>
      <c r="B101" s="44" t="s">
        <v>155</v>
      </c>
      <c r="C101" s="75" t="s">
        <v>155</v>
      </c>
      <c r="D101" s="44" t="s">
        <v>155</v>
      </c>
      <c r="E101" t="s">
        <v>155</v>
      </c>
      <c r="F101" t="s">
        <v>155</v>
      </c>
      <c r="G101" t="s">
        <v>155</v>
      </c>
      <c r="H101" s="44" t="s">
        <v>155</v>
      </c>
      <c r="I101">
        <v>0</v>
      </c>
      <c r="J101" s="44">
        <v>0</v>
      </c>
      <c r="K101" s="51">
        <v>0</v>
      </c>
      <c r="L101" s="46" t="s">
        <v>155</v>
      </c>
    </row>
    <row r="102" spans="1:12" x14ac:dyDescent="0.3">
      <c r="A102" s="51">
        <f t="shared" si="3"/>
        <v>0</v>
      </c>
      <c r="B102" s="44" t="s">
        <v>155</v>
      </c>
      <c r="C102" s="75" t="s">
        <v>155</v>
      </c>
      <c r="D102" s="44" t="s">
        <v>155</v>
      </c>
      <c r="E102" t="s">
        <v>155</v>
      </c>
      <c r="F102" t="s">
        <v>155</v>
      </c>
      <c r="G102" t="s">
        <v>155</v>
      </c>
      <c r="H102" s="44" t="s">
        <v>155</v>
      </c>
      <c r="I102">
        <v>0</v>
      </c>
      <c r="J102" s="44">
        <v>0</v>
      </c>
      <c r="K102" s="51">
        <v>0</v>
      </c>
      <c r="L102" s="46" t="s">
        <v>155</v>
      </c>
    </row>
    <row r="103" spans="1:12" x14ac:dyDescent="0.3">
      <c r="A103" s="51">
        <f t="shared" si="3"/>
        <v>0</v>
      </c>
      <c r="B103" s="44" t="s">
        <v>155</v>
      </c>
      <c r="C103" s="75" t="s">
        <v>155</v>
      </c>
      <c r="D103" s="44" t="s">
        <v>155</v>
      </c>
      <c r="E103" t="s">
        <v>155</v>
      </c>
      <c r="F103" t="s">
        <v>155</v>
      </c>
      <c r="G103" t="s">
        <v>155</v>
      </c>
      <c r="H103" s="44" t="s">
        <v>155</v>
      </c>
      <c r="I103">
        <v>0</v>
      </c>
      <c r="J103" s="44">
        <v>0</v>
      </c>
      <c r="K103" s="51">
        <v>0</v>
      </c>
      <c r="L103" s="46" t="s">
        <v>155</v>
      </c>
    </row>
    <row r="104" spans="1:12" x14ac:dyDescent="0.3">
      <c r="A104" s="51">
        <f t="shared" si="3"/>
        <v>0</v>
      </c>
      <c r="B104" s="44" t="s">
        <v>155</v>
      </c>
      <c r="C104" s="75" t="s">
        <v>155</v>
      </c>
      <c r="D104" s="44" t="s">
        <v>155</v>
      </c>
      <c r="E104" t="s">
        <v>155</v>
      </c>
      <c r="F104" t="s">
        <v>155</v>
      </c>
      <c r="G104" t="s">
        <v>155</v>
      </c>
      <c r="H104" s="44" t="s">
        <v>155</v>
      </c>
      <c r="I104">
        <v>0</v>
      </c>
      <c r="J104" s="44">
        <v>0</v>
      </c>
      <c r="K104" s="51">
        <v>0</v>
      </c>
      <c r="L104" s="46" t="s">
        <v>155</v>
      </c>
    </row>
    <row r="105" spans="1:12" x14ac:dyDescent="0.3">
      <c r="A105" s="51">
        <f t="shared" si="3"/>
        <v>0</v>
      </c>
      <c r="B105" s="44" t="s">
        <v>155</v>
      </c>
      <c r="C105" s="75" t="s">
        <v>155</v>
      </c>
      <c r="D105" s="44" t="s">
        <v>155</v>
      </c>
      <c r="E105" t="s">
        <v>155</v>
      </c>
      <c r="F105" t="s">
        <v>155</v>
      </c>
      <c r="G105" t="s">
        <v>155</v>
      </c>
      <c r="H105" s="44" t="s">
        <v>155</v>
      </c>
      <c r="I105">
        <v>0</v>
      </c>
      <c r="J105" s="44">
        <v>0</v>
      </c>
      <c r="K105" s="51">
        <v>0</v>
      </c>
      <c r="L105" s="46" t="s">
        <v>155</v>
      </c>
    </row>
    <row r="106" spans="1:12" x14ac:dyDescent="0.3">
      <c r="A106" s="51">
        <f t="shared" si="3"/>
        <v>0</v>
      </c>
      <c r="B106" s="44" t="s">
        <v>155</v>
      </c>
      <c r="C106" s="75" t="s">
        <v>155</v>
      </c>
      <c r="D106" s="44" t="s">
        <v>155</v>
      </c>
      <c r="E106" t="s">
        <v>155</v>
      </c>
      <c r="F106" t="s">
        <v>155</v>
      </c>
      <c r="G106" t="s">
        <v>155</v>
      </c>
      <c r="H106" s="44" t="s">
        <v>155</v>
      </c>
      <c r="I106">
        <v>0</v>
      </c>
      <c r="J106" s="44">
        <v>0</v>
      </c>
      <c r="K106" s="51">
        <v>0</v>
      </c>
      <c r="L106" s="46" t="s">
        <v>155</v>
      </c>
    </row>
    <row r="107" spans="1:12" x14ac:dyDescent="0.3">
      <c r="A107" s="51">
        <f t="shared" si="3"/>
        <v>0</v>
      </c>
      <c r="B107" s="44" t="s">
        <v>155</v>
      </c>
      <c r="C107" s="75" t="s">
        <v>155</v>
      </c>
      <c r="D107" s="44" t="s">
        <v>155</v>
      </c>
      <c r="E107" t="s">
        <v>155</v>
      </c>
      <c r="F107" t="s">
        <v>155</v>
      </c>
      <c r="G107" t="s">
        <v>155</v>
      </c>
      <c r="H107" s="44" t="s">
        <v>155</v>
      </c>
      <c r="I107">
        <v>0</v>
      </c>
      <c r="J107" s="44">
        <v>0</v>
      </c>
      <c r="K107" s="51">
        <v>0</v>
      </c>
      <c r="L107" s="46" t="s">
        <v>155</v>
      </c>
    </row>
    <row r="108" spans="1:12" x14ac:dyDescent="0.3">
      <c r="A108" s="51">
        <f t="shared" si="3"/>
        <v>0</v>
      </c>
      <c r="B108" s="44" t="s">
        <v>155</v>
      </c>
      <c r="C108" s="75" t="s">
        <v>155</v>
      </c>
      <c r="D108" s="44" t="s">
        <v>155</v>
      </c>
      <c r="E108" t="s">
        <v>155</v>
      </c>
      <c r="F108" t="s">
        <v>155</v>
      </c>
      <c r="G108" t="s">
        <v>155</v>
      </c>
      <c r="H108" s="44" t="s">
        <v>155</v>
      </c>
      <c r="I108">
        <v>0</v>
      </c>
      <c r="J108" s="44">
        <v>0</v>
      </c>
      <c r="K108" s="51">
        <v>0</v>
      </c>
      <c r="L108" s="46" t="s">
        <v>155</v>
      </c>
    </row>
    <row r="109" spans="1:12" x14ac:dyDescent="0.3">
      <c r="A109" s="51">
        <f t="shared" si="3"/>
        <v>0</v>
      </c>
      <c r="B109" s="44" t="s">
        <v>155</v>
      </c>
      <c r="C109" s="75" t="s">
        <v>155</v>
      </c>
      <c r="D109" s="44" t="s">
        <v>155</v>
      </c>
      <c r="E109" t="s">
        <v>155</v>
      </c>
      <c r="F109" t="s">
        <v>155</v>
      </c>
      <c r="G109" t="s">
        <v>155</v>
      </c>
      <c r="H109" s="44" t="s">
        <v>155</v>
      </c>
      <c r="I109">
        <v>0</v>
      </c>
      <c r="J109" s="44">
        <v>0</v>
      </c>
      <c r="K109" s="51">
        <v>0</v>
      </c>
      <c r="L109" s="46" t="s">
        <v>155</v>
      </c>
    </row>
    <row r="110" spans="1:12" x14ac:dyDescent="0.3">
      <c r="A110" s="51">
        <f t="shared" si="3"/>
        <v>0</v>
      </c>
      <c r="B110" s="44" t="s">
        <v>155</v>
      </c>
      <c r="C110" s="75" t="s">
        <v>155</v>
      </c>
      <c r="D110" s="44" t="s">
        <v>155</v>
      </c>
      <c r="E110" t="s">
        <v>155</v>
      </c>
      <c r="F110" t="s">
        <v>155</v>
      </c>
      <c r="G110" t="s">
        <v>155</v>
      </c>
      <c r="H110" s="44" t="s">
        <v>155</v>
      </c>
      <c r="I110">
        <v>0</v>
      </c>
      <c r="J110" s="44">
        <v>0</v>
      </c>
      <c r="K110" s="51">
        <v>0</v>
      </c>
      <c r="L110" s="46" t="s">
        <v>155</v>
      </c>
    </row>
    <row r="111" spans="1:12" x14ac:dyDescent="0.3">
      <c r="A111" s="51">
        <f t="shared" si="3"/>
        <v>0</v>
      </c>
      <c r="B111" s="44" t="s">
        <v>155</v>
      </c>
      <c r="C111" s="75" t="s">
        <v>155</v>
      </c>
      <c r="D111" s="44" t="s">
        <v>155</v>
      </c>
      <c r="E111" t="s">
        <v>155</v>
      </c>
      <c r="F111" t="s">
        <v>155</v>
      </c>
      <c r="G111" t="s">
        <v>155</v>
      </c>
      <c r="H111" s="44" t="s">
        <v>155</v>
      </c>
      <c r="I111">
        <v>0</v>
      </c>
      <c r="J111" s="44">
        <v>0</v>
      </c>
      <c r="K111" s="51">
        <v>0</v>
      </c>
      <c r="L111" s="46" t="s">
        <v>155</v>
      </c>
    </row>
    <row r="112" spans="1:12" x14ac:dyDescent="0.3">
      <c r="A112" s="51">
        <f t="shared" si="3"/>
        <v>0</v>
      </c>
      <c r="B112" s="44" t="s">
        <v>155</v>
      </c>
      <c r="C112" s="75" t="s">
        <v>155</v>
      </c>
      <c r="D112" s="44" t="s">
        <v>155</v>
      </c>
      <c r="E112" t="s">
        <v>155</v>
      </c>
      <c r="F112" t="s">
        <v>155</v>
      </c>
      <c r="G112" t="s">
        <v>155</v>
      </c>
      <c r="H112" s="44" t="s">
        <v>155</v>
      </c>
      <c r="I112">
        <v>0</v>
      </c>
      <c r="J112" s="44">
        <v>0</v>
      </c>
      <c r="K112" s="51">
        <v>0</v>
      </c>
      <c r="L112" s="46" t="s">
        <v>155</v>
      </c>
    </row>
    <row r="113" spans="1:12" x14ac:dyDescent="0.3">
      <c r="A113" s="51">
        <f t="shared" si="3"/>
        <v>0</v>
      </c>
      <c r="B113" s="44" t="s">
        <v>155</v>
      </c>
      <c r="C113" s="75" t="s">
        <v>155</v>
      </c>
      <c r="D113" s="44" t="s">
        <v>155</v>
      </c>
      <c r="E113" t="s">
        <v>155</v>
      </c>
      <c r="F113" t="s">
        <v>155</v>
      </c>
      <c r="G113" t="s">
        <v>155</v>
      </c>
      <c r="H113" s="44" t="s">
        <v>155</v>
      </c>
      <c r="I113">
        <v>0</v>
      </c>
      <c r="J113" s="44">
        <v>0</v>
      </c>
      <c r="K113" s="51">
        <v>0</v>
      </c>
      <c r="L113" s="46" t="s">
        <v>155</v>
      </c>
    </row>
    <row r="114" spans="1:12" x14ac:dyDescent="0.3">
      <c r="A114" s="51">
        <f t="shared" si="3"/>
        <v>0</v>
      </c>
      <c r="B114" s="44" t="s">
        <v>155</v>
      </c>
      <c r="C114" s="75" t="s">
        <v>155</v>
      </c>
      <c r="D114" s="44" t="s">
        <v>155</v>
      </c>
      <c r="E114" t="s">
        <v>155</v>
      </c>
      <c r="F114" t="s">
        <v>155</v>
      </c>
      <c r="G114" t="s">
        <v>155</v>
      </c>
      <c r="H114" s="44" t="s">
        <v>155</v>
      </c>
      <c r="I114">
        <v>0</v>
      </c>
      <c r="J114" s="44">
        <v>0</v>
      </c>
      <c r="K114" s="51">
        <v>0</v>
      </c>
      <c r="L114" s="46" t="s">
        <v>155</v>
      </c>
    </row>
    <row r="115" spans="1:12" x14ac:dyDescent="0.3">
      <c r="A115" s="51">
        <f t="shared" si="3"/>
        <v>0</v>
      </c>
      <c r="B115" s="44" t="s">
        <v>155</v>
      </c>
      <c r="C115" s="75" t="s">
        <v>155</v>
      </c>
      <c r="D115" s="44" t="s">
        <v>155</v>
      </c>
      <c r="E115" t="s">
        <v>155</v>
      </c>
      <c r="F115" t="s">
        <v>155</v>
      </c>
      <c r="G115" t="s">
        <v>155</v>
      </c>
      <c r="H115" s="44" t="s">
        <v>155</v>
      </c>
      <c r="I115">
        <v>0</v>
      </c>
      <c r="J115" s="44">
        <v>0</v>
      </c>
      <c r="K115" s="51">
        <v>0</v>
      </c>
      <c r="L115" s="46" t="s">
        <v>155</v>
      </c>
    </row>
    <row r="116" spans="1:12" x14ac:dyDescent="0.3">
      <c r="A116" s="51">
        <f t="shared" si="3"/>
        <v>0</v>
      </c>
      <c r="B116" s="44" t="s">
        <v>155</v>
      </c>
      <c r="C116" s="75" t="s">
        <v>155</v>
      </c>
      <c r="D116" s="44" t="s">
        <v>155</v>
      </c>
      <c r="E116" t="s">
        <v>155</v>
      </c>
      <c r="F116" t="s">
        <v>155</v>
      </c>
      <c r="G116" t="s">
        <v>155</v>
      </c>
      <c r="H116" s="44" t="s">
        <v>155</v>
      </c>
      <c r="I116">
        <v>0</v>
      </c>
      <c r="J116" s="44">
        <v>0</v>
      </c>
      <c r="K116" s="51">
        <v>0</v>
      </c>
      <c r="L116" s="46" t="s">
        <v>155</v>
      </c>
    </row>
    <row r="117" spans="1:12" x14ac:dyDescent="0.3">
      <c r="A117" s="51">
        <f t="shared" si="3"/>
        <v>0</v>
      </c>
      <c r="B117" s="44" t="s">
        <v>155</v>
      </c>
      <c r="C117" s="75" t="s">
        <v>155</v>
      </c>
      <c r="D117" s="44" t="s">
        <v>155</v>
      </c>
      <c r="E117" t="s">
        <v>155</v>
      </c>
      <c r="F117" t="s">
        <v>155</v>
      </c>
      <c r="G117" t="s">
        <v>155</v>
      </c>
      <c r="H117" s="44" t="s">
        <v>155</v>
      </c>
      <c r="I117">
        <v>0</v>
      </c>
      <c r="J117" s="44">
        <v>0</v>
      </c>
      <c r="K117" s="51">
        <v>0</v>
      </c>
      <c r="L117" s="46" t="s">
        <v>155</v>
      </c>
    </row>
    <row r="118" spans="1:12" x14ac:dyDescent="0.3">
      <c r="A118" s="51">
        <f t="shared" si="3"/>
        <v>0</v>
      </c>
      <c r="B118" s="44" t="s">
        <v>155</v>
      </c>
      <c r="C118" s="75" t="s">
        <v>155</v>
      </c>
      <c r="D118" s="44" t="s">
        <v>155</v>
      </c>
      <c r="E118" t="s">
        <v>155</v>
      </c>
      <c r="F118" t="s">
        <v>155</v>
      </c>
      <c r="G118" t="s">
        <v>155</v>
      </c>
      <c r="H118" s="44" t="s">
        <v>155</v>
      </c>
      <c r="I118">
        <v>0</v>
      </c>
      <c r="J118" s="44">
        <v>0</v>
      </c>
      <c r="K118" s="51">
        <v>0</v>
      </c>
      <c r="L118" s="46" t="s">
        <v>155</v>
      </c>
    </row>
    <row r="119" spans="1:12" x14ac:dyDescent="0.3">
      <c r="A119" s="51">
        <f t="shared" si="3"/>
        <v>0</v>
      </c>
      <c r="B119" s="44" t="s">
        <v>155</v>
      </c>
      <c r="C119" s="75" t="s">
        <v>155</v>
      </c>
      <c r="D119" s="44" t="s">
        <v>155</v>
      </c>
      <c r="E119" t="s">
        <v>155</v>
      </c>
      <c r="F119" t="s">
        <v>155</v>
      </c>
      <c r="G119" t="s">
        <v>155</v>
      </c>
      <c r="H119" s="44" t="s">
        <v>155</v>
      </c>
      <c r="I119">
        <v>0</v>
      </c>
      <c r="J119" s="44">
        <v>0</v>
      </c>
      <c r="K119" s="51">
        <v>0</v>
      </c>
      <c r="L119" s="46" t="s">
        <v>155</v>
      </c>
    </row>
    <row r="120" spans="1:12" x14ac:dyDescent="0.3">
      <c r="A120" s="51">
        <f t="shared" si="3"/>
        <v>0</v>
      </c>
      <c r="B120" s="44" t="s">
        <v>155</v>
      </c>
      <c r="C120" s="75" t="s">
        <v>155</v>
      </c>
      <c r="D120" s="44" t="s">
        <v>155</v>
      </c>
      <c r="E120" t="s">
        <v>155</v>
      </c>
      <c r="F120" t="s">
        <v>155</v>
      </c>
      <c r="G120" t="s">
        <v>155</v>
      </c>
      <c r="H120" s="44" t="s">
        <v>155</v>
      </c>
      <c r="I120">
        <v>0</v>
      </c>
      <c r="J120" s="44">
        <v>0</v>
      </c>
      <c r="K120" s="51">
        <v>0</v>
      </c>
      <c r="L120" s="46" t="s">
        <v>155</v>
      </c>
    </row>
    <row r="121" spans="1:12" x14ac:dyDescent="0.3">
      <c r="A121" s="51">
        <f t="shared" si="3"/>
        <v>0</v>
      </c>
      <c r="B121" s="44" t="s">
        <v>155</v>
      </c>
      <c r="C121" s="75" t="s">
        <v>155</v>
      </c>
      <c r="D121" s="44" t="s">
        <v>155</v>
      </c>
      <c r="E121" t="s">
        <v>155</v>
      </c>
      <c r="F121" t="s">
        <v>155</v>
      </c>
      <c r="G121" t="s">
        <v>155</v>
      </c>
      <c r="H121" s="44" t="s">
        <v>155</v>
      </c>
      <c r="I121">
        <v>0</v>
      </c>
      <c r="J121" s="44">
        <v>0</v>
      </c>
      <c r="K121" s="51">
        <v>0</v>
      </c>
      <c r="L121" s="46" t="s">
        <v>155</v>
      </c>
    </row>
    <row r="122" spans="1:12" x14ac:dyDescent="0.3">
      <c r="A122" s="51">
        <f t="shared" si="3"/>
        <v>0</v>
      </c>
      <c r="B122" s="44" t="s">
        <v>155</v>
      </c>
      <c r="C122" s="75" t="s">
        <v>155</v>
      </c>
      <c r="D122" s="44" t="s">
        <v>155</v>
      </c>
      <c r="E122" t="s">
        <v>155</v>
      </c>
      <c r="F122" t="s">
        <v>155</v>
      </c>
      <c r="G122" t="s">
        <v>155</v>
      </c>
      <c r="H122" s="44" t="s">
        <v>155</v>
      </c>
      <c r="I122">
        <v>0</v>
      </c>
      <c r="J122" s="44">
        <v>0</v>
      </c>
      <c r="K122" s="51">
        <v>0</v>
      </c>
      <c r="L122" s="46" t="s">
        <v>155</v>
      </c>
    </row>
    <row r="123" spans="1:12" x14ac:dyDescent="0.3">
      <c r="A123" s="51">
        <f t="shared" si="3"/>
        <v>0</v>
      </c>
      <c r="B123" s="44"/>
      <c r="C123" s="75"/>
      <c r="D123" s="44"/>
      <c r="H123" s="44"/>
      <c r="I123">
        <v>0</v>
      </c>
      <c r="J123" s="44">
        <v>0</v>
      </c>
      <c r="K123" s="51">
        <v>0</v>
      </c>
      <c r="L123" s="46"/>
    </row>
    <row r="124" spans="1:12" x14ac:dyDescent="0.3">
      <c r="A124" s="51">
        <f t="shared" si="3"/>
        <v>0</v>
      </c>
      <c r="B124" s="44"/>
      <c r="C124" s="75"/>
      <c r="D124" s="44"/>
      <c r="H124" s="44"/>
      <c r="I124">
        <v>0</v>
      </c>
      <c r="J124" s="44">
        <v>0</v>
      </c>
      <c r="K124" s="51">
        <v>0</v>
      </c>
      <c r="L124" s="46"/>
    </row>
    <row r="125" spans="1:12" x14ac:dyDescent="0.3">
      <c r="A125" s="51"/>
      <c r="B125" s="44"/>
      <c r="C125" s="75"/>
      <c r="D125" s="44"/>
      <c r="H125" s="44"/>
      <c r="J125" s="44"/>
      <c r="K125" s="51"/>
      <c r="L125" s="46"/>
    </row>
    <row r="126" spans="1:12" x14ac:dyDescent="0.3">
      <c r="A126" s="80"/>
      <c r="B126" s="49"/>
      <c r="C126" s="81"/>
      <c r="D126" s="49"/>
      <c r="E126" s="82"/>
      <c r="F126" s="82"/>
      <c r="G126" s="82"/>
      <c r="H126" s="49"/>
      <c r="I126" s="82"/>
      <c r="J126" s="49"/>
      <c r="K126" s="80"/>
      <c r="L126" s="83"/>
    </row>
    <row r="127" spans="1:12" x14ac:dyDescent="0.3">
      <c r="A127" s="84"/>
      <c r="B127" s="85"/>
      <c r="C127" s="86"/>
      <c r="D127" s="85"/>
      <c r="E127" s="87"/>
      <c r="F127" s="87"/>
      <c r="G127" s="87"/>
      <c r="H127" s="85"/>
      <c r="I127" s="87"/>
      <c r="J127" s="85"/>
      <c r="K127" s="84"/>
      <c r="L127" s="88"/>
    </row>
    <row r="128" spans="1:12" x14ac:dyDescent="0.3">
      <c r="A128" s="51"/>
      <c r="B128" s="44"/>
      <c r="C128" s="75"/>
      <c r="D128" s="44"/>
      <c r="H128" s="44"/>
      <c r="J128" s="44"/>
      <c r="K128" s="51"/>
      <c r="L128" s="46"/>
    </row>
    <row r="129" spans="1:12" x14ac:dyDescent="0.3">
      <c r="A129" s="51"/>
      <c r="B129" s="44"/>
      <c r="C129" s="75"/>
      <c r="D129" s="44"/>
      <c r="H129" s="44"/>
      <c r="J129" s="44"/>
      <c r="K129" s="51"/>
      <c r="L129" s="46"/>
    </row>
    <row r="130" spans="1:12" x14ac:dyDescent="0.3">
      <c r="A130" s="51"/>
      <c r="B130" s="44"/>
      <c r="C130" s="75"/>
      <c r="D130" s="44"/>
      <c r="H130" s="44"/>
      <c r="J130" s="44"/>
      <c r="K130" s="51"/>
      <c r="L130" s="46"/>
    </row>
    <row r="131" spans="1:12" x14ac:dyDescent="0.3">
      <c r="A131" s="51"/>
      <c r="B131" s="44"/>
      <c r="C131" s="75"/>
      <c r="D131" s="44"/>
      <c r="H131" s="44"/>
      <c r="J131" s="44"/>
      <c r="K131" s="51"/>
      <c r="L131" s="46"/>
    </row>
    <row r="132" spans="1:12" x14ac:dyDescent="0.3">
      <c r="A132" s="51"/>
      <c r="B132" s="44"/>
      <c r="C132" s="75"/>
      <c r="D132" s="44"/>
      <c r="H132" s="44"/>
      <c r="J132" s="44"/>
      <c r="K132" s="51"/>
      <c r="L132" s="46"/>
    </row>
    <row r="133" spans="1:12" x14ac:dyDescent="0.3">
      <c r="A133" s="51"/>
      <c r="B133" s="44"/>
      <c r="C133" s="75"/>
      <c r="D133" s="44"/>
      <c r="H133" s="44"/>
      <c r="J133" s="44"/>
      <c r="K133" s="51"/>
      <c r="L133" s="46"/>
    </row>
    <row r="134" spans="1:12" x14ac:dyDescent="0.3">
      <c r="A134" s="51"/>
      <c r="B134" s="44"/>
      <c r="C134" s="75"/>
      <c r="D134" s="44"/>
      <c r="H134" s="44"/>
      <c r="J134" s="44"/>
      <c r="K134" s="51"/>
      <c r="L134" s="46"/>
    </row>
    <row r="135" spans="1:12" x14ac:dyDescent="0.3">
      <c r="A135" s="51"/>
      <c r="B135" s="44"/>
      <c r="C135" s="75"/>
      <c r="D135" s="44"/>
      <c r="H135" s="44"/>
      <c r="J135" s="44"/>
      <c r="K135" s="51"/>
      <c r="L135" s="46"/>
    </row>
    <row r="136" spans="1:12" x14ac:dyDescent="0.3">
      <c r="A136" s="51"/>
      <c r="B136" s="44"/>
      <c r="C136" s="75"/>
      <c r="D136" s="44"/>
      <c r="H136" s="44"/>
      <c r="J136" s="44"/>
      <c r="K136" s="51"/>
      <c r="L136" s="46"/>
    </row>
    <row r="137" spans="1:12" x14ac:dyDescent="0.3">
      <c r="A137" s="51"/>
      <c r="B137" s="44"/>
      <c r="C137" s="75"/>
      <c r="D137" s="44"/>
      <c r="H137" s="44"/>
      <c r="J137" s="44"/>
      <c r="K137" s="51"/>
      <c r="L137" s="46"/>
    </row>
    <row r="138" spans="1:12" x14ac:dyDescent="0.3">
      <c r="A138" s="51"/>
      <c r="B138" s="44"/>
      <c r="C138" s="75"/>
      <c r="D138" s="44"/>
      <c r="H138" s="44"/>
      <c r="J138" s="44"/>
      <c r="K138" s="51"/>
      <c r="L138" s="46"/>
    </row>
    <row r="139" spans="1:12" x14ac:dyDescent="0.3">
      <c r="A139" s="51"/>
      <c r="B139" s="44"/>
      <c r="C139" s="75"/>
      <c r="D139" s="44"/>
      <c r="H139" s="44"/>
      <c r="J139" s="44"/>
      <c r="K139" s="51"/>
      <c r="L139" s="46"/>
    </row>
    <row r="140" spans="1:12" x14ac:dyDescent="0.3">
      <c r="A140" s="51"/>
      <c r="B140" s="44"/>
      <c r="C140" s="75"/>
      <c r="D140" s="44"/>
      <c r="H140" s="44"/>
      <c r="J140" s="44"/>
      <c r="K140" s="51"/>
      <c r="L140" s="46"/>
    </row>
    <row r="141" spans="1:12" x14ac:dyDescent="0.3">
      <c r="A141" s="51"/>
      <c r="B141" s="44"/>
      <c r="C141" s="75"/>
      <c r="D141" s="44"/>
      <c r="H141" s="44"/>
      <c r="J141" s="44"/>
      <c r="K141" s="51"/>
      <c r="L141" s="46"/>
    </row>
    <row r="142" spans="1:12" x14ac:dyDescent="0.3">
      <c r="A142" s="51"/>
      <c r="B142" s="44"/>
      <c r="C142" s="75"/>
      <c r="D142" s="44"/>
      <c r="H142" s="44"/>
      <c r="J142" s="44"/>
      <c r="K142" s="51"/>
      <c r="L142" s="46"/>
    </row>
    <row r="143" spans="1:12" x14ac:dyDescent="0.3">
      <c r="A143" s="51"/>
      <c r="B143" s="44"/>
      <c r="C143" s="75"/>
      <c r="D143" s="44"/>
      <c r="H143" s="44"/>
      <c r="J143" s="44"/>
      <c r="K143" s="51"/>
      <c r="L143" s="46"/>
    </row>
    <row r="144" spans="1:12" x14ac:dyDescent="0.3">
      <c r="A144" s="51"/>
      <c r="B144" s="44"/>
      <c r="C144" s="75"/>
      <c r="D144" s="44"/>
      <c r="H144" s="44"/>
      <c r="J144" s="44"/>
      <c r="K144" s="51"/>
      <c r="L144" s="46"/>
    </row>
    <row r="145" spans="1:12" x14ac:dyDescent="0.3">
      <c r="A145" s="51"/>
      <c r="B145" s="44"/>
      <c r="C145" s="75"/>
      <c r="D145" s="44"/>
      <c r="H145" s="44"/>
      <c r="J145" s="44"/>
      <c r="K145" s="51"/>
      <c r="L145" s="46"/>
    </row>
    <row r="146" spans="1:12" x14ac:dyDescent="0.3">
      <c r="A146" s="51"/>
      <c r="B146" s="44"/>
      <c r="C146" s="75"/>
      <c r="D146" s="44"/>
      <c r="H146" s="44"/>
      <c r="J146" s="44"/>
      <c r="K146" s="51"/>
      <c r="L146" s="46"/>
    </row>
    <row r="147" spans="1:12" x14ac:dyDescent="0.3">
      <c r="A147" s="51"/>
      <c r="B147" s="44"/>
      <c r="C147" s="75"/>
      <c r="D147" s="44"/>
      <c r="H147" s="44"/>
      <c r="J147" s="44"/>
      <c r="K147" s="51"/>
      <c r="L147" s="46"/>
    </row>
    <row r="148" spans="1:12" x14ac:dyDescent="0.3">
      <c r="A148" s="51"/>
      <c r="B148" s="44"/>
      <c r="C148" s="75"/>
      <c r="D148" s="44"/>
      <c r="H148" s="44"/>
      <c r="J148" s="44"/>
      <c r="K148" s="51"/>
      <c r="L148" s="46"/>
    </row>
    <row r="149" spans="1:12" x14ac:dyDescent="0.3">
      <c r="A149" s="51"/>
      <c r="B149" s="44"/>
      <c r="C149" s="75"/>
      <c r="D149" s="44"/>
      <c r="H149" s="44"/>
      <c r="J149" s="44"/>
      <c r="K149" s="51"/>
      <c r="L149" s="46"/>
    </row>
    <row r="150" spans="1:12" x14ac:dyDescent="0.3">
      <c r="A150" s="51"/>
      <c r="B150" s="44"/>
      <c r="C150" s="75"/>
      <c r="D150" s="44"/>
      <c r="H150" s="44"/>
      <c r="J150" s="44"/>
      <c r="K150" s="51"/>
      <c r="L150" s="46"/>
    </row>
    <row r="151" spans="1:12" x14ac:dyDescent="0.3">
      <c r="A151" s="51"/>
      <c r="B151" s="44"/>
      <c r="C151" s="75"/>
      <c r="D151" s="44"/>
      <c r="H151" s="44"/>
      <c r="J151" s="44"/>
      <c r="K151" s="51"/>
      <c r="L151" s="46"/>
    </row>
    <row r="152" spans="1:12" x14ac:dyDescent="0.3">
      <c r="A152" s="51"/>
      <c r="B152" s="44"/>
      <c r="C152" s="75"/>
      <c r="D152" s="44"/>
      <c r="H152" s="44"/>
      <c r="J152" s="44"/>
      <c r="K152" s="51"/>
      <c r="L152" s="46"/>
    </row>
    <row r="153" spans="1:12" x14ac:dyDescent="0.3">
      <c r="A153" s="51"/>
      <c r="B153" s="44"/>
      <c r="C153" s="75"/>
      <c r="D153" s="44"/>
      <c r="H153" s="44"/>
      <c r="J153" s="44"/>
      <c r="K153" s="51"/>
      <c r="L153" s="46"/>
    </row>
    <row r="154" spans="1:12" x14ac:dyDescent="0.3">
      <c r="A154" s="51"/>
      <c r="B154" s="44"/>
      <c r="C154" s="75"/>
      <c r="D154" s="44"/>
      <c r="H154" s="44"/>
      <c r="J154" s="44"/>
      <c r="K154" s="51"/>
      <c r="L154" s="46"/>
    </row>
    <row r="155" spans="1:12" x14ac:dyDescent="0.3">
      <c r="A155" s="51"/>
      <c r="B155" s="44"/>
      <c r="C155" s="75"/>
      <c r="D155" s="44"/>
      <c r="H155" s="44"/>
      <c r="J155" s="44"/>
      <c r="K155" s="51"/>
      <c r="L155" s="46"/>
    </row>
    <row r="156" spans="1:12" x14ac:dyDescent="0.3">
      <c r="A156" s="51"/>
      <c r="B156" s="44"/>
      <c r="C156" s="75"/>
      <c r="D156" s="44"/>
      <c r="H156" s="44"/>
      <c r="J156" s="44"/>
      <c r="K156" s="51"/>
      <c r="L156" s="46"/>
    </row>
    <row r="157" spans="1:12" x14ac:dyDescent="0.3">
      <c r="A157" s="51"/>
      <c r="B157" s="44"/>
      <c r="C157" s="75"/>
      <c r="D157" s="44"/>
      <c r="H157" s="44"/>
      <c r="J157" s="44"/>
      <c r="K157" s="51"/>
      <c r="L157" s="46"/>
    </row>
    <row r="158" spans="1:12" x14ac:dyDescent="0.3">
      <c r="A158" s="51"/>
      <c r="B158" s="44"/>
      <c r="C158" s="75"/>
      <c r="D158" s="44"/>
      <c r="H158" s="44"/>
      <c r="J158" s="44"/>
      <c r="K158" s="51"/>
      <c r="L158" s="46"/>
    </row>
    <row r="159" spans="1:12" x14ac:dyDescent="0.3">
      <c r="A159" s="51"/>
      <c r="B159" s="44"/>
      <c r="C159" s="75"/>
      <c r="D159" s="44"/>
      <c r="H159" s="44"/>
      <c r="J159" s="44"/>
      <c r="K159" s="51"/>
      <c r="L159" s="46"/>
    </row>
    <row r="160" spans="1:12" x14ac:dyDescent="0.3">
      <c r="A160" s="51"/>
      <c r="B160" s="44"/>
      <c r="C160" s="75"/>
      <c r="D160" s="44"/>
      <c r="H160" s="44"/>
      <c r="J160" s="44"/>
      <c r="K160" s="51"/>
      <c r="L160" s="46"/>
    </row>
    <row r="161" spans="1:12" x14ac:dyDescent="0.3">
      <c r="A161" s="51"/>
      <c r="B161" s="44"/>
      <c r="C161" s="75"/>
      <c r="D161" s="44"/>
      <c r="H161" s="44"/>
      <c r="J161" s="44"/>
      <c r="K161" s="51"/>
      <c r="L161" s="46"/>
    </row>
    <row r="162" spans="1:12" x14ac:dyDescent="0.3">
      <c r="A162" s="51"/>
      <c r="B162" s="44"/>
      <c r="C162" s="75"/>
      <c r="D162" s="44"/>
      <c r="H162" s="44"/>
      <c r="J162" s="44"/>
      <c r="K162" s="51"/>
      <c r="L162" s="46"/>
    </row>
    <row r="163" spans="1:12" x14ac:dyDescent="0.3">
      <c r="A163" s="51"/>
      <c r="B163" s="44"/>
      <c r="C163" s="75"/>
      <c r="D163" s="44"/>
      <c r="H163" s="44"/>
      <c r="J163" s="44"/>
      <c r="K163" s="51"/>
      <c r="L163" s="46"/>
    </row>
    <row r="164" spans="1:12" x14ac:dyDescent="0.3">
      <c r="A164" s="51"/>
      <c r="B164" s="44"/>
      <c r="C164" s="75"/>
      <c r="D164" s="44"/>
      <c r="H164" s="44"/>
      <c r="J164" s="44"/>
      <c r="K164" s="51"/>
      <c r="L164" s="46"/>
    </row>
    <row r="165" spans="1:12" x14ac:dyDescent="0.3">
      <c r="A165" s="51"/>
      <c r="B165" s="44"/>
      <c r="C165" s="75"/>
      <c r="D165" s="44"/>
      <c r="H165" s="44"/>
      <c r="J165" s="44"/>
      <c r="K165" s="51"/>
      <c r="L165" s="46"/>
    </row>
  </sheetData>
  <autoFilter ref="A2:L125">
    <sortState ref="A3:L124">
      <sortCondition descending="1" ref="B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E63"/>
  <sheetViews>
    <sheetView tabSelected="1" zoomScale="80" zoomScaleNormal="80" workbookViewId="0">
      <selection activeCell="A4" sqref="A4"/>
    </sheetView>
  </sheetViews>
  <sheetFormatPr baseColWidth="10" defaultRowHeight="14.4" x14ac:dyDescent="0.3"/>
  <cols>
    <col min="1" max="1" width="40.109375" customWidth="1"/>
    <col min="2" max="2" width="14.6640625" customWidth="1"/>
    <col min="3" max="3" width="18.44140625" customWidth="1"/>
    <col min="4" max="4" width="19.109375" customWidth="1"/>
    <col min="5" max="5" width="11.5546875" customWidth="1"/>
    <col min="6" max="6" width="15.5546875" customWidth="1"/>
    <col min="7" max="7" width="12.33203125" customWidth="1"/>
    <col min="8" max="8" width="9.88671875" customWidth="1"/>
    <col min="9" max="10" width="11" customWidth="1"/>
    <col min="11" max="16" width="17.109375" bestFit="1" customWidth="1"/>
  </cols>
  <sheetData>
    <row r="3" spans="1:3" x14ac:dyDescent="0.3">
      <c r="A3" s="15" t="s">
        <v>80</v>
      </c>
      <c r="B3" s="15" t="s">
        <v>81</v>
      </c>
      <c r="C3" t="s">
        <v>111</v>
      </c>
    </row>
    <row r="4" spans="1:3" x14ac:dyDescent="0.3">
      <c r="A4" t="s">
        <v>155</v>
      </c>
      <c r="B4" t="s">
        <v>155</v>
      </c>
      <c r="C4" s="89">
        <v>35</v>
      </c>
    </row>
    <row r="5" spans="1:3" x14ac:dyDescent="0.3">
      <c r="A5" t="s">
        <v>140</v>
      </c>
      <c r="B5" t="s">
        <v>90</v>
      </c>
      <c r="C5" s="89">
        <v>3</v>
      </c>
    </row>
    <row r="6" spans="1:3" x14ac:dyDescent="0.3">
      <c r="A6" t="s">
        <v>30</v>
      </c>
      <c r="B6" t="s">
        <v>86</v>
      </c>
      <c r="C6" s="89">
        <v>1</v>
      </c>
    </row>
    <row r="7" spans="1:3" x14ac:dyDescent="0.3">
      <c r="A7" t="s">
        <v>148</v>
      </c>
      <c r="B7" t="s">
        <v>90</v>
      </c>
      <c r="C7" s="89">
        <v>3</v>
      </c>
    </row>
    <row r="8" spans="1:3" x14ac:dyDescent="0.3">
      <c r="A8" t="s">
        <v>65</v>
      </c>
      <c r="B8" t="s">
        <v>88</v>
      </c>
      <c r="C8" s="89">
        <v>2</v>
      </c>
    </row>
    <row r="9" spans="1:3" x14ac:dyDescent="0.3">
      <c r="A9" t="s">
        <v>65</v>
      </c>
      <c r="B9" t="s">
        <v>89</v>
      </c>
      <c r="C9" s="89">
        <v>1</v>
      </c>
    </row>
    <row r="10" spans="1:3" x14ac:dyDescent="0.3">
      <c r="A10" t="s">
        <v>39</v>
      </c>
      <c r="B10" t="s">
        <v>85</v>
      </c>
      <c r="C10" s="89">
        <v>3</v>
      </c>
    </row>
    <row r="11" spans="1:3" x14ac:dyDescent="0.3">
      <c r="A11" t="s">
        <v>25</v>
      </c>
      <c r="B11" t="s">
        <v>90</v>
      </c>
      <c r="C11" s="89">
        <v>3</v>
      </c>
    </row>
    <row r="12" spans="1:3" x14ac:dyDescent="0.3">
      <c r="A12" t="s">
        <v>34</v>
      </c>
      <c r="B12" t="s">
        <v>90</v>
      </c>
      <c r="C12" s="89">
        <v>3</v>
      </c>
    </row>
    <row r="13" spans="1:3" x14ac:dyDescent="0.3">
      <c r="A13" t="s">
        <v>69</v>
      </c>
      <c r="B13" t="s">
        <v>90</v>
      </c>
      <c r="C13" s="89">
        <v>2</v>
      </c>
    </row>
    <row r="14" spans="1:3" x14ac:dyDescent="0.3">
      <c r="A14" t="s">
        <v>53</v>
      </c>
      <c r="B14" t="s">
        <v>85</v>
      </c>
      <c r="C14" s="89">
        <v>3</v>
      </c>
    </row>
    <row r="15" spans="1:3" x14ac:dyDescent="0.3">
      <c r="A15" t="s">
        <v>57</v>
      </c>
      <c r="B15" t="s">
        <v>90</v>
      </c>
      <c r="C15" s="89">
        <v>1</v>
      </c>
    </row>
    <row r="16" spans="1:3" x14ac:dyDescent="0.3">
      <c r="A16" t="s">
        <v>55</v>
      </c>
      <c r="B16" t="s">
        <v>89</v>
      </c>
      <c r="C16" s="89">
        <v>3</v>
      </c>
    </row>
    <row r="17" spans="1:3" x14ac:dyDescent="0.3">
      <c r="A17" t="s">
        <v>51</v>
      </c>
      <c r="B17" t="s">
        <v>90</v>
      </c>
      <c r="C17" s="89">
        <v>1</v>
      </c>
    </row>
    <row r="18" spans="1:3" x14ac:dyDescent="0.3">
      <c r="A18" t="s">
        <v>37</v>
      </c>
      <c r="B18" t="s">
        <v>88</v>
      </c>
      <c r="C18" s="89">
        <v>3</v>
      </c>
    </row>
    <row r="19" spans="1:3" x14ac:dyDescent="0.3">
      <c r="A19" t="s">
        <v>35</v>
      </c>
      <c r="B19" t="s">
        <v>90</v>
      </c>
      <c r="C19" s="89">
        <v>2</v>
      </c>
    </row>
    <row r="20" spans="1:3" x14ac:dyDescent="0.3">
      <c r="A20" t="s">
        <v>32</v>
      </c>
      <c r="B20" t="s">
        <v>89</v>
      </c>
      <c r="C20" s="89">
        <v>2</v>
      </c>
    </row>
    <row r="21" spans="1:3" x14ac:dyDescent="0.3">
      <c r="A21" t="s">
        <v>32</v>
      </c>
      <c r="B21" t="s">
        <v>90</v>
      </c>
      <c r="C21" s="89">
        <v>1</v>
      </c>
    </row>
    <row r="22" spans="1:3" x14ac:dyDescent="0.3">
      <c r="A22" t="s">
        <v>28</v>
      </c>
      <c r="B22" t="s">
        <v>87</v>
      </c>
      <c r="C22" s="89">
        <v>3</v>
      </c>
    </row>
    <row r="23" spans="1:3" x14ac:dyDescent="0.3">
      <c r="A23" t="s">
        <v>31</v>
      </c>
      <c r="B23" t="s">
        <v>87</v>
      </c>
      <c r="C23" s="89">
        <v>3</v>
      </c>
    </row>
    <row r="24" spans="1:3" x14ac:dyDescent="0.3">
      <c r="A24" t="s">
        <v>22</v>
      </c>
      <c r="B24" t="s">
        <v>91</v>
      </c>
      <c r="C24" s="89">
        <v>3</v>
      </c>
    </row>
    <row r="25" spans="1:3" x14ac:dyDescent="0.3">
      <c r="A25" t="s">
        <v>33</v>
      </c>
      <c r="B25" t="s">
        <v>86</v>
      </c>
      <c r="C25" s="89">
        <v>2</v>
      </c>
    </row>
    <row r="26" spans="1:3" x14ac:dyDescent="0.3">
      <c r="A26" t="s">
        <v>33</v>
      </c>
      <c r="B26" t="s">
        <v>87</v>
      </c>
      <c r="C26" s="89">
        <v>1</v>
      </c>
    </row>
    <row r="27" spans="1:3" x14ac:dyDescent="0.3">
      <c r="A27" t="s">
        <v>147</v>
      </c>
      <c r="B27" t="s">
        <v>90</v>
      </c>
      <c r="C27" s="89">
        <v>3</v>
      </c>
    </row>
    <row r="28" spans="1:3" x14ac:dyDescent="0.3">
      <c r="A28" t="s">
        <v>59</v>
      </c>
      <c r="B28" t="s">
        <v>90</v>
      </c>
      <c r="C28" s="89">
        <v>2</v>
      </c>
    </row>
    <row r="29" spans="1:3" x14ac:dyDescent="0.3">
      <c r="A29" t="s">
        <v>149</v>
      </c>
      <c r="B29" t="s">
        <v>90</v>
      </c>
      <c r="C29" s="89">
        <v>3</v>
      </c>
    </row>
    <row r="30" spans="1:3" x14ac:dyDescent="0.3">
      <c r="A30" t="s">
        <v>45</v>
      </c>
      <c r="B30" t="s">
        <v>91</v>
      </c>
      <c r="C30" s="89">
        <v>3</v>
      </c>
    </row>
    <row r="31" spans="1:3" x14ac:dyDescent="0.3">
      <c r="A31" t="s">
        <v>158</v>
      </c>
      <c r="B31" t="s">
        <v>90</v>
      </c>
      <c r="C31" s="89">
        <v>1</v>
      </c>
    </row>
    <row r="32" spans="1:3" x14ac:dyDescent="0.3">
      <c r="A32" t="s">
        <v>40</v>
      </c>
      <c r="B32" t="s">
        <v>90</v>
      </c>
      <c r="C32" s="89">
        <v>2</v>
      </c>
    </row>
    <row r="33" spans="1:3" x14ac:dyDescent="0.3">
      <c r="A33" t="s">
        <v>143</v>
      </c>
      <c r="B33" t="s">
        <v>90</v>
      </c>
      <c r="C33" s="89">
        <v>3</v>
      </c>
    </row>
    <row r="34" spans="1:3" x14ac:dyDescent="0.3">
      <c r="A34" t="s">
        <v>26</v>
      </c>
      <c r="B34" t="s">
        <v>87</v>
      </c>
      <c r="C34" s="89">
        <v>1</v>
      </c>
    </row>
    <row r="35" spans="1:3" x14ac:dyDescent="0.3">
      <c r="A35" t="s">
        <v>49</v>
      </c>
      <c r="B35" t="s">
        <v>90</v>
      </c>
      <c r="C35" s="89">
        <v>1</v>
      </c>
    </row>
    <row r="36" spans="1:3" x14ac:dyDescent="0.3">
      <c r="A36" t="s">
        <v>47</v>
      </c>
      <c r="B36" t="s">
        <v>86</v>
      </c>
      <c r="C36" s="89">
        <v>3</v>
      </c>
    </row>
    <row r="37" spans="1:3" x14ac:dyDescent="0.3">
      <c r="A37" t="s">
        <v>36</v>
      </c>
      <c r="B37" t="s">
        <v>90</v>
      </c>
      <c r="C37" s="89">
        <v>3</v>
      </c>
    </row>
    <row r="38" spans="1:3" x14ac:dyDescent="0.3">
      <c r="A38" t="s">
        <v>27</v>
      </c>
      <c r="B38" t="s">
        <v>87</v>
      </c>
      <c r="C38" s="89">
        <v>3</v>
      </c>
    </row>
    <row r="39" spans="1:3" x14ac:dyDescent="0.3">
      <c r="A39" t="s">
        <v>38</v>
      </c>
      <c r="B39" t="s">
        <v>87</v>
      </c>
      <c r="C39" s="89">
        <v>1</v>
      </c>
    </row>
    <row r="40" spans="1:3" x14ac:dyDescent="0.3">
      <c r="A40" t="s">
        <v>38</v>
      </c>
      <c r="B40" t="s">
        <v>88</v>
      </c>
      <c r="C40" s="89">
        <v>1</v>
      </c>
    </row>
    <row r="41" spans="1:3" x14ac:dyDescent="0.3">
      <c r="A41" t="s">
        <v>24</v>
      </c>
      <c r="B41" t="s">
        <v>90</v>
      </c>
      <c r="C41" s="89">
        <v>3</v>
      </c>
    </row>
    <row r="42" spans="1:3" x14ac:dyDescent="0.3">
      <c r="A42" t="s">
        <v>145</v>
      </c>
      <c r="B42" t="s">
        <v>90</v>
      </c>
      <c r="C42" s="89">
        <v>3</v>
      </c>
    </row>
    <row r="43" spans="1:3" x14ac:dyDescent="0.3">
      <c r="A43" t="s">
        <v>104</v>
      </c>
      <c r="B43" t="s">
        <v>104</v>
      </c>
      <c r="C43" s="89"/>
    </row>
    <row r="57" spans="3:5" x14ac:dyDescent="0.3">
      <c r="C57" s="89"/>
      <c r="E57" s="89"/>
    </row>
    <row r="58" spans="3:5" x14ac:dyDescent="0.3">
      <c r="C58" s="89"/>
      <c r="E58" s="89"/>
    </row>
    <row r="59" spans="3:5" x14ac:dyDescent="0.3">
      <c r="C59" s="89"/>
      <c r="E59" s="89"/>
    </row>
    <row r="60" spans="3:5" x14ac:dyDescent="0.3">
      <c r="C60" s="89"/>
      <c r="E60" s="89"/>
    </row>
    <row r="61" spans="3:5" x14ac:dyDescent="0.3">
      <c r="C61" s="89"/>
      <c r="E61" s="89"/>
    </row>
    <row r="62" spans="3:5" x14ac:dyDescent="0.3">
      <c r="C62" s="89"/>
      <c r="E62" s="89"/>
    </row>
    <row r="63" spans="3:5" x14ac:dyDescent="0.3">
      <c r="C63" s="89"/>
      <c r="E63" s="8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zoomScale="80" zoomScaleNormal="80" workbookViewId="0">
      <selection activeCell="B14" sqref="B14"/>
    </sheetView>
  </sheetViews>
  <sheetFormatPr baseColWidth="10" defaultColWidth="10.6640625" defaultRowHeight="14.4" x14ac:dyDescent="0.3"/>
  <cols>
    <col min="1" max="1" width="40.109375" customWidth="1"/>
    <col min="2" max="2" width="14.6640625" customWidth="1"/>
    <col min="3" max="3" width="13.88671875" customWidth="1"/>
    <col min="4" max="4" width="6.88671875" customWidth="1"/>
    <col min="5" max="5" width="40.109375" customWidth="1"/>
    <col min="6" max="6" width="14.6640625" customWidth="1"/>
    <col min="7" max="7" width="13.88671875" customWidth="1"/>
    <col min="8" max="8" width="9.88671875" customWidth="1"/>
    <col min="9" max="10" width="11" customWidth="1"/>
    <col min="11" max="11" width="17.109375" bestFit="1" customWidth="1"/>
    <col min="12" max="12" width="9.88671875" bestFit="1" customWidth="1"/>
    <col min="13" max="13" width="5.109375" bestFit="1" customWidth="1"/>
    <col min="14" max="14" width="5.5546875" bestFit="1" customWidth="1"/>
    <col min="15" max="15" width="12.6640625" bestFit="1" customWidth="1"/>
    <col min="16" max="16" width="21.5546875" bestFit="1" customWidth="1"/>
    <col min="17" max="17" width="20.88671875" bestFit="1" customWidth="1"/>
  </cols>
  <sheetData>
    <row r="1" spans="1:19" ht="31.2" x14ac:dyDescent="0.6">
      <c r="A1" s="99" t="s">
        <v>116</v>
      </c>
      <c r="E1" s="99" t="s">
        <v>117</v>
      </c>
      <c r="L1" t="s">
        <v>118</v>
      </c>
      <c r="M1" t="s">
        <v>119</v>
      </c>
      <c r="N1" t="s">
        <v>120</v>
      </c>
    </row>
    <row r="2" spans="1:19" ht="18" x14ac:dyDescent="0.35">
      <c r="A2" s="100" t="s">
        <v>121</v>
      </c>
      <c r="E2" s="100" t="s">
        <v>121</v>
      </c>
      <c r="L2" s="101">
        <f>IF(Reg_Partic_Pesc!C3=0," ",DAY(Reg_Partic_Pesc!C3))</f>
        <v>5</v>
      </c>
      <c r="M2" s="101">
        <f>IF(L2=" "," ",MONTH(Reg_Partic_Pesc!C3))</f>
        <v>1</v>
      </c>
      <c r="N2" s="101">
        <f>IF(L2=" "," ",YEAR(Reg_Partic_Pesc!C3))</f>
        <v>2018</v>
      </c>
      <c r="O2" s="13" t="str">
        <f>IF(L2=" "," ",IF(L2=0," ",VLOOKUP(M2,R:S,2,FALSE)))</f>
        <v>ENERO</v>
      </c>
      <c r="P2" s="13" t="str">
        <f>IF(O2=" "," ",CONCATENATE(O2," DEL ",N2))</f>
        <v>ENERO DEL 2018</v>
      </c>
      <c r="Q2" s="13" t="str">
        <f>IF(L2=" "," ",IF(L2&lt;=15,"PRIMERA QUINCENA",IF(L2&gt;15,"SEGUNDA QUINCENA",0)))</f>
        <v>PRIMERA QUINCENA</v>
      </c>
    </row>
    <row r="3" spans="1:19" ht="18" x14ac:dyDescent="0.35">
      <c r="A3" s="100" t="str">
        <f>IF(L2=0," ",CONCATENATE("PERTENECIENTE A ",Q2," DE ",P2))</f>
        <v>PERTENECIENTE A PRIMERA QUINCENA DE ENERO DEL 2018</v>
      </c>
      <c r="E3" s="100" t="str">
        <f>IF(L2=0," ",CONCATENATE("PERTENECIENTE A ",Q2," DE ",P2))</f>
        <v>PERTENECIENTE A PRIMERA QUINCENA DE ENERO DEL 2018</v>
      </c>
    </row>
    <row r="5" spans="1:19" x14ac:dyDescent="0.3">
      <c r="A5" s="15" t="s">
        <v>41</v>
      </c>
      <c r="B5" t="s">
        <v>42</v>
      </c>
      <c r="E5" s="15" t="s">
        <v>41</v>
      </c>
      <c r="F5" t="s">
        <v>71</v>
      </c>
      <c r="R5">
        <v>1</v>
      </c>
      <c r="S5" t="s">
        <v>122</v>
      </c>
    </row>
    <row r="6" spans="1:19" x14ac:dyDescent="0.3">
      <c r="R6">
        <v>2</v>
      </c>
      <c r="S6" t="s">
        <v>123</v>
      </c>
    </row>
    <row r="7" spans="1:19" x14ac:dyDescent="0.3">
      <c r="A7" s="15" t="s">
        <v>80</v>
      </c>
      <c r="B7" s="15" t="s">
        <v>81</v>
      </c>
      <c r="C7" t="s">
        <v>124</v>
      </c>
      <c r="E7" s="15" t="s">
        <v>80</v>
      </c>
      <c r="F7" s="15" t="s">
        <v>81</v>
      </c>
      <c r="G7" t="s">
        <v>124</v>
      </c>
      <c r="R7">
        <v>3</v>
      </c>
      <c r="S7" t="s">
        <v>125</v>
      </c>
    </row>
    <row r="8" spans="1:19" x14ac:dyDescent="0.3">
      <c r="A8" t="s">
        <v>30</v>
      </c>
      <c r="B8" t="s">
        <v>86</v>
      </c>
      <c r="C8" s="89">
        <v>1</v>
      </c>
      <c r="E8" t="s">
        <v>140</v>
      </c>
      <c r="F8" t="s">
        <v>90</v>
      </c>
      <c r="G8" s="89">
        <v>3</v>
      </c>
      <c r="R8">
        <v>4</v>
      </c>
      <c r="S8" t="s">
        <v>126</v>
      </c>
    </row>
    <row r="9" spans="1:19" x14ac:dyDescent="0.3">
      <c r="A9" t="s">
        <v>39</v>
      </c>
      <c r="B9" t="s">
        <v>85</v>
      </c>
      <c r="C9" s="89">
        <v>3</v>
      </c>
      <c r="E9" t="s">
        <v>148</v>
      </c>
      <c r="F9" t="s">
        <v>90</v>
      </c>
      <c r="G9" s="89">
        <v>3</v>
      </c>
      <c r="R9">
        <v>5</v>
      </c>
      <c r="S9" t="s">
        <v>127</v>
      </c>
    </row>
    <row r="10" spans="1:19" x14ac:dyDescent="0.3">
      <c r="A10" t="s">
        <v>25</v>
      </c>
      <c r="B10" t="s">
        <v>90</v>
      </c>
      <c r="C10" s="89">
        <v>3</v>
      </c>
      <c r="E10" t="s">
        <v>65</v>
      </c>
      <c r="F10" t="s">
        <v>88</v>
      </c>
      <c r="G10" s="89">
        <v>2</v>
      </c>
      <c r="R10">
        <v>6</v>
      </c>
      <c r="S10" t="s">
        <v>128</v>
      </c>
    </row>
    <row r="11" spans="1:19" x14ac:dyDescent="0.3">
      <c r="A11" t="s">
        <v>34</v>
      </c>
      <c r="B11" t="s">
        <v>90</v>
      </c>
      <c r="C11" s="89">
        <v>3</v>
      </c>
      <c r="E11" t="s">
        <v>65</v>
      </c>
      <c r="F11" t="s">
        <v>89</v>
      </c>
      <c r="G11" s="89">
        <v>1</v>
      </c>
      <c r="R11">
        <v>7</v>
      </c>
      <c r="S11" t="s">
        <v>129</v>
      </c>
    </row>
    <row r="12" spans="1:19" x14ac:dyDescent="0.3">
      <c r="A12" t="s">
        <v>37</v>
      </c>
      <c r="B12" t="s">
        <v>88</v>
      </c>
      <c r="C12" s="89">
        <v>3</v>
      </c>
      <c r="E12" t="s">
        <v>69</v>
      </c>
      <c r="F12" t="s">
        <v>90</v>
      </c>
      <c r="G12" s="89">
        <v>2</v>
      </c>
      <c r="R12">
        <v>8</v>
      </c>
      <c r="S12" t="s">
        <v>130</v>
      </c>
    </row>
    <row r="13" spans="1:19" x14ac:dyDescent="0.3">
      <c r="A13" t="s">
        <v>35</v>
      </c>
      <c r="B13" t="s">
        <v>90</v>
      </c>
      <c r="C13" s="89">
        <v>2</v>
      </c>
      <c r="E13" t="s">
        <v>53</v>
      </c>
      <c r="F13" t="s">
        <v>85</v>
      </c>
      <c r="G13" s="89">
        <v>3</v>
      </c>
      <c r="R13">
        <v>9</v>
      </c>
      <c r="S13" t="s">
        <v>131</v>
      </c>
    </row>
    <row r="14" spans="1:19" x14ac:dyDescent="0.3">
      <c r="A14" t="s">
        <v>32</v>
      </c>
      <c r="B14" t="s">
        <v>89</v>
      </c>
      <c r="C14" s="89">
        <v>2</v>
      </c>
      <c r="E14" t="s">
        <v>57</v>
      </c>
      <c r="F14" t="s">
        <v>90</v>
      </c>
      <c r="G14" s="89">
        <v>1</v>
      </c>
      <c r="R14">
        <v>10</v>
      </c>
      <c r="S14" t="s">
        <v>132</v>
      </c>
    </row>
    <row r="15" spans="1:19" x14ac:dyDescent="0.3">
      <c r="A15" t="s">
        <v>32</v>
      </c>
      <c r="B15" t="s">
        <v>90</v>
      </c>
      <c r="C15" s="89">
        <v>1</v>
      </c>
      <c r="E15" t="s">
        <v>55</v>
      </c>
      <c r="F15" t="s">
        <v>89</v>
      </c>
      <c r="G15" s="89">
        <v>3</v>
      </c>
      <c r="R15">
        <v>11</v>
      </c>
      <c r="S15" t="s">
        <v>133</v>
      </c>
    </row>
    <row r="16" spans="1:19" x14ac:dyDescent="0.3">
      <c r="A16" t="s">
        <v>28</v>
      </c>
      <c r="B16" t="s">
        <v>87</v>
      </c>
      <c r="C16" s="89">
        <v>3</v>
      </c>
      <c r="E16" t="s">
        <v>51</v>
      </c>
      <c r="F16" t="s">
        <v>90</v>
      </c>
      <c r="G16" s="89">
        <v>1</v>
      </c>
      <c r="R16">
        <v>12</v>
      </c>
      <c r="S16" t="s">
        <v>134</v>
      </c>
    </row>
    <row r="17" spans="1:7" x14ac:dyDescent="0.3">
      <c r="A17" t="s">
        <v>31</v>
      </c>
      <c r="B17" t="s">
        <v>87</v>
      </c>
      <c r="C17" s="89">
        <v>3</v>
      </c>
      <c r="E17" t="s">
        <v>147</v>
      </c>
      <c r="F17" t="s">
        <v>90</v>
      </c>
      <c r="G17" s="89">
        <v>3</v>
      </c>
    </row>
    <row r="18" spans="1:7" x14ac:dyDescent="0.3">
      <c r="A18" t="s">
        <v>22</v>
      </c>
      <c r="B18" t="s">
        <v>91</v>
      </c>
      <c r="C18" s="89">
        <v>3</v>
      </c>
      <c r="E18" t="s">
        <v>59</v>
      </c>
      <c r="F18" t="s">
        <v>90</v>
      </c>
      <c r="G18" s="89">
        <v>2</v>
      </c>
    </row>
    <row r="19" spans="1:7" x14ac:dyDescent="0.3">
      <c r="A19" t="s">
        <v>33</v>
      </c>
      <c r="B19" t="s">
        <v>86</v>
      </c>
      <c r="C19" s="89">
        <v>2</v>
      </c>
      <c r="E19" t="s">
        <v>149</v>
      </c>
      <c r="F19" t="s">
        <v>90</v>
      </c>
      <c r="G19" s="89">
        <v>3</v>
      </c>
    </row>
    <row r="20" spans="1:7" x14ac:dyDescent="0.3">
      <c r="A20" t="s">
        <v>33</v>
      </c>
      <c r="B20" t="s">
        <v>87</v>
      </c>
      <c r="C20" s="89">
        <v>1</v>
      </c>
      <c r="E20" t="s">
        <v>45</v>
      </c>
      <c r="F20" t="s">
        <v>91</v>
      </c>
      <c r="G20" s="89">
        <v>3</v>
      </c>
    </row>
    <row r="21" spans="1:7" x14ac:dyDescent="0.3">
      <c r="A21" t="s">
        <v>158</v>
      </c>
      <c r="B21" t="s">
        <v>90</v>
      </c>
      <c r="C21" s="89">
        <v>1</v>
      </c>
      <c r="E21" t="s">
        <v>143</v>
      </c>
      <c r="F21" t="s">
        <v>90</v>
      </c>
      <c r="G21" s="89">
        <v>3</v>
      </c>
    </row>
    <row r="22" spans="1:7" x14ac:dyDescent="0.3">
      <c r="A22" t="s">
        <v>40</v>
      </c>
      <c r="B22" t="s">
        <v>90</v>
      </c>
      <c r="C22" s="89">
        <v>2</v>
      </c>
      <c r="E22" t="s">
        <v>49</v>
      </c>
      <c r="F22" t="s">
        <v>90</v>
      </c>
      <c r="G22" s="89">
        <v>1</v>
      </c>
    </row>
    <row r="23" spans="1:7" x14ac:dyDescent="0.3">
      <c r="A23" t="s">
        <v>26</v>
      </c>
      <c r="B23" t="s">
        <v>87</v>
      </c>
      <c r="C23" s="89">
        <v>1</v>
      </c>
      <c r="E23" t="s">
        <v>47</v>
      </c>
      <c r="F23" t="s">
        <v>86</v>
      </c>
      <c r="G23" s="89">
        <v>3</v>
      </c>
    </row>
    <row r="24" spans="1:7" x14ac:dyDescent="0.3">
      <c r="A24" t="s">
        <v>36</v>
      </c>
      <c r="B24" t="s">
        <v>90</v>
      </c>
      <c r="C24" s="89">
        <v>3</v>
      </c>
      <c r="E24" t="s">
        <v>145</v>
      </c>
      <c r="F24" t="s">
        <v>90</v>
      </c>
      <c r="G24" s="89">
        <v>3</v>
      </c>
    </row>
    <row r="25" spans="1:7" x14ac:dyDescent="0.3">
      <c r="A25" t="s">
        <v>27</v>
      </c>
      <c r="B25" t="s">
        <v>87</v>
      </c>
      <c r="C25" s="89">
        <v>3</v>
      </c>
      <c r="E25" t="s">
        <v>135</v>
      </c>
      <c r="G25" s="89">
        <v>40</v>
      </c>
    </row>
    <row r="26" spans="1:7" x14ac:dyDescent="0.3">
      <c r="A26" t="s">
        <v>38</v>
      </c>
      <c r="B26" t="s">
        <v>87</v>
      </c>
      <c r="C26" s="89">
        <v>1</v>
      </c>
    </row>
    <row r="27" spans="1:7" x14ac:dyDescent="0.3">
      <c r="A27" t="s">
        <v>38</v>
      </c>
      <c r="B27" t="s">
        <v>88</v>
      </c>
      <c r="C27" s="89">
        <v>1</v>
      </c>
    </row>
    <row r="28" spans="1:7" x14ac:dyDescent="0.3">
      <c r="A28" t="s">
        <v>24</v>
      </c>
      <c r="B28" t="s">
        <v>90</v>
      </c>
      <c r="C28" s="89">
        <v>3</v>
      </c>
    </row>
    <row r="29" spans="1:7" x14ac:dyDescent="0.3">
      <c r="A29" t="s">
        <v>135</v>
      </c>
      <c r="C29" s="89">
        <v>45</v>
      </c>
    </row>
    <row r="61" spans="3:7" x14ac:dyDescent="0.3">
      <c r="C61" s="89"/>
      <c r="G61" s="89"/>
    </row>
    <row r="62" spans="3:7" x14ac:dyDescent="0.3">
      <c r="C62" s="89"/>
      <c r="G62" s="89"/>
    </row>
    <row r="63" spans="3:7" x14ac:dyDescent="0.3">
      <c r="C63" s="89"/>
      <c r="G63" s="89"/>
    </row>
    <row r="64" spans="3:7" x14ac:dyDescent="0.3">
      <c r="C64" s="89"/>
      <c r="G64" s="89"/>
    </row>
    <row r="65" spans="3:7" x14ac:dyDescent="0.3">
      <c r="C65" s="89"/>
      <c r="G65" s="89"/>
    </row>
    <row r="66" spans="3:7" x14ac:dyDescent="0.3">
      <c r="C66" s="89"/>
      <c r="G66" s="89"/>
    </row>
    <row r="67" spans="3:7" x14ac:dyDescent="0.3">
      <c r="C67" s="89"/>
      <c r="G67" s="89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3"/>
  <headerFooter>
    <oddFooter>&amp;L&amp;"-,Negrita"&amp;12ELABORADO:__________&amp;C&amp;"-,Negrita"&amp;12REVISADO:__________&amp;R&amp;"-,Negrita"&amp;12VISTO BUENO:__________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F93"/>
  <sheetViews>
    <sheetView zoomScale="80" zoomScaleNormal="80" workbookViewId="0">
      <selection activeCell="F1" sqref="F1"/>
    </sheetView>
  </sheetViews>
  <sheetFormatPr baseColWidth="10" defaultRowHeight="14.4" x14ac:dyDescent="0.3"/>
  <cols>
    <col min="1" max="1" width="8.6640625" customWidth="1"/>
    <col min="2" max="2" width="8.44140625" customWidth="1"/>
    <col min="3" max="3" width="41.109375" bestFit="1" customWidth="1"/>
    <col min="4" max="4" width="18.109375" bestFit="1" customWidth="1"/>
    <col min="5" max="5" width="10.6640625" customWidth="1"/>
    <col min="6" max="6" width="13" customWidth="1"/>
  </cols>
  <sheetData>
    <row r="1" spans="2:6" ht="30" customHeight="1" x14ac:dyDescent="0.4">
      <c r="B1" s="70" t="s">
        <v>112</v>
      </c>
      <c r="C1" s="52"/>
      <c r="E1" s="96" t="s">
        <v>94</v>
      </c>
      <c r="F1" s="97" t="e">
        <f>IF(C4="TODAS"," ",VLOOKUP(C4,Reg_Partic_Pesc!B:L,11,FALSE))</f>
        <v>#N/A</v>
      </c>
    </row>
    <row r="2" spans="2:6" ht="30" customHeight="1" x14ac:dyDescent="0.4">
      <c r="B2" s="69" t="s">
        <v>113</v>
      </c>
      <c r="D2" s="55"/>
      <c r="E2" s="90"/>
    </row>
    <row r="3" spans="2:6" ht="28.5" customHeight="1" x14ac:dyDescent="0.35">
      <c r="B3" s="93" t="s">
        <v>101</v>
      </c>
      <c r="C3" s="94" t="str">
        <f>IF(C4="(TODAS)"," ",VLOOKUP(C4,Reg_Partic_Pesc!B:L,2,FALSE))</f>
        <v xml:space="preserve"> </v>
      </c>
      <c r="D3" s="93" t="s">
        <v>102</v>
      </c>
      <c r="E3" s="91" t="str">
        <f>IF(C4="(TODAS)"," ",VLOOKUP(C4,Reg_Partic_Pesc!B:L,3,FALSE))</f>
        <v xml:space="preserve"> </v>
      </c>
    </row>
    <row r="4" spans="2:6" ht="18" x14ac:dyDescent="0.35">
      <c r="B4" s="92" t="s">
        <v>78</v>
      </c>
      <c r="C4" t="s">
        <v>114</v>
      </c>
      <c r="D4" s="93" t="s">
        <v>103</v>
      </c>
      <c r="E4" s="95" t="str">
        <f>IF(C4="(TODAS)"," ",VLOOKUP(C4,Reg_Partic_Pesc!B:L,9,FALSE))</f>
        <v xml:space="preserve"> </v>
      </c>
    </row>
    <row r="6" spans="2:6" x14ac:dyDescent="0.3">
      <c r="B6" s="15" t="s">
        <v>79</v>
      </c>
      <c r="C6" s="15" t="s">
        <v>80</v>
      </c>
      <c r="D6" s="15" t="s">
        <v>81</v>
      </c>
      <c r="E6" s="15" t="s">
        <v>109</v>
      </c>
    </row>
    <row r="7" spans="2:6" x14ac:dyDescent="0.3">
      <c r="B7">
        <v>1</v>
      </c>
      <c r="C7" t="s">
        <v>39</v>
      </c>
      <c r="D7" t="s">
        <v>85</v>
      </c>
      <c r="E7" s="44">
        <v>12</v>
      </c>
    </row>
    <row r="8" spans="2:6" x14ac:dyDescent="0.3">
      <c r="C8" t="s">
        <v>53</v>
      </c>
      <c r="D8" t="s">
        <v>85</v>
      </c>
      <c r="E8" s="44">
        <v>6</v>
      </c>
    </row>
    <row r="9" spans="2:6" x14ac:dyDescent="0.3">
      <c r="E9" s="44">
        <v>35</v>
      </c>
    </row>
    <row r="10" spans="2:6" x14ac:dyDescent="0.3">
      <c r="B10">
        <v>2</v>
      </c>
      <c r="C10" t="s">
        <v>33</v>
      </c>
      <c r="D10" t="s">
        <v>86</v>
      </c>
      <c r="E10" s="44">
        <v>35</v>
      </c>
    </row>
    <row r="11" spans="2:6" x14ac:dyDescent="0.3">
      <c r="C11" t="s">
        <v>47</v>
      </c>
      <c r="D11" t="s">
        <v>86</v>
      </c>
      <c r="E11" s="44">
        <v>12</v>
      </c>
    </row>
    <row r="12" spans="2:6" x14ac:dyDescent="0.3">
      <c r="E12" s="44">
        <v>6</v>
      </c>
    </row>
    <row r="13" spans="2:6" x14ac:dyDescent="0.3">
      <c r="B13">
        <v>3</v>
      </c>
      <c r="C13" t="s">
        <v>31</v>
      </c>
      <c r="D13" t="s">
        <v>87</v>
      </c>
      <c r="E13" s="44">
        <v>12</v>
      </c>
    </row>
    <row r="14" spans="2:6" x14ac:dyDescent="0.3">
      <c r="C14" t="s">
        <v>27</v>
      </c>
      <c r="D14" t="s">
        <v>87</v>
      </c>
      <c r="E14" s="44">
        <v>6</v>
      </c>
    </row>
    <row r="15" spans="2:6" x14ac:dyDescent="0.3">
      <c r="C15" t="s">
        <v>26</v>
      </c>
      <c r="D15" t="s">
        <v>87</v>
      </c>
      <c r="E15" s="44">
        <v>35</v>
      </c>
    </row>
    <row r="16" spans="2:6" x14ac:dyDescent="0.3">
      <c r="B16">
        <v>4</v>
      </c>
      <c r="C16" t="s">
        <v>28</v>
      </c>
      <c r="D16" t="s">
        <v>87</v>
      </c>
      <c r="E16" s="44">
        <v>12</v>
      </c>
    </row>
    <row r="17" spans="2:5" x14ac:dyDescent="0.3">
      <c r="C17" t="s">
        <v>33</v>
      </c>
      <c r="D17" t="s">
        <v>87</v>
      </c>
      <c r="E17" s="44">
        <v>6</v>
      </c>
    </row>
    <row r="18" spans="2:5" x14ac:dyDescent="0.3">
      <c r="C18" t="s">
        <v>27</v>
      </c>
      <c r="D18" t="s">
        <v>87</v>
      </c>
      <c r="E18" s="44">
        <v>35</v>
      </c>
    </row>
    <row r="19" spans="2:5" x14ac:dyDescent="0.3">
      <c r="B19">
        <v>5</v>
      </c>
      <c r="C19" t="s">
        <v>65</v>
      </c>
      <c r="D19" t="s">
        <v>88</v>
      </c>
      <c r="E19" s="44">
        <v>12</v>
      </c>
    </row>
    <row r="20" spans="2:5" x14ac:dyDescent="0.3">
      <c r="C20" t="s">
        <v>37</v>
      </c>
      <c r="D20" t="s">
        <v>88</v>
      </c>
      <c r="E20" s="44">
        <v>6</v>
      </c>
    </row>
    <row r="21" spans="2:5" x14ac:dyDescent="0.3">
      <c r="E21" s="44">
        <v>35</v>
      </c>
    </row>
    <row r="22" spans="2:5" x14ac:dyDescent="0.3">
      <c r="B22">
        <v>6</v>
      </c>
      <c r="C22" t="s">
        <v>55</v>
      </c>
      <c r="D22" t="s">
        <v>89</v>
      </c>
      <c r="E22" s="44">
        <v>6</v>
      </c>
    </row>
    <row r="23" spans="2:5" x14ac:dyDescent="0.3">
      <c r="E23" s="44">
        <v>35</v>
      </c>
    </row>
    <row r="24" spans="2:5" x14ac:dyDescent="0.3">
      <c r="C24" t="s">
        <v>32</v>
      </c>
      <c r="D24" t="s">
        <v>89</v>
      </c>
      <c r="E24" s="44">
        <v>12</v>
      </c>
    </row>
    <row r="25" spans="2:5" x14ac:dyDescent="0.3">
      <c r="B25">
        <v>7</v>
      </c>
      <c r="C25" t="s">
        <v>25</v>
      </c>
      <c r="D25" t="s">
        <v>90</v>
      </c>
      <c r="E25" s="44">
        <v>35</v>
      </c>
    </row>
    <row r="26" spans="2:5" x14ac:dyDescent="0.3">
      <c r="C26" t="s">
        <v>59</v>
      </c>
      <c r="D26" t="s">
        <v>90</v>
      </c>
      <c r="E26" s="44">
        <v>12</v>
      </c>
    </row>
    <row r="27" spans="2:5" x14ac:dyDescent="0.3">
      <c r="C27" t="s">
        <v>147</v>
      </c>
      <c r="D27" t="s">
        <v>90</v>
      </c>
      <c r="E27" s="44">
        <v>6</v>
      </c>
    </row>
    <row r="28" spans="2:5" x14ac:dyDescent="0.3">
      <c r="B28">
        <v>8</v>
      </c>
      <c r="C28" t="s">
        <v>51</v>
      </c>
      <c r="D28" t="s">
        <v>90</v>
      </c>
      <c r="E28" s="44">
        <v>6</v>
      </c>
    </row>
    <row r="29" spans="2:5" x14ac:dyDescent="0.3">
      <c r="C29" t="s">
        <v>149</v>
      </c>
      <c r="D29" t="s">
        <v>90</v>
      </c>
      <c r="E29" s="44">
        <v>12</v>
      </c>
    </row>
    <row r="30" spans="2:5" x14ac:dyDescent="0.3">
      <c r="C30" t="s">
        <v>35</v>
      </c>
      <c r="D30" t="s">
        <v>90</v>
      </c>
      <c r="E30" s="44">
        <v>35</v>
      </c>
    </row>
    <row r="31" spans="2:5" x14ac:dyDescent="0.3">
      <c r="B31">
        <v>9</v>
      </c>
      <c r="C31" t="s">
        <v>34</v>
      </c>
      <c r="D31" t="s">
        <v>90</v>
      </c>
      <c r="E31" s="44">
        <v>12</v>
      </c>
    </row>
    <row r="32" spans="2:5" x14ac:dyDescent="0.3">
      <c r="E32" s="44">
        <v>35</v>
      </c>
    </row>
    <row r="33" spans="2:5" x14ac:dyDescent="0.3">
      <c r="C33" t="s">
        <v>24</v>
      </c>
      <c r="D33" t="s">
        <v>90</v>
      </c>
      <c r="E33" s="44">
        <v>6</v>
      </c>
    </row>
    <row r="34" spans="2:5" x14ac:dyDescent="0.3">
      <c r="B34">
        <v>10</v>
      </c>
      <c r="C34" t="s">
        <v>148</v>
      </c>
      <c r="D34" t="s">
        <v>90</v>
      </c>
      <c r="E34" s="44">
        <v>12</v>
      </c>
    </row>
    <row r="35" spans="2:5" x14ac:dyDescent="0.3">
      <c r="E35" s="44">
        <v>35</v>
      </c>
    </row>
    <row r="36" spans="2:5" x14ac:dyDescent="0.3">
      <c r="C36" t="s">
        <v>140</v>
      </c>
      <c r="D36" t="s">
        <v>90</v>
      </c>
      <c r="E36" s="44">
        <v>6</v>
      </c>
    </row>
    <row r="37" spans="2:5" x14ac:dyDescent="0.3">
      <c r="B37">
        <v>11</v>
      </c>
      <c r="C37" t="s">
        <v>49</v>
      </c>
      <c r="D37" t="s">
        <v>90</v>
      </c>
      <c r="E37" s="44">
        <v>6</v>
      </c>
    </row>
    <row r="38" spans="2:5" x14ac:dyDescent="0.3">
      <c r="C38" t="s">
        <v>36</v>
      </c>
      <c r="D38" t="s">
        <v>90</v>
      </c>
      <c r="E38" s="44">
        <v>12</v>
      </c>
    </row>
    <row r="39" spans="2:5" x14ac:dyDescent="0.3">
      <c r="E39" s="44">
        <v>35</v>
      </c>
    </row>
    <row r="40" spans="2:5" x14ac:dyDescent="0.3">
      <c r="B40">
        <v>12</v>
      </c>
      <c r="C40" t="s">
        <v>145</v>
      </c>
      <c r="D40" t="s">
        <v>90</v>
      </c>
      <c r="E40" s="44">
        <v>12</v>
      </c>
    </row>
    <row r="41" spans="2:5" x14ac:dyDescent="0.3">
      <c r="C41" t="s">
        <v>24</v>
      </c>
      <c r="D41" t="s">
        <v>90</v>
      </c>
      <c r="E41" s="44">
        <v>35</v>
      </c>
    </row>
    <row r="42" spans="2:5" x14ac:dyDescent="0.3">
      <c r="C42" t="s">
        <v>143</v>
      </c>
      <c r="D42" t="s">
        <v>90</v>
      </c>
      <c r="E42" s="44">
        <v>6</v>
      </c>
    </row>
    <row r="43" spans="2:5" x14ac:dyDescent="0.3">
      <c r="B43">
        <v>13</v>
      </c>
      <c r="C43" t="s">
        <v>25</v>
      </c>
      <c r="D43" t="s">
        <v>90</v>
      </c>
      <c r="E43" s="44">
        <v>6</v>
      </c>
    </row>
    <row r="44" spans="2:5" x14ac:dyDescent="0.3">
      <c r="C44" t="s">
        <v>149</v>
      </c>
      <c r="D44" t="s">
        <v>90</v>
      </c>
      <c r="E44" s="44">
        <v>35</v>
      </c>
    </row>
    <row r="45" spans="2:5" x14ac:dyDescent="0.3">
      <c r="C45" t="s">
        <v>24</v>
      </c>
      <c r="D45" t="s">
        <v>90</v>
      </c>
      <c r="E45" s="44">
        <v>12</v>
      </c>
    </row>
    <row r="46" spans="2:5" x14ac:dyDescent="0.3">
      <c r="B46">
        <v>14</v>
      </c>
      <c r="C46" t="s">
        <v>22</v>
      </c>
      <c r="D46" t="s">
        <v>91</v>
      </c>
      <c r="E46" s="44">
        <v>12</v>
      </c>
    </row>
    <row r="47" spans="2:5" x14ac:dyDescent="0.3">
      <c r="C47" t="s">
        <v>45</v>
      </c>
      <c r="D47" t="s">
        <v>91</v>
      </c>
      <c r="E47" s="44">
        <v>6</v>
      </c>
    </row>
    <row r="48" spans="2:5" x14ac:dyDescent="0.3">
      <c r="E48" s="44">
        <v>35</v>
      </c>
    </row>
    <row r="49" spans="2:5" x14ac:dyDescent="0.3">
      <c r="B49">
        <v>15</v>
      </c>
      <c r="C49" t="s">
        <v>39</v>
      </c>
      <c r="D49" t="s">
        <v>85</v>
      </c>
      <c r="E49" s="44">
        <v>9</v>
      </c>
    </row>
    <row r="50" spans="2:5" x14ac:dyDescent="0.3">
      <c r="E50" s="44">
        <v>14</v>
      </c>
    </row>
    <row r="51" spans="2:5" x14ac:dyDescent="0.3">
      <c r="C51" t="s">
        <v>53</v>
      </c>
      <c r="D51" t="s">
        <v>85</v>
      </c>
      <c r="E51" s="44">
        <v>28</v>
      </c>
    </row>
    <row r="52" spans="2:5" x14ac:dyDescent="0.3">
      <c r="B52">
        <v>16</v>
      </c>
      <c r="C52" t="s">
        <v>30</v>
      </c>
      <c r="D52" t="s">
        <v>86</v>
      </c>
      <c r="E52" s="44">
        <v>9</v>
      </c>
    </row>
    <row r="53" spans="2:5" x14ac:dyDescent="0.3">
      <c r="C53" t="s">
        <v>33</v>
      </c>
      <c r="D53" t="s">
        <v>86</v>
      </c>
      <c r="E53" s="44">
        <v>28</v>
      </c>
    </row>
    <row r="54" spans="2:5" x14ac:dyDescent="0.3">
      <c r="C54" t="s">
        <v>47</v>
      </c>
      <c r="D54" t="s">
        <v>86</v>
      </c>
      <c r="E54" s="44">
        <v>14</v>
      </c>
    </row>
    <row r="55" spans="2:5" x14ac:dyDescent="0.3">
      <c r="B55">
        <v>17</v>
      </c>
      <c r="C55" t="s">
        <v>28</v>
      </c>
      <c r="D55" t="s">
        <v>87</v>
      </c>
      <c r="E55" s="44">
        <v>9</v>
      </c>
    </row>
    <row r="56" spans="2:5" x14ac:dyDescent="0.3">
      <c r="C56" t="s">
        <v>31</v>
      </c>
      <c r="D56" t="s">
        <v>87</v>
      </c>
      <c r="E56" s="44">
        <v>14</v>
      </c>
    </row>
    <row r="57" spans="2:5" x14ac:dyDescent="0.3">
      <c r="C57" t="s">
        <v>27</v>
      </c>
      <c r="D57" t="s">
        <v>87</v>
      </c>
      <c r="E57" s="44">
        <v>28</v>
      </c>
    </row>
    <row r="58" spans="2:5" x14ac:dyDescent="0.3">
      <c r="B58">
        <v>18</v>
      </c>
      <c r="C58" t="s">
        <v>28</v>
      </c>
      <c r="D58" t="s">
        <v>87</v>
      </c>
      <c r="E58" s="44">
        <v>14</v>
      </c>
    </row>
    <row r="59" spans="2:5" x14ac:dyDescent="0.3">
      <c r="C59" t="s">
        <v>31</v>
      </c>
      <c r="D59" t="s">
        <v>87</v>
      </c>
      <c r="E59" s="44">
        <v>9</v>
      </c>
    </row>
    <row r="60" spans="2:5" x14ac:dyDescent="0.3">
      <c r="C60" t="s">
        <v>38</v>
      </c>
      <c r="D60" t="s">
        <v>87</v>
      </c>
      <c r="E60" s="44">
        <v>28</v>
      </c>
    </row>
    <row r="61" spans="2:5" x14ac:dyDescent="0.3">
      <c r="B61">
        <v>19</v>
      </c>
      <c r="C61" t="s">
        <v>65</v>
      </c>
      <c r="D61" t="s">
        <v>88</v>
      </c>
      <c r="E61" s="44">
        <v>14</v>
      </c>
    </row>
    <row r="62" spans="2:5" x14ac:dyDescent="0.3">
      <c r="C62" t="s">
        <v>37</v>
      </c>
      <c r="D62" t="s">
        <v>88</v>
      </c>
      <c r="E62" s="44">
        <v>28</v>
      </c>
    </row>
    <row r="63" spans="2:5" x14ac:dyDescent="0.3">
      <c r="C63" t="s">
        <v>38</v>
      </c>
      <c r="D63" t="s">
        <v>88</v>
      </c>
      <c r="E63" s="44">
        <v>9</v>
      </c>
    </row>
    <row r="64" spans="2:5" x14ac:dyDescent="0.3">
      <c r="B64">
        <v>20</v>
      </c>
      <c r="C64" t="s">
        <v>65</v>
      </c>
      <c r="D64" t="s">
        <v>89</v>
      </c>
      <c r="E64" s="44">
        <v>9</v>
      </c>
    </row>
    <row r="65" spans="2:5" x14ac:dyDescent="0.3">
      <c r="C65" t="s">
        <v>55</v>
      </c>
      <c r="D65" t="s">
        <v>89</v>
      </c>
      <c r="E65" s="44">
        <v>28</v>
      </c>
    </row>
    <row r="66" spans="2:5" x14ac:dyDescent="0.3">
      <c r="C66" t="s">
        <v>32</v>
      </c>
      <c r="D66" t="s">
        <v>89</v>
      </c>
      <c r="E66" s="44">
        <v>14</v>
      </c>
    </row>
    <row r="67" spans="2:5" x14ac:dyDescent="0.3">
      <c r="B67">
        <v>21</v>
      </c>
      <c r="C67" t="s">
        <v>25</v>
      </c>
      <c r="D67" t="s">
        <v>90</v>
      </c>
      <c r="E67" s="44">
        <v>28</v>
      </c>
    </row>
    <row r="68" spans="2:5" x14ac:dyDescent="0.3">
      <c r="C68" t="s">
        <v>32</v>
      </c>
      <c r="D68" t="s">
        <v>90</v>
      </c>
      <c r="E68" s="44">
        <v>9</v>
      </c>
    </row>
    <row r="69" spans="2:5" x14ac:dyDescent="0.3">
      <c r="C69" t="s">
        <v>59</v>
      </c>
      <c r="D69" t="s">
        <v>90</v>
      </c>
      <c r="E69" s="44">
        <v>14</v>
      </c>
    </row>
    <row r="70" spans="2:5" x14ac:dyDescent="0.3">
      <c r="B70">
        <v>22</v>
      </c>
      <c r="C70" t="s">
        <v>69</v>
      </c>
      <c r="D70" t="s">
        <v>90</v>
      </c>
      <c r="E70" s="44">
        <v>28</v>
      </c>
    </row>
    <row r="71" spans="2:5" x14ac:dyDescent="0.3">
      <c r="C71" t="s">
        <v>149</v>
      </c>
      <c r="D71" t="s">
        <v>90</v>
      </c>
      <c r="E71" s="44">
        <v>9</v>
      </c>
    </row>
    <row r="72" spans="2:5" x14ac:dyDescent="0.3">
      <c r="C72" t="s">
        <v>147</v>
      </c>
      <c r="D72" t="s">
        <v>90</v>
      </c>
      <c r="E72" s="44">
        <v>14</v>
      </c>
    </row>
    <row r="73" spans="2:5" x14ac:dyDescent="0.3">
      <c r="B73">
        <v>23</v>
      </c>
      <c r="C73" t="s">
        <v>34</v>
      </c>
      <c r="D73" t="s">
        <v>90</v>
      </c>
      <c r="E73" s="44">
        <v>9</v>
      </c>
    </row>
    <row r="74" spans="2:5" x14ac:dyDescent="0.3">
      <c r="C74" t="s">
        <v>40</v>
      </c>
      <c r="D74" t="s">
        <v>90</v>
      </c>
      <c r="E74" s="44">
        <v>28</v>
      </c>
    </row>
    <row r="75" spans="2:5" x14ac:dyDescent="0.3">
      <c r="E75" s="44">
        <v>14</v>
      </c>
    </row>
    <row r="76" spans="2:5" x14ac:dyDescent="0.3">
      <c r="B76">
        <v>24</v>
      </c>
      <c r="C76" t="s">
        <v>57</v>
      </c>
      <c r="D76" t="s">
        <v>90</v>
      </c>
      <c r="E76" s="44">
        <v>9</v>
      </c>
    </row>
    <row r="77" spans="2:5" x14ac:dyDescent="0.3">
      <c r="C77" t="s">
        <v>35</v>
      </c>
      <c r="D77" t="s">
        <v>90</v>
      </c>
      <c r="E77" s="44">
        <v>28</v>
      </c>
    </row>
    <row r="78" spans="2:5" x14ac:dyDescent="0.3">
      <c r="C78" t="s">
        <v>140</v>
      </c>
      <c r="D78" t="s">
        <v>90</v>
      </c>
      <c r="E78" s="44">
        <v>14</v>
      </c>
    </row>
    <row r="79" spans="2:5" x14ac:dyDescent="0.3">
      <c r="B79">
        <v>25</v>
      </c>
      <c r="C79" t="s">
        <v>145</v>
      </c>
      <c r="D79" t="s">
        <v>90</v>
      </c>
      <c r="E79" s="44">
        <v>9</v>
      </c>
    </row>
    <row r="80" spans="2:5" x14ac:dyDescent="0.3">
      <c r="E80" s="44">
        <v>14</v>
      </c>
    </row>
    <row r="81" spans="2:5" x14ac:dyDescent="0.3">
      <c r="C81" t="s">
        <v>147</v>
      </c>
      <c r="D81" t="s">
        <v>90</v>
      </c>
      <c r="E81" s="44">
        <v>28</v>
      </c>
    </row>
    <row r="82" spans="2:5" x14ac:dyDescent="0.3">
      <c r="B82">
        <v>26</v>
      </c>
      <c r="C82" t="s">
        <v>148</v>
      </c>
      <c r="D82" t="s">
        <v>90</v>
      </c>
      <c r="E82" s="44">
        <v>9</v>
      </c>
    </row>
    <row r="83" spans="2:5" x14ac:dyDescent="0.3">
      <c r="C83" t="s">
        <v>143</v>
      </c>
      <c r="D83" t="s">
        <v>90</v>
      </c>
      <c r="E83" s="44">
        <v>28</v>
      </c>
    </row>
    <row r="84" spans="2:5" x14ac:dyDescent="0.3">
      <c r="E84" s="44">
        <v>14</v>
      </c>
    </row>
    <row r="85" spans="2:5" x14ac:dyDescent="0.3">
      <c r="B85">
        <v>27</v>
      </c>
      <c r="C85" t="s">
        <v>69</v>
      </c>
      <c r="D85" t="s">
        <v>90</v>
      </c>
      <c r="E85" s="44">
        <v>14</v>
      </c>
    </row>
    <row r="86" spans="2:5" x14ac:dyDescent="0.3">
      <c r="C86" t="s">
        <v>36</v>
      </c>
      <c r="D86" t="s">
        <v>90</v>
      </c>
      <c r="E86" s="44">
        <v>9</v>
      </c>
    </row>
    <row r="87" spans="2:5" x14ac:dyDescent="0.3">
      <c r="C87" t="s">
        <v>140</v>
      </c>
      <c r="D87" t="s">
        <v>90</v>
      </c>
      <c r="E87" s="44">
        <v>28</v>
      </c>
    </row>
    <row r="88" spans="2:5" x14ac:dyDescent="0.3">
      <c r="B88">
        <v>28</v>
      </c>
      <c r="C88" t="s">
        <v>22</v>
      </c>
      <c r="D88" t="s">
        <v>91</v>
      </c>
      <c r="E88" s="44">
        <v>9</v>
      </c>
    </row>
    <row r="89" spans="2:5" x14ac:dyDescent="0.3">
      <c r="C89" t="s">
        <v>45</v>
      </c>
      <c r="D89" t="s">
        <v>91</v>
      </c>
      <c r="E89" s="44">
        <v>28</v>
      </c>
    </row>
    <row r="90" spans="2:5" x14ac:dyDescent="0.3">
      <c r="C90" t="s">
        <v>158</v>
      </c>
      <c r="D90" t="s">
        <v>90</v>
      </c>
      <c r="E90" s="44">
        <v>14</v>
      </c>
    </row>
    <row r="91" spans="2:5" x14ac:dyDescent="0.3">
      <c r="B91">
        <v>29</v>
      </c>
      <c r="C91" t="s">
        <v>22</v>
      </c>
      <c r="D91" t="s">
        <v>91</v>
      </c>
      <c r="E91" s="44">
        <v>14</v>
      </c>
    </row>
    <row r="92" spans="2:5" x14ac:dyDescent="0.3">
      <c r="B92" t="s">
        <v>104</v>
      </c>
      <c r="C92" t="s">
        <v>104</v>
      </c>
      <c r="D92" t="s">
        <v>104</v>
      </c>
      <c r="E92" s="44" t="s">
        <v>104</v>
      </c>
    </row>
    <row r="93" spans="2:5" x14ac:dyDescent="0.3">
      <c r="B93" t="s">
        <v>155</v>
      </c>
      <c r="C93" t="s">
        <v>155</v>
      </c>
      <c r="D93" t="s">
        <v>155</v>
      </c>
      <c r="E93" s="44" t="s">
        <v>155</v>
      </c>
    </row>
  </sheetData>
  <pageMargins left="0.31496062992125984" right="0.11811023622047245" top="0.55118110236220474" bottom="0.35433070866141736" header="0.31496062992125984" footer="0.31496062992125984"/>
  <pageSetup scale="95" orientation="portrait" horizontalDpi="120" verticalDpi="72" r:id="rId2"/>
  <headerFooter>
    <oddFooter>&amp;L&amp;"-,Negrita"&amp;12ELABORADO POR: _________&amp;C&amp;"-,Negrita"&amp;12REVISADO POR: _________&amp;R&amp;"-,Negrita"&amp;12VISTO BUENO POR: 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NOMINAS PSM&amp;BIO</vt:lpstr>
      <vt:lpstr>FUNCIONES</vt:lpstr>
      <vt:lpstr>Nomina Pesca</vt:lpstr>
      <vt:lpstr>Reg_Partic_Pesc</vt:lpstr>
      <vt:lpstr>Resumen</vt:lpstr>
      <vt:lpstr>Resumen x Empresa</vt:lpstr>
      <vt:lpstr>Consulta x NochE_Pesc</vt:lpstr>
      <vt:lpstr>'Consulta x NochE_Pesc'!Área_de_impresión</vt:lpstr>
      <vt:lpstr>'Nomina Pesca'!Área_de_impresión</vt:lpstr>
      <vt:lpstr>'Resumen x Empresa'!Área_de_impresión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PRODUCCION-02</cp:lastModifiedBy>
  <cp:lastPrinted>2018-01-16T16:03:45Z</cp:lastPrinted>
  <dcterms:created xsi:type="dcterms:W3CDTF">2017-08-18T22:39:30Z</dcterms:created>
  <dcterms:modified xsi:type="dcterms:W3CDTF">2018-01-16T17:02:46Z</dcterms:modified>
</cp:coreProperties>
</file>