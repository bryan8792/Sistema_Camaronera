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ODUCCION02\Dropbox\1 PSM&amp;BIO\1 ADMINISTRACION\1 ROLES DE PAGO ASISTENCIA\ARCHIVO EJEMPLO ROLES\"/>
    </mc:Choice>
  </mc:AlternateContent>
  <bookViews>
    <workbookView xWindow="-120" yWindow="-120" windowWidth="24240" windowHeight="13140" tabRatio="807"/>
  </bookViews>
  <sheets>
    <sheet name="Reporte Asistencia Laboral" sheetId="1" r:id="rId1"/>
    <sheet name="CONTROL H.E." sheetId="21" r:id="rId2"/>
    <sheet name="CONTROL H.E. Transf." sheetId="20" r:id="rId3"/>
    <sheet name="Firma H.E" sheetId="23" state="hidden" r:id="rId4"/>
    <sheet name="Firma H.E. Transf." sheetId="24" state="hidden" r:id="rId5"/>
    <sheet name="Dato_Pesc" sheetId="25" r:id="rId6"/>
    <sheet name="Dato_Transf" sheetId="30" r:id="rId7"/>
    <sheet name="MANUAL" sheetId="22" r:id="rId8"/>
    <sheet name="EMPLEADO" sheetId="12" state="hidden" r:id="rId9"/>
    <sheet name="$ NOCHE_PESC" sheetId="14" state="hidden" r:id="rId10"/>
    <sheet name="VARIOS" sheetId="17" state="hidden" r:id="rId11"/>
    <sheet name="COPY HE" sheetId="18" state="hidden" r:id="rId12"/>
  </sheets>
  <externalReferences>
    <externalReference r:id="rId13"/>
  </externalReferences>
  <definedNames>
    <definedName name="_xlnm._FilterDatabase" localSheetId="5" hidden="1">Dato_Pesc!$B$3:$D$34</definedName>
    <definedName name="_xlnm._FilterDatabase" localSheetId="8" hidden="1">EMPLEADO!$A$4:$AE$4</definedName>
    <definedName name="_xlnm._FilterDatabase" localSheetId="0" hidden="1">'Reporte Asistencia Laboral'!$AL$10:$AO$17</definedName>
    <definedName name="Años_préstamo" localSheetId="1">#REF!</definedName>
    <definedName name="Años_préstamo" localSheetId="8">#REF!</definedName>
    <definedName name="Años_préstamo">#REF!</definedName>
    <definedName name="_xlnm.Print_Area" localSheetId="1">'CONTROL H.E.'!$F$2:$M$34</definedName>
    <definedName name="_xlnm.Print_Area" localSheetId="2">'CONTROL H.E. Transf.'!$F$2:$M$34</definedName>
    <definedName name="_xlnm.Print_Area" localSheetId="8">EMPLEADO!$C$5:$H$16</definedName>
    <definedName name="_xlnm.Print_Area" localSheetId="3">'Firma H.E'!$F$2:$N$34</definedName>
    <definedName name="_xlnm.Print_Area" localSheetId="4">'Firma H.E. Transf.'!$F$2:$N$34</definedName>
    <definedName name="_xlnm.Print_Area" localSheetId="0">'Reporte Asistencia Laboral'!$B$3:$AP$33</definedName>
    <definedName name="Fila_de_encabezado" localSheetId="1">ROW(#REF!)</definedName>
    <definedName name="Fila_de_encabezado" localSheetId="8">ROW(#REF!)</definedName>
    <definedName name="Fila_de_encabezado">ROW(#REF!)</definedName>
    <definedName name="Importe_del_préstamo" localSheetId="1">#REF!</definedName>
    <definedName name="Importe_del_préstamo" localSheetId="8">#REF!</definedName>
    <definedName name="Importe_del_préstamo">#REF!</definedName>
    <definedName name="Impresión_completa" localSheetId="1">#REF!</definedName>
    <definedName name="Impresión_completa" localSheetId="8">#REF!</definedName>
    <definedName name="Impresión_completa">#REF!</definedName>
    <definedName name="Inicio_prestamo" localSheetId="1">#REF!</definedName>
    <definedName name="Inicio_prestamo" localSheetId="8">#REF!</definedName>
    <definedName name="Inicio_prestamo">#REF!</definedName>
    <definedName name="Int" localSheetId="1">#REF!</definedName>
    <definedName name="Int" localSheetId="8">#REF!</definedName>
    <definedName name="Int">#REF!</definedName>
    <definedName name="Int_acum" localSheetId="1">#REF!</definedName>
    <definedName name="Int_acum" localSheetId="8">#REF!</definedName>
    <definedName name="Int_acum">#REF!</definedName>
    <definedName name="Interés_total" localSheetId="1">#REF!</definedName>
    <definedName name="Interés_total" localSheetId="8">#REF!</definedName>
    <definedName name="Interés_total">#REF!</definedName>
    <definedName name="Núm_de_pago" localSheetId="1">#REF!</definedName>
    <definedName name="Núm_de_pago" localSheetId="8">#REF!</definedName>
    <definedName name="Núm_de_pago">#REF!</definedName>
    <definedName name="Núm_pagos_al_año" localSheetId="1">#REF!</definedName>
    <definedName name="Núm_pagos_al_año" localSheetId="8">#REF!</definedName>
    <definedName name="Núm_pagos_al_año">#REF!</definedName>
    <definedName name="Número_de_pagos" localSheetId="1">MATCH(0.01,'CONTROL H.E.'!Saldo_final,-1)+1</definedName>
    <definedName name="Número_de_pagos" localSheetId="8">#N/A</definedName>
    <definedName name="Número_de_pagos">MATCH(0.01,'CONTROL H.E.'!Saldo_final,-1)+1</definedName>
    <definedName name="Pago_adicional" localSheetId="1">#REF!</definedName>
    <definedName name="Pago_adicional" localSheetId="8">#REF!</definedName>
    <definedName name="Pago_adicional">#REF!</definedName>
    <definedName name="Pago_mensual_programado" localSheetId="1">#REF!</definedName>
    <definedName name="Pago_mensual_programado" localSheetId="8">#REF!</definedName>
    <definedName name="Pago_mensual_programado">#REF!</definedName>
    <definedName name="Pago_progr" localSheetId="1">#REF!</definedName>
    <definedName name="Pago_progr" localSheetId="8">#REF!</definedName>
    <definedName name="Pago_progr">#REF!</definedName>
    <definedName name="Pago_total" localSheetId="1">#REF!</definedName>
    <definedName name="Pago_total" localSheetId="8">#REF!</definedName>
    <definedName name="Pago_total">#REF!</definedName>
    <definedName name="Pagos_adicionales_programados" localSheetId="1">#REF!</definedName>
    <definedName name="Pagos_adicionales_programados" localSheetId="8">#REF!</definedName>
    <definedName name="Pagos_adicionales_programados">#REF!</definedName>
    <definedName name="Saldo_final" localSheetId="1">#REF!</definedName>
    <definedName name="Saldo_final">#REF!</definedName>
    <definedName name="Saldo_inicial" localSheetId="1">#REF!</definedName>
    <definedName name="Saldo_inicial" localSheetId="8">#REF!</definedName>
    <definedName name="Saldo_inicial">#REF!</definedName>
    <definedName name="Tasa_de_interés" localSheetId="1">#REF!</definedName>
    <definedName name="Tasa_de_interés" localSheetId="8">#REF!</definedName>
    <definedName name="Tasa_de_interés">#REF!</definedName>
    <definedName name="Tasa_de_interés_programada" localSheetId="1">#REF!</definedName>
    <definedName name="Tasa_de_interés_programada" localSheetId="8">#REF!</definedName>
    <definedName name="Tasa_de_interés_programada">#REF!</definedName>
    <definedName name="_xlnm.Print_Titles" localSheetId="1">'CONTROL H.E.'!$B:$E,'CONTROL H.E.'!$2:$9</definedName>
    <definedName name="_xlnm.Print_Titles" localSheetId="2">'CONTROL H.E. Transf.'!$B:$E,'CONTROL H.E. Transf.'!$2:$9</definedName>
    <definedName name="_xlnm.Print_Titles" localSheetId="8">EMPLEADO!$B:$B,EMPLEADO!$1:$4</definedName>
    <definedName name="_xlnm.Print_Titles" localSheetId="3">'Firma H.E'!$B:$E,'Firma H.E'!$2:$9</definedName>
    <definedName name="_xlnm.Print_Titles" localSheetId="4">'Firma H.E. Transf.'!$B:$E,'Firma H.E. Transf.'!$2:$9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1" l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11" i="1"/>
  <c r="C30" i="1"/>
  <c r="AT30" i="1" s="1"/>
  <c r="AS30" i="1" s="1"/>
  <c r="X29" i="1"/>
  <c r="AC29" i="1"/>
  <c r="AD29" i="1"/>
  <c r="F29" i="1" s="1"/>
  <c r="AG29" i="1"/>
  <c r="AH29" i="1"/>
  <c r="AI29" i="1"/>
  <c r="AJ29" i="1"/>
  <c r="X30" i="1"/>
  <c r="AC30" i="1"/>
  <c r="AD30" i="1"/>
  <c r="F30" i="1" s="1"/>
  <c r="AG30" i="1"/>
  <c r="AH30" i="1"/>
  <c r="AI30" i="1"/>
  <c r="AJ30" i="1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C28" i="23" l="1"/>
  <c r="L26" i="21"/>
  <c r="T26" i="21"/>
  <c r="AB26" i="21"/>
  <c r="AJ26" i="21"/>
  <c r="AR26" i="21"/>
  <c r="AZ26" i="21"/>
  <c r="BH26" i="21"/>
  <c r="L27" i="21"/>
  <c r="T27" i="21"/>
  <c r="AB27" i="21"/>
  <c r="AJ27" i="21"/>
  <c r="AR27" i="21"/>
  <c r="AZ27" i="21"/>
  <c r="BH27" i="21"/>
  <c r="L28" i="21"/>
  <c r="T28" i="21"/>
  <c r="AB28" i="21"/>
  <c r="AJ28" i="21"/>
  <c r="AR28" i="21"/>
  <c r="AZ28" i="21"/>
  <c r="BH28" i="21"/>
  <c r="Q23" i="12"/>
  <c r="Q22" i="12"/>
  <c r="Q21" i="12"/>
  <c r="X27" i="1"/>
  <c r="AC27" i="1"/>
  <c r="AD27" i="1"/>
  <c r="F27" i="1" s="1"/>
  <c r="AG27" i="1"/>
  <c r="AH27" i="1"/>
  <c r="AI27" i="1"/>
  <c r="AJ27" i="1"/>
  <c r="X28" i="1"/>
  <c r="AC28" i="1"/>
  <c r="AD28" i="1"/>
  <c r="F28" i="1" s="1"/>
  <c r="AG28" i="1"/>
  <c r="AH28" i="1"/>
  <c r="AI28" i="1"/>
  <c r="AJ28" i="1"/>
  <c r="C27" i="20" l="1"/>
  <c r="C28" i="1"/>
  <c r="AT28" i="1" s="1"/>
  <c r="AS28" i="1" s="1"/>
  <c r="BK28" i="21"/>
  <c r="C27" i="21"/>
  <c r="C28" i="20"/>
  <c r="C29" i="1"/>
  <c r="C28" i="24"/>
  <c r="BK27" i="21"/>
  <c r="C26" i="24"/>
  <c r="C27" i="1"/>
  <c r="AT27" i="1" s="1"/>
  <c r="AS27" i="1" s="1"/>
  <c r="BK26" i="21"/>
  <c r="AM28" i="1"/>
  <c r="F27" i="20"/>
  <c r="S27" i="20"/>
  <c r="AI27" i="20"/>
  <c r="AY27" i="20"/>
  <c r="F28" i="20"/>
  <c r="AI28" i="20"/>
  <c r="S28" i="20"/>
  <c r="K28" i="20"/>
  <c r="AQ28" i="20"/>
  <c r="AY28" i="20"/>
  <c r="AA28" i="20"/>
  <c r="BG28" i="20"/>
  <c r="C26" i="21"/>
  <c r="C26" i="20"/>
  <c r="F26" i="20" s="1"/>
  <c r="C28" i="21"/>
  <c r="C27" i="23"/>
  <c r="C27" i="24"/>
  <c r="C26" i="23"/>
  <c r="BC28" i="20"/>
  <c r="AU28" i="20"/>
  <c r="AM28" i="20"/>
  <c r="AE28" i="20"/>
  <c r="W28" i="20"/>
  <c r="O28" i="20"/>
  <c r="G28" i="20"/>
  <c r="BF27" i="20"/>
  <c r="AP27" i="20"/>
  <c r="Z27" i="20"/>
  <c r="J27" i="20"/>
  <c r="BC27" i="20"/>
  <c r="AT27" i="20"/>
  <c r="AM27" i="20"/>
  <c r="AD27" i="20"/>
  <c r="W27" i="20"/>
  <c r="N27" i="20"/>
  <c r="G27" i="20"/>
  <c r="BG27" i="20"/>
  <c r="BH27" i="20" s="1"/>
  <c r="BI27" i="20" s="1"/>
  <c r="BB27" i="20"/>
  <c r="AX27" i="20"/>
  <c r="AU27" i="20"/>
  <c r="AQ27" i="20"/>
  <c r="AL27" i="20"/>
  <c r="AH27" i="20"/>
  <c r="AE27" i="20"/>
  <c r="AA27" i="20"/>
  <c r="V27" i="20"/>
  <c r="R27" i="20"/>
  <c r="T27" i="20" s="1"/>
  <c r="U27" i="20" s="1"/>
  <c r="O27" i="20"/>
  <c r="K27" i="20"/>
  <c r="AA26" i="20"/>
  <c r="K26" i="20"/>
  <c r="AU26" i="20"/>
  <c r="AM26" i="20"/>
  <c r="O26" i="20"/>
  <c r="BF28" i="20"/>
  <c r="BB28" i="20"/>
  <c r="AX28" i="20"/>
  <c r="AZ28" i="20" s="1"/>
  <c r="BA28" i="20" s="1"/>
  <c r="AT28" i="20"/>
  <c r="AP28" i="20"/>
  <c r="AR28" i="20" s="1"/>
  <c r="AS28" i="20" s="1"/>
  <c r="AL28" i="20"/>
  <c r="AH28" i="20"/>
  <c r="AJ28" i="20" s="1"/>
  <c r="AK28" i="20" s="1"/>
  <c r="AD28" i="20"/>
  <c r="Z28" i="20"/>
  <c r="V28" i="20"/>
  <c r="R28" i="20"/>
  <c r="T28" i="20" s="1"/>
  <c r="U28" i="20" s="1"/>
  <c r="N28" i="20"/>
  <c r="J28" i="20"/>
  <c r="BB26" i="20"/>
  <c r="AX26" i="20"/>
  <c r="AH26" i="20"/>
  <c r="V26" i="20"/>
  <c r="R26" i="20"/>
  <c r="AO28" i="1"/>
  <c r="BH24" i="21"/>
  <c r="BH25" i="21"/>
  <c r="AZ24" i="21"/>
  <c r="AZ25" i="21"/>
  <c r="AR24" i="21"/>
  <c r="AR25" i="21"/>
  <c r="AJ24" i="21"/>
  <c r="AJ25" i="21"/>
  <c r="AB24" i="21"/>
  <c r="AB25" i="21"/>
  <c r="T24" i="21"/>
  <c r="T25" i="21"/>
  <c r="L24" i="21"/>
  <c r="L25" i="21"/>
  <c r="BK25" i="21" s="1"/>
  <c r="AG25" i="1"/>
  <c r="AH25" i="1"/>
  <c r="AI25" i="1"/>
  <c r="AJ25" i="1"/>
  <c r="AG26" i="1"/>
  <c r="AH26" i="1"/>
  <c r="AD25" i="1"/>
  <c r="F25" i="1" s="1"/>
  <c r="AD26" i="1"/>
  <c r="F26" i="1" s="1"/>
  <c r="AC25" i="1"/>
  <c r="AC26" i="1"/>
  <c r="X25" i="1"/>
  <c r="X26" i="1"/>
  <c r="Q20" i="12"/>
  <c r="C26" i="1" s="1"/>
  <c r="AT26" i="1" s="1"/>
  <c r="AS26" i="1" s="1"/>
  <c r="Q19" i="12"/>
  <c r="C24" i="24" l="1"/>
  <c r="C25" i="1"/>
  <c r="AT25" i="1" s="1"/>
  <c r="AS25" i="1" s="1"/>
  <c r="AB27" i="20"/>
  <c r="AC27" i="20" s="1"/>
  <c r="AT29" i="1"/>
  <c r="AS29" i="1" s="1"/>
  <c r="AM29" i="1"/>
  <c r="AL29" i="1"/>
  <c r="AN29" i="1"/>
  <c r="AO29" i="1"/>
  <c r="AL28" i="1"/>
  <c r="AP28" i="1" s="1"/>
  <c r="AL26" i="20"/>
  <c r="G26" i="20"/>
  <c r="AN28" i="1"/>
  <c r="S26" i="20"/>
  <c r="T26" i="20" s="1"/>
  <c r="U26" i="20" s="1"/>
  <c r="AL26" i="1"/>
  <c r="AL27" i="1"/>
  <c r="AM27" i="1"/>
  <c r="AO27" i="1"/>
  <c r="BK24" i="21"/>
  <c r="J26" i="20"/>
  <c r="Z26" i="20"/>
  <c r="AB26" i="20" s="1"/>
  <c r="AC26" i="20" s="1"/>
  <c r="AP26" i="20"/>
  <c r="BF26" i="20"/>
  <c r="W26" i="20"/>
  <c r="BC26" i="20"/>
  <c r="AQ26" i="20"/>
  <c r="AR26" i="20" s="1"/>
  <c r="AS26" i="20" s="1"/>
  <c r="AJ27" i="20"/>
  <c r="AK27" i="20" s="1"/>
  <c r="AZ27" i="20"/>
  <c r="BA27" i="20" s="1"/>
  <c r="AY26" i="20"/>
  <c r="AZ26" i="20" s="1"/>
  <c r="BA26" i="20" s="1"/>
  <c r="AI26" i="20"/>
  <c r="AJ26" i="20" s="1"/>
  <c r="AK26" i="20" s="1"/>
  <c r="AN27" i="1"/>
  <c r="N26" i="20"/>
  <c r="AD26" i="20"/>
  <c r="AT26" i="20"/>
  <c r="L28" i="20"/>
  <c r="AB28" i="20"/>
  <c r="AC28" i="20" s="1"/>
  <c r="BH28" i="20"/>
  <c r="BI28" i="20" s="1"/>
  <c r="AE26" i="20"/>
  <c r="BG26" i="20"/>
  <c r="L27" i="20"/>
  <c r="M27" i="20" s="1"/>
  <c r="AR27" i="20"/>
  <c r="AS27" i="20" s="1"/>
  <c r="L26" i="20"/>
  <c r="M26" i="20" s="1"/>
  <c r="M28" i="20"/>
  <c r="C25" i="21"/>
  <c r="C25" i="23"/>
  <c r="C25" i="20"/>
  <c r="BB25" i="20" s="1"/>
  <c r="C25" i="24"/>
  <c r="C24" i="21"/>
  <c r="C24" i="23"/>
  <c r="C24" i="20"/>
  <c r="BB24" i="20" s="1"/>
  <c r="F4" i="25"/>
  <c r="F5" i="25" s="1"/>
  <c r="AP29" i="1" l="1"/>
  <c r="AP27" i="1"/>
  <c r="BH26" i="20"/>
  <c r="BI26" i="20" s="1"/>
  <c r="AP26" i="1"/>
  <c r="AN26" i="1"/>
  <c r="AO26" i="1"/>
  <c r="AM26" i="1"/>
  <c r="AM25" i="1"/>
  <c r="AD24" i="20"/>
  <c r="BK28" i="20"/>
  <c r="BK27" i="20"/>
  <c r="V24" i="20"/>
  <c r="AA25" i="20"/>
  <c r="Z24" i="20"/>
  <c r="BG24" i="20"/>
  <c r="K25" i="20"/>
  <c r="BF25" i="20"/>
  <c r="F24" i="20"/>
  <c r="R25" i="20"/>
  <c r="AY24" i="20"/>
  <c r="O24" i="20"/>
  <c r="AE24" i="20"/>
  <c r="AL25" i="1"/>
  <c r="AX24" i="20"/>
  <c r="Z25" i="20"/>
  <c r="N24" i="20"/>
  <c r="J25" i="20"/>
  <c r="BG25" i="20"/>
  <c r="AA24" i="20"/>
  <c r="G24" i="20"/>
  <c r="W24" i="20"/>
  <c r="S25" i="20"/>
  <c r="AQ25" i="20"/>
  <c r="AE25" i="20"/>
  <c r="AP25" i="20"/>
  <c r="AD25" i="20"/>
  <c r="BF24" i="20"/>
  <c r="BH24" i="20" s="1"/>
  <c r="BI24" i="20" s="1"/>
  <c r="AP24" i="20"/>
  <c r="AT25" i="20"/>
  <c r="AH24" i="20"/>
  <c r="AH25" i="20"/>
  <c r="J24" i="20"/>
  <c r="R24" i="20"/>
  <c r="F25" i="20"/>
  <c r="N25" i="20"/>
  <c r="V25" i="20"/>
  <c r="BC24" i="20"/>
  <c r="BC25" i="20"/>
  <c r="AQ24" i="20"/>
  <c r="AU25" i="20"/>
  <c r="AI24" i="20"/>
  <c r="AI25" i="20"/>
  <c r="K24" i="20"/>
  <c r="S24" i="20"/>
  <c r="G25" i="20"/>
  <c r="O25" i="20"/>
  <c r="W25" i="20"/>
  <c r="AU24" i="20"/>
  <c r="AY25" i="20"/>
  <c r="AM24" i="20"/>
  <c r="AM25" i="20"/>
  <c r="AT24" i="20"/>
  <c r="AX25" i="20"/>
  <c r="AL24" i="20"/>
  <c r="AL25" i="20"/>
  <c r="F6" i="25"/>
  <c r="I5" i="25"/>
  <c r="H5" i="25"/>
  <c r="G5" i="25"/>
  <c r="G4" i="25"/>
  <c r="H4" i="25"/>
  <c r="I4" i="25"/>
  <c r="AP25" i="1" l="1"/>
  <c r="BK26" i="20"/>
  <c r="AO25" i="1"/>
  <c r="AN25" i="1"/>
  <c r="AB25" i="20"/>
  <c r="AC25" i="20" s="1"/>
  <c r="AZ24" i="20"/>
  <c r="BA24" i="20" s="1"/>
  <c r="BH25" i="20"/>
  <c r="BI25" i="20" s="1"/>
  <c r="L25" i="20"/>
  <c r="M25" i="20" s="1"/>
  <c r="AB24" i="20"/>
  <c r="AC24" i="20" s="1"/>
  <c r="T24" i="20"/>
  <c r="U24" i="20" s="1"/>
  <c r="AJ25" i="20"/>
  <c r="AK25" i="20" s="1"/>
  <c r="L24" i="20"/>
  <c r="M24" i="20" s="1"/>
  <c r="AJ24" i="20"/>
  <c r="AK24" i="20" s="1"/>
  <c r="AR24" i="20"/>
  <c r="AS24" i="20" s="1"/>
  <c r="T25" i="20"/>
  <c r="U25" i="20" s="1"/>
  <c r="AR25" i="20"/>
  <c r="AS25" i="20" s="1"/>
  <c r="AZ25" i="20"/>
  <c r="BA25" i="20" s="1"/>
  <c r="K4" i="25"/>
  <c r="J4" i="25"/>
  <c r="K5" i="25"/>
  <c r="J5" i="25"/>
  <c r="F7" i="25"/>
  <c r="I6" i="25"/>
  <c r="H6" i="25"/>
  <c r="G6" i="25"/>
  <c r="BK25" i="20" l="1"/>
  <c r="BK24" i="20"/>
  <c r="K6" i="25"/>
  <c r="J6" i="25"/>
  <c r="F8" i="25"/>
  <c r="I7" i="25"/>
  <c r="H7" i="25"/>
  <c r="G7" i="25"/>
  <c r="K7" i="25" l="1"/>
  <c r="J7" i="25"/>
  <c r="F9" i="25"/>
  <c r="I8" i="25"/>
  <c r="H8" i="25"/>
  <c r="G8" i="25"/>
  <c r="K8" i="25" l="1"/>
  <c r="J8" i="25"/>
  <c r="F10" i="25"/>
  <c r="I9" i="25"/>
  <c r="H9" i="25"/>
  <c r="G9" i="25"/>
  <c r="K9" i="25" l="1"/>
  <c r="J9" i="25"/>
  <c r="F11" i="25"/>
  <c r="I10" i="25"/>
  <c r="H10" i="25"/>
  <c r="G10" i="25"/>
  <c r="K10" i="25" l="1"/>
  <c r="J10" i="25"/>
  <c r="F12" i="25"/>
  <c r="I11" i="25"/>
  <c r="H11" i="25"/>
  <c r="G11" i="25"/>
  <c r="K11" i="25" l="1"/>
  <c r="J11" i="25"/>
  <c r="F13" i="25"/>
  <c r="I12" i="25"/>
  <c r="H12" i="25"/>
  <c r="G12" i="25"/>
  <c r="K12" i="25" l="1"/>
  <c r="J12" i="25"/>
  <c r="F14" i="25"/>
  <c r="I13" i="25"/>
  <c r="H13" i="25"/>
  <c r="G13" i="25"/>
  <c r="K13" i="25" l="1"/>
  <c r="J13" i="25"/>
  <c r="F15" i="25"/>
  <c r="I14" i="25"/>
  <c r="H14" i="25"/>
  <c r="G14" i="25"/>
  <c r="K14" i="25" l="1"/>
  <c r="J14" i="25"/>
  <c r="F16" i="25"/>
  <c r="I15" i="25"/>
  <c r="H15" i="25"/>
  <c r="G15" i="25"/>
  <c r="K15" i="25" l="1"/>
  <c r="J15" i="25"/>
  <c r="F17" i="25"/>
  <c r="I16" i="25"/>
  <c r="H16" i="25"/>
  <c r="G16" i="25"/>
  <c r="K16" i="25" l="1"/>
  <c r="J16" i="25"/>
  <c r="F18" i="25"/>
  <c r="I17" i="25"/>
  <c r="H17" i="25"/>
  <c r="G17" i="25"/>
  <c r="K17" i="25" l="1"/>
  <c r="J17" i="25"/>
  <c r="F19" i="25"/>
  <c r="I18" i="25"/>
  <c r="H18" i="25"/>
  <c r="G18" i="25"/>
  <c r="K18" i="25" l="1"/>
  <c r="J18" i="25"/>
  <c r="F20" i="25"/>
  <c r="I19" i="25"/>
  <c r="H19" i="25"/>
  <c r="G19" i="25"/>
  <c r="K19" i="25" l="1"/>
  <c r="J19" i="25"/>
  <c r="F21" i="25"/>
  <c r="I20" i="25"/>
  <c r="H20" i="25"/>
  <c r="G20" i="25"/>
  <c r="K20" i="25" l="1"/>
  <c r="J20" i="25"/>
  <c r="F22" i="25"/>
  <c r="I21" i="25"/>
  <c r="H21" i="25"/>
  <c r="G21" i="25"/>
  <c r="K21" i="25" l="1"/>
  <c r="J21" i="25"/>
  <c r="F23" i="25"/>
  <c r="I22" i="25"/>
  <c r="H22" i="25"/>
  <c r="G22" i="25"/>
  <c r="K22" i="25" l="1"/>
  <c r="J22" i="25"/>
  <c r="F24" i="25"/>
  <c r="I23" i="25"/>
  <c r="H23" i="25"/>
  <c r="G23" i="25"/>
  <c r="K23" i="25" l="1"/>
  <c r="J23" i="25"/>
  <c r="F25" i="25"/>
  <c r="I24" i="25"/>
  <c r="H24" i="25"/>
  <c r="G24" i="25"/>
  <c r="K24" i="25" l="1"/>
  <c r="J24" i="25"/>
  <c r="F26" i="25"/>
  <c r="I25" i="25"/>
  <c r="H25" i="25"/>
  <c r="G25" i="25"/>
  <c r="K25" i="25" l="1"/>
  <c r="J25" i="25"/>
  <c r="F27" i="25"/>
  <c r="I26" i="25"/>
  <c r="H26" i="25"/>
  <c r="G26" i="25"/>
  <c r="K26" i="25" l="1"/>
  <c r="J26" i="25"/>
  <c r="F28" i="25"/>
  <c r="I27" i="25"/>
  <c r="H27" i="25"/>
  <c r="G27" i="25"/>
  <c r="K27" i="25" l="1"/>
  <c r="J27" i="25"/>
  <c r="F29" i="25"/>
  <c r="I28" i="25"/>
  <c r="H28" i="25"/>
  <c r="G28" i="25"/>
  <c r="K28" i="25" l="1"/>
  <c r="J28" i="25"/>
  <c r="F30" i="25"/>
  <c r="I29" i="25"/>
  <c r="H29" i="25"/>
  <c r="G29" i="25"/>
  <c r="K29" i="25" l="1"/>
  <c r="J29" i="25"/>
  <c r="F31" i="25"/>
  <c r="I30" i="25"/>
  <c r="H30" i="25"/>
  <c r="G30" i="25"/>
  <c r="K30" i="25" l="1"/>
  <c r="J30" i="25"/>
  <c r="F32" i="25"/>
  <c r="I31" i="25"/>
  <c r="H31" i="25"/>
  <c r="G31" i="25"/>
  <c r="K31" i="25" l="1"/>
  <c r="J31" i="25"/>
  <c r="F33" i="25"/>
  <c r="I32" i="25"/>
  <c r="H32" i="25"/>
  <c r="G32" i="25"/>
  <c r="K32" i="25" l="1"/>
  <c r="J32" i="25"/>
  <c r="F34" i="25"/>
  <c r="I33" i="25"/>
  <c r="H33" i="25"/>
  <c r="G33" i="25"/>
  <c r="K33" i="25" l="1"/>
  <c r="J33" i="25"/>
  <c r="F35" i="25"/>
  <c r="I34" i="25"/>
  <c r="H34" i="25"/>
  <c r="G34" i="25"/>
  <c r="K34" i="25" l="1"/>
  <c r="J34" i="25"/>
  <c r="F36" i="25"/>
  <c r="I35" i="25"/>
  <c r="H35" i="25"/>
  <c r="G35" i="25"/>
  <c r="K35" i="25" l="1"/>
  <c r="J35" i="25"/>
  <c r="F37" i="25"/>
  <c r="I36" i="25"/>
  <c r="H36" i="25"/>
  <c r="G36" i="25"/>
  <c r="K36" i="25" l="1"/>
  <c r="J36" i="25"/>
  <c r="F38" i="25"/>
  <c r="I37" i="25"/>
  <c r="H37" i="25"/>
  <c r="G37" i="25"/>
  <c r="K37" i="25" l="1"/>
  <c r="J37" i="25"/>
  <c r="F39" i="25"/>
  <c r="I38" i="25"/>
  <c r="H38" i="25"/>
  <c r="G38" i="25"/>
  <c r="K38" i="25" l="1"/>
  <c r="J38" i="25"/>
  <c r="F40" i="25"/>
  <c r="I39" i="25"/>
  <c r="H39" i="25"/>
  <c r="G39" i="25"/>
  <c r="K39" i="25" l="1"/>
  <c r="J39" i="25"/>
  <c r="F41" i="25"/>
  <c r="I40" i="25"/>
  <c r="H40" i="25"/>
  <c r="G40" i="25"/>
  <c r="K40" i="25" l="1"/>
  <c r="J40" i="25"/>
  <c r="F42" i="25"/>
  <c r="I41" i="25"/>
  <c r="H41" i="25"/>
  <c r="G41" i="25"/>
  <c r="K41" i="25" l="1"/>
  <c r="J41" i="25"/>
  <c r="F43" i="25"/>
  <c r="I42" i="25"/>
  <c r="H42" i="25"/>
  <c r="G42" i="25"/>
  <c r="K42" i="25" l="1"/>
  <c r="J42" i="25"/>
  <c r="F44" i="25"/>
  <c r="F45" i="25" s="1"/>
  <c r="I43" i="25"/>
  <c r="H43" i="25"/>
  <c r="G43" i="25"/>
  <c r="K43" i="25" l="1"/>
  <c r="J43" i="25"/>
  <c r="I44" i="25"/>
  <c r="H44" i="25"/>
  <c r="G44" i="25"/>
  <c r="K44" i="25" l="1"/>
  <c r="J44" i="25"/>
  <c r="I45" i="25"/>
  <c r="H45" i="25"/>
  <c r="G45" i="25"/>
  <c r="AM30" i="1" l="1"/>
  <c r="AL30" i="1"/>
  <c r="K45" i="25"/>
  <c r="J45" i="25"/>
  <c r="AO30" i="1" l="1"/>
  <c r="AN30" i="1"/>
  <c r="AP30" i="1"/>
  <c r="L23" i="21"/>
  <c r="T23" i="21"/>
  <c r="AB23" i="21"/>
  <c r="AJ23" i="21"/>
  <c r="AR23" i="21"/>
  <c r="AZ23" i="21"/>
  <c r="BH23" i="21"/>
  <c r="E14" i="17"/>
  <c r="BK23" i="21" l="1"/>
  <c r="I17" i="12"/>
  <c r="I18" i="12"/>
  <c r="H17" i="12"/>
  <c r="H18" i="12"/>
  <c r="Q18" i="12"/>
  <c r="C24" i="1" s="1"/>
  <c r="AT24" i="1" s="1"/>
  <c r="AS24" i="1" s="1"/>
  <c r="Q17" i="12"/>
  <c r="C23" i="1" s="1"/>
  <c r="AT23" i="1" s="1"/>
  <c r="AS23" i="1" s="1"/>
  <c r="Q16" i="12"/>
  <c r="C22" i="1" s="1"/>
  <c r="AT22" i="1" s="1"/>
  <c r="AS22" i="1" s="1"/>
  <c r="I16" i="12"/>
  <c r="H16" i="12"/>
  <c r="N16" i="12" s="1"/>
  <c r="Q15" i="12"/>
  <c r="C21" i="1" s="1"/>
  <c r="AT21" i="1" s="1"/>
  <c r="AS21" i="1" s="1"/>
  <c r="I15" i="12"/>
  <c r="H15" i="12"/>
  <c r="N15" i="12" s="1"/>
  <c r="Q14" i="12"/>
  <c r="C20" i="1" s="1"/>
  <c r="AT20" i="1" s="1"/>
  <c r="AS20" i="1" s="1"/>
  <c r="I14" i="12"/>
  <c r="H14" i="12"/>
  <c r="N14" i="12" s="1"/>
  <c r="Q13" i="12"/>
  <c r="C19" i="1" s="1"/>
  <c r="AT19" i="1" s="1"/>
  <c r="AS19" i="1" s="1"/>
  <c r="I13" i="12"/>
  <c r="H13" i="12"/>
  <c r="N13" i="12" s="1"/>
  <c r="Q12" i="12"/>
  <c r="C18" i="1" s="1"/>
  <c r="AT18" i="1" s="1"/>
  <c r="AS18" i="1" s="1"/>
  <c r="I12" i="12"/>
  <c r="H12" i="12"/>
  <c r="N12" i="12" s="1"/>
  <c r="Q11" i="12"/>
  <c r="C17" i="1" s="1"/>
  <c r="AT17" i="1" s="1"/>
  <c r="AS17" i="1" s="1"/>
  <c r="I11" i="12"/>
  <c r="H11" i="12"/>
  <c r="N11" i="12" s="1"/>
  <c r="Q10" i="12"/>
  <c r="C16" i="1" s="1"/>
  <c r="AT16" i="1" s="1"/>
  <c r="AS16" i="1" s="1"/>
  <c r="I10" i="12"/>
  <c r="H10" i="12"/>
  <c r="N10" i="12" s="1"/>
  <c r="Q9" i="12"/>
  <c r="C15" i="1" s="1"/>
  <c r="AT15" i="1" s="1"/>
  <c r="AS15" i="1" s="1"/>
  <c r="I9" i="12"/>
  <c r="H9" i="12"/>
  <c r="N9" i="12" s="1"/>
  <c r="Q8" i="12"/>
  <c r="C14" i="1" s="1"/>
  <c r="AT14" i="1" s="1"/>
  <c r="AS14" i="1" s="1"/>
  <c r="I8" i="12"/>
  <c r="H8" i="12"/>
  <c r="N8" i="12" s="1"/>
  <c r="Q7" i="12"/>
  <c r="C13" i="1" s="1"/>
  <c r="AT13" i="1" s="1"/>
  <c r="AS13" i="1" s="1"/>
  <c r="I7" i="12"/>
  <c r="H7" i="12"/>
  <c r="N7" i="12" s="1"/>
  <c r="Q6" i="12"/>
  <c r="C12" i="1" s="1"/>
  <c r="AT12" i="1" s="1"/>
  <c r="AS12" i="1" s="1"/>
  <c r="I6" i="12"/>
  <c r="H6" i="12"/>
  <c r="N6" i="12" s="1"/>
  <c r="Q5" i="12"/>
  <c r="C11" i="1" s="1"/>
  <c r="AT11" i="1" s="1"/>
  <c r="AS11" i="1" s="1"/>
  <c r="I5" i="12"/>
  <c r="H5" i="12"/>
  <c r="N5" i="12" s="1"/>
  <c r="X11" i="1"/>
  <c r="AC11" i="1"/>
  <c r="AD11" i="1"/>
  <c r="F11" i="1" s="1"/>
  <c r="X12" i="1"/>
  <c r="AC12" i="1"/>
  <c r="AD12" i="1"/>
  <c r="F12" i="1" s="1"/>
  <c r="X13" i="1"/>
  <c r="AC13" i="1"/>
  <c r="AD13" i="1"/>
  <c r="F13" i="1" s="1"/>
  <c r="X14" i="1"/>
  <c r="AC14" i="1"/>
  <c r="AD14" i="1"/>
  <c r="F14" i="1" s="1"/>
  <c r="X15" i="1"/>
  <c r="AC15" i="1"/>
  <c r="AD15" i="1"/>
  <c r="F15" i="1" s="1"/>
  <c r="X16" i="1"/>
  <c r="AC16" i="1"/>
  <c r="AD16" i="1"/>
  <c r="F16" i="1" s="1"/>
  <c r="X17" i="1"/>
  <c r="AC17" i="1"/>
  <c r="AD17" i="1"/>
  <c r="F17" i="1" s="1"/>
  <c r="X18" i="1"/>
  <c r="AC18" i="1"/>
  <c r="AD18" i="1"/>
  <c r="F18" i="1" s="1"/>
  <c r="X19" i="1"/>
  <c r="AC19" i="1"/>
  <c r="AD19" i="1"/>
  <c r="F19" i="1" s="1"/>
  <c r="X20" i="1"/>
  <c r="AC20" i="1"/>
  <c r="AD20" i="1"/>
  <c r="F20" i="1" s="1"/>
  <c r="X21" i="1"/>
  <c r="AC21" i="1"/>
  <c r="AD21" i="1"/>
  <c r="F21" i="1" s="1"/>
  <c r="X22" i="1"/>
  <c r="AC22" i="1"/>
  <c r="AD22" i="1"/>
  <c r="F22" i="1" s="1"/>
  <c r="X23" i="1"/>
  <c r="AC23" i="1"/>
  <c r="AD23" i="1"/>
  <c r="F23" i="1" s="1"/>
  <c r="AG23" i="1"/>
  <c r="AH23" i="1"/>
  <c r="X24" i="1"/>
  <c r="AC24" i="1"/>
  <c r="AD24" i="1"/>
  <c r="F24" i="1" s="1"/>
  <c r="AG24" i="1"/>
  <c r="AH24" i="1"/>
  <c r="F31" i="1" l="1"/>
  <c r="AD31" i="1"/>
  <c r="X31" i="1"/>
  <c r="AC31" i="1"/>
  <c r="AM24" i="1"/>
  <c r="AN24" i="1"/>
  <c r="AO24" i="1"/>
  <c r="AL24" i="1" l="1"/>
  <c r="AP24" i="1" s="1"/>
  <c r="AN23" i="1" l="1"/>
  <c r="AO23" i="1"/>
  <c r="AL23" i="1"/>
  <c r="AM23" i="1" l="1"/>
  <c r="AP23" i="1" s="1"/>
  <c r="C23" i="24" l="1"/>
  <c r="C23" i="20"/>
  <c r="C23" i="23"/>
  <c r="C23" i="21"/>
  <c r="F23" i="20" l="1"/>
  <c r="G23" i="20"/>
  <c r="J23" i="20"/>
  <c r="K23" i="20"/>
  <c r="N23" i="20"/>
  <c r="O23" i="20"/>
  <c r="R23" i="20"/>
  <c r="S23" i="20"/>
  <c r="V23" i="20"/>
  <c r="W23" i="20"/>
  <c r="Z23" i="20"/>
  <c r="AA23" i="20"/>
  <c r="AD23" i="20"/>
  <c r="AE23" i="20"/>
  <c r="AH23" i="20"/>
  <c r="AI23" i="20"/>
  <c r="AL23" i="20"/>
  <c r="AM23" i="20"/>
  <c r="AP23" i="20"/>
  <c r="AQ23" i="20"/>
  <c r="AT23" i="20"/>
  <c r="AU23" i="20"/>
  <c r="AX23" i="20"/>
  <c r="AY23" i="20"/>
  <c r="BB23" i="20"/>
  <c r="BC23" i="20"/>
  <c r="BF23" i="20"/>
  <c r="BG23" i="20"/>
  <c r="BH22" i="21"/>
  <c r="AZ22" i="21"/>
  <c r="AR22" i="21"/>
  <c r="AJ22" i="21"/>
  <c r="AB22" i="21"/>
  <c r="T22" i="21"/>
  <c r="L22" i="21"/>
  <c r="BK22" i="21" l="1"/>
  <c r="BH23" i="20"/>
  <c r="BI23" i="20" s="1"/>
  <c r="AZ23" i="20"/>
  <c r="BA23" i="20" s="1"/>
  <c r="AR23" i="20"/>
  <c r="AS23" i="20" s="1"/>
  <c r="AJ23" i="20"/>
  <c r="AK23" i="20" s="1"/>
  <c r="AB23" i="20"/>
  <c r="AC23" i="20" s="1"/>
  <c r="T23" i="20"/>
  <c r="U23" i="20" s="1"/>
  <c r="L23" i="20"/>
  <c r="M23" i="20" s="1"/>
  <c r="BK23" i="20" l="1"/>
  <c r="AJ24" i="1" s="1"/>
  <c r="C22" i="24"/>
  <c r="C22" i="23"/>
  <c r="C22" i="21"/>
  <c r="C22" i="20"/>
  <c r="F22" i="20" l="1"/>
  <c r="BG22" i="20"/>
  <c r="BF22" i="20"/>
  <c r="BC22" i="20"/>
  <c r="BB22" i="20"/>
  <c r="AY22" i="20"/>
  <c r="AX22" i="20"/>
  <c r="AU22" i="20"/>
  <c r="AT22" i="20"/>
  <c r="AQ22" i="20"/>
  <c r="AP22" i="20"/>
  <c r="AM22" i="20"/>
  <c r="AL22" i="20"/>
  <c r="AI22" i="20"/>
  <c r="AH22" i="20"/>
  <c r="AE22" i="20"/>
  <c r="AD22" i="20"/>
  <c r="AA22" i="20"/>
  <c r="Z22" i="20"/>
  <c r="W22" i="20"/>
  <c r="V22" i="20"/>
  <c r="S22" i="20"/>
  <c r="R22" i="20"/>
  <c r="O22" i="20"/>
  <c r="N22" i="20"/>
  <c r="K22" i="20"/>
  <c r="J22" i="20"/>
  <c r="G22" i="20"/>
  <c r="AJ22" i="20" l="1"/>
  <c r="AK22" i="20" s="1"/>
  <c r="L22" i="20"/>
  <c r="M22" i="20" s="1"/>
  <c r="T22" i="20"/>
  <c r="U22" i="20" s="1"/>
  <c r="AR22" i="20"/>
  <c r="AS22" i="20" s="1"/>
  <c r="BH22" i="20"/>
  <c r="BI22" i="20" s="1"/>
  <c r="AZ22" i="20"/>
  <c r="BA22" i="20" s="1"/>
  <c r="AB22" i="20"/>
  <c r="AC22" i="20" s="1"/>
  <c r="BK22" i="20" l="1"/>
  <c r="AJ23" i="1" s="1"/>
  <c r="BB5" i="20" l="1"/>
  <c r="AT5" i="20"/>
  <c r="AL5" i="20"/>
  <c r="AD5" i="20"/>
  <c r="V5" i="20"/>
  <c r="N5" i="20"/>
  <c r="F5" i="20"/>
  <c r="F6" i="20" l="1"/>
  <c r="H27" i="20" l="1"/>
  <c r="X27" i="20"/>
  <c r="Y27" i="20" s="1"/>
  <c r="AN27" i="20"/>
  <c r="AO27" i="20" s="1"/>
  <c r="BD27" i="20"/>
  <c r="BE27" i="20" s="1"/>
  <c r="P27" i="20"/>
  <c r="Q27" i="20" s="1"/>
  <c r="AF27" i="20"/>
  <c r="AG27" i="20" s="1"/>
  <c r="AV27" i="20"/>
  <c r="AW27" i="20" s="1"/>
  <c r="H28" i="20"/>
  <c r="H26" i="20"/>
  <c r="P26" i="20"/>
  <c r="Q26" i="20" s="1"/>
  <c r="AF26" i="20"/>
  <c r="AG26" i="20" s="1"/>
  <c r="AV26" i="20"/>
  <c r="AW26" i="20" s="1"/>
  <c r="X28" i="20"/>
  <c r="Y28" i="20" s="1"/>
  <c r="AN28" i="20"/>
  <c r="AO28" i="20" s="1"/>
  <c r="BD28" i="20"/>
  <c r="BE28" i="20" s="1"/>
  <c r="X26" i="20"/>
  <c r="Y26" i="20" s="1"/>
  <c r="AN26" i="20"/>
  <c r="AO26" i="20" s="1"/>
  <c r="BD26" i="20"/>
  <c r="BE26" i="20" s="1"/>
  <c r="P28" i="20"/>
  <c r="Q28" i="20" s="1"/>
  <c r="AF28" i="20"/>
  <c r="AG28" i="20" s="1"/>
  <c r="AV28" i="20"/>
  <c r="AW28" i="20" s="1"/>
  <c r="AF24" i="20"/>
  <c r="AG24" i="20" s="1"/>
  <c r="AF25" i="20"/>
  <c r="AG25" i="20" s="1"/>
  <c r="BD25" i="20"/>
  <c r="BE25" i="20" s="1"/>
  <c r="AN24" i="20"/>
  <c r="AO24" i="20" s="1"/>
  <c r="H25" i="20"/>
  <c r="P25" i="20"/>
  <c r="Q25" i="20" s="1"/>
  <c r="X24" i="20"/>
  <c r="Y24" i="20" s="1"/>
  <c r="BD24" i="20"/>
  <c r="BE24" i="20" s="1"/>
  <c r="AV24" i="20"/>
  <c r="AW24" i="20" s="1"/>
  <c r="AN25" i="20"/>
  <c r="AO25" i="20" s="1"/>
  <c r="AV25" i="20"/>
  <c r="AW25" i="20" s="1"/>
  <c r="P24" i="20"/>
  <c r="Q24" i="20" s="1"/>
  <c r="X25" i="20"/>
  <c r="Y25" i="20" s="1"/>
  <c r="H24" i="20"/>
  <c r="H23" i="20"/>
  <c r="P23" i="20"/>
  <c r="Q23" i="20" s="1"/>
  <c r="X23" i="20"/>
  <c r="Y23" i="20" s="1"/>
  <c r="AF23" i="20"/>
  <c r="AG23" i="20" s="1"/>
  <c r="AN23" i="20"/>
  <c r="AO23" i="20" s="1"/>
  <c r="AV23" i="20"/>
  <c r="AW23" i="20" s="1"/>
  <c r="BD23" i="20"/>
  <c r="BE23" i="20" s="1"/>
  <c r="AN22" i="20"/>
  <c r="AO22" i="20" s="1"/>
  <c r="BD22" i="20"/>
  <c r="BE22" i="20" s="1"/>
  <c r="H22" i="20"/>
  <c r="AV22" i="20"/>
  <c r="AW22" i="20" s="1"/>
  <c r="X22" i="20"/>
  <c r="Y22" i="20" s="1"/>
  <c r="P22" i="20"/>
  <c r="Q22" i="20" s="1"/>
  <c r="AF22" i="20"/>
  <c r="AG22" i="20" s="1"/>
  <c r="I28" i="20" l="1"/>
  <c r="BJ28" i="20"/>
  <c r="BJ26" i="20"/>
  <c r="I26" i="20"/>
  <c r="I27" i="20"/>
  <c r="BJ27" i="20"/>
  <c r="BJ25" i="20"/>
  <c r="I25" i="20"/>
  <c r="BJ24" i="20"/>
  <c r="I24" i="20"/>
  <c r="I23" i="20"/>
  <c r="BJ23" i="20"/>
  <c r="AI24" i="1" s="1"/>
  <c r="I22" i="20"/>
  <c r="BJ22" i="20"/>
  <c r="AI23" i="1" s="1"/>
  <c r="C21" i="24" l="1"/>
  <c r="C21" i="20"/>
  <c r="C21" i="23"/>
  <c r="BH21" i="21"/>
  <c r="AZ21" i="21"/>
  <c r="AR21" i="21"/>
  <c r="AJ21" i="21"/>
  <c r="AB21" i="21"/>
  <c r="T21" i="21"/>
  <c r="L21" i="21"/>
  <c r="C21" i="21"/>
  <c r="F21" i="20" l="1"/>
  <c r="BG21" i="20"/>
  <c r="BF21" i="20"/>
  <c r="BC21" i="20"/>
  <c r="BB21" i="20"/>
  <c r="AY21" i="20"/>
  <c r="AX21" i="20"/>
  <c r="AU21" i="20"/>
  <c r="AT21" i="20"/>
  <c r="AQ21" i="20"/>
  <c r="AP21" i="20"/>
  <c r="AM21" i="20"/>
  <c r="AL21" i="20"/>
  <c r="AI21" i="20"/>
  <c r="AH21" i="20"/>
  <c r="AE21" i="20"/>
  <c r="AD21" i="20"/>
  <c r="AA21" i="20"/>
  <c r="Z21" i="20"/>
  <c r="W21" i="20"/>
  <c r="V21" i="20"/>
  <c r="S21" i="20"/>
  <c r="R21" i="20"/>
  <c r="O21" i="20"/>
  <c r="N21" i="20"/>
  <c r="K21" i="20"/>
  <c r="J21" i="20"/>
  <c r="G21" i="20"/>
  <c r="BK21" i="21"/>
  <c r="AH22" i="1" s="1"/>
  <c r="H21" i="20" l="1"/>
  <c r="I21" i="20" s="1"/>
  <c r="X21" i="20"/>
  <c r="Y21" i="20" s="1"/>
  <c r="AF21" i="20"/>
  <c r="AG21" i="20" s="1"/>
  <c r="AZ21" i="20"/>
  <c r="BA21" i="20" s="1"/>
  <c r="AR21" i="20"/>
  <c r="AS21" i="20" s="1"/>
  <c r="BH21" i="20"/>
  <c r="BI21" i="20" s="1"/>
  <c r="AJ21" i="20"/>
  <c r="AK21" i="20" s="1"/>
  <c r="AN21" i="20"/>
  <c r="AO21" i="20" s="1"/>
  <c r="AV21" i="20"/>
  <c r="AW21" i="20" s="1"/>
  <c r="BD21" i="20"/>
  <c r="BE21" i="20" s="1"/>
  <c r="L21" i="20"/>
  <c r="M21" i="20" s="1"/>
  <c r="AB21" i="20"/>
  <c r="AC21" i="20" s="1"/>
  <c r="P21" i="20"/>
  <c r="Q21" i="20" s="1"/>
  <c r="T21" i="20"/>
  <c r="U21" i="20" s="1"/>
  <c r="BK21" i="20" l="1"/>
  <c r="AJ22" i="1" s="1"/>
  <c r="C6" i="23" l="1"/>
  <c r="C5" i="23"/>
  <c r="F6" i="24"/>
  <c r="C6" i="24"/>
  <c r="C5" i="24"/>
  <c r="F6" i="23"/>
  <c r="L16" i="17" l="1"/>
  <c r="K16" i="17" s="1"/>
  <c r="C14" i="17"/>
  <c r="B14" i="17"/>
  <c r="B10" i="17"/>
  <c r="B8" i="17"/>
  <c r="B7" i="17"/>
  <c r="B6" i="17"/>
  <c r="B4" i="17"/>
  <c r="G7" i="1"/>
  <c r="F14" i="17" l="1"/>
  <c r="L17" i="17"/>
  <c r="M16" i="17"/>
  <c r="N16" i="17" s="1"/>
  <c r="G10" i="1" s="1"/>
  <c r="C6" i="20"/>
  <c r="C5" i="20"/>
  <c r="BH20" i="21"/>
  <c r="AZ20" i="21"/>
  <c r="AR20" i="21"/>
  <c r="AJ20" i="21"/>
  <c r="AB20" i="21"/>
  <c r="T20" i="21"/>
  <c r="L20" i="21"/>
  <c r="BH19" i="21"/>
  <c r="AZ19" i="21"/>
  <c r="AR19" i="21"/>
  <c r="AJ19" i="21"/>
  <c r="AB19" i="21"/>
  <c r="T19" i="21"/>
  <c r="L19" i="21"/>
  <c r="BH18" i="21"/>
  <c r="AZ18" i="21"/>
  <c r="AR18" i="21"/>
  <c r="AJ18" i="21"/>
  <c r="AB18" i="21"/>
  <c r="T18" i="21"/>
  <c r="L18" i="21"/>
  <c r="BH17" i="21"/>
  <c r="AZ17" i="21"/>
  <c r="AR17" i="21"/>
  <c r="AJ17" i="21"/>
  <c r="AB17" i="21"/>
  <c r="T17" i="21"/>
  <c r="L17" i="21"/>
  <c r="BH16" i="21"/>
  <c r="AZ16" i="21"/>
  <c r="AR16" i="21"/>
  <c r="AJ16" i="21"/>
  <c r="AB16" i="21"/>
  <c r="T16" i="21"/>
  <c r="L16" i="21"/>
  <c r="BH15" i="21"/>
  <c r="AZ15" i="21"/>
  <c r="AR15" i="21"/>
  <c r="AJ15" i="21"/>
  <c r="AB15" i="21"/>
  <c r="T15" i="21"/>
  <c r="L15" i="21"/>
  <c r="BH14" i="21"/>
  <c r="AZ14" i="21"/>
  <c r="AR14" i="21"/>
  <c r="AJ14" i="21"/>
  <c r="AB14" i="21"/>
  <c r="T14" i="21"/>
  <c r="L14" i="21"/>
  <c r="BH13" i="21"/>
  <c r="AZ13" i="21"/>
  <c r="AR13" i="21"/>
  <c r="AJ13" i="21"/>
  <c r="AB13" i="21"/>
  <c r="T13" i="21"/>
  <c r="L13" i="21"/>
  <c r="BH12" i="21"/>
  <c r="AZ12" i="21"/>
  <c r="AR12" i="21"/>
  <c r="AJ12" i="21"/>
  <c r="AB12" i="21"/>
  <c r="T12" i="21"/>
  <c r="L12" i="21"/>
  <c r="BH11" i="21"/>
  <c r="AZ11" i="21"/>
  <c r="AR11" i="21"/>
  <c r="AJ11" i="21"/>
  <c r="AB11" i="21"/>
  <c r="T11" i="21"/>
  <c r="L11" i="21"/>
  <c r="BH10" i="21"/>
  <c r="AZ10" i="21"/>
  <c r="AR10" i="21"/>
  <c r="AJ10" i="21"/>
  <c r="AB10" i="21"/>
  <c r="T10" i="21"/>
  <c r="L10" i="21"/>
  <c r="BB6" i="21"/>
  <c r="AT6" i="21"/>
  <c r="AL6" i="21"/>
  <c r="AD6" i="21"/>
  <c r="V6" i="21"/>
  <c r="N6" i="21"/>
  <c r="F6" i="21"/>
  <c r="BB6" i="20"/>
  <c r="AT6" i="20"/>
  <c r="AL6" i="20"/>
  <c r="AD6" i="20"/>
  <c r="V6" i="20"/>
  <c r="N6" i="20"/>
  <c r="P26" i="21" l="1"/>
  <c r="P28" i="21"/>
  <c r="P27" i="21"/>
  <c r="AF26" i="21"/>
  <c r="AF28" i="21"/>
  <c r="AF27" i="21"/>
  <c r="AV26" i="21"/>
  <c r="AV28" i="21"/>
  <c r="AV27" i="21"/>
  <c r="H26" i="21"/>
  <c r="H28" i="21"/>
  <c r="H27" i="21"/>
  <c r="X26" i="21"/>
  <c r="X28" i="21"/>
  <c r="X27" i="21"/>
  <c r="AN26" i="21"/>
  <c r="AN28" i="21"/>
  <c r="AN27" i="21"/>
  <c r="BD26" i="21"/>
  <c r="BD28" i="21"/>
  <c r="BD27" i="21"/>
  <c r="P25" i="21"/>
  <c r="P24" i="21"/>
  <c r="AF25" i="21"/>
  <c r="AF24" i="21"/>
  <c r="AV25" i="21"/>
  <c r="AV24" i="21"/>
  <c r="H25" i="21"/>
  <c r="H24" i="21"/>
  <c r="X25" i="21"/>
  <c r="X24" i="21"/>
  <c r="AN25" i="21"/>
  <c r="AN24" i="21"/>
  <c r="BD25" i="21"/>
  <c r="BD24" i="21"/>
  <c r="P23" i="21"/>
  <c r="AF23" i="21"/>
  <c r="AV23" i="21"/>
  <c r="H23" i="21"/>
  <c r="X23" i="21"/>
  <c r="AN23" i="21"/>
  <c r="BD23" i="21"/>
  <c r="X22" i="21"/>
  <c r="BD22" i="21"/>
  <c r="AF22" i="21"/>
  <c r="H22" i="21"/>
  <c r="AN22" i="21"/>
  <c r="P22" i="21"/>
  <c r="AV22" i="21"/>
  <c r="BK16" i="21"/>
  <c r="AH17" i="1" s="1"/>
  <c r="P21" i="21"/>
  <c r="AF21" i="21"/>
  <c r="AV21" i="21"/>
  <c r="H21" i="21"/>
  <c r="X21" i="21"/>
  <c r="AN21" i="21"/>
  <c r="BD21" i="21"/>
  <c r="BK18" i="21"/>
  <c r="AH19" i="1" s="1"/>
  <c r="H13" i="21"/>
  <c r="X13" i="21"/>
  <c r="AN13" i="21"/>
  <c r="BD13" i="21"/>
  <c r="G2" i="1"/>
  <c r="BK10" i="21"/>
  <c r="AH11" i="1" s="1"/>
  <c r="BK11" i="21"/>
  <c r="AH12" i="1" s="1"/>
  <c r="BK13" i="21"/>
  <c r="AH14" i="1" s="1"/>
  <c r="BK12" i="21"/>
  <c r="AH13" i="1" s="1"/>
  <c r="BK14" i="21"/>
  <c r="AH15" i="1" s="1"/>
  <c r="BK15" i="21"/>
  <c r="AH16" i="1" s="1"/>
  <c r="BK17" i="21"/>
  <c r="AH18" i="1" s="1"/>
  <c r="BK19" i="21"/>
  <c r="AH20" i="1" s="1"/>
  <c r="BK20" i="21"/>
  <c r="AH21" i="1" s="1"/>
  <c r="K17" i="17"/>
  <c r="M17" i="17"/>
  <c r="N17" i="17" s="1"/>
  <c r="L18" i="17"/>
  <c r="P18" i="21"/>
  <c r="P16" i="21"/>
  <c r="P20" i="21"/>
  <c r="P19" i="21"/>
  <c r="P17" i="21"/>
  <c r="P15" i="21"/>
  <c r="P14" i="21"/>
  <c r="AF18" i="21"/>
  <c r="AF16" i="21"/>
  <c r="AF20" i="21"/>
  <c r="AF19" i="21"/>
  <c r="AF17" i="21"/>
  <c r="AF15" i="21"/>
  <c r="AF14" i="21"/>
  <c r="AV18" i="21"/>
  <c r="AV16" i="21"/>
  <c r="AV20" i="21"/>
  <c r="AV19" i="21"/>
  <c r="AV17" i="21"/>
  <c r="AV15" i="21"/>
  <c r="AV14" i="21"/>
  <c r="H10" i="21"/>
  <c r="P10" i="21"/>
  <c r="X10" i="21"/>
  <c r="AF10" i="21"/>
  <c r="AN10" i="21"/>
  <c r="AV10" i="21"/>
  <c r="BD10" i="21"/>
  <c r="H11" i="21"/>
  <c r="P11" i="21"/>
  <c r="X11" i="21"/>
  <c r="AF11" i="21"/>
  <c r="AN11" i="21"/>
  <c r="AV11" i="21"/>
  <c r="BD11" i="21"/>
  <c r="P13" i="21"/>
  <c r="AF13" i="21"/>
  <c r="AV13" i="21"/>
  <c r="H18" i="21"/>
  <c r="H16" i="21"/>
  <c r="H20" i="21"/>
  <c r="H19" i="21"/>
  <c r="H17" i="21"/>
  <c r="H15" i="21"/>
  <c r="H14" i="21"/>
  <c r="X18" i="21"/>
  <c r="X16" i="21"/>
  <c r="X20" i="21"/>
  <c r="X19" i="21"/>
  <c r="X17" i="21"/>
  <c r="X15" i="21"/>
  <c r="X14" i="21"/>
  <c r="AN18" i="21"/>
  <c r="AN16" i="21"/>
  <c r="AN20" i="21"/>
  <c r="AN19" i="21"/>
  <c r="AN17" i="21"/>
  <c r="AN15" i="21"/>
  <c r="AN14" i="21"/>
  <c r="BD18" i="21"/>
  <c r="BD16" i="21"/>
  <c r="BD20" i="21"/>
  <c r="BD19" i="21"/>
  <c r="BD17" i="21"/>
  <c r="BD15" i="21"/>
  <c r="BD14" i="21"/>
  <c r="H12" i="21"/>
  <c r="P12" i="21"/>
  <c r="X12" i="21"/>
  <c r="AF12" i="21"/>
  <c r="AN12" i="21"/>
  <c r="AV12" i="21"/>
  <c r="BD12" i="21"/>
  <c r="BJ28" i="21" l="1"/>
  <c r="BJ27" i="21"/>
  <c r="BJ26" i="21"/>
  <c r="AH31" i="1"/>
  <c r="BJ25" i="21"/>
  <c r="BJ24" i="21"/>
  <c r="BJ23" i="21"/>
  <c r="BJ22" i="21"/>
  <c r="BJ21" i="20"/>
  <c r="AI22" i="1" s="1"/>
  <c r="BJ21" i="21"/>
  <c r="AG22" i="1" s="1"/>
  <c r="K18" i="17"/>
  <c r="M18" i="17"/>
  <c r="N18" i="17" s="1"/>
  <c r="L19" i="17"/>
  <c r="BJ13" i="21"/>
  <c r="AG14" i="1" s="1"/>
  <c r="BJ14" i="21"/>
  <c r="AG15" i="1" s="1"/>
  <c r="BJ17" i="21"/>
  <c r="AG18" i="1" s="1"/>
  <c r="BJ19" i="21"/>
  <c r="AG20" i="1" s="1"/>
  <c r="BJ18" i="21"/>
  <c r="AG19" i="1" s="1"/>
  <c r="BJ11" i="21"/>
  <c r="AG12" i="1" s="1"/>
  <c r="BJ12" i="21"/>
  <c r="AG13" i="1" s="1"/>
  <c r="BJ15" i="21"/>
  <c r="AG16" i="1" s="1"/>
  <c r="BJ20" i="21"/>
  <c r="AG21" i="1" s="1"/>
  <c r="BJ16" i="21"/>
  <c r="AG17" i="1" s="1"/>
  <c r="BJ10" i="21"/>
  <c r="AG11" i="1" l="1"/>
  <c r="AG31" i="1" s="1"/>
  <c r="C20" i="24"/>
  <c r="C20" i="23"/>
  <c r="C20" i="21"/>
  <c r="C20" i="20"/>
  <c r="L20" i="17"/>
  <c r="K19" i="17"/>
  <c r="M19" i="17"/>
  <c r="N19" i="17" s="1"/>
  <c r="F20" i="20" l="1"/>
  <c r="BG20" i="20"/>
  <c r="BF20" i="20"/>
  <c r="BC20" i="20"/>
  <c r="BB20" i="20"/>
  <c r="AY20" i="20"/>
  <c r="AX20" i="20"/>
  <c r="AU20" i="20"/>
  <c r="AT20" i="20"/>
  <c r="AQ20" i="20"/>
  <c r="AP20" i="20"/>
  <c r="AM20" i="20"/>
  <c r="AL20" i="20"/>
  <c r="AI20" i="20"/>
  <c r="AH20" i="20"/>
  <c r="AE20" i="20"/>
  <c r="AD20" i="20"/>
  <c r="AA20" i="20"/>
  <c r="Z20" i="20"/>
  <c r="W20" i="20"/>
  <c r="V20" i="20"/>
  <c r="S20" i="20"/>
  <c r="R20" i="20"/>
  <c r="O20" i="20"/>
  <c r="N20" i="20"/>
  <c r="K20" i="20"/>
  <c r="J20" i="20"/>
  <c r="G20" i="20"/>
  <c r="L21" i="17"/>
  <c r="K20" i="17"/>
  <c r="M20" i="17"/>
  <c r="N20" i="17" s="1"/>
  <c r="P20" i="20" l="1"/>
  <c r="Q20" i="20" s="1"/>
  <c r="AF20" i="20"/>
  <c r="AG20" i="20" s="1"/>
  <c r="BH20" i="20"/>
  <c r="BI20" i="20" s="1"/>
  <c r="AR20" i="20"/>
  <c r="AS20" i="20" s="1"/>
  <c r="AZ20" i="20"/>
  <c r="BA20" i="20" s="1"/>
  <c r="AJ20" i="20"/>
  <c r="AK20" i="20" s="1"/>
  <c r="AN20" i="20"/>
  <c r="AO20" i="20" s="1"/>
  <c r="AV20" i="20"/>
  <c r="AW20" i="20" s="1"/>
  <c r="BD20" i="20"/>
  <c r="BE20" i="20" s="1"/>
  <c r="H20" i="20"/>
  <c r="I20" i="20" s="1"/>
  <c r="X20" i="20"/>
  <c r="Y20" i="20" s="1"/>
  <c r="L20" i="20"/>
  <c r="M20" i="20" s="1"/>
  <c r="AB20" i="20"/>
  <c r="AC20" i="20" s="1"/>
  <c r="T20" i="20"/>
  <c r="U20" i="20" s="1"/>
  <c r="L22" i="17"/>
  <c r="K21" i="17"/>
  <c r="M21" i="17"/>
  <c r="N21" i="17" s="1"/>
  <c r="BK20" i="20" l="1"/>
  <c r="AJ21" i="1" s="1"/>
  <c r="L23" i="17"/>
  <c r="K22" i="17"/>
  <c r="M22" i="17"/>
  <c r="N22" i="17" s="1"/>
  <c r="L24" i="17" l="1"/>
  <c r="K23" i="17"/>
  <c r="M23" i="17"/>
  <c r="N23" i="17" s="1"/>
  <c r="IZ32" i="18"/>
  <c r="IV32" i="18"/>
  <c r="IR32" i="18"/>
  <c r="IN32" i="18"/>
  <c r="IJ32" i="18"/>
  <c r="IF32" i="18"/>
  <c r="IB32" i="18"/>
  <c r="HX32" i="18"/>
  <c r="HT32" i="18"/>
  <c r="HP32" i="18"/>
  <c r="HL32" i="18"/>
  <c r="HH32" i="18"/>
  <c r="HD32" i="18"/>
  <c r="GZ32" i="18"/>
  <c r="GV32" i="18"/>
  <c r="GR32" i="18"/>
  <c r="GN32" i="18"/>
  <c r="GJ32" i="18"/>
  <c r="GF32" i="18"/>
  <c r="GB32" i="18"/>
  <c r="FX32" i="18"/>
  <c r="FT32" i="18"/>
  <c r="FP32" i="18"/>
  <c r="FL32" i="18"/>
  <c r="FH32" i="18"/>
  <c r="FD32" i="18"/>
  <c r="EZ32" i="18"/>
  <c r="EV32" i="18"/>
  <c r="ER32" i="18"/>
  <c r="EN32" i="18"/>
  <c r="EJ32" i="18"/>
  <c r="EF32" i="18"/>
  <c r="EB32" i="18"/>
  <c r="DX32" i="18"/>
  <c r="DT32" i="18"/>
  <c r="DP32" i="18"/>
  <c r="DL32" i="18"/>
  <c r="DH32" i="18"/>
  <c r="DD32" i="18"/>
  <c r="CZ32" i="18"/>
  <c r="CV32" i="18"/>
  <c r="CR32" i="18"/>
  <c r="CN32" i="18"/>
  <c r="CJ32" i="18"/>
  <c r="CF32" i="18"/>
  <c r="CB32" i="18"/>
  <c r="BX32" i="18"/>
  <c r="BT32" i="18"/>
  <c r="BP32" i="18"/>
  <c r="BL32" i="18"/>
  <c r="BH32" i="18"/>
  <c r="BD32" i="18"/>
  <c r="IZ31" i="18"/>
  <c r="IV31" i="18"/>
  <c r="IR31" i="18"/>
  <c r="IN31" i="18"/>
  <c r="IJ31" i="18"/>
  <c r="IF31" i="18"/>
  <c r="IB31" i="18"/>
  <c r="HX31" i="18"/>
  <c r="HT31" i="18"/>
  <c r="HP31" i="18"/>
  <c r="HL31" i="18"/>
  <c r="HH31" i="18"/>
  <c r="HD31" i="18"/>
  <c r="GZ31" i="18"/>
  <c r="GV31" i="18"/>
  <c r="GR31" i="18"/>
  <c r="GN31" i="18"/>
  <c r="GJ31" i="18"/>
  <c r="GF31" i="18"/>
  <c r="GB31" i="18"/>
  <c r="FX31" i="18"/>
  <c r="FT31" i="18"/>
  <c r="FP31" i="18"/>
  <c r="FL31" i="18"/>
  <c r="FH31" i="18"/>
  <c r="FD31" i="18"/>
  <c r="EZ31" i="18"/>
  <c r="EV31" i="18"/>
  <c r="ER31" i="18"/>
  <c r="EN31" i="18"/>
  <c r="EJ31" i="18"/>
  <c r="EF31" i="18"/>
  <c r="EB31" i="18"/>
  <c r="DX31" i="18"/>
  <c r="DT31" i="18"/>
  <c r="DP31" i="18"/>
  <c r="DL31" i="18"/>
  <c r="DH31" i="18"/>
  <c r="DD31" i="18"/>
  <c r="CZ31" i="18"/>
  <c r="CV31" i="18"/>
  <c r="CR31" i="18"/>
  <c r="CN31" i="18"/>
  <c r="CJ31" i="18"/>
  <c r="CF31" i="18"/>
  <c r="CB31" i="18"/>
  <c r="BX31" i="18"/>
  <c r="BT31" i="18"/>
  <c r="BP31" i="18"/>
  <c r="BL31" i="18"/>
  <c r="BH31" i="18"/>
  <c r="BD31" i="18"/>
  <c r="AZ31" i="18"/>
  <c r="AV31" i="18"/>
  <c r="AR31" i="18"/>
  <c r="AN31" i="18"/>
  <c r="AJ31" i="18"/>
  <c r="AF31" i="18"/>
  <c r="AB31" i="18"/>
  <c r="X31" i="18"/>
  <c r="T31" i="18"/>
  <c r="P31" i="18"/>
  <c r="L31" i="18"/>
  <c r="H31" i="18"/>
  <c r="IZ30" i="18"/>
  <c r="IV30" i="18"/>
  <c r="IR30" i="18"/>
  <c r="IN30" i="18"/>
  <c r="IJ30" i="18"/>
  <c r="IF30" i="18"/>
  <c r="IB30" i="18"/>
  <c r="HX30" i="18"/>
  <c r="HT30" i="18"/>
  <c r="HP30" i="18"/>
  <c r="HL30" i="18"/>
  <c r="HH30" i="18"/>
  <c r="HD30" i="18"/>
  <c r="GZ30" i="18"/>
  <c r="GV30" i="18"/>
  <c r="GR30" i="18"/>
  <c r="GN30" i="18"/>
  <c r="GJ30" i="18"/>
  <c r="GF30" i="18"/>
  <c r="GB30" i="18"/>
  <c r="FX30" i="18"/>
  <c r="FT30" i="18"/>
  <c r="FP30" i="18"/>
  <c r="FL30" i="18"/>
  <c r="FH30" i="18"/>
  <c r="FD30" i="18"/>
  <c r="EZ30" i="18"/>
  <c r="EV30" i="18"/>
  <c r="ER30" i="18"/>
  <c r="EN30" i="18"/>
  <c r="EJ30" i="18"/>
  <c r="EF30" i="18"/>
  <c r="EB30" i="18"/>
  <c r="DX30" i="18"/>
  <c r="DT30" i="18"/>
  <c r="DP30" i="18"/>
  <c r="DL30" i="18"/>
  <c r="DH30" i="18"/>
  <c r="DD30" i="18"/>
  <c r="CZ30" i="18"/>
  <c r="CV30" i="18"/>
  <c r="CR30" i="18"/>
  <c r="CN30" i="18"/>
  <c r="CJ30" i="18"/>
  <c r="CF30" i="18"/>
  <c r="CB30" i="18"/>
  <c r="BX30" i="18"/>
  <c r="BT30" i="18"/>
  <c r="BP30" i="18"/>
  <c r="BL30" i="18"/>
  <c r="BH30" i="18"/>
  <c r="BD30" i="18"/>
  <c r="AZ30" i="18"/>
  <c r="AV30" i="18"/>
  <c r="AR30" i="18"/>
  <c r="AN30" i="18"/>
  <c r="AJ30" i="18"/>
  <c r="AF30" i="18"/>
  <c r="AB30" i="18"/>
  <c r="X30" i="18"/>
  <c r="T30" i="18"/>
  <c r="P30" i="18"/>
  <c r="L30" i="18"/>
  <c r="H30" i="18"/>
  <c r="IZ29" i="18"/>
  <c r="IV29" i="18"/>
  <c r="IR29" i="18"/>
  <c r="IN29" i="18"/>
  <c r="IJ29" i="18"/>
  <c r="IF29" i="18"/>
  <c r="IB29" i="18"/>
  <c r="HX29" i="18"/>
  <c r="HT29" i="18"/>
  <c r="HP29" i="18"/>
  <c r="HL29" i="18"/>
  <c r="HH29" i="18"/>
  <c r="HD29" i="18"/>
  <c r="GZ29" i="18"/>
  <c r="GV29" i="18"/>
  <c r="GR29" i="18"/>
  <c r="GN29" i="18"/>
  <c r="GJ29" i="18"/>
  <c r="GF29" i="18"/>
  <c r="GB29" i="18"/>
  <c r="FX29" i="18"/>
  <c r="FT29" i="18"/>
  <c r="FP29" i="18"/>
  <c r="FL29" i="18"/>
  <c r="FH29" i="18"/>
  <c r="FD29" i="18"/>
  <c r="EZ29" i="18"/>
  <c r="EV29" i="18"/>
  <c r="ER29" i="18"/>
  <c r="EN29" i="18"/>
  <c r="EJ29" i="18"/>
  <c r="EF29" i="18"/>
  <c r="EB29" i="18"/>
  <c r="DX29" i="18"/>
  <c r="DT29" i="18"/>
  <c r="DP29" i="18"/>
  <c r="DL29" i="18"/>
  <c r="DH29" i="18"/>
  <c r="DD29" i="18"/>
  <c r="CZ29" i="18"/>
  <c r="CV29" i="18"/>
  <c r="CR29" i="18"/>
  <c r="CN29" i="18"/>
  <c r="CJ29" i="18"/>
  <c r="CF29" i="18"/>
  <c r="CB29" i="18"/>
  <c r="BX29" i="18"/>
  <c r="BT29" i="18"/>
  <c r="BP29" i="18"/>
  <c r="BL29" i="18"/>
  <c r="BH29" i="18"/>
  <c r="BD29" i="18"/>
  <c r="AZ29" i="18"/>
  <c r="AV29" i="18"/>
  <c r="AR29" i="18"/>
  <c r="AN29" i="18"/>
  <c r="AJ29" i="18"/>
  <c r="AF29" i="18"/>
  <c r="AB29" i="18"/>
  <c r="X29" i="18"/>
  <c r="T29" i="18"/>
  <c r="P29" i="18"/>
  <c r="L29" i="18"/>
  <c r="H29" i="18"/>
  <c r="IZ28" i="18"/>
  <c r="IV28" i="18"/>
  <c r="IR28" i="18"/>
  <c r="IN28" i="18"/>
  <c r="IJ28" i="18"/>
  <c r="IF28" i="18"/>
  <c r="IB28" i="18"/>
  <c r="HX28" i="18"/>
  <c r="HT28" i="18"/>
  <c r="HP28" i="18"/>
  <c r="HL28" i="18"/>
  <c r="HH28" i="18"/>
  <c r="HD28" i="18"/>
  <c r="GZ28" i="18"/>
  <c r="GV28" i="18"/>
  <c r="GR28" i="18"/>
  <c r="GN28" i="18"/>
  <c r="GJ28" i="18"/>
  <c r="GF28" i="18"/>
  <c r="GB28" i="18"/>
  <c r="FX28" i="18"/>
  <c r="FT28" i="18"/>
  <c r="FP28" i="18"/>
  <c r="FL28" i="18"/>
  <c r="FH28" i="18"/>
  <c r="FD28" i="18"/>
  <c r="EZ28" i="18"/>
  <c r="EV28" i="18"/>
  <c r="ER28" i="18"/>
  <c r="EN28" i="18"/>
  <c r="EJ28" i="18"/>
  <c r="EF28" i="18"/>
  <c r="EB28" i="18"/>
  <c r="DX28" i="18"/>
  <c r="DT28" i="18"/>
  <c r="DP28" i="18"/>
  <c r="DL28" i="18"/>
  <c r="DH28" i="18"/>
  <c r="DD28" i="18"/>
  <c r="CZ28" i="18"/>
  <c r="CV28" i="18"/>
  <c r="CR28" i="18"/>
  <c r="CN28" i="18"/>
  <c r="CJ28" i="18"/>
  <c r="CF28" i="18"/>
  <c r="CB28" i="18"/>
  <c r="BX28" i="18"/>
  <c r="BT28" i="18"/>
  <c r="BP28" i="18"/>
  <c r="BL28" i="18"/>
  <c r="BH28" i="18"/>
  <c r="BD28" i="18"/>
  <c r="AZ28" i="18"/>
  <c r="AV28" i="18"/>
  <c r="AR28" i="18"/>
  <c r="AN28" i="18"/>
  <c r="AJ28" i="18"/>
  <c r="AF28" i="18"/>
  <c r="AB28" i="18"/>
  <c r="X28" i="18"/>
  <c r="T28" i="18"/>
  <c r="P28" i="18"/>
  <c r="L28" i="18"/>
  <c r="H28" i="18"/>
  <c r="IZ27" i="18"/>
  <c r="IV27" i="18"/>
  <c r="IR27" i="18"/>
  <c r="IN27" i="18"/>
  <c r="IJ27" i="18"/>
  <c r="IF27" i="18"/>
  <c r="IB27" i="18"/>
  <c r="HX27" i="18"/>
  <c r="HT27" i="18"/>
  <c r="HP27" i="18"/>
  <c r="HL27" i="18"/>
  <c r="HH27" i="18"/>
  <c r="HD27" i="18"/>
  <c r="GZ27" i="18"/>
  <c r="GV27" i="18"/>
  <c r="GR27" i="18"/>
  <c r="GN27" i="18"/>
  <c r="GJ27" i="18"/>
  <c r="GF27" i="18"/>
  <c r="GB27" i="18"/>
  <c r="FX27" i="18"/>
  <c r="FT27" i="18"/>
  <c r="FP27" i="18"/>
  <c r="FL27" i="18"/>
  <c r="FH27" i="18"/>
  <c r="FD27" i="18"/>
  <c r="EZ27" i="18"/>
  <c r="EV27" i="18"/>
  <c r="ER27" i="18"/>
  <c r="EN27" i="18"/>
  <c r="EJ27" i="18"/>
  <c r="EF27" i="18"/>
  <c r="EB27" i="18"/>
  <c r="DX27" i="18"/>
  <c r="DT27" i="18"/>
  <c r="DP27" i="18"/>
  <c r="DL27" i="18"/>
  <c r="DH27" i="18"/>
  <c r="DD27" i="18"/>
  <c r="CZ27" i="18"/>
  <c r="CV27" i="18"/>
  <c r="CR27" i="18"/>
  <c r="CN27" i="18"/>
  <c r="CJ27" i="18"/>
  <c r="CF27" i="18"/>
  <c r="CB27" i="18"/>
  <c r="BX27" i="18"/>
  <c r="BT27" i="18"/>
  <c r="BP27" i="18"/>
  <c r="BL27" i="18"/>
  <c r="BH27" i="18"/>
  <c r="BD27" i="18"/>
  <c r="AZ27" i="18"/>
  <c r="AV27" i="18"/>
  <c r="AR27" i="18"/>
  <c r="AN27" i="18"/>
  <c r="AJ27" i="18"/>
  <c r="AF27" i="18"/>
  <c r="AB27" i="18"/>
  <c r="X27" i="18"/>
  <c r="T27" i="18"/>
  <c r="P27" i="18"/>
  <c r="L27" i="18"/>
  <c r="H27" i="18"/>
  <c r="IZ26" i="18"/>
  <c r="IV26" i="18"/>
  <c r="IR26" i="18"/>
  <c r="IN26" i="18"/>
  <c r="IJ26" i="18"/>
  <c r="IF26" i="18"/>
  <c r="IB26" i="18"/>
  <c r="HX26" i="18"/>
  <c r="HT26" i="18"/>
  <c r="HP26" i="18"/>
  <c r="HL26" i="18"/>
  <c r="HH26" i="18"/>
  <c r="HD26" i="18"/>
  <c r="GZ26" i="18"/>
  <c r="GV26" i="18"/>
  <c r="GR26" i="18"/>
  <c r="GN26" i="18"/>
  <c r="GJ26" i="18"/>
  <c r="GF26" i="18"/>
  <c r="GB26" i="18"/>
  <c r="FX26" i="18"/>
  <c r="FT26" i="18"/>
  <c r="FP26" i="18"/>
  <c r="FL26" i="18"/>
  <c r="FH26" i="18"/>
  <c r="FD26" i="18"/>
  <c r="EZ26" i="18"/>
  <c r="EV26" i="18"/>
  <c r="ER26" i="18"/>
  <c r="EN26" i="18"/>
  <c r="EJ26" i="18"/>
  <c r="EF26" i="18"/>
  <c r="EB26" i="18"/>
  <c r="DX26" i="18"/>
  <c r="DT26" i="18"/>
  <c r="DP26" i="18"/>
  <c r="DL26" i="18"/>
  <c r="DH26" i="18"/>
  <c r="DD26" i="18"/>
  <c r="CZ26" i="18"/>
  <c r="CV26" i="18"/>
  <c r="CR26" i="18"/>
  <c r="CN26" i="18"/>
  <c r="CJ26" i="18"/>
  <c r="CF26" i="18"/>
  <c r="CB26" i="18"/>
  <c r="BX26" i="18"/>
  <c r="BT26" i="18"/>
  <c r="BP26" i="18"/>
  <c r="BL26" i="18"/>
  <c r="BH26" i="18"/>
  <c r="BD26" i="18"/>
  <c r="AZ26" i="18"/>
  <c r="AV26" i="18"/>
  <c r="AR26" i="18"/>
  <c r="AN26" i="18"/>
  <c r="AJ26" i="18"/>
  <c r="AF26" i="18"/>
  <c r="AB26" i="18"/>
  <c r="X26" i="18"/>
  <c r="T26" i="18"/>
  <c r="P26" i="18"/>
  <c r="L26" i="18"/>
  <c r="H26" i="18"/>
  <c r="IZ25" i="18"/>
  <c r="IV25" i="18"/>
  <c r="IR25" i="18"/>
  <c r="IN25" i="18"/>
  <c r="IJ25" i="18"/>
  <c r="IF25" i="18"/>
  <c r="IB25" i="18"/>
  <c r="HX25" i="18"/>
  <c r="HT25" i="18"/>
  <c r="HP25" i="18"/>
  <c r="HL25" i="18"/>
  <c r="HH25" i="18"/>
  <c r="HD25" i="18"/>
  <c r="GZ25" i="18"/>
  <c r="GV25" i="18"/>
  <c r="GR25" i="18"/>
  <c r="GN25" i="18"/>
  <c r="GJ25" i="18"/>
  <c r="GF25" i="18"/>
  <c r="GB25" i="18"/>
  <c r="FX25" i="18"/>
  <c r="FT25" i="18"/>
  <c r="FP25" i="18"/>
  <c r="FL25" i="18"/>
  <c r="FH25" i="18"/>
  <c r="FD25" i="18"/>
  <c r="EZ25" i="18"/>
  <c r="EV25" i="18"/>
  <c r="ER25" i="18"/>
  <c r="EN25" i="18"/>
  <c r="EJ25" i="18"/>
  <c r="EF25" i="18"/>
  <c r="EB25" i="18"/>
  <c r="DX25" i="18"/>
  <c r="DT25" i="18"/>
  <c r="DP25" i="18"/>
  <c r="DL25" i="18"/>
  <c r="DH25" i="18"/>
  <c r="DD25" i="18"/>
  <c r="CZ25" i="18"/>
  <c r="CV25" i="18"/>
  <c r="CR25" i="18"/>
  <c r="CN25" i="18"/>
  <c r="CJ25" i="18"/>
  <c r="CF25" i="18"/>
  <c r="CB25" i="18"/>
  <c r="BX25" i="18"/>
  <c r="BT25" i="18"/>
  <c r="BP25" i="18"/>
  <c r="BL25" i="18"/>
  <c r="BH25" i="18"/>
  <c r="BD25" i="18"/>
  <c r="AZ25" i="18"/>
  <c r="AV25" i="18"/>
  <c r="AR25" i="18"/>
  <c r="AN25" i="18"/>
  <c r="AJ25" i="18"/>
  <c r="AF25" i="18"/>
  <c r="AB25" i="18"/>
  <c r="X25" i="18"/>
  <c r="T25" i="18"/>
  <c r="P25" i="18"/>
  <c r="L25" i="18"/>
  <c r="H25" i="18"/>
  <c r="IZ24" i="18"/>
  <c r="IV24" i="18"/>
  <c r="IR24" i="18"/>
  <c r="IN24" i="18"/>
  <c r="IJ24" i="18"/>
  <c r="IF24" i="18"/>
  <c r="IB24" i="18"/>
  <c r="HX24" i="18"/>
  <c r="HT24" i="18"/>
  <c r="HP24" i="18"/>
  <c r="HL24" i="18"/>
  <c r="HH24" i="18"/>
  <c r="HD24" i="18"/>
  <c r="GZ24" i="18"/>
  <c r="GV24" i="18"/>
  <c r="GR24" i="18"/>
  <c r="GN24" i="18"/>
  <c r="GJ24" i="18"/>
  <c r="GF24" i="18"/>
  <c r="GB24" i="18"/>
  <c r="FX24" i="18"/>
  <c r="FT24" i="18"/>
  <c r="FP24" i="18"/>
  <c r="FL24" i="18"/>
  <c r="FH24" i="18"/>
  <c r="FD24" i="18"/>
  <c r="EZ24" i="18"/>
  <c r="EV24" i="18"/>
  <c r="ER24" i="18"/>
  <c r="EN24" i="18"/>
  <c r="EJ24" i="18"/>
  <c r="EF24" i="18"/>
  <c r="EB24" i="18"/>
  <c r="DX24" i="18"/>
  <c r="DT24" i="18"/>
  <c r="DP24" i="18"/>
  <c r="DL24" i="18"/>
  <c r="DH24" i="18"/>
  <c r="DD24" i="18"/>
  <c r="CZ24" i="18"/>
  <c r="CV24" i="18"/>
  <c r="CR24" i="18"/>
  <c r="CN24" i="18"/>
  <c r="CJ24" i="18"/>
  <c r="CF24" i="18"/>
  <c r="CB24" i="18"/>
  <c r="BX24" i="18"/>
  <c r="BT24" i="18"/>
  <c r="BP24" i="18"/>
  <c r="BL24" i="18"/>
  <c r="BH24" i="18"/>
  <c r="BD24" i="18"/>
  <c r="AZ24" i="18"/>
  <c r="AV24" i="18"/>
  <c r="AR24" i="18"/>
  <c r="AN24" i="18"/>
  <c r="AJ24" i="18"/>
  <c r="AF24" i="18"/>
  <c r="AB24" i="18"/>
  <c r="X24" i="18"/>
  <c r="T24" i="18"/>
  <c r="P24" i="18"/>
  <c r="L24" i="18"/>
  <c r="H24" i="18"/>
  <c r="IZ23" i="18"/>
  <c r="IV23" i="18"/>
  <c r="IR23" i="18"/>
  <c r="IN23" i="18"/>
  <c r="IJ23" i="18"/>
  <c r="IF23" i="18"/>
  <c r="IB23" i="18"/>
  <c r="HX23" i="18"/>
  <c r="HT23" i="18"/>
  <c r="HP23" i="18"/>
  <c r="HL23" i="18"/>
  <c r="HH23" i="18"/>
  <c r="HD23" i="18"/>
  <c r="GZ23" i="18"/>
  <c r="GV23" i="18"/>
  <c r="GR23" i="18"/>
  <c r="GN23" i="18"/>
  <c r="GJ23" i="18"/>
  <c r="GF23" i="18"/>
  <c r="GB23" i="18"/>
  <c r="FX23" i="18"/>
  <c r="FT23" i="18"/>
  <c r="FP23" i="18"/>
  <c r="FL23" i="18"/>
  <c r="FH23" i="18"/>
  <c r="FD23" i="18"/>
  <c r="EZ23" i="18"/>
  <c r="EV23" i="18"/>
  <c r="ER23" i="18"/>
  <c r="EN23" i="18"/>
  <c r="EJ23" i="18"/>
  <c r="EF23" i="18"/>
  <c r="EB23" i="18"/>
  <c r="DX23" i="18"/>
  <c r="DT23" i="18"/>
  <c r="DP23" i="18"/>
  <c r="DL23" i="18"/>
  <c r="DH23" i="18"/>
  <c r="DD23" i="18"/>
  <c r="CZ23" i="18"/>
  <c r="CV23" i="18"/>
  <c r="CR23" i="18"/>
  <c r="CN23" i="18"/>
  <c r="CJ23" i="18"/>
  <c r="CF23" i="18"/>
  <c r="CB23" i="18"/>
  <c r="BX23" i="18"/>
  <c r="BT23" i="18"/>
  <c r="BP23" i="18"/>
  <c r="BL23" i="18"/>
  <c r="BH23" i="18"/>
  <c r="BD23" i="18"/>
  <c r="AZ23" i="18"/>
  <c r="AV23" i="18"/>
  <c r="AR23" i="18"/>
  <c r="AN23" i="18"/>
  <c r="AJ23" i="18"/>
  <c r="AF23" i="18"/>
  <c r="AB23" i="18"/>
  <c r="X23" i="18"/>
  <c r="T23" i="18"/>
  <c r="P23" i="18"/>
  <c r="L23" i="18"/>
  <c r="H23" i="18"/>
  <c r="IZ22" i="18"/>
  <c r="IV22" i="18"/>
  <c r="IR22" i="18"/>
  <c r="IN22" i="18"/>
  <c r="IJ22" i="18"/>
  <c r="IF22" i="18"/>
  <c r="IB22" i="18"/>
  <c r="HX22" i="18"/>
  <c r="HT22" i="18"/>
  <c r="HP22" i="18"/>
  <c r="HL22" i="18"/>
  <c r="HH22" i="18"/>
  <c r="HD22" i="18"/>
  <c r="GZ22" i="18"/>
  <c r="GV22" i="18"/>
  <c r="GR22" i="18"/>
  <c r="GN22" i="18"/>
  <c r="GJ22" i="18"/>
  <c r="GF22" i="18"/>
  <c r="GB22" i="18"/>
  <c r="FX22" i="18"/>
  <c r="FT22" i="18"/>
  <c r="FP22" i="18"/>
  <c r="FL22" i="18"/>
  <c r="FH22" i="18"/>
  <c r="FD22" i="18"/>
  <c r="EZ22" i="18"/>
  <c r="EV22" i="18"/>
  <c r="ER22" i="18"/>
  <c r="EN22" i="18"/>
  <c r="EJ22" i="18"/>
  <c r="EF22" i="18"/>
  <c r="EB22" i="18"/>
  <c r="DX22" i="18"/>
  <c r="DT22" i="18"/>
  <c r="DP22" i="18"/>
  <c r="DL22" i="18"/>
  <c r="DH22" i="18"/>
  <c r="DD22" i="18"/>
  <c r="CZ22" i="18"/>
  <c r="CV22" i="18"/>
  <c r="CR22" i="18"/>
  <c r="CN22" i="18"/>
  <c r="CJ22" i="18"/>
  <c r="CF22" i="18"/>
  <c r="CB22" i="18"/>
  <c r="BX22" i="18"/>
  <c r="BT22" i="18"/>
  <c r="BP22" i="18"/>
  <c r="BL22" i="18"/>
  <c r="BH22" i="18"/>
  <c r="BD22" i="18"/>
  <c r="AZ22" i="18"/>
  <c r="AV22" i="18"/>
  <c r="AR22" i="18"/>
  <c r="AN22" i="18"/>
  <c r="AJ22" i="18"/>
  <c r="AF22" i="18"/>
  <c r="AB22" i="18"/>
  <c r="X22" i="18"/>
  <c r="T22" i="18"/>
  <c r="P22" i="18"/>
  <c r="L22" i="18"/>
  <c r="H22" i="18"/>
  <c r="IZ21" i="18"/>
  <c r="IV21" i="18"/>
  <c r="IR21" i="18"/>
  <c r="IN21" i="18"/>
  <c r="IJ21" i="18"/>
  <c r="IF21" i="18"/>
  <c r="IB21" i="18"/>
  <c r="HX21" i="18"/>
  <c r="HT21" i="18"/>
  <c r="HP21" i="18"/>
  <c r="HL21" i="18"/>
  <c r="HH21" i="18"/>
  <c r="HD21" i="18"/>
  <c r="GZ21" i="18"/>
  <c r="GV21" i="18"/>
  <c r="GR21" i="18"/>
  <c r="GN21" i="18"/>
  <c r="GJ21" i="18"/>
  <c r="GF21" i="18"/>
  <c r="GB21" i="18"/>
  <c r="FX21" i="18"/>
  <c r="FT21" i="18"/>
  <c r="FP21" i="18"/>
  <c r="FL21" i="18"/>
  <c r="FH21" i="18"/>
  <c r="FD21" i="18"/>
  <c r="EZ21" i="18"/>
  <c r="EV21" i="18"/>
  <c r="ER21" i="18"/>
  <c r="EN21" i="18"/>
  <c r="EJ21" i="18"/>
  <c r="EF21" i="18"/>
  <c r="EB21" i="18"/>
  <c r="DX21" i="18"/>
  <c r="DT21" i="18"/>
  <c r="DP21" i="18"/>
  <c r="DL21" i="18"/>
  <c r="DH21" i="18"/>
  <c r="DD21" i="18"/>
  <c r="CZ21" i="18"/>
  <c r="CV21" i="18"/>
  <c r="CR21" i="18"/>
  <c r="CN21" i="18"/>
  <c r="CJ21" i="18"/>
  <c r="CF21" i="18"/>
  <c r="CB21" i="18"/>
  <c r="BX21" i="18"/>
  <c r="BT21" i="18"/>
  <c r="BP21" i="18"/>
  <c r="BL21" i="18"/>
  <c r="BH21" i="18"/>
  <c r="BD21" i="18"/>
  <c r="AZ21" i="18"/>
  <c r="AV21" i="18"/>
  <c r="AR21" i="18"/>
  <c r="AN21" i="18"/>
  <c r="AJ21" i="18"/>
  <c r="AF21" i="18"/>
  <c r="AB21" i="18"/>
  <c r="X21" i="18"/>
  <c r="T21" i="18"/>
  <c r="P21" i="18"/>
  <c r="L21" i="18"/>
  <c r="H21" i="18"/>
  <c r="IZ20" i="18"/>
  <c r="IV20" i="18"/>
  <c r="IR20" i="18"/>
  <c r="IN20" i="18"/>
  <c r="IJ20" i="18"/>
  <c r="IF20" i="18"/>
  <c r="IB20" i="18"/>
  <c r="HX20" i="18"/>
  <c r="HT20" i="18"/>
  <c r="HP20" i="18"/>
  <c r="HL20" i="18"/>
  <c r="HH20" i="18"/>
  <c r="HD20" i="18"/>
  <c r="GZ20" i="18"/>
  <c r="GV20" i="18"/>
  <c r="GR20" i="18"/>
  <c r="GN20" i="18"/>
  <c r="GJ20" i="18"/>
  <c r="GF20" i="18"/>
  <c r="GB20" i="18"/>
  <c r="FX20" i="18"/>
  <c r="FT20" i="18"/>
  <c r="FP20" i="18"/>
  <c r="FL20" i="18"/>
  <c r="FH20" i="18"/>
  <c r="FD20" i="18"/>
  <c r="EZ20" i="18"/>
  <c r="EV20" i="18"/>
  <c r="ER20" i="18"/>
  <c r="EN20" i="18"/>
  <c r="EJ20" i="18"/>
  <c r="EF20" i="18"/>
  <c r="EB20" i="18"/>
  <c r="DX20" i="18"/>
  <c r="DT20" i="18"/>
  <c r="DP20" i="18"/>
  <c r="DL20" i="18"/>
  <c r="DH20" i="18"/>
  <c r="DD20" i="18"/>
  <c r="CZ20" i="18"/>
  <c r="CV20" i="18"/>
  <c r="CR20" i="18"/>
  <c r="CN20" i="18"/>
  <c r="CJ20" i="18"/>
  <c r="CF20" i="18"/>
  <c r="CB20" i="18"/>
  <c r="BX20" i="18"/>
  <c r="BT20" i="18"/>
  <c r="BP20" i="18"/>
  <c r="BL20" i="18"/>
  <c r="BH20" i="18"/>
  <c r="BD20" i="18"/>
  <c r="AZ20" i="18"/>
  <c r="AV20" i="18"/>
  <c r="AR20" i="18"/>
  <c r="AN20" i="18"/>
  <c r="AJ20" i="18"/>
  <c r="AF20" i="18"/>
  <c r="AB20" i="18"/>
  <c r="X20" i="18"/>
  <c r="T20" i="18"/>
  <c r="P20" i="18"/>
  <c r="L20" i="18"/>
  <c r="H20" i="18"/>
  <c r="C20" i="18"/>
  <c r="IZ19" i="18"/>
  <c r="IV19" i="18"/>
  <c r="IR19" i="18"/>
  <c r="IN19" i="18"/>
  <c r="IJ19" i="18"/>
  <c r="IF19" i="18"/>
  <c r="IB19" i="18"/>
  <c r="HX19" i="18"/>
  <c r="HT19" i="18"/>
  <c r="HP19" i="18"/>
  <c r="HL19" i="18"/>
  <c r="HH19" i="18"/>
  <c r="HD19" i="18"/>
  <c r="GZ19" i="18"/>
  <c r="GV19" i="18"/>
  <c r="GR19" i="18"/>
  <c r="GN19" i="18"/>
  <c r="GJ19" i="18"/>
  <c r="GF19" i="18"/>
  <c r="GB19" i="18"/>
  <c r="FX19" i="18"/>
  <c r="FT19" i="18"/>
  <c r="FP19" i="18"/>
  <c r="FL19" i="18"/>
  <c r="FH19" i="18"/>
  <c r="FD19" i="18"/>
  <c r="EZ19" i="18"/>
  <c r="EV19" i="18"/>
  <c r="ER19" i="18"/>
  <c r="EN19" i="18"/>
  <c r="EJ19" i="18"/>
  <c r="EF19" i="18"/>
  <c r="EB19" i="18"/>
  <c r="DX19" i="18"/>
  <c r="DT19" i="18"/>
  <c r="DP19" i="18"/>
  <c r="DL19" i="18"/>
  <c r="DH19" i="18"/>
  <c r="DD19" i="18"/>
  <c r="CZ19" i="18"/>
  <c r="CV19" i="18"/>
  <c r="CR19" i="18"/>
  <c r="CN19" i="18"/>
  <c r="CJ19" i="18"/>
  <c r="CF19" i="18"/>
  <c r="CB19" i="18"/>
  <c r="BX19" i="18"/>
  <c r="BT19" i="18"/>
  <c r="BP19" i="18"/>
  <c r="BL19" i="18"/>
  <c r="BH19" i="18"/>
  <c r="BD19" i="18"/>
  <c r="AZ19" i="18"/>
  <c r="AV19" i="18"/>
  <c r="AR19" i="18"/>
  <c r="AN19" i="18"/>
  <c r="AJ19" i="18"/>
  <c r="AF19" i="18"/>
  <c r="AB19" i="18"/>
  <c r="X19" i="18"/>
  <c r="T19" i="18"/>
  <c r="P19" i="18"/>
  <c r="L19" i="18"/>
  <c r="H19" i="18"/>
  <c r="IZ18" i="18"/>
  <c r="IV18" i="18"/>
  <c r="IR18" i="18"/>
  <c r="IN18" i="18"/>
  <c r="IJ18" i="18"/>
  <c r="IF18" i="18"/>
  <c r="IB18" i="18"/>
  <c r="HX18" i="18"/>
  <c r="HT18" i="18"/>
  <c r="HP18" i="18"/>
  <c r="HL18" i="18"/>
  <c r="HH18" i="18"/>
  <c r="HD18" i="18"/>
  <c r="GZ18" i="18"/>
  <c r="GV18" i="18"/>
  <c r="GR18" i="18"/>
  <c r="GN18" i="18"/>
  <c r="GJ18" i="18"/>
  <c r="GF18" i="18"/>
  <c r="GB18" i="18"/>
  <c r="FX18" i="18"/>
  <c r="FT18" i="18"/>
  <c r="FP18" i="18"/>
  <c r="FL18" i="18"/>
  <c r="FH18" i="18"/>
  <c r="FD18" i="18"/>
  <c r="EZ18" i="18"/>
  <c r="EV18" i="18"/>
  <c r="ER18" i="18"/>
  <c r="EN18" i="18"/>
  <c r="EJ18" i="18"/>
  <c r="EF18" i="18"/>
  <c r="EB18" i="18"/>
  <c r="DX18" i="18"/>
  <c r="DT18" i="18"/>
  <c r="DP18" i="18"/>
  <c r="DL18" i="18"/>
  <c r="DH18" i="18"/>
  <c r="DD18" i="18"/>
  <c r="CZ18" i="18"/>
  <c r="CV18" i="18"/>
  <c r="CR18" i="18"/>
  <c r="CN18" i="18"/>
  <c r="CJ18" i="18"/>
  <c r="CF18" i="18"/>
  <c r="CB18" i="18"/>
  <c r="BX18" i="18"/>
  <c r="BT18" i="18"/>
  <c r="BP18" i="18"/>
  <c r="BL18" i="18"/>
  <c r="BH18" i="18"/>
  <c r="BD18" i="18"/>
  <c r="AZ18" i="18"/>
  <c r="AV18" i="18"/>
  <c r="AR18" i="18"/>
  <c r="AN18" i="18"/>
  <c r="AJ18" i="18"/>
  <c r="AF18" i="18"/>
  <c r="AB18" i="18"/>
  <c r="X18" i="18"/>
  <c r="T18" i="18"/>
  <c r="P18" i="18"/>
  <c r="L18" i="18"/>
  <c r="H18" i="18"/>
  <c r="IZ17" i="18"/>
  <c r="IV17" i="18"/>
  <c r="IR17" i="18"/>
  <c r="IN17" i="18"/>
  <c r="IJ17" i="18"/>
  <c r="IF17" i="18"/>
  <c r="IB17" i="18"/>
  <c r="HX17" i="18"/>
  <c r="HT17" i="18"/>
  <c r="HP17" i="18"/>
  <c r="HL17" i="18"/>
  <c r="HH17" i="18"/>
  <c r="HD17" i="18"/>
  <c r="GZ17" i="18"/>
  <c r="GV17" i="18"/>
  <c r="GR17" i="18"/>
  <c r="GN17" i="18"/>
  <c r="GJ17" i="18"/>
  <c r="GF17" i="18"/>
  <c r="GB17" i="18"/>
  <c r="FX17" i="18"/>
  <c r="FT17" i="18"/>
  <c r="FP17" i="18"/>
  <c r="FL17" i="18"/>
  <c r="FH17" i="18"/>
  <c r="FD17" i="18"/>
  <c r="EZ17" i="18"/>
  <c r="EV17" i="18"/>
  <c r="ER17" i="18"/>
  <c r="EN17" i="18"/>
  <c r="EJ17" i="18"/>
  <c r="EF17" i="18"/>
  <c r="EB17" i="18"/>
  <c r="DX17" i="18"/>
  <c r="DT17" i="18"/>
  <c r="DP17" i="18"/>
  <c r="DL17" i="18"/>
  <c r="DH17" i="18"/>
  <c r="DD17" i="18"/>
  <c r="CZ17" i="18"/>
  <c r="CV17" i="18"/>
  <c r="CR17" i="18"/>
  <c r="CN17" i="18"/>
  <c r="CJ17" i="18"/>
  <c r="CF17" i="18"/>
  <c r="CB17" i="18"/>
  <c r="BX17" i="18"/>
  <c r="BT17" i="18"/>
  <c r="BP17" i="18"/>
  <c r="BL17" i="18"/>
  <c r="BH17" i="18"/>
  <c r="BD17" i="18"/>
  <c r="AZ17" i="18"/>
  <c r="AV17" i="18"/>
  <c r="AR17" i="18"/>
  <c r="AN17" i="18"/>
  <c r="AJ17" i="18"/>
  <c r="AF17" i="18"/>
  <c r="AB17" i="18"/>
  <c r="X17" i="18"/>
  <c r="T17" i="18"/>
  <c r="P17" i="18"/>
  <c r="L17" i="18"/>
  <c r="H17" i="18"/>
  <c r="IZ16" i="18"/>
  <c r="IV16" i="18"/>
  <c r="IR16" i="18"/>
  <c r="IN16" i="18"/>
  <c r="IJ16" i="18"/>
  <c r="IF16" i="18"/>
  <c r="IB16" i="18"/>
  <c r="HX16" i="18"/>
  <c r="HT16" i="18"/>
  <c r="HP16" i="18"/>
  <c r="HL16" i="18"/>
  <c r="HH16" i="18"/>
  <c r="HD16" i="18"/>
  <c r="GZ16" i="18"/>
  <c r="GV16" i="18"/>
  <c r="GR16" i="18"/>
  <c r="GN16" i="18"/>
  <c r="GJ16" i="18"/>
  <c r="GF16" i="18"/>
  <c r="GB16" i="18"/>
  <c r="FX16" i="18"/>
  <c r="FT16" i="18"/>
  <c r="FP16" i="18"/>
  <c r="FL16" i="18"/>
  <c r="FH16" i="18"/>
  <c r="FD16" i="18"/>
  <c r="EZ16" i="18"/>
  <c r="EV16" i="18"/>
  <c r="ER16" i="18"/>
  <c r="EN16" i="18"/>
  <c r="EJ16" i="18"/>
  <c r="EF16" i="18"/>
  <c r="EB16" i="18"/>
  <c r="DX16" i="18"/>
  <c r="DT16" i="18"/>
  <c r="DP16" i="18"/>
  <c r="DL16" i="18"/>
  <c r="DH16" i="18"/>
  <c r="DD16" i="18"/>
  <c r="CZ16" i="18"/>
  <c r="CV16" i="18"/>
  <c r="CR16" i="18"/>
  <c r="CN16" i="18"/>
  <c r="CJ16" i="18"/>
  <c r="CF16" i="18"/>
  <c r="CB16" i="18"/>
  <c r="BX16" i="18"/>
  <c r="BT16" i="18"/>
  <c r="BP16" i="18"/>
  <c r="BL16" i="18"/>
  <c r="BH16" i="18"/>
  <c r="BD16" i="18"/>
  <c r="AZ16" i="18"/>
  <c r="AV16" i="18"/>
  <c r="AR16" i="18"/>
  <c r="AN16" i="18"/>
  <c r="AJ16" i="18"/>
  <c r="AF16" i="18"/>
  <c r="AB16" i="18"/>
  <c r="X16" i="18"/>
  <c r="T16" i="18"/>
  <c r="P16" i="18"/>
  <c r="L16" i="18"/>
  <c r="H16" i="18"/>
  <c r="IZ15" i="18"/>
  <c r="IV15" i="18"/>
  <c r="IR15" i="18"/>
  <c r="IN15" i="18"/>
  <c r="IJ15" i="18"/>
  <c r="IF15" i="18"/>
  <c r="IB15" i="18"/>
  <c r="HX15" i="18"/>
  <c r="HT15" i="18"/>
  <c r="HP15" i="18"/>
  <c r="HL15" i="18"/>
  <c r="HH15" i="18"/>
  <c r="HD15" i="18"/>
  <c r="GZ15" i="18"/>
  <c r="GV15" i="18"/>
  <c r="GR15" i="18"/>
  <c r="GN15" i="18"/>
  <c r="GJ15" i="18"/>
  <c r="GF15" i="18"/>
  <c r="GB15" i="18"/>
  <c r="FX15" i="18"/>
  <c r="FT15" i="18"/>
  <c r="FP15" i="18"/>
  <c r="FL15" i="18"/>
  <c r="FH15" i="18"/>
  <c r="FD15" i="18"/>
  <c r="EZ15" i="18"/>
  <c r="EV15" i="18"/>
  <c r="ER15" i="18"/>
  <c r="EN15" i="18"/>
  <c r="EJ15" i="18"/>
  <c r="EF15" i="18"/>
  <c r="EB15" i="18"/>
  <c r="DX15" i="18"/>
  <c r="DT15" i="18"/>
  <c r="DP15" i="18"/>
  <c r="DL15" i="18"/>
  <c r="DH15" i="18"/>
  <c r="DD15" i="18"/>
  <c r="CZ15" i="18"/>
  <c r="CV15" i="18"/>
  <c r="CR15" i="18"/>
  <c r="CN15" i="18"/>
  <c r="CJ15" i="18"/>
  <c r="CF15" i="18"/>
  <c r="CB15" i="18"/>
  <c r="BX15" i="18"/>
  <c r="BT15" i="18"/>
  <c r="BP15" i="18"/>
  <c r="BL15" i="18"/>
  <c r="BH15" i="18"/>
  <c r="BD15" i="18"/>
  <c r="AZ15" i="18"/>
  <c r="AV15" i="18"/>
  <c r="AR15" i="18"/>
  <c r="AN15" i="18"/>
  <c r="AJ15" i="18"/>
  <c r="AF15" i="18"/>
  <c r="AB15" i="18"/>
  <c r="X15" i="18"/>
  <c r="T15" i="18"/>
  <c r="P15" i="18"/>
  <c r="L15" i="18"/>
  <c r="H15" i="18"/>
  <c r="IZ14" i="18"/>
  <c r="IV14" i="18"/>
  <c r="IR14" i="18"/>
  <c r="IN14" i="18"/>
  <c r="IJ14" i="18"/>
  <c r="IF14" i="18"/>
  <c r="IB14" i="18"/>
  <c r="HX14" i="18"/>
  <c r="HT14" i="18"/>
  <c r="HP14" i="18"/>
  <c r="HL14" i="18"/>
  <c r="HH14" i="18"/>
  <c r="HD14" i="18"/>
  <c r="GZ14" i="18"/>
  <c r="GV14" i="18"/>
  <c r="GR14" i="18"/>
  <c r="GN14" i="18"/>
  <c r="GJ14" i="18"/>
  <c r="GF14" i="18"/>
  <c r="GB14" i="18"/>
  <c r="FX14" i="18"/>
  <c r="FT14" i="18"/>
  <c r="FP14" i="18"/>
  <c r="FL14" i="18"/>
  <c r="FH14" i="18"/>
  <c r="FD14" i="18"/>
  <c r="EZ14" i="18"/>
  <c r="EV14" i="18"/>
  <c r="ER14" i="18"/>
  <c r="EN14" i="18"/>
  <c r="EJ14" i="18"/>
  <c r="EF14" i="18"/>
  <c r="EB14" i="18"/>
  <c r="DX14" i="18"/>
  <c r="DT14" i="18"/>
  <c r="DP14" i="18"/>
  <c r="DL14" i="18"/>
  <c r="DH14" i="18"/>
  <c r="DD14" i="18"/>
  <c r="CZ14" i="18"/>
  <c r="CV14" i="18"/>
  <c r="CR14" i="18"/>
  <c r="CN14" i="18"/>
  <c r="CJ14" i="18"/>
  <c r="CF14" i="18"/>
  <c r="CB14" i="18"/>
  <c r="BX14" i="18"/>
  <c r="BT14" i="18"/>
  <c r="BP14" i="18"/>
  <c r="BL14" i="18"/>
  <c r="BH14" i="18"/>
  <c r="BD14" i="18"/>
  <c r="AZ14" i="18"/>
  <c r="AV14" i="18"/>
  <c r="AR14" i="18"/>
  <c r="AN14" i="18"/>
  <c r="AJ14" i="18"/>
  <c r="AF14" i="18"/>
  <c r="AB14" i="18"/>
  <c r="X14" i="18"/>
  <c r="T14" i="18"/>
  <c r="P14" i="18"/>
  <c r="L14" i="18"/>
  <c r="H14" i="18"/>
  <c r="IZ13" i="18"/>
  <c r="IV13" i="18"/>
  <c r="IR13" i="18"/>
  <c r="IN13" i="18"/>
  <c r="IJ13" i="18"/>
  <c r="IF13" i="18"/>
  <c r="IB13" i="18"/>
  <c r="HX13" i="18"/>
  <c r="HT13" i="18"/>
  <c r="HP13" i="18"/>
  <c r="HL13" i="18"/>
  <c r="HH13" i="18"/>
  <c r="HD13" i="18"/>
  <c r="GZ13" i="18"/>
  <c r="GV13" i="18"/>
  <c r="GR13" i="18"/>
  <c r="GN13" i="18"/>
  <c r="GJ13" i="18"/>
  <c r="GF13" i="18"/>
  <c r="GB13" i="18"/>
  <c r="FX13" i="18"/>
  <c r="FT13" i="18"/>
  <c r="FP13" i="18"/>
  <c r="FL13" i="18"/>
  <c r="FH13" i="18"/>
  <c r="FD13" i="18"/>
  <c r="EZ13" i="18"/>
  <c r="EV13" i="18"/>
  <c r="ER13" i="18"/>
  <c r="EN13" i="18"/>
  <c r="EJ13" i="18"/>
  <c r="EF13" i="18"/>
  <c r="EB13" i="18"/>
  <c r="DX13" i="18"/>
  <c r="DT13" i="18"/>
  <c r="DP13" i="18"/>
  <c r="DL13" i="18"/>
  <c r="DH13" i="18"/>
  <c r="DD13" i="18"/>
  <c r="CZ13" i="18"/>
  <c r="CV13" i="18"/>
  <c r="CR13" i="18"/>
  <c r="CN13" i="18"/>
  <c r="CJ13" i="18"/>
  <c r="CF13" i="18"/>
  <c r="CB13" i="18"/>
  <c r="BX13" i="18"/>
  <c r="BT13" i="18"/>
  <c r="BP13" i="18"/>
  <c r="BL13" i="18"/>
  <c r="BH13" i="18"/>
  <c r="BD13" i="18"/>
  <c r="AZ13" i="18"/>
  <c r="AV13" i="18"/>
  <c r="AR13" i="18"/>
  <c r="AN13" i="18"/>
  <c r="AJ13" i="18"/>
  <c r="AF13" i="18"/>
  <c r="AB13" i="18"/>
  <c r="X13" i="18"/>
  <c r="T13" i="18"/>
  <c r="P13" i="18"/>
  <c r="L13" i="18"/>
  <c r="H13" i="18"/>
  <c r="IZ12" i="18"/>
  <c r="IV12" i="18"/>
  <c r="IR12" i="18"/>
  <c r="IN12" i="18"/>
  <c r="IJ12" i="18"/>
  <c r="IF12" i="18"/>
  <c r="IB12" i="18"/>
  <c r="HX12" i="18"/>
  <c r="HT12" i="18"/>
  <c r="HP12" i="18"/>
  <c r="HL12" i="18"/>
  <c r="HH12" i="18"/>
  <c r="HD12" i="18"/>
  <c r="GZ12" i="18"/>
  <c r="GV12" i="18"/>
  <c r="GR12" i="18"/>
  <c r="GN12" i="18"/>
  <c r="GJ12" i="18"/>
  <c r="GF12" i="18"/>
  <c r="GB12" i="18"/>
  <c r="FX12" i="18"/>
  <c r="FT12" i="18"/>
  <c r="FP12" i="18"/>
  <c r="FL12" i="18"/>
  <c r="FH12" i="18"/>
  <c r="FD12" i="18"/>
  <c r="EZ12" i="18"/>
  <c r="EV12" i="18"/>
  <c r="ER12" i="18"/>
  <c r="EN12" i="18"/>
  <c r="EJ12" i="18"/>
  <c r="EF12" i="18"/>
  <c r="EB12" i="18"/>
  <c r="DX12" i="18"/>
  <c r="DT12" i="18"/>
  <c r="DP12" i="18"/>
  <c r="DL12" i="18"/>
  <c r="DH12" i="18"/>
  <c r="DD12" i="18"/>
  <c r="CZ12" i="18"/>
  <c r="CV12" i="18"/>
  <c r="CR12" i="18"/>
  <c r="CN12" i="18"/>
  <c r="CJ12" i="18"/>
  <c r="CF12" i="18"/>
  <c r="CB12" i="18"/>
  <c r="BX12" i="18"/>
  <c r="BT12" i="18"/>
  <c r="BP12" i="18"/>
  <c r="BL12" i="18"/>
  <c r="BH12" i="18"/>
  <c r="BD12" i="18"/>
  <c r="AZ12" i="18"/>
  <c r="AV12" i="18"/>
  <c r="AR12" i="18"/>
  <c r="AN12" i="18"/>
  <c r="AJ12" i="18"/>
  <c r="AF12" i="18"/>
  <c r="AB12" i="18"/>
  <c r="X12" i="18"/>
  <c r="T12" i="18"/>
  <c r="P12" i="18"/>
  <c r="L12" i="18"/>
  <c r="H12" i="18"/>
  <c r="IZ11" i="18"/>
  <c r="IV11" i="18"/>
  <c r="IR11" i="18"/>
  <c r="IN11" i="18"/>
  <c r="IJ11" i="18"/>
  <c r="IF11" i="18"/>
  <c r="IB11" i="18"/>
  <c r="HX11" i="18"/>
  <c r="HT11" i="18"/>
  <c r="HP11" i="18"/>
  <c r="HL11" i="18"/>
  <c r="HH11" i="18"/>
  <c r="HD11" i="18"/>
  <c r="GZ11" i="18"/>
  <c r="GV11" i="18"/>
  <c r="GR11" i="18"/>
  <c r="GN11" i="18"/>
  <c r="GJ11" i="18"/>
  <c r="GF11" i="18"/>
  <c r="GB11" i="18"/>
  <c r="FX11" i="18"/>
  <c r="FT11" i="18"/>
  <c r="FP11" i="18"/>
  <c r="FL11" i="18"/>
  <c r="FH11" i="18"/>
  <c r="FD11" i="18"/>
  <c r="EZ11" i="18"/>
  <c r="EV11" i="18"/>
  <c r="ER11" i="18"/>
  <c r="EN11" i="18"/>
  <c r="EJ11" i="18"/>
  <c r="EF11" i="18"/>
  <c r="EB11" i="18"/>
  <c r="DX11" i="18"/>
  <c r="DT11" i="18"/>
  <c r="DP11" i="18"/>
  <c r="DL11" i="18"/>
  <c r="DH11" i="18"/>
  <c r="DD11" i="18"/>
  <c r="CZ11" i="18"/>
  <c r="CV11" i="18"/>
  <c r="CR11" i="18"/>
  <c r="CN11" i="18"/>
  <c r="CJ11" i="18"/>
  <c r="CF11" i="18"/>
  <c r="CB11" i="18"/>
  <c r="BX11" i="18"/>
  <c r="BT11" i="18"/>
  <c r="BP11" i="18"/>
  <c r="BL11" i="18"/>
  <c r="BH11" i="18"/>
  <c r="BD11" i="18"/>
  <c r="AZ11" i="18"/>
  <c r="AV11" i="18"/>
  <c r="AR11" i="18"/>
  <c r="AN11" i="18"/>
  <c r="AJ11" i="18"/>
  <c r="AF11" i="18"/>
  <c r="AB11" i="18"/>
  <c r="X11" i="18"/>
  <c r="T11" i="18"/>
  <c r="P11" i="18"/>
  <c r="L11" i="18"/>
  <c r="H11" i="18"/>
  <c r="IZ10" i="18"/>
  <c r="IV10" i="18"/>
  <c r="IR10" i="18"/>
  <c r="IN10" i="18"/>
  <c r="IJ10" i="18"/>
  <c r="IF10" i="18"/>
  <c r="IB10" i="18"/>
  <c r="HX10" i="18"/>
  <c r="HT10" i="18"/>
  <c r="HP10" i="18"/>
  <c r="HL10" i="18"/>
  <c r="HH10" i="18"/>
  <c r="HD10" i="18"/>
  <c r="GZ10" i="18"/>
  <c r="GV10" i="18"/>
  <c r="GR10" i="18"/>
  <c r="GN10" i="18"/>
  <c r="GJ10" i="18"/>
  <c r="GF10" i="18"/>
  <c r="GB10" i="18"/>
  <c r="FX10" i="18"/>
  <c r="FT10" i="18"/>
  <c r="FP10" i="18"/>
  <c r="FL10" i="18"/>
  <c r="FH10" i="18"/>
  <c r="FD10" i="18"/>
  <c r="EZ10" i="18"/>
  <c r="EV10" i="18"/>
  <c r="ER10" i="18"/>
  <c r="EN10" i="18"/>
  <c r="EJ10" i="18"/>
  <c r="EF10" i="18"/>
  <c r="EB10" i="18"/>
  <c r="DX10" i="18"/>
  <c r="DT10" i="18"/>
  <c r="DP10" i="18"/>
  <c r="DL10" i="18"/>
  <c r="DH10" i="18"/>
  <c r="DD10" i="18"/>
  <c r="CZ10" i="18"/>
  <c r="CV10" i="18"/>
  <c r="CR10" i="18"/>
  <c r="CN10" i="18"/>
  <c r="CJ10" i="18"/>
  <c r="CF10" i="18"/>
  <c r="CB10" i="18"/>
  <c r="BX10" i="18"/>
  <c r="BT10" i="18"/>
  <c r="BP10" i="18"/>
  <c r="BL10" i="18"/>
  <c r="BH10" i="18"/>
  <c r="BD10" i="18"/>
  <c r="AZ10" i="18"/>
  <c r="AV10" i="18"/>
  <c r="AR10" i="18"/>
  <c r="AN10" i="18"/>
  <c r="AJ10" i="18"/>
  <c r="AF10" i="18"/>
  <c r="AB10" i="18"/>
  <c r="X10" i="18"/>
  <c r="T10" i="18"/>
  <c r="P10" i="18"/>
  <c r="L10" i="18"/>
  <c r="H10" i="18"/>
  <c r="C7" i="18"/>
  <c r="F6" i="18"/>
  <c r="V6" i="18" s="1"/>
  <c r="L25" i="17" l="1"/>
  <c r="K24" i="17"/>
  <c r="M24" i="17"/>
  <c r="N24" i="17" s="1"/>
  <c r="F5" i="18"/>
  <c r="F4" i="18" s="1"/>
  <c r="AL6" i="18"/>
  <c r="V5" i="18"/>
  <c r="V4" i="18" s="1"/>
  <c r="L26" i="17" l="1"/>
  <c r="K25" i="17"/>
  <c r="M25" i="17"/>
  <c r="N25" i="17" s="1"/>
  <c r="AL5" i="18"/>
  <c r="AL4" i="18" s="1"/>
  <c r="BB6" i="18"/>
  <c r="L27" i="17" l="1"/>
  <c r="K26" i="17"/>
  <c r="M26" i="17"/>
  <c r="N26" i="17" s="1"/>
  <c r="BR6" i="18"/>
  <c r="BB5" i="18"/>
  <c r="BB4" i="18" s="1"/>
  <c r="H7" i="1"/>
  <c r="L28" i="17" l="1"/>
  <c r="K27" i="17"/>
  <c r="M27" i="17"/>
  <c r="N27" i="17" s="1"/>
  <c r="I7" i="1"/>
  <c r="BR5" i="18"/>
  <c r="BR4" i="18" s="1"/>
  <c r="CH6" i="18"/>
  <c r="L29" i="17" l="1"/>
  <c r="K28" i="17"/>
  <c r="M28" i="17"/>
  <c r="N28" i="17" s="1"/>
  <c r="J7" i="1"/>
  <c r="C4" i="18"/>
  <c r="CX6" i="18"/>
  <c r="CH5" i="18"/>
  <c r="CH4" i="18" s="1"/>
  <c r="K29" i="17" l="1"/>
  <c r="M29" i="17"/>
  <c r="N29" i="17" s="1"/>
  <c r="L30" i="17"/>
  <c r="K7" i="1"/>
  <c r="CX5" i="18"/>
  <c r="CX4" i="18" s="1"/>
  <c r="DN6" i="18"/>
  <c r="B9" i="17"/>
  <c r="B5" i="17"/>
  <c r="M30" i="17" l="1"/>
  <c r="L31" i="17"/>
  <c r="E7" i="1"/>
  <c r="K30" i="17"/>
  <c r="N30" i="17"/>
  <c r="L7" i="1"/>
  <c r="ED6" i="18"/>
  <c r="DN5" i="18"/>
  <c r="DN4" i="18" s="1"/>
  <c r="B11" i="17"/>
  <c r="B12" i="17"/>
  <c r="M31" i="17" l="1"/>
  <c r="K31" i="17"/>
  <c r="C4" i="23"/>
  <c r="C4" i="24"/>
  <c r="N31" i="17"/>
  <c r="L10" i="1"/>
  <c r="C4" i="21"/>
  <c r="C5" i="1" s="1"/>
  <c r="C4" i="20"/>
  <c r="M7" i="1"/>
  <c r="ED5" i="18"/>
  <c r="ED4" i="18" s="1"/>
  <c r="ET6" i="18"/>
  <c r="M10" i="1" l="1"/>
  <c r="M2" i="1" s="1"/>
  <c r="H10" i="1"/>
  <c r="K10" i="1"/>
  <c r="K2" i="1" s="1"/>
  <c r="I10" i="1"/>
  <c r="I2" i="1" s="1"/>
  <c r="J10" i="1"/>
  <c r="J2" i="1" s="1"/>
  <c r="L2" i="1"/>
  <c r="N7" i="1"/>
  <c r="FJ6" i="18"/>
  <c r="ET5" i="18"/>
  <c r="ET4" i="18" s="1"/>
  <c r="C6" i="1"/>
  <c r="N10" i="1" l="1"/>
  <c r="N2" i="1" s="1"/>
  <c r="H2" i="1"/>
  <c r="O7" i="1"/>
  <c r="FJ5" i="18"/>
  <c r="FJ4" i="18" s="1"/>
  <c r="FZ6" i="18"/>
  <c r="E17" i="14"/>
  <c r="E18" i="14"/>
  <c r="E19" i="14"/>
  <c r="E20" i="14"/>
  <c r="E21" i="14"/>
  <c r="E22" i="14"/>
  <c r="E23" i="14"/>
  <c r="E24" i="14"/>
  <c r="E25" i="14"/>
  <c r="E26" i="14"/>
  <c r="E27" i="14"/>
  <c r="O10" i="1" l="1"/>
  <c r="P7" i="1"/>
  <c r="P10" i="1" s="1"/>
  <c r="GP6" i="18"/>
  <c r="FZ5" i="18"/>
  <c r="FZ4" i="18" s="1"/>
  <c r="O2" i="1" l="1"/>
  <c r="P2" i="1"/>
  <c r="C11" i="24"/>
  <c r="C11" i="23"/>
  <c r="C11" i="21"/>
  <c r="C11" i="20"/>
  <c r="C12" i="24"/>
  <c r="C12" i="23"/>
  <c r="C12" i="20"/>
  <c r="C12" i="21"/>
  <c r="C14" i="24"/>
  <c r="C14" i="23"/>
  <c r="C14" i="20"/>
  <c r="C14" i="21"/>
  <c r="C15" i="24"/>
  <c r="C15" i="23"/>
  <c r="C15" i="20"/>
  <c r="C15" i="21"/>
  <c r="C17" i="24"/>
  <c r="C17" i="23"/>
  <c r="C17" i="21"/>
  <c r="C17" i="20"/>
  <c r="C19" i="24"/>
  <c r="C19" i="23"/>
  <c r="C19" i="21"/>
  <c r="C19" i="20"/>
  <c r="C10" i="24"/>
  <c r="C10" i="23"/>
  <c r="C10" i="20"/>
  <c r="C10" i="21"/>
  <c r="C13" i="24"/>
  <c r="C13" i="23"/>
  <c r="C13" i="21"/>
  <c r="C13" i="20"/>
  <c r="C16" i="24"/>
  <c r="C16" i="23"/>
  <c r="C16" i="20"/>
  <c r="C16" i="21"/>
  <c r="C18" i="24"/>
  <c r="C18" i="23"/>
  <c r="C18" i="20"/>
  <c r="C18" i="21"/>
  <c r="Q7" i="1"/>
  <c r="Q10" i="1" s="1"/>
  <c r="C11" i="18"/>
  <c r="C13" i="18"/>
  <c r="C15" i="18"/>
  <c r="C17" i="18"/>
  <c r="C18" i="18"/>
  <c r="C21" i="18"/>
  <c r="C24" i="18"/>
  <c r="C26" i="18"/>
  <c r="C28" i="18"/>
  <c r="C30" i="18"/>
  <c r="C10" i="18"/>
  <c r="C12" i="18"/>
  <c r="C14" i="18"/>
  <c r="C16" i="18"/>
  <c r="C23" i="18"/>
  <c r="C19" i="18"/>
  <c r="C22" i="18"/>
  <c r="C25" i="18"/>
  <c r="C27" i="18"/>
  <c r="C29" i="18"/>
  <c r="C31" i="18"/>
  <c r="GP5" i="18"/>
  <c r="GP4" i="18" s="1"/>
  <c r="HF6" i="18"/>
  <c r="AN22" i="1" l="1"/>
  <c r="AO22" i="1"/>
  <c r="F18" i="20"/>
  <c r="BG18" i="20"/>
  <c r="BF18" i="20"/>
  <c r="BC18" i="20"/>
  <c r="BB18" i="20"/>
  <c r="AY18" i="20"/>
  <c r="AX18" i="20"/>
  <c r="AU18" i="20"/>
  <c r="AT18" i="20"/>
  <c r="AQ18" i="20"/>
  <c r="AP18" i="20"/>
  <c r="AM18" i="20"/>
  <c r="AL18" i="20"/>
  <c r="AI18" i="20"/>
  <c r="AH18" i="20"/>
  <c r="AE18" i="20"/>
  <c r="AD18" i="20"/>
  <c r="AA18" i="20"/>
  <c r="Z18" i="20"/>
  <c r="W18" i="20"/>
  <c r="V18" i="20"/>
  <c r="S18" i="20"/>
  <c r="R18" i="20"/>
  <c r="O18" i="20"/>
  <c r="N18" i="20"/>
  <c r="K18" i="20"/>
  <c r="J18" i="20"/>
  <c r="G18" i="20"/>
  <c r="F16" i="20"/>
  <c r="BG16" i="20"/>
  <c r="BF16" i="20"/>
  <c r="BC16" i="20"/>
  <c r="BB16" i="20"/>
  <c r="AY16" i="20"/>
  <c r="AX16" i="20"/>
  <c r="AU16" i="20"/>
  <c r="AT16" i="20"/>
  <c r="AQ16" i="20"/>
  <c r="AP16" i="20"/>
  <c r="AM16" i="20"/>
  <c r="AL16" i="20"/>
  <c r="AI16" i="20"/>
  <c r="AH16" i="20"/>
  <c r="AE16" i="20"/>
  <c r="AD16" i="20"/>
  <c r="AA16" i="20"/>
  <c r="Z16" i="20"/>
  <c r="W16" i="20"/>
  <c r="V16" i="20"/>
  <c r="S16" i="20"/>
  <c r="R16" i="20"/>
  <c r="O16" i="20"/>
  <c r="N16" i="20"/>
  <c r="K16" i="20"/>
  <c r="J16" i="20"/>
  <c r="G16" i="20"/>
  <c r="F13" i="20"/>
  <c r="BG13" i="20"/>
  <c r="BF13" i="20"/>
  <c r="BC13" i="20"/>
  <c r="BB13" i="20"/>
  <c r="AY13" i="20"/>
  <c r="AX13" i="20"/>
  <c r="AU13" i="20"/>
  <c r="AT13" i="20"/>
  <c r="AQ13" i="20"/>
  <c r="AP13" i="20"/>
  <c r="AM13" i="20"/>
  <c r="AL13" i="20"/>
  <c r="AI13" i="20"/>
  <c r="AH13" i="20"/>
  <c r="AE13" i="20"/>
  <c r="AD13" i="20"/>
  <c r="AA13" i="20"/>
  <c r="Z13" i="20"/>
  <c r="W13" i="20"/>
  <c r="V13" i="20"/>
  <c r="S13" i="20"/>
  <c r="R13" i="20"/>
  <c r="O13" i="20"/>
  <c r="N13" i="20"/>
  <c r="K13" i="20"/>
  <c r="J13" i="20"/>
  <c r="G13" i="20"/>
  <c r="BG10" i="20"/>
  <c r="BF10" i="20"/>
  <c r="BC10" i="20"/>
  <c r="BB10" i="20"/>
  <c r="AY10" i="20"/>
  <c r="AX10" i="20"/>
  <c r="AU10" i="20"/>
  <c r="AT10" i="20"/>
  <c r="AQ10" i="20"/>
  <c r="AP10" i="20"/>
  <c r="AM10" i="20"/>
  <c r="AL10" i="20"/>
  <c r="AI10" i="20"/>
  <c r="AH10" i="20"/>
  <c r="AE10" i="20"/>
  <c r="AD10" i="20"/>
  <c r="AA10" i="20"/>
  <c r="Z10" i="20"/>
  <c r="W10" i="20"/>
  <c r="V10" i="20"/>
  <c r="S10" i="20"/>
  <c r="R10" i="20"/>
  <c r="O10" i="20"/>
  <c r="N10" i="20"/>
  <c r="K10" i="20"/>
  <c r="J10" i="20"/>
  <c r="F19" i="20"/>
  <c r="BG19" i="20"/>
  <c r="BF19" i="20"/>
  <c r="BC19" i="20"/>
  <c r="BB19" i="20"/>
  <c r="AY19" i="20"/>
  <c r="AX19" i="20"/>
  <c r="AU19" i="20"/>
  <c r="AT19" i="20"/>
  <c r="AQ19" i="20"/>
  <c r="AP19" i="20"/>
  <c r="AM19" i="20"/>
  <c r="AL19" i="20"/>
  <c r="AI19" i="20"/>
  <c r="AH19" i="20"/>
  <c r="AE19" i="20"/>
  <c r="AD19" i="20"/>
  <c r="AA19" i="20"/>
  <c r="Z19" i="20"/>
  <c r="W19" i="20"/>
  <c r="V19" i="20"/>
  <c r="S19" i="20"/>
  <c r="R19" i="20"/>
  <c r="O19" i="20"/>
  <c r="N19" i="20"/>
  <c r="K19" i="20"/>
  <c r="J19" i="20"/>
  <c r="G19" i="20"/>
  <c r="F17" i="20"/>
  <c r="BG17" i="20"/>
  <c r="BF17" i="20"/>
  <c r="BC17" i="20"/>
  <c r="BB17" i="20"/>
  <c r="AY17" i="20"/>
  <c r="AX17" i="20"/>
  <c r="AU17" i="20"/>
  <c r="AT17" i="20"/>
  <c r="AQ17" i="20"/>
  <c r="AP17" i="20"/>
  <c r="AM17" i="20"/>
  <c r="AL17" i="20"/>
  <c r="AI17" i="20"/>
  <c r="AH17" i="20"/>
  <c r="AE17" i="20"/>
  <c r="AD17" i="20"/>
  <c r="AA17" i="20"/>
  <c r="Z17" i="20"/>
  <c r="W17" i="20"/>
  <c r="V17" i="20"/>
  <c r="S17" i="20"/>
  <c r="R17" i="20"/>
  <c r="O17" i="20"/>
  <c r="N17" i="20"/>
  <c r="K17" i="20"/>
  <c r="J17" i="20"/>
  <c r="G17" i="20"/>
  <c r="F15" i="20"/>
  <c r="BG15" i="20"/>
  <c r="BF15" i="20"/>
  <c r="BC15" i="20"/>
  <c r="BB15" i="20"/>
  <c r="AY15" i="20"/>
  <c r="AX15" i="20"/>
  <c r="AU15" i="20"/>
  <c r="AT15" i="20"/>
  <c r="AQ15" i="20"/>
  <c r="AP15" i="20"/>
  <c r="AM15" i="20"/>
  <c r="AL15" i="20"/>
  <c r="AI15" i="20"/>
  <c r="AH15" i="20"/>
  <c r="AE15" i="20"/>
  <c r="AD15" i="20"/>
  <c r="AA15" i="20"/>
  <c r="Z15" i="20"/>
  <c r="W15" i="20"/>
  <c r="V15" i="20"/>
  <c r="S15" i="20"/>
  <c r="R15" i="20"/>
  <c r="O15" i="20"/>
  <c r="N15" i="20"/>
  <c r="K15" i="20"/>
  <c r="J15" i="20"/>
  <c r="G15" i="20"/>
  <c r="F14" i="20"/>
  <c r="BG14" i="20"/>
  <c r="BF14" i="20"/>
  <c r="BC14" i="20"/>
  <c r="BB14" i="20"/>
  <c r="AY14" i="20"/>
  <c r="AX14" i="20"/>
  <c r="AU14" i="20"/>
  <c r="AT14" i="20"/>
  <c r="AQ14" i="20"/>
  <c r="AP14" i="20"/>
  <c r="AM14" i="20"/>
  <c r="AL14" i="20"/>
  <c r="AI14" i="20"/>
  <c r="AH14" i="20"/>
  <c r="AE14" i="20"/>
  <c r="AD14" i="20"/>
  <c r="AA14" i="20"/>
  <c r="Z14" i="20"/>
  <c r="W14" i="20"/>
  <c r="V14" i="20"/>
  <c r="S14" i="20"/>
  <c r="R14" i="20"/>
  <c r="O14" i="20"/>
  <c r="N14" i="20"/>
  <c r="K14" i="20"/>
  <c r="J14" i="20"/>
  <c r="G14" i="20"/>
  <c r="F12" i="20"/>
  <c r="BG12" i="20"/>
  <c r="BF12" i="20"/>
  <c r="BC12" i="20"/>
  <c r="BB12" i="20"/>
  <c r="AY12" i="20"/>
  <c r="AX12" i="20"/>
  <c r="AU12" i="20"/>
  <c r="AT12" i="20"/>
  <c r="AQ12" i="20"/>
  <c r="AP12" i="20"/>
  <c r="AM12" i="20"/>
  <c r="AL12" i="20"/>
  <c r="AI12" i="20"/>
  <c r="AH12" i="20"/>
  <c r="AE12" i="20"/>
  <c r="AD12" i="20"/>
  <c r="AA12" i="20"/>
  <c r="Z12" i="20"/>
  <c r="W12" i="20"/>
  <c r="V12" i="20"/>
  <c r="S12" i="20"/>
  <c r="R12" i="20"/>
  <c r="O12" i="20"/>
  <c r="N12" i="20"/>
  <c r="K12" i="20"/>
  <c r="J12" i="20"/>
  <c r="G12" i="20"/>
  <c r="F11" i="20"/>
  <c r="BG11" i="20"/>
  <c r="BF11" i="20"/>
  <c r="BC11" i="20"/>
  <c r="BB11" i="20"/>
  <c r="AY11" i="20"/>
  <c r="AX11" i="20"/>
  <c r="AU11" i="20"/>
  <c r="AT11" i="20"/>
  <c r="AQ11" i="20"/>
  <c r="AP11" i="20"/>
  <c r="AM11" i="20"/>
  <c r="AL11" i="20"/>
  <c r="AI11" i="20"/>
  <c r="AH11" i="20"/>
  <c r="AE11" i="20"/>
  <c r="AD11" i="20"/>
  <c r="AA11" i="20"/>
  <c r="Z11" i="20"/>
  <c r="W11" i="20"/>
  <c r="V11" i="20"/>
  <c r="S11" i="20"/>
  <c r="R11" i="20"/>
  <c r="O11" i="20"/>
  <c r="N11" i="20"/>
  <c r="K11" i="20"/>
  <c r="J11" i="20"/>
  <c r="G11" i="20"/>
  <c r="G10" i="20"/>
  <c r="F10" i="20"/>
  <c r="Q2" i="1"/>
  <c r="R7" i="1"/>
  <c r="R10" i="1" s="1"/>
  <c r="HV6" i="18"/>
  <c r="HF5" i="18"/>
  <c r="HF4" i="18" s="1"/>
  <c r="AN15" i="1" l="1"/>
  <c r="AO15" i="1"/>
  <c r="AN17" i="1"/>
  <c r="AO17" i="1"/>
  <c r="AL22" i="1"/>
  <c r="AP22" i="1" s="1"/>
  <c r="AM22" i="1"/>
  <c r="AN12" i="1"/>
  <c r="AO12" i="1"/>
  <c r="AN19" i="1"/>
  <c r="AO19" i="1"/>
  <c r="AN14" i="1"/>
  <c r="AO14" i="1"/>
  <c r="AN16" i="1"/>
  <c r="AO16" i="1"/>
  <c r="BH17" i="20"/>
  <c r="R2" i="1"/>
  <c r="AO11" i="1"/>
  <c r="S7" i="1"/>
  <c r="S10" i="1" s="1"/>
  <c r="HV5" i="18"/>
  <c r="HV4" i="18" s="1"/>
  <c r="IL6" i="18"/>
  <c r="IL5" i="18" s="1"/>
  <c r="IL4" i="18" s="1"/>
  <c r="JC25" i="18" s="1"/>
  <c r="JB21" i="18" l="1"/>
  <c r="JE12" i="18"/>
  <c r="JE26" i="18"/>
  <c r="AL17" i="1"/>
  <c r="AM17" i="1"/>
  <c r="AN18" i="1"/>
  <c r="AO18" i="1"/>
  <c r="AN11" i="1"/>
  <c r="AL15" i="1"/>
  <c r="AM15" i="1"/>
  <c r="AL19" i="1"/>
  <c r="AM19" i="1"/>
  <c r="AL12" i="1"/>
  <c r="AM12" i="1"/>
  <c r="AL14" i="1"/>
  <c r="AM14" i="1"/>
  <c r="AL16" i="1"/>
  <c r="AM16" i="1"/>
  <c r="S2" i="1"/>
  <c r="T7" i="1"/>
  <c r="T10" i="1" s="1"/>
  <c r="JE28" i="18"/>
  <c r="JB23" i="18"/>
  <c r="JD27" i="18"/>
  <c r="JC14" i="18"/>
  <c r="JB28" i="18"/>
  <c r="JB13" i="18"/>
  <c r="JC19" i="18"/>
  <c r="JE23" i="18"/>
  <c r="JB18" i="18"/>
  <c r="JD21" i="18"/>
  <c r="JB32" i="18"/>
  <c r="JC10" i="18"/>
  <c r="JD26" i="18"/>
  <c r="JD11" i="18"/>
  <c r="JE17" i="18"/>
  <c r="JB12" i="18"/>
  <c r="JD16" i="18"/>
  <c r="JC26" i="18"/>
  <c r="JE30" i="18"/>
  <c r="JB25" i="18"/>
  <c r="JC31" i="18"/>
  <c r="JC16" i="18"/>
  <c r="JB30" i="18"/>
  <c r="JC18" i="18"/>
  <c r="JC32" i="18"/>
  <c r="JB17" i="18"/>
  <c r="JC23" i="18"/>
  <c r="JE27" i="18"/>
  <c r="JB22" i="18"/>
  <c r="JD25" i="18"/>
  <c r="JC13" i="18"/>
  <c r="JE16" i="18"/>
  <c r="JD30" i="18"/>
  <c r="JD15" i="18"/>
  <c r="JE21" i="18"/>
  <c r="JB16" i="18"/>
  <c r="JD20" i="18"/>
  <c r="JC30" i="18"/>
  <c r="JE11" i="18"/>
  <c r="JB29" i="18"/>
  <c r="JE32" i="18"/>
  <c r="JC20" i="18"/>
  <c r="JC12" i="18"/>
  <c r="JD14" i="18"/>
  <c r="JE10" i="18"/>
  <c r="JC27" i="18"/>
  <c r="JE31" i="18"/>
  <c r="JB26" i="18"/>
  <c r="JD29" i="18"/>
  <c r="JC17" i="18"/>
  <c r="JE20" i="18"/>
  <c r="JB15" i="18"/>
  <c r="JD19" i="18"/>
  <c r="JE25" i="18"/>
  <c r="JB20" i="18"/>
  <c r="JD24" i="18"/>
  <c r="JC11" i="18"/>
  <c r="JE15" i="18"/>
  <c r="JB10" i="18"/>
  <c r="JD13" i="18"/>
  <c r="JC24" i="18"/>
  <c r="JE14" i="18"/>
  <c r="JD18" i="18"/>
  <c r="JC29" i="18"/>
  <c r="JD32" i="18"/>
  <c r="JB27" i="18"/>
  <c r="JD31" i="18"/>
  <c r="JE18" i="18"/>
  <c r="JD10" i="18"/>
  <c r="JC21" i="18"/>
  <c r="JE24" i="18"/>
  <c r="JB19" i="18"/>
  <c r="JD23" i="18"/>
  <c r="JE29" i="18"/>
  <c r="JB24" i="18"/>
  <c r="JD28" i="18"/>
  <c r="JC15" i="18"/>
  <c r="JE19" i="18"/>
  <c r="JB14" i="18"/>
  <c r="JD17" i="18"/>
  <c r="JC28" i="18"/>
  <c r="JE22" i="18"/>
  <c r="JD22" i="18"/>
  <c r="JB11" i="18"/>
  <c r="JE13" i="18"/>
  <c r="JB31" i="18"/>
  <c r="JD12" i="18"/>
  <c r="JC22" i="18"/>
  <c r="AP16" i="1" l="1"/>
  <c r="AP12" i="1"/>
  <c r="AP15" i="1"/>
  <c r="AP17" i="1"/>
  <c r="AP14" i="1"/>
  <c r="AP19" i="1"/>
  <c r="AL18" i="1"/>
  <c r="AP18" i="1" s="1"/>
  <c r="AM18" i="1"/>
  <c r="AL11" i="1"/>
  <c r="AP11" i="1" s="1"/>
  <c r="AM11" i="1"/>
  <c r="AN20" i="1"/>
  <c r="AO20" i="1"/>
  <c r="H11" i="20"/>
  <c r="I11" i="20" s="1"/>
  <c r="L11" i="20"/>
  <c r="T11" i="20"/>
  <c r="U11" i="20" s="1"/>
  <c r="AB11" i="20"/>
  <c r="AC11" i="20" s="1"/>
  <c r="P11" i="20"/>
  <c r="Q11" i="20" s="1"/>
  <c r="X11" i="20"/>
  <c r="Y11" i="20" s="1"/>
  <c r="H17" i="20"/>
  <c r="I17" i="20" s="1"/>
  <c r="L17" i="20"/>
  <c r="P17" i="20"/>
  <c r="Q17" i="20" s="1"/>
  <c r="T17" i="20"/>
  <c r="U17" i="20" s="1"/>
  <c r="AB17" i="20"/>
  <c r="AC17" i="20" s="1"/>
  <c r="X17" i="20"/>
  <c r="Y17" i="20" s="1"/>
  <c r="H19" i="20"/>
  <c r="I19" i="20" s="1"/>
  <c r="L19" i="20"/>
  <c r="P19" i="20"/>
  <c r="Q19" i="20" s="1"/>
  <c r="AB19" i="20"/>
  <c r="AC19" i="20" s="1"/>
  <c r="T19" i="20"/>
  <c r="U19" i="20" s="1"/>
  <c r="X19" i="20"/>
  <c r="Y19" i="20" s="1"/>
  <c r="H13" i="20"/>
  <c r="I13" i="20" s="1"/>
  <c r="L13" i="20"/>
  <c r="T13" i="20"/>
  <c r="U13" i="20" s="1"/>
  <c r="AB13" i="20"/>
  <c r="AC13" i="20" s="1"/>
  <c r="P13" i="20"/>
  <c r="Q13" i="20" s="1"/>
  <c r="X13" i="20"/>
  <c r="Y13" i="20" s="1"/>
  <c r="H16" i="20"/>
  <c r="I16" i="20" s="1"/>
  <c r="L16" i="20"/>
  <c r="P16" i="20"/>
  <c r="Q16" i="20" s="1"/>
  <c r="AB16" i="20"/>
  <c r="AC16" i="20" s="1"/>
  <c r="T16" i="20"/>
  <c r="U16" i="20" s="1"/>
  <c r="X16" i="20"/>
  <c r="Y16" i="20" s="1"/>
  <c r="H18" i="20"/>
  <c r="I18" i="20" s="1"/>
  <c r="L18" i="20"/>
  <c r="P18" i="20"/>
  <c r="Q18" i="20" s="1"/>
  <c r="AB18" i="20"/>
  <c r="AC18" i="20" s="1"/>
  <c r="T18" i="20"/>
  <c r="U18" i="20" s="1"/>
  <c r="X18" i="20"/>
  <c r="Y18" i="20" s="1"/>
  <c r="H12" i="20"/>
  <c r="I12" i="20" s="1"/>
  <c r="L12" i="20"/>
  <c r="AB12" i="20"/>
  <c r="AC12" i="20" s="1"/>
  <c r="T12" i="20"/>
  <c r="U12" i="20" s="1"/>
  <c r="P12" i="20"/>
  <c r="Q12" i="20" s="1"/>
  <c r="X12" i="20"/>
  <c r="Y12" i="20" s="1"/>
  <c r="H14" i="20"/>
  <c r="I14" i="20" s="1"/>
  <c r="L14" i="20"/>
  <c r="AB14" i="20"/>
  <c r="AC14" i="20" s="1"/>
  <c r="T14" i="20"/>
  <c r="U14" i="20" s="1"/>
  <c r="P14" i="20"/>
  <c r="Q14" i="20" s="1"/>
  <c r="X14" i="20"/>
  <c r="Y14" i="20" s="1"/>
  <c r="H15" i="20"/>
  <c r="I15" i="20" s="1"/>
  <c r="L15" i="20"/>
  <c r="P15" i="20"/>
  <c r="Q15" i="20" s="1"/>
  <c r="AB15" i="20"/>
  <c r="AC15" i="20" s="1"/>
  <c r="T15" i="20"/>
  <c r="U15" i="20" s="1"/>
  <c r="X15" i="20"/>
  <c r="Y15" i="20" s="1"/>
  <c r="T10" i="20"/>
  <c r="U10" i="20" s="1"/>
  <c r="X10" i="20"/>
  <c r="Y10" i="20" s="1"/>
  <c r="H10" i="20"/>
  <c r="I10" i="20" s="1"/>
  <c r="L10" i="20"/>
  <c r="P10" i="20"/>
  <c r="Q10" i="20" s="1"/>
  <c r="AB10" i="20"/>
  <c r="AC10" i="20" s="1"/>
  <c r="AJ12" i="20"/>
  <c r="AK12" i="20" s="1"/>
  <c r="AF12" i="20"/>
  <c r="AG12" i="20" s="1"/>
  <c r="AR12" i="20"/>
  <c r="AS12" i="20" s="1"/>
  <c r="AN12" i="20"/>
  <c r="AO12" i="20" s="1"/>
  <c r="AZ12" i="20"/>
  <c r="BA12" i="20" s="1"/>
  <c r="AV12" i="20"/>
  <c r="AW12" i="20" s="1"/>
  <c r="BH12" i="20"/>
  <c r="BI12" i="20" s="1"/>
  <c r="BD12" i="20"/>
  <c r="BE12" i="20" s="1"/>
  <c r="AJ14" i="20"/>
  <c r="AK14" i="20" s="1"/>
  <c r="AF14" i="20"/>
  <c r="AG14" i="20" s="1"/>
  <c r="AR14" i="20"/>
  <c r="AS14" i="20" s="1"/>
  <c r="AN14" i="20"/>
  <c r="AO14" i="20" s="1"/>
  <c r="AZ14" i="20"/>
  <c r="BA14" i="20" s="1"/>
  <c r="AV14" i="20"/>
  <c r="AW14" i="20" s="1"/>
  <c r="BH14" i="20"/>
  <c r="BI14" i="20" s="1"/>
  <c r="BD14" i="20"/>
  <c r="BE14" i="20" s="1"/>
  <c r="AJ15" i="20"/>
  <c r="AK15" i="20" s="1"/>
  <c r="AF15" i="20"/>
  <c r="AG15" i="20" s="1"/>
  <c r="AR15" i="20"/>
  <c r="AS15" i="20" s="1"/>
  <c r="AN15" i="20"/>
  <c r="AO15" i="20" s="1"/>
  <c r="AZ15" i="20"/>
  <c r="BA15" i="20" s="1"/>
  <c r="AV15" i="20"/>
  <c r="AW15" i="20" s="1"/>
  <c r="BH15" i="20"/>
  <c r="BI15" i="20" s="1"/>
  <c r="BD15" i="20"/>
  <c r="BE15" i="20" s="1"/>
  <c r="AF10" i="20"/>
  <c r="AG10" i="20" s="1"/>
  <c r="AJ10" i="20"/>
  <c r="AK10" i="20" s="1"/>
  <c r="AN10" i="20"/>
  <c r="AO10" i="20" s="1"/>
  <c r="AR10" i="20"/>
  <c r="AS10" i="20" s="1"/>
  <c r="AV10" i="20"/>
  <c r="AW10" i="20" s="1"/>
  <c r="AZ10" i="20"/>
  <c r="BA10" i="20" s="1"/>
  <c r="BD10" i="20"/>
  <c r="BE10" i="20" s="1"/>
  <c r="BH10" i="20"/>
  <c r="BI10" i="20" s="1"/>
  <c r="AJ11" i="20"/>
  <c r="AK11" i="20" s="1"/>
  <c r="AF11" i="20"/>
  <c r="AG11" i="20" s="1"/>
  <c r="AR11" i="20"/>
  <c r="AS11" i="20" s="1"/>
  <c r="AN11" i="20"/>
  <c r="AO11" i="20" s="1"/>
  <c r="AZ11" i="20"/>
  <c r="BA11" i="20" s="1"/>
  <c r="AV11" i="20"/>
  <c r="AW11" i="20" s="1"/>
  <c r="BH11" i="20"/>
  <c r="BI11" i="20" s="1"/>
  <c r="BD11" i="20"/>
  <c r="BE11" i="20" s="1"/>
  <c r="AJ17" i="20"/>
  <c r="AK17" i="20" s="1"/>
  <c r="AF17" i="20"/>
  <c r="AG17" i="20" s="1"/>
  <c r="AR17" i="20"/>
  <c r="AS17" i="20" s="1"/>
  <c r="AN17" i="20"/>
  <c r="AO17" i="20" s="1"/>
  <c r="AZ17" i="20"/>
  <c r="BA17" i="20" s="1"/>
  <c r="AV17" i="20"/>
  <c r="AW17" i="20" s="1"/>
  <c r="BI17" i="20"/>
  <c r="BD17" i="20"/>
  <c r="BE17" i="20" s="1"/>
  <c r="AJ19" i="20"/>
  <c r="AK19" i="20" s="1"/>
  <c r="AF19" i="20"/>
  <c r="AG19" i="20" s="1"/>
  <c r="AR19" i="20"/>
  <c r="AS19" i="20" s="1"/>
  <c r="AN19" i="20"/>
  <c r="AO19" i="20" s="1"/>
  <c r="AZ19" i="20"/>
  <c r="BA19" i="20" s="1"/>
  <c r="AV19" i="20"/>
  <c r="AW19" i="20" s="1"/>
  <c r="BH19" i="20"/>
  <c r="BI19" i="20" s="1"/>
  <c r="BD19" i="20"/>
  <c r="BE19" i="20" s="1"/>
  <c r="AJ13" i="20"/>
  <c r="AK13" i="20" s="1"/>
  <c r="AF13" i="20"/>
  <c r="AG13" i="20" s="1"/>
  <c r="AR13" i="20"/>
  <c r="AS13" i="20" s="1"/>
  <c r="AN13" i="20"/>
  <c r="AO13" i="20" s="1"/>
  <c r="AZ13" i="20"/>
  <c r="BA13" i="20" s="1"/>
  <c r="AV13" i="20"/>
  <c r="AW13" i="20" s="1"/>
  <c r="BH13" i="20"/>
  <c r="BI13" i="20" s="1"/>
  <c r="BD13" i="20"/>
  <c r="BE13" i="20" s="1"/>
  <c r="AJ16" i="20"/>
  <c r="AK16" i="20" s="1"/>
  <c r="AF16" i="20"/>
  <c r="AG16" i="20" s="1"/>
  <c r="AR16" i="20"/>
  <c r="AS16" i="20" s="1"/>
  <c r="AN16" i="20"/>
  <c r="AO16" i="20" s="1"/>
  <c r="AZ16" i="20"/>
  <c r="BA16" i="20" s="1"/>
  <c r="AV16" i="20"/>
  <c r="AW16" i="20" s="1"/>
  <c r="BH16" i="20"/>
  <c r="BI16" i="20" s="1"/>
  <c r="BD16" i="20"/>
  <c r="BE16" i="20" s="1"/>
  <c r="AJ18" i="20"/>
  <c r="AK18" i="20" s="1"/>
  <c r="AF18" i="20"/>
  <c r="AG18" i="20" s="1"/>
  <c r="AR18" i="20"/>
  <c r="AS18" i="20" s="1"/>
  <c r="AN18" i="20"/>
  <c r="AO18" i="20" s="1"/>
  <c r="AZ18" i="20"/>
  <c r="BA18" i="20" s="1"/>
  <c r="AV18" i="20"/>
  <c r="AW18" i="20" s="1"/>
  <c r="BH18" i="20"/>
  <c r="BI18" i="20" s="1"/>
  <c r="BD18" i="20"/>
  <c r="BE18" i="20" s="1"/>
  <c r="T2" i="1"/>
  <c r="U7" i="1"/>
  <c r="U10" i="1" l="1"/>
  <c r="V7" i="1"/>
  <c r="V10" i="1" s="1"/>
  <c r="AL20" i="1"/>
  <c r="AM20" i="1"/>
  <c r="M10" i="20"/>
  <c r="BK10" i="20"/>
  <c r="AJ11" i="1" s="1"/>
  <c r="M15" i="20"/>
  <c r="BK15" i="20"/>
  <c r="AJ16" i="1" s="1"/>
  <c r="M14" i="20"/>
  <c r="BK14" i="20"/>
  <c r="AJ15" i="1" s="1"/>
  <c r="M12" i="20"/>
  <c r="BK12" i="20"/>
  <c r="AJ13" i="1" s="1"/>
  <c r="M18" i="20"/>
  <c r="BK18" i="20"/>
  <c r="AJ19" i="1" s="1"/>
  <c r="M16" i="20"/>
  <c r="BK16" i="20"/>
  <c r="AJ17" i="1" s="1"/>
  <c r="M13" i="20"/>
  <c r="BK13" i="20"/>
  <c r="AJ14" i="1" s="1"/>
  <c r="M19" i="20"/>
  <c r="BK19" i="20"/>
  <c r="AJ20" i="1" s="1"/>
  <c r="M17" i="20"/>
  <c r="BK17" i="20"/>
  <c r="AJ18" i="1" s="1"/>
  <c r="M11" i="20"/>
  <c r="BK11" i="20"/>
  <c r="AJ12" i="1" s="1"/>
  <c r="W29" i="1" l="1"/>
  <c r="AF29" i="1" s="1"/>
  <c r="W30" i="1"/>
  <c r="AF30" i="1" s="1"/>
  <c r="AP20" i="1"/>
  <c r="U2" i="1"/>
  <c r="W28" i="1"/>
  <c r="AF28" i="1" s="1"/>
  <c r="W27" i="1"/>
  <c r="AF27" i="1" s="1"/>
  <c r="V2" i="1"/>
  <c r="W26" i="1"/>
  <c r="AF26" i="1" s="1"/>
  <c r="W25" i="1"/>
  <c r="AF25" i="1" s="1"/>
  <c r="W12" i="1"/>
  <c r="AF12" i="1" s="1"/>
  <c r="W14" i="1"/>
  <c r="AF14" i="1" s="1"/>
  <c r="W11" i="1"/>
  <c r="W13" i="1"/>
  <c r="AF13" i="1" s="1"/>
  <c r="W15" i="1"/>
  <c r="AF15" i="1" s="1"/>
  <c r="W16" i="1"/>
  <c r="AF16" i="1" s="1"/>
  <c r="W17" i="1"/>
  <c r="AF17" i="1" s="1"/>
  <c r="W18" i="1"/>
  <c r="AF18" i="1" s="1"/>
  <c r="W19" i="1"/>
  <c r="AF19" i="1" s="1"/>
  <c r="W20" i="1"/>
  <c r="AF20" i="1" s="1"/>
  <c r="W21" i="1"/>
  <c r="AF21" i="1" s="1"/>
  <c r="W22" i="1"/>
  <c r="AF22" i="1" s="1"/>
  <c r="W23" i="1"/>
  <c r="AF23" i="1" s="1"/>
  <c r="W24" i="1"/>
  <c r="AF24" i="1" s="1"/>
  <c r="AN21" i="1"/>
  <c r="AO21" i="1"/>
  <c r="BK30" i="20"/>
  <c r="Y30" i="1" l="1"/>
  <c r="AE30" i="1" s="1"/>
  <c r="AK30" i="1" s="1"/>
  <c r="Y29" i="1"/>
  <c r="AE29" i="1" s="1"/>
  <c r="AK29" i="1" s="1"/>
  <c r="AF11" i="1"/>
  <c r="AF31" i="1" s="1"/>
  <c r="W31" i="1"/>
  <c r="Y27" i="1"/>
  <c r="AE27" i="1" s="1"/>
  <c r="AK27" i="1" s="1"/>
  <c r="Y28" i="1"/>
  <c r="AE28" i="1" s="1"/>
  <c r="AK28" i="1" s="1"/>
  <c r="Y26" i="1"/>
  <c r="AE26" i="1" s="1"/>
  <c r="Y25" i="1"/>
  <c r="AE25" i="1" s="1"/>
  <c r="AK25" i="1" s="1"/>
  <c r="AJ26" i="1"/>
  <c r="AJ31" i="1" s="1"/>
  <c r="AN13" i="1"/>
  <c r="AO13" i="1"/>
  <c r="AO31" i="1" s="1"/>
  <c r="AL21" i="1"/>
  <c r="AP21" i="1" s="1"/>
  <c r="AM21" i="1"/>
  <c r="Y11" i="1" l="1"/>
  <c r="Y24" i="1"/>
  <c r="AE24" i="1" s="1"/>
  <c r="AK24" i="1" s="1"/>
  <c r="Y23" i="1"/>
  <c r="AE23" i="1" s="1"/>
  <c r="AK23" i="1" s="1"/>
  <c r="Y22" i="1"/>
  <c r="AE22" i="1" s="1"/>
  <c r="AK22" i="1" s="1"/>
  <c r="Y21" i="1"/>
  <c r="AE21" i="1" s="1"/>
  <c r="Y20" i="1"/>
  <c r="AE20" i="1" s="1"/>
  <c r="Y19" i="1"/>
  <c r="AE19" i="1" s="1"/>
  <c r="Y18" i="1"/>
  <c r="AE18" i="1" s="1"/>
  <c r="Y17" i="1"/>
  <c r="AE17" i="1" s="1"/>
  <c r="Y16" i="1"/>
  <c r="AE16" i="1" s="1"/>
  <c r="Y15" i="1"/>
  <c r="AE15" i="1" s="1"/>
  <c r="Y14" i="1"/>
  <c r="AE14" i="1" s="1"/>
  <c r="Y13" i="1"/>
  <c r="AE13" i="1" s="1"/>
  <c r="Y12" i="1"/>
  <c r="AE12" i="1" s="1"/>
  <c r="AL13" i="1"/>
  <c r="AM13" i="1"/>
  <c r="AM31" i="1" s="1"/>
  <c r="AP13" i="1" l="1"/>
  <c r="AE11" i="1"/>
  <c r="Y31" i="1"/>
  <c r="AE31" i="1" l="1"/>
  <c r="BJ10" i="20"/>
  <c r="AI11" i="1" s="1"/>
  <c r="AK11" i="1" s="1"/>
  <c r="BJ16" i="20" l="1"/>
  <c r="AI17" i="1" s="1"/>
  <c r="AK17" i="1" s="1"/>
  <c r="BJ13" i="20"/>
  <c r="AI14" i="1" s="1"/>
  <c r="AK14" i="1" s="1"/>
  <c r="BJ20" i="20"/>
  <c r="AI21" i="1" s="1"/>
  <c r="AK21" i="1" s="1"/>
  <c r="BJ15" i="20"/>
  <c r="AI16" i="1" s="1"/>
  <c r="AK16" i="1" s="1"/>
  <c r="BJ18" i="20"/>
  <c r="AI19" i="1" s="1"/>
  <c r="AK19" i="1" s="1"/>
  <c r="BJ11" i="20"/>
  <c r="AI12" i="1" s="1"/>
  <c r="AK12" i="1" s="1"/>
  <c r="BJ19" i="20"/>
  <c r="AI20" i="1" s="1"/>
  <c r="AK20" i="1" s="1"/>
  <c r="BJ17" i="20"/>
  <c r="AI18" i="1" s="1"/>
  <c r="AK18" i="1" s="1"/>
  <c r="BJ14" i="20"/>
  <c r="AI15" i="1" s="1"/>
  <c r="AK15" i="1" s="1"/>
  <c r="BJ12" i="20"/>
  <c r="AI13" i="1" s="1"/>
  <c r="AK13" i="1" s="1"/>
  <c r="BJ30" i="20" l="1"/>
  <c r="AI26" i="1" l="1"/>
  <c r="AK26" i="1" s="1"/>
  <c r="AK31" i="1" l="1"/>
  <c r="AI31" i="1"/>
  <c r="D14" i="17"/>
</calcChain>
</file>

<file path=xl/comments1.xml><?xml version="1.0" encoding="utf-8"?>
<comments xmlns="http://schemas.openxmlformats.org/spreadsheetml/2006/main">
  <authors>
    <author>PRODUCCION02</author>
  </authors>
  <commentList>
    <comment ref="P3" authorId="0" shapeId="0">
      <text>
        <r>
          <rPr>
            <b/>
            <sz val="8"/>
            <color indexed="81"/>
            <rFont val="Tahoma"/>
            <family val="2"/>
          </rPr>
          <t>COLOR DE ADVERTENCIA PARA LOS COMENTARIOS DE ALGUNA NOVEDAD</t>
        </r>
      </text>
    </comment>
    <comment ref="Q3" authorId="0" shapeId="0">
      <text>
        <r>
          <rPr>
            <b/>
            <sz val="8"/>
            <color indexed="81"/>
            <rFont val="Tahoma"/>
            <family val="2"/>
          </rPr>
          <t>COLOR DE ATENCION MEDICA DEL IESS O PARTICULAR JUSTIFICABLE</t>
        </r>
      </text>
    </comment>
    <comment ref="R3" authorId="0" shapeId="0">
      <text>
        <r>
          <rPr>
            <b/>
            <sz val="8"/>
            <color indexed="81"/>
            <rFont val="Tahoma"/>
            <family val="2"/>
          </rPr>
          <t xml:space="preserve">COLOR PARA LAS NOTAS DE ALGUN CAMBIO DE SALIDA O FERIADO DEL GRUPO </t>
        </r>
      </text>
    </comment>
    <comment ref="S3" authorId="0" shapeId="0">
      <text>
        <r>
          <rPr>
            <b/>
            <sz val="8"/>
            <color indexed="81"/>
            <rFont val="Tahoma"/>
            <family val="2"/>
          </rPr>
          <t>COLOR PARA SEÑALAR DE UN NUEVO TRABAJADOR QUE INGRESA O SE RETIRA DE LA EMPRESA</t>
        </r>
      </text>
    </comment>
    <comment ref="T3" authorId="0" shapeId="0">
      <text>
        <r>
          <rPr>
            <b/>
            <sz val="8"/>
            <color indexed="81"/>
            <rFont val="Tahoma"/>
            <family val="2"/>
          </rPr>
          <t>COLOR PARA SEÑALAR LA NOMINA DEL TRABAJADOR QUE RENUNCIA.</t>
        </r>
      </text>
    </comment>
    <comment ref="AA10" authorId="0" shapeId="0">
      <text>
        <r>
          <rPr>
            <b/>
            <sz val="9"/>
            <color indexed="81"/>
            <rFont val="Tahoma"/>
            <family val="2"/>
          </rPr>
          <t>Si un trabajador que faltare injustificadamente a su jornada completa de trabajo en la semana, solo tendra derecho a la renumeracion de 5 jornadas.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</rPr>
          <t>NO INGRESO A LABORAR MULTA DEL 10% REMUNERACION Y SE APLICA ART21.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INGRESO A LABORAR NO TRAE JUSTIFICATIVO DEL 03-06-19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NO INGRESO A LABORAR POR MOTIVOS DE CALAMIDAD DOMESTICA</t>
        </r>
      </text>
    </comment>
    <comment ref="J13" authorId="0" shapeId="0">
      <text>
        <r>
          <rPr>
            <b/>
            <sz val="9"/>
            <color indexed="81"/>
            <rFont val="Tahoma"/>
            <family val="2"/>
          </rPr>
          <t>INGRESA A LABORAR</t>
        </r>
      </text>
    </comment>
    <comment ref="N13" authorId="0" shapeId="0">
      <text>
        <r>
          <rPr>
            <b/>
            <sz val="9"/>
            <color indexed="81"/>
            <rFont val="Tahoma"/>
            <family val="2"/>
          </rPr>
          <t>SE DESCUENTA 8H POR EL LUNES 03-06-19
AUTORIZADO POR DON EDGAR CARPIO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SALE DESPUES DE LAS 17:30 POR PROBLEMAS DE SALUD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LA EMPRESA PAGA LOS 3 PRIMEROS DIAS</t>
        </r>
      </text>
    </comment>
    <comment ref="P15" authorId="0" shapeId="0">
      <text>
        <r>
          <rPr>
            <b/>
            <sz val="9"/>
            <color indexed="81"/>
            <rFont val="Tahoma"/>
            <family val="2"/>
          </rPr>
          <t>INGRESA A LABORAR TRAE CERTIFICADO MEDICO DEL MARTES 04-06-19 AL VIERNES 07-06-19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SE DESCUENTA 2H POR EL INGRESO DEL LUNES 03-06-19</t>
        </r>
      </text>
    </comment>
    <comment ref="G19" authorId="0" shapeId="0">
      <text>
        <r>
          <rPr>
            <b/>
            <sz val="9"/>
            <color indexed="81"/>
            <rFont val="Tahoma"/>
            <family val="2"/>
          </rPr>
          <t>SE DESCUENTA 2H POR EL INGRESO DEL LUNES 27-05-19</t>
        </r>
      </text>
    </comment>
    <comment ref="I19" authorId="0" shapeId="0">
      <text>
        <r>
          <rPr>
            <b/>
            <sz val="8"/>
            <color indexed="81"/>
            <rFont val="Tahoma"/>
            <family val="2"/>
          </rPr>
          <t>SE ADELANTA SALIDA Y FERIADO POR MOTIVOS DE PESCA INGRESA EL VIERNES 07-06-19</t>
        </r>
      </text>
    </comment>
    <comment ref="M19" authorId="0" shapeId="0">
      <text>
        <r>
          <rPr>
            <b/>
            <sz val="8"/>
            <color indexed="81"/>
            <rFont val="Tahoma"/>
            <family val="2"/>
          </rPr>
          <t>INGRESA A LABORAR</t>
        </r>
      </text>
    </comment>
    <comment ref="U19" authorId="0" shapeId="0">
      <text>
        <r>
          <rPr>
            <b/>
            <sz val="8"/>
            <color indexed="81"/>
            <rFont val="Tahoma"/>
            <family val="2"/>
          </rPr>
          <t>SE DESCUENTA 2H POR EL INGRESO DEL VIERNES 07-06-19</t>
        </r>
      </text>
    </comment>
    <comment ref="I21" authorId="0" shapeId="0">
      <text>
        <r>
          <rPr>
            <b/>
            <sz val="9"/>
            <color indexed="81"/>
            <rFont val="Tahoma"/>
            <family val="2"/>
          </rPr>
          <t>SALE DESPUES DE LABORAR</t>
        </r>
      </text>
    </comment>
    <comment ref="J21" authorId="0" shapeId="0">
      <text>
        <r>
          <rPr>
            <b/>
            <sz val="9"/>
            <color indexed="81"/>
            <rFont val="Tahoma"/>
            <family val="2"/>
          </rPr>
          <t>INICIA VACACIONES DEL DAÑO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INICIA A LABORAR NUEVO TRABAJADOR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PINTAR DE NARANJA PARA IDENTIFICAR AL TRABAJADOR QUE SE RETIRA DE LA EMPRESA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SALE CON RENUNCIA SE RETIRA DE LA EMPRESA</t>
        </r>
      </text>
    </comment>
  </commentList>
</comments>
</file>

<file path=xl/comments2.xml><?xml version="1.0" encoding="utf-8"?>
<comments xmlns="http://schemas.openxmlformats.org/spreadsheetml/2006/main">
  <authors>
    <author>PRODUCCION02</author>
  </authors>
  <commentList>
    <comment ref="F5" authorId="0" shapeId="0">
      <text>
        <r>
          <rPr>
            <b/>
            <sz val="12"/>
            <color indexed="81"/>
            <rFont val="Tahoma"/>
            <family val="2"/>
          </rPr>
          <t>SE INGRESA FECHA DE LA HORA EXTRA ENTREGADA POR EL JEFE DE CAMPO SE INGRESA DIA-MES-AÑO</t>
        </r>
      </text>
    </comment>
  </commentList>
</comments>
</file>

<file path=xl/connections.xml><?xml version="1.0" encoding="utf-8"?>
<connections xmlns="http://schemas.openxmlformats.org/spreadsheetml/2006/main">
  <connection id="1" sourceFile="C:\Users\DAVID\Dropbox\NOMINA TRANSFERENCIA.xlsm" odcFile="C:\Users\DAVID\Documents\Mis archivos de origen de datos\NOMINA TRANSFERENCIA Resumen$.odc" keepAlive="1" name="NOMINA TRANSFERENCIA Resumen$" type="5" refreshedVersion="5" background="1" saveData="1">
    <dbPr connection="Provider=Microsoft.ACE.OLEDB.12.0;User ID=Admin;Data Source=C:\Users\DAVID\Dropbox\NOMINA TRANSFERENCIA.xlsm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sumen$" commandType="3"/>
  </connection>
</connections>
</file>

<file path=xl/sharedStrings.xml><?xml version="1.0" encoding="utf-8"?>
<sst xmlns="http://schemas.openxmlformats.org/spreadsheetml/2006/main" count="1057" uniqueCount="210">
  <si>
    <t>NOMINA</t>
  </si>
  <si>
    <t>CARGO</t>
  </si>
  <si>
    <t>S</t>
  </si>
  <si>
    <t>D</t>
  </si>
  <si>
    <t>L</t>
  </si>
  <si>
    <t>M</t>
  </si>
  <si>
    <t>Mi</t>
  </si>
  <si>
    <t>J</t>
  </si>
  <si>
    <t>V</t>
  </si>
  <si>
    <t>NOCHES POR PESCA</t>
  </si>
  <si>
    <t>Cargos</t>
  </si>
  <si>
    <t>Valor</t>
  </si>
  <si>
    <t>TRANSFERENCIAS</t>
  </si>
  <si>
    <t>PESCAS</t>
  </si>
  <si>
    <t>No.</t>
  </si>
  <si>
    <t>TOTAL POR PESCA</t>
  </si>
  <si>
    <t>No. DE NOCHES</t>
  </si>
  <si>
    <t>DÍAS TRAB.</t>
  </si>
  <si>
    <t>DIARIO</t>
  </si>
  <si>
    <t>QUINCENA</t>
  </si>
  <si>
    <t>CARGOS</t>
  </si>
  <si>
    <t>ALBAÑIL</t>
  </si>
  <si>
    <t>SUELDO BASICO</t>
  </si>
  <si>
    <t>GUARDIA</t>
  </si>
  <si>
    <t>BOMBERO</t>
  </si>
  <si>
    <t>OPERADOR</t>
  </si>
  <si>
    <t>AYUD. CAPATAZ</t>
  </si>
  <si>
    <t>ESCOJEDORA</t>
  </si>
  <si>
    <t>ARMIJOS MIÑAN ANGEL</t>
  </si>
  <si>
    <t>SOTO CANGO ROBER CORNELIO</t>
  </si>
  <si>
    <t>CANGO QUITO JOSE LEOVARDO</t>
  </si>
  <si>
    <t>Horas trabajadas</t>
  </si>
  <si>
    <t>HORAS EXTRAS USD</t>
  </si>
  <si>
    <t>HORAS EXTRAS</t>
  </si>
  <si>
    <t>MULTAS</t>
  </si>
  <si>
    <t>DIARIO *</t>
  </si>
  <si>
    <t>Cambio de puesto Guardia a Diario</t>
  </si>
  <si>
    <t>No. Cédula</t>
  </si>
  <si>
    <t>070219346-7</t>
  </si>
  <si>
    <t>230034363-5</t>
  </si>
  <si>
    <t>070406459-1</t>
  </si>
  <si>
    <t>110278326-1</t>
  </si>
  <si>
    <t>110315588-1</t>
  </si>
  <si>
    <t>070508993-6</t>
  </si>
  <si>
    <t>110377448-3</t>
  </si>
  <si>
    <t>OBSERVACIONES</t>
  </si>
  <si>
    <t>Bonificación voluntaria</t>
  </si>
  <si>
    <t>Bonificación 15NA</t>
  </si>
  <si>
    <t>PESQUERA SAN MIGUEL CIA. LTDA.</t>
  </si>
  <si>
    <t>REPORTE DE ASISTENCIA</t>
  </si>
  <si>
    <t>50% 16h01 -  24h00</t>
  </si>
  <si>
    <t>100% 24h01 - 06h00</t>
  </si>
  <si>
    <t>GOMEZ ESPINOZA GASTON SANTOS</t>
  </si>
  <si>
    <t>070200116-5</t>
  </si>
  <si>
    <t>CARPINTERO</t>
  </si>
  <si>
    <t>172485071-2</t>
  </si>
  <si>
    <t>BRAVO QUINTO JORGE DANIEL</t>
  </si>
  <si>
    <t>172755391-7</t>
  </si>
  <si>
    <t>CEDULA</t>
  </si>
  <si>
    <t>BONIFICACION</t>
  </si>
  <si>
    <t>172083882-8</t>
  </si>
  <si>
    <t>070733745-7</t>
  </si>
  <si>
    <t>110478338-4</t>
  </si>
  <si>
    <t>ASIST. BIOLOGO</t>
  </si>
  <si>
    <t>FECHA</t>
  </si>
  <si>
    <t>SI</t>
  </si>
  <si>
    <t>NOMBRE EMPLEADO</t>
  </si>
  <si>
    <t>SUELDO</t>
  </si>
  <si>
    <t>FECHA INGRESO</t>
  </si>
  <si>
    <t>DIRECCION</t>
  </si>
  <si>
    <t>GOZA F.R.</t>
  </si>
  <si>
    <t>FECHA SOLIC ACUM_F.R.</t>
  </si>
  <si>
    <t>ACUMULA XIII</t>
  </si>
  <si>
    <t>ACUMULA XIV</t>
  </si>
  <si>
    <t>#</t>
  </si>
  <si>
    <t>BANCO CTA.</t>
  </si>
  <si>
    <t># CTA. BANCO</t>
  </si>
  <si>
    <t>AVISO SALIDA</t>
  </si>
  <si>
    <t>CTA 9,45%</t>
  </si>
  <si>
    <t>PRESTAMO QUIROGRAF.</t>
  </si>
  <si>
    <t>PRESTAMO HIPOTEC.</t>
  </si>
  <si>
    <t>PRESTAMO EMPLEADO</t>
  </si>
  <si>
    <t>ANTICIPO EMPLEADO</t>
  </si>
  <si>
    <t>SUELDO X PAGAR</t>
  </si>
  <si>
    <t>070656723-7</t>
  </si>
  <si>
    <t>070250216-2</t>
  </si>
  <si>
    <t>110483502-8</t>
  </si>
  <si>
    <t>110571148-3</t>
  </si>
  <si>
    <t>CUEVA LUDEÑA MANUEL DE JESUS</t>
  </si>
  <si>
    <t>JARA ARMIJOS CESAR HOMERO</t>
  </si>
  <si>
    <t>010649082-4</t>
  </si>
  <si>
    <t>CASTILLO OCHOA HERIBERTO GUILLERMO</t>
  </si>
  <si>
    <t>110437810-2</t>
  </si>
  <si>
    <t>120653372-9</t>
  </si>
  <si>
    <t>120444433-3</t>
  </si>
  <si>
    <t>HERNANDEZ VALENCIA CARLOS ALBERTO</t>
  </si>
  <si>
    <t>ACUMULA FR</t>
  </si>
  <si>
    <t>MODO</t>
  </si>
  <si>
    <t>PINTA PINTA WILMER ROLANDO</t>
  </si>
  <si>
    <t>110576532-3</t>
  </si>
  <si>
    <t>ROL #:</t>
  </si>
  <si>
    <t>COPY EMPLEADO</t>
  </si>
  <si>
    <t>NOMINA EMPLEADOS DE CAMPO</t>
  </si>
  <si>
    <t>LABOR</t>
  </si>
  <si>
    <t>DESDE</t>
  </si>
  <si>
    <t>HASTA</t>
  </si>
  <si>
    <t>50% 16:01 - 24:00</t>
  </si>
  <si>
    <t>100% 24:01 - 06:00</t>
  </si>
  <si>
    <t>TOT HE 50%</t>
  </si>
  <si>
    <t>TOT HE 100%</t>
  </si>
  <si>
    <t>DEL</t>
  </si>
  <si>
    <t>AL</t>
  </si>
  <si>
    <t>REPORTE DE HORAS EXTRAS</t>
  </si>
  <si>
    <t>DIA:</t>
  </si>
  <si>
    <t># DIA-SEM:</t>
  </si>
  <si>
    <t>desde</t>
  </si>
  <si>
    <t>hasta</t>
  </si>
  <si>
    <t># rol</t>
  </si>
  <si>
    <t># DIA</t>
  </si>
  <si>
    <t>DIA</t>
  </si>
  <si>
    <t>INICIAL</t>
  </si>
  <si>
    <t>DOMINGO</t>
  </si>
  <si>
    <t>LUNES</t>
  </si>
  <si>
    <t>MARTES</t>
  </si>
  <si>
    <t>MIERCOLES</t>
  </si>
  <si>
    <t>JUEVES</t>
  </si>
  <si>
    <t>VIERNES</t>
  </si>
  <si>
    <t>SABADO</t>
  </si>
  <si>
    <t>TOT Sab Dom</t>
  </si>
  <si>
    <t>TOT Feriad</t>
  </si>
  <si>
    <t>H.E</t>
  </si>
  <si>
    <t>X</t>
  </si>
  <si>
    <t>100% 24:01 - 06:00 - Sab; Dom y Feriados</t>
  </si>
  <si>
    <t>OBSERVACIONES:</t>
  </si>
  <si>
    <t>Trabajo Noct</t>
  </si>
  <si>
    <t>F= Fin de Semana y Feriado</t>
  </si>
  <si>
    <t xml:space="preserve"> N= Trabajo Nocturno</t>
  </si>
  <si>
    <t>ELABRADO:</t>
  </si>
  <si>
    <t>REVISADO:</t>
  </si>
  <si>
    <t>VISTO BUENO</t>
  </si>
  <si>
    <t>NOTA.-</t>
  </si>
  <si>
    <t>EN EL CUADRITO SUPERIOR INFERIOR IZQUIERDO DE CADA DIA SE DIGITARA "F" SIEMPRE Y CUANDO ESE DIA SEA FERIADO EN LOS RANGOS DE LUNES A VIERNES</t>
  </si>
  <si>
    <t>MANUL DE USUARIO</t>
  </si>
  <si>
    <t>INGRESO H.E. Y TRANSFERENCIA</t>
  </si>
  <si>
    <t>EN PESTAÑA CONTROL H.E Y EN LA PESTAÑA CONTROL H.E. Transf. SE INGRESARA INFORMACION DE LA SIGUIENTE MANERA:</t>
  </si>
  <si>
    <t>SE DIGITARA 12-01 Y AUTOMATICAMENTE SALDRA FECHA.</t>
  </si>
  <si>
    <t>EN LAS PESTAÑA DE CONTROL DE H.E. Y Transf. ESTAN CREADAS 7 DIAS YA QUE ME CONFIRMO DON MIGUEL QUE EN UNA QUINCENA</t>
  </si>
  <si>
    <t>NO HACEN MAS DE TRES A CUATRO DIAS DE TRANSFERENCIA Y HORAS EXTRAS.</t>
  </si>
  <si>
    <t>EL CUADRITO SE ENCUENTRA EN LA PARTE SUPERIOR IZQUIERDA DE CADA DIA  ES PARA DIGITAR LA LETRA "F" SI ESE DIA ES FERIADO</t>
  </si>
  <si>
    <t>SIEMPRE Y CUANDO SEA EN LOS RANGOS DE LUNES A VIERNES.</t>
  </si>
  <si>
    <t>SI LAS HORAS EXTRAS CAE UN FERIADO O FIN DE SEMANA, LA CELDA DONDE APARECE "INGRESAR HORAS EXTRAS" APARECERA OTRO MENSAJE</t>
  </si>
  <si>
    <t>Y CAMBIARA DE COLOR LA CELDA INDICANDO QUE ESE DIA SOLO SE DEBE INGRESAR DATOS DE H.E. AL 100%</t>
  </si>
  <si>
    <t>EJEMPLO:</t>
  </si>
  <si>
    <t>COMO VERAS SALE EL MENSAJE ANTES MENCIONADO Y SI TU VEZ QUE INGRESA DATOS EN H.E. 50% NO TE CALCULA NADA POR LO TANTO DEBE SER INGRESADO</t>
  </si>
  <si>
    <t>A H.E. AL 100%. CABE RECORDAR QUE LOS DATOS DEBE DE INGRESAR EN FORMATO DE HORA POR EJEMPLO DE 5 A 6 DE LA TARDE SE DEBE ESCRIBIR DESDE 17:00 HASTA 18:00</t>
  </si>
  <si>
    <t>CUANDO ES DESPUES DE LAS 24 HORAS SE PUEDE ESCRIBIR DE DOS MANERA EJEMPLO SI TRABAJO DE 1 A 3 DE LA MADRUGADA SE DIGITARA DESDE 1:00 HASTA 3:00 O</t>
  </si>
  <si>
    <t>DESDE 25:00 HASTA 28:00 Y CALCULARA LAS HORAS QUE LABORO.</t>
  </si>
  <si>
    <t>ESPERANDO QUE QUEDE TODO EN CLARO CUALQUIER INQUIETUD HACERLO CONOCER AL DEPARTAMENTO DE CONTABILIDAD.</t>
  </si>
  <si>
    <t>FIRMA</t>
  </si>
  <si>
    <t>LAS HOJAS FIRMA H.E. Y Transf. ESO ES PARA QUE IMPRIMAS LAS COPIAS QUE SEAN NECESARIA Y DAR A LAS PERSONAS QUE TE REPORTAN LAS H.E. Y ESA INFORMACION</t>
  </si>
  <si>
    <t xml:space="preserve">TIENES QUE INGRESAR EN LAS H.E. </t>
  </si>
  <si>
    <t>¿COMO DEBE SER LLENADO ESTE REPORTE?</t>
  </si>
  <si>
    <t>SE ESCRIBIRA "F" SI ESE DIA ES FERIADO</t>
  </si>
  <si>
    <t>EN LOS RANGO DE LUNES A VIERNES</t>
  </si>
  <si>
    <t>DEBE SER ESCRITO LA FECHA O DIA DONDE</t>
  </si>
  <si>
    <t>REALIZARAN LA ACTIVIDAD DE H.E. O TRANSF.</t>
  </si>
  <si>
    <t>SE ESCRIBE HORA INICIO DE H.E.</t>
  </si>
  <si>
    <t>SE ESCRIBE HORA FINAL DE H.E.</t>
  </si>
  <si>
    <t>SE ESCRIBE HORAS EXTRAS QUE REALIZO</t>
  </si>
  <si>
    <t>SE ESCRIBE LABOR O ACTIVIDAD QUE REALIZO</t>
  </si>
  <si>
    <t>SE DEBE HACER FIRMAR POR EL TRABAJADOR</t>
  </si>
  <si>
    <t>Art 21</t>
  </si>
  <si>
    <t>SIMANCAS AGUILAR DAVID MOISES</t>
  </si>
  <si>
    <t>110506978-3</t>
  </si>
  <si>
    <t>110514219-2</t>
  </si>
  <si>
    <t>CANGO CUEVA FRANCISCO ARMANDO</t>
  </si>
  <si>
    <t>NO</t>
  </si>
  <si>
    <t>6.- Gavetero</t>
  </si>
  <si>
    <t>2.- Pesador</t>
  </si>
  <si>
    <t>1.- Bolsero</t>
  </si>
  <si>
    <t>5.- Ayu.Tratador</t>
  </si>
  <si>
    <t>3.- Estibador</t>
  </si>
  <si>
    <t>7.- Chofer</t>
  </si>
  <si>
    <t>4.- Tratador</t>
  </si>
  <si>
    <t>8.- Campamento</t>
  </si>
  <si>
    <t>080297728-0</t>
  </si>
  <si>
    <t>1440040523</t>
  </si>
  <si>
    <t>CHILA QUIÑONEZ KLEBER FELIPE</t>
  </si>
  <si>
    <t>171647229-3</t>
  </si>
  <si>
    <t>SIMANCAS QUEZADA ORLANDO BAUDILIO</t>
  </si>
  <si>
    <t>ELABORADO: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</si>
  <si>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</si>
  <si>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APELLIDOS Y NOMBRES</t>
  </si>
  <si>
    <t>FUNCION</t>
  </si>
  <si>
    <t>CONT</t>
  </si>
  <si>
    <t>110581984-9</t>
  </si>
  <si>
    <t>CHAMBA CANGO DARIO JAVIER</t>
  </si>
  <si>
    <t>LOJA, NAMBACOLA</t>
  </si>
  <si>
    <t>PINTA PINTA OMAR PATRICIO</t>
  </si>
  <si>
    <t>110523439-5</t>
  </si>
  <si>
    <t>LUNA PINTA JUAN DIEGO</t>
  </si>
  <si>
    <t>115025173-2</t>
  </si>
  <si>
    <t>GONZAGA ALVARADO LUIS FERNANDO</t>
  </si>
  <si>
    <t>110411083-6</t>
  </si>
  <si>
    <t>SIMANCAS CANGO EDISON JOVANY</t>
  </si>
  <si>
    <t>110577394-7</t>
  </si>
  <si>
    <t>F</t>
  </si>
  <si>
    <t>SE TIENE QUE INGRESAR EL DIA CON EL FORMATO DE FECHA EJEMPLO: QUIERO INGRESAR EL 12 DE ENERO DEL 2019</t>
  </si>
  <si>
    <t>HORAS EXTRAS TRANSFERENCIA</t>
  </si>
  <si>
    <t>NOTA: POR MOTIVOS DE PESCA SE ADELANTA SALIDA Y FERIADO DEL GRUPO#1 SALEN FECHA LUNES 03-06-19 E INGRESAN EL VIERNES 07-06-19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</si>
</sst>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_(&quot;$&quot;\ * #,##0.00_);_(&quot;$&quot;\ * \(#,##0.00\);_(&quot;$&quot;\ * &quot;-&quot;??_);_(@_)"/>
    <numFmt numFmtId="165" formatCode="_(* #,##0.00_);_(* \(#,##0.00\);_(* &quot;-&quot;??_);_(@_)"/>
    <numFmt numFmtId="166" formatCode="&quot;$&quot;#,##0.00"/>
    <numFmt numFmtId="167" formatCode="[$$-409]#,##0.00"/>
    <numFmt numFmtId="168" formatCode="000\-0000000"/>
    <numFmt numFmtId="169" formatCode="[$-C0A]mmmm\-yy;@"/>
    <numFmt numFmtId="170" formatCode="_(* #,##0_);_(* \(#,##0\);_(* &quot;-&quot;??_);_(@_)"/>
    <numFmt numFmtId="171" formatCode="[$-C0A]d\ &quot;de&quot;\ mmmm\ &quot;de&quot;\ yyyy;@"/>
    <numFmt numFmtId="172" formatCode="[$-40A]dddd\,\ dd&quot; de &quot;mmmm&quot; de &quot;yyyy;@"/>
    <numFmt numFmtId="173" formatCode="_(* #,##0.0_);_(* \(#,##0.0\);_(* &quot;-&quot;??_);_(@_)"/>
    <numFmt numFmtId="174" formatCode="_(* #,##0.0_);_(* \(#,##0.0\);_(* &quot;-&quot;?_);_(@_)"/>
    <numFmt numFmtId="175" formatCode="h:mm;@"/>
    <numFmt numFmtId="176" formatCode="h:mm:ss;@"/>
    <numFmt numFmtId="177" formatCode="dd/mm/yyyy;@"/>
    <numFmt numFmtId="178" formatCode="[$-F800]dddd\,\ mmmm\ dd\,\ yyyy"/>
    <numFmt numFmtId="179" formatCode="[$-300A]dddd\,\ dd&quot; de &quot;mmmm&quot; de &quot;yy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Palatino Linotype"/>
      <family val="1"/>
    </font>
    <font>
      <sz val="10.5"/>
      <name val="Palatino Linotype"/>
      <family val="1"/>
    </font>
    <font>
      <b/>
      <sz val="12"/>
      <name val="Palatino Linotype"/>
      <family val="1"/>
    </font>
    <font>
      <sz val="10"/>
      <name val="Arial"/>
      <family val="2"/>
    </font>
    <font>
      <sz val="10"/>
      <name val="Calibri"/>
      <family val="1"/>
      <scheme val="minor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Times New Roman"/>
      <family val="1"/>
    </font>
    <font>
      <b/>
      <sz val="9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Palatino Linotype"/>
      <family val="1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Palatino Linotype"/>
      <family val="1"/>
    </font>
    <font>
      <b/>
      <sz val="10"/>
      <name val="Century Schoolbook"/>
      <family val="1"/>
    </font>
    <font>
      <sz val="11"/>
      <color theme="1"/>
      <name val="Calibri"/>
      <family val="2"/>
    </font>
    <font>
      <sz val="9"/>
      <color rgb="FF00000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8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b/>
      <sz val="12"/>
      <color indexed="81"/>
      <name val="Tahoma"/>
      <family val="2"/>
    </font>
    <font>
      <b/>
      <sz val="20"/>
      <color theme="0"/>
      <name val="Calibri"/>
      <family val="2"/>
      <scheme val="minor"/>
    </font>
    <font>
      <b/>
      <sz val="8"/>
      <color indexed="81"/>
      <name val="Tahoma"/>
      <family val="2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2D69A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0" fontId="6" fillId="0" borderId="0"/>
    <xf numFmtId="0" fontId="7" fillId="0" borderId="0"/>
    <xf numFmtId="166" fontId="2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2" borderId="6" applyNumberFormat="0" applyAlignment="0" applyProtection="0"/>
    <xf numFmtId="0" fontId="10" fillId="3" borderId="6" applyNumberFormat="0" applyAlignment="0" applyProtection="0"/>
    <xf numFmtId="0" fontId="11" fillId="0" borderId="0"/>
    <xf numFmtId="0" fontId="12" fillId="0" borderId="0"/>
    <xf numFmtId="0" fontId="13" fillId="0" borderId="0"/>
    <xf numFmtId="0" fontId="1" fillId="0" borderId="0"/>
    <xf numFmtId="0" fontId="2" fillId="0" borderId="0"/>
    <xf numFmtId="0" fontId="2" fillId="0" borderId="0"/>
  </cellStyleXfs>
  <cellXfs count="372">
    <xf numFmtId="0" fontId="0" fillId="0" borderId="0" xfId="0"/>
    <xf numFmtId="0" fontId="14" fillId="0" borderId="0" xfId="12" applyFont="1" applyBorder="1"/>
    <xf numFmtId="167" fontId="14" fillId="0" borderId="0" xfId="12" applyNumberFormat="1" applyFont="1" applyBorder="1" applyAlignment="1">
      <alignment horizontal="right"/>
    </xf>
    <xf numFmtId="0" fontId="15" fillId="0" borderId="0" xfId="0" applyFont="1" applyFill="1" applyProtection="1">
      <protection locked="0"/>
    </xf>
    <xf numFmtId="0" fontId="17" fillId="0" borderId="1" xfId="0" applyFont="1" applyFill="1" applyBorder="1" applyAlignment="1" applyProtection="1">
      <alignment horizontal="center"/>
      <protection locked="0"/>
    </xf>
    <xf numFmtId="0" fontId="18" fillId="0" borderId="0" xfId="0" applyFont="1" applyFill="1" applyProtection="1">
      <protection locked="0"/>
    </xf>
    <xf numFmtId="0" fontId="15" fillId="0" borderId="1" xfId="0" applyFont="1" applyFill="1" applyBorder="1" applyAlignment="1" applyProtection="1">
      <alignment horizontal="left"/>
      <protection locked="0"/>
    </xf>
    <xf numFmtId="0" fontId="15" fillId="0" borderId="1" xfId="0" applyFont="1" applyFill="1" applyBorder="1" applyAlignment="1" applyProtection="1">
      <alignment horizontal="center"/>
      <protection locked="0"/>
    </xf>
    <xf numFmtId="0" fontId="15" fillId="0" borderId="0" xfId="1" applyNumberFormat="1" applyFont="1" applyFill="1" applyProtection="1">
      <protection locked="0"/>
    </xf>
    <xf numFmtId="165" fontId="15" fillId="0" borderId="0" xfId="1" applyFont="1" applyFill="1" applyProtection="1">
      <protection locked="0"/>
    </xf>
    <xf numFmtId="0" fontId="15" fillId="0" borderId="1" xfId="0" applyFont="1" applyFill="1" applyBorder="1" applyProtection="1"/>
    <xf numFmtId="2" fontId="15" fillId="0" borderId="1" xfId="0" applyNumberFormat="1" applyFont="1" applyFill="1" applyBorder="1" applyProtection="1"/>
    <xf numFmtId="165" fontId="15" fillId="0" borderId="1" xfId="1" applyFont="1" applyFill="1" applyBorder="1" applyProtection="1"/>
    <xf numFmtId="0" fontId="15" fillId="0" borderId="1" xfId="0" applyFont="1" applyFill="1" applyBorder="1" applyAlignment="1" applyProtection="1">
      <alignment horizontal="center"/>
    </xf>
    <xf numFmtId="164" fontId="15" fillId="0" borderId="0" xfId="2" applyFont="1" applyFill="1" applyProtection="1"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164" fontId="16" fillId="0" borderId="1" xfId="2" applyFont="1" applyFill="1" applyBorder="1" applyAlignment="1" applyProtection="1">
      <alignment horizontal="center" vertical="center" wrapText="1"/>
      <protection locked="0"/>
    </xf>
    <xf numFmtId="0" fontId="19" fillId="0" borderId="1" xfId="0" applyFont="1" applyFill="1" applyBorder="1" applyAlignment="1" applyProtection="1">
      <alignment horizontal="center" vertical="center" wrapText="1"/>
      <protection locked="0"/>
    </xf>
    <xf numFmtId="9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Protection="1">
      <protection locked="0"/>
    </xf>
    <xf numFmtId="165" fontId="0" fillId="0" borderId="1" xfId="1" applyFont="1" applyFill="1" applyBorder="1" applyProtection="1">
      <protection locked="0"/>
    </xf>
    <xf numFmtId="0" fontId="0" fillId="0" borderId="0" xfId="0" applyFill="1" applyProtection="1">
      <protection locked="0"/>
    </xf>
    <xf numFmtId="165" fontId="15" fillId="0" borderId="5" xfId="1" applyFont="1" applyFill="1" applyBorder="1" applyProtection="1">
      <protection locked="0"/>
    </xf>
    <xf numFmtId="13" fontId="15" fillId="0" borderId="5" xfId="1" applyNumberFormat="1" applyFont="1" applyFill="1" applyBorder="1" applyProtection="1">
      <protection locked="0"/>
    </xf>
    <xf numFmtId="165" fontId="16" fillId="0" borderId="2" xfId="1" applyFont="1" applyFill="1" applyBorder="1" applyAlignment="1" applyProtection="1">
      <alignment horizontal="center" vertical="center" wrapText="1"/>
      <protection locked="0"/>
    </xf>
    <xf numFmtId="165" fontId="15" fillId="0" borderId="7" xfId="1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15" fillId="0" borderId="1" xfId="0" applyFont="1" applyFill="1" applyBorder="1" applyProtection="1">
      <protection locked="0"/>
    </xf>
    <xf numFmtId="49" fontId="15" fillId="0" borderId="1" xfId="0" applyNumberFormat="1" applyFont="1" applyFill="1" applyBorder="1" applyProtection="1">
      <protection locked="0"/>
    </xf>
    <xf numFmtId="49" fontId="0" fillId="0" borderId="1" xfId="0" applyNumberFormat="1" applyFill="1" applyBorder="1" applyProtection="1">
      <protection locked="0"/>
    </xf>
    <xf numFmtId="0" fontId="24" fillId="0" borderId="0" xfId="0" applyFont="1" applyAlignment="1">
      <alignment horizontal="center"/>
    </xf>
    <xf numFmtId="0" fontId="24" fillId="0" borderId="0" xfId="0" applyFont="1"/>
    <xf numFmtId="0" fontId="25" fillId="0" borderId="0" xfId="12" applyFont="1" applyBorder="1" applyAlignment="1">
      <alignment horizontal="center"/>
    </xf>
    <xf numFmtId="0" fontId="25" fillId="0" borderId="0" xfId="12" applyFont="1" applyBorder="1"/>
    <xf numFmtId="167" fontId="25" fillId="0" borderId="0" xfId="12" applyNumberFormat="1" applyFont="1" applyBorder="1"/>
    <xf numFmtId="167" fontId="25" fillId="0" borderId="0" xfId="12" applyNumberFormat="1" applyFont="1" applyBorder="1" applyAlignment="1">
      <alignment horizontal="right"/>
    </xf>
    <xf numFmtId="0" fontId="21" fillId="0" borderId="0" xfId="0" applyFont="1"/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7" fillId="0" borderId="1" xfId="0" applyFont="1" applyFill="1" applyBorder="1" applyAlignment="1" applyProtection="1">
      <alignment horizontal="center" vertical="center"/>
      <protection locked="0"/>
    </xf>
    <xf numFmtId="165" fontId="24" fillId="0" borderId="0" xfId="1" applyFont="1"/>
    <xf numFmtId="165" fontId="26" fillId="0" borderId="1" xfId="1" applyFont="1" applyBorder="1" applyAlignment="1">
      <alignment horizontal="center" vertical="center"/>
    </xf>
    <xf numFmtId="165" fontId="25" fillId="0" borderId="0" xfId="1" applyFont="1" applyBorder="1" applyAlignment="1">
      <alignment horizontal="right"/>
    </xf>
    <xf numFmtId="165" fontId="25" fillId="0" borderId="0" xfId="1" applyFont="1" applyBorder="1"/>
    <xf numFmtId="14" fontId="24" fillId="0" borderId="0" xfId="0" applyNumberFormat="1" applyFont="1"/>
    <xf numFmtId="0" fontId="15" fillId="0" borderId="0" xfId="0" applyFont="1" applyFill="1" applyAlignment="1" applyProtection="1">
      <alignment horizontal="center"/>
      <protection locked="0"/>
    </xf>
    <xf numFmtId="0" fontId="12" fillId="0" borderId="0" xfId="0" applyFont="1" applyAlignment="1">
      <alignment horizontal="center"/>
    </xf>
    <xf numFmtId="0" fontId="16" fillId="0" borderId="0" xfId="0" applyFont="1" applyFill="1" applyAlignment="1" applyProtection="1">
      <alignment horizontal="right"/>
      <protection locked="0"/>
    </xf>
    <xf numFmtId="169" fontId="15" fillId="0" borderId="0" xfId="2" applyNumberFormat="1" applyFont="1" applyFill="1" applyProtection="1">
      <protection locked="0"/>
    </xf>
    <xf numFmtId="0" fontId="18" fillId="0" borderId="0" xfId="0" applyFont="1" applyFill="1" applyAlignment="1" applyProtection="1">
      <alignment horizontal="center"/>
      <protection locked="0"/>
    </xf>
    <xf numFmtId="0" fontId="16" fillId="0" borderId="1" xfId="0" applyFont="1" applyFill="1" applyBorder="1" applyAlignment="1" applyProtection="1">
      <alignment horizontal="center"/>
      <protection locked="0"/>
    </xf>
    <xf numFmtId="164" fontId="16" fillId="0" borderId="1" xfId="2" applyFont="1" applyFill="1" applyBorder="1" applyAlignment="1" applyProtection="1">
      <alignment horizontal="center"/>
      <protection locked="0"/>
    </xf>
    <xf numFmtId="0" fontId="20" fillId="0" borderId="0" xfId="0" applyFont="1" applyFill="1" applyProtection="1">
      <protection locked="0"/>
    </xf>
    <xf numFmtId="0" fontId="16" fillId="0" borderId="0" xfId="0" applyFont="1" applyFill="1" applyProtection="1">
      <protection locked="0"/>
    </xf>
    <xf numFmtId="0" fontId="15" fillId="0" borderId="0" xfId="2" applyNumberFormat="1" applyFont="1" applyFill="1" applyProtection="1">
      <protection locked="0"/>
    </xf>
    <xf numFmtId="0" fontId="16" fillId="0" borderId="2" xfId="0" applyFont="1" applyFill="1" applyBorder="1" applyAlignment="1" applyProtection="1">
      <alignment horizontal="center" vertical="center" wrapText="1"/>
      <protection locked="0"/>
    </xf>
    <xf numFmtId="0" fontId="15" fillId="0" borderId="2" xfId="0" applyFont="1" applyFill="1" applyBorder="1" applyProtection="1"/>
    <xf numFmtId="0" fontId="15" fillId="0" borderId="2" xfId="0" applyFont="1" applyFill="1" applyBorder="1" applyProtection="1">
      <protection locked="0"/>
    </xf>
    <xf numFmtId="0" fontId="0" fillId="0" borderId="2" xfId="0" applyFill="1" applyBorder="1" applyProtection="1">
      <protection locked="0"/>
    </xf>
    <xf numFmtId="9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Alignment="1" applyProtection="1">
      <alignment horizontal="center"/>
      <protection locked="0"/>
    </xf>
    <xf numFmtId="0" fontId="16" fillId="0" borderId="18" xfId="0" applyFont="1" applyFill="1" applyBorder="1" applyAlignment="1" applyProtection="1">
      <protection locked="0"/>
    </xf>
    <xf numFmtId="0" fontId="16" fillId="0" borderId="0" xfId="0" applyFont="1" applyFill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/>
      <protection locked="0"/>
    </xf>
    <xf numFmtId="0" fontId="15" fillId="0" borderId="1" xfId="2" applyNumberFormat="1" applyFont="1" applyFill="1" applyBorder="1" applyAlignment="1" applyProtection="1">
      <alignment horizontal="center"/>
      <protection locked="0"/>
    </xf>
    <xf numFmtId="0" fontId="23" fillId="0" borderId="9" xfId="0" applyFont="1" applyFill="1" applyBorder="1" applyAlignment="1" applyProtection="1">
      <alignment horizontal="center" vertical="center" wrapText="1"/>
      <protection locked="0"/>
    </xf>
    <xf numFmtId="0" fontId="23" fillId="0" borderId="12" xfId="0" applyFont="1" applyFill="1" applyBorder="1" applyAlignment="1" applyProtection="1">
      <alignment wrapText="1"/>
      <protection locked="0"/>
    </xf>
    <xf numFmtId="0" fontId="15" fillId="0" borderId="21" xfId="0" applyFont="1" applyFill="1" applyBorder="1" applyAlignment="1" applyProtection="1">
      <alignment horizontal="center"/>
      <protection locked="0"/>
    </xf>
    <xf numFmtId="0" fontId="23" fillId="0" borderId="8" xfId="0" applyFont="1" applyFill="1" applyBorder="1" applyAlignment="1" applyProtection="1">
      <alignment horizontal="center" vertical="center" wrapText="1"/>
      <protection locked="0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20" fontId="23" fillId="0" borderId="8" xfId="0" applyNumberFormat="1" applyFont="1" applyFill="1" applyBorder="1" applyAlignment="1" applyProtection="1">
      <alignment horizontal="center" vertical="center" wrapText="1"/>
      <protection locked="0"/>
    </xf>
    <xf numFmtId="20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10" xfId="0" applyFont="1" applyFill="1" applyBorder="1" applyAlignment="1" applyProtection="1">
      <alignment horizontal="center" vertical="center" wrapText="1"/>
      <protection locked="0"/>
    </xf>
    <xf numFmtId="0" fontId="23" fillId="0" borderId="11" xfId="0" applyFont="1" applyFill="1" applyBorder="1" applyAlignment="1" applyProtection="1">
      <alignment horizontal="center" vertical="center" wrapText="1"/>
      <protection locked="0"/>
    </xf>
    <xf numFmtId="20" fontId="23" fillId="0" borderId="11" xfId="0" applyNumberFormat="1" applyFont="1" applyFill="1" applyBorder="1" applyAlignment="1" applyProtection="1">
      <alignment horizontal="center" vertical="center" wrapText="1"/>
      <protection locked="0"/>
    </xf>
    <xf numFmtId="170" fontId="15" fillId="0" borderId="1" xfId="1" applyNumberFormat="1" applyFont="1" applyFill="1" applyBorder="1" applyAlignment="1" applyProtection="1">
      <alignment horizontal="center" vertical="center"/>
      <protection locked="0"/>
    </xf>
    <xf numFmtId="170" fontId="15" fillId="0" borderId="11" xfId="1" applyNumberFormat="1" applyFont="1" applyFill="1" applyBorder="1" applyAlignment="1" applyProtection="1">
      <alignment horizontal="center" vertical="center"/>
      <protection locked="0"/>
    </xf>
    <xf numFmtId="0" fontId="16" fillId="6" borderId="33" xfId="0" applyFont="1" applyFill="1" applyBorder="1" applyAlignment="1" applyProtection="1">
      <alignment horizontal="center" vertical="center" wrapText="1"/>
      <protection locked="0"/>
    </xf>
    <xf numFmtId="0" fontId="16" fillId="6" borderId="34" xfId="0" applyFont="1" applyFill="1" applyBorder="1" applyAlignment="1" applyProtection="1">
      <alignment horizontal="center" vertical="center" wrapText="1"/>
      <protection locked="0"/>
    </xf>
    <xf numFmtId="9" fontId="16" fillId="6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9" xfId="0" applyFont="1" applyFill="1" applyBorder="1" applyAlignment="1" applyProtection="1">
      <alignment horizontal="center" vertical="center" wrapText="1"/>
      <protection locked="0"/>
    </xf>
    <xf numFmtId="0" fontId="16" fillId="7" borderId="33" xfId="0" applyFont="1" applyFill="1" applyBorder="1" applyAlignment="1" applyProtection="1">
      <alignment horizontal="center" vertical="center" wrapText="1"/>
      <protection locked="0"/>
    </xf>
    <xf numFmtId="0" fontId="16" fillId="7" borderId="34" xfId="0" applyFont="1" applyFill="1" applyBorder="1" applyAlignment="1" applyProtection="1">
      <alignment horizontal="center" vertical="center" wrapText="1"/>
      <protection locked="0"/>
    </xf>
    <xf numFmtId="9" fontId="16" fillId="7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7" borderId="19" xfId="0" applyFont="1" applyFill="1" applyBorder="1" applyAlignment="1" applyProtection="1">
      <alignment horizontal="center" vertical="center" wrapText="1"/>
      <protection locked="0"/>
    </xf>
    <xf numFmtId="0" fontId="16" fillId="0" borderId="0" xfId="1" applyNumberFormat="1" applyFont="1" applyFill="1" applyAlignment="1" applyProtection="1">
      <alignment horizontal="center"/>
      <protection locked="0"/>
    </xf>
    <xf numFmtId="171" fontId="15" fillId="0" borderId="0" xfId="1" applyNumberFormat="1" applyFont="1" applyFill="1" applyAlignment="1" applyProtection="1">
      <alignment horizontal="left"/>
      <protection locked="0"/>
    </xf>
    <xf numFmtId="0" fontId="23" fillId="0" borderId="0" xfId="1" applyNumberFormat="1" applyFont="1" applyFill="1" applyProtection="1">
      <protection locked="0"/>
    </xf>
    <xf numFmtId="0" fontId="28" fillId="0" borderId="0" xfId="0" applyFont="1" applyFill="1" applyAlignment="1" applyProtection="1">
      <alignment horizontal="right"/>
      <protection locked="0"/>
    </xf>
    <xf numFmtId="0" fontId="19" fillId="0" borderId="0" xfId="0" applyFont="1" applyFill="1" applyProtection="1">
      <protection locked="0"/>
    </xf>
    <xf numFmtId="0" fontId="16" fillId="0" borderId="0" xfId="1" applyNumberFormat="1" applyFont="1" applyFill="1" applyProtection="1">
      <protection locked="0"/>
    </xf>
    <xf numFmtId="0" fontId="0" fillId="0" borderId="1" xfId="0" applyFill="1" applyBorder="1" applyAlignment="1" applyProtection="1">
      <alignment horizontal="center"/>
    </xf>
    <xf numFmtId="46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173" fontId="15" fillId="0" borderId="1" xfId="1" applyNumberFormat="1" applyFont="1" applyFill="1" applyBorder="1" applyAlignment="1" applyProtection="1">
      <alignment horizontal="center" vertical="center"/>
      <protection locked="0"/>
    </xf>
    <xf numFmtId="173" fontId="15" fillId="0" borderId="11" xfId="1" applyNumberFormat="1" applyFont="1" applyFill="1" applyBorder="1" applyAlignment="1" applyProtection="1">
      <alignment horizontal="center" vertical="center"/>
      <protection locked="0"/>
    </xf>
    <xf numFmtId="0" fontId="28" fillId="0" borderId="1" xfId="0" applyFont="1" applyFill="1" applyBorder="1" applyProtection="1"/>
    <xf numFmtId="0" fontId="28" fillId="0" borderId="1" xfId="0" applyFont="1" applyFill="1" applyBorder="1" applyProtection="1">
      <protection locked="0"/>
    </xf>
    <xf numFmtId="0" fontId="30" fillId="0" borderId="1" xfId="0" applyFont="1" applyFill="1" applyBorder="1" applyAlignment="1" applyProtection="1">
      <alignment horizontal="center" vertical="center" wrapText="1"/>
      <protection locked="0"/>
    </xf>
    <xf numFmtId="0" fontId="31" fillId="0" borderId="1" xfId="0" applyFont="1" applyFill="1" applyBorder="1" applyAlignment="1" applyProtection="1">
      <alignment horizontal="center" vertical="center" wrapText="1"/>
      <protection locked="0"/>
    </xf>
    <xf numFmtId="0" fontId="28" fillId="0" borderId="0" xfId="1" applyNumberFormat="1" applyFont="1" applyFill="1" applyAlignment="1" applyProtection="1">
      <alignment horizontal="right"/>
      <protection locked="0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8" fillId="0" borderId="0" xfId="0" applyFont="1" applyFill="1" applyAlignment="1" applyProtection="1">
      <alignment horizontal="center" vertical="center"/>
      <protection locked="0"/>
    </xf>
    <xf numFmtId="0" fontId="30" fillId="0" borderId="0" xfId="0" applyFont="1" applyFill="1" applyAlignment="1" applyProtection="1">
      <alignment horizontal="center"/>
      <protection locked="0"/>
    </xf>
    <xf numFmtId="0" fontId="30" fillId="0" borderId="1" xfId="0" applyFont="1" applyFill="1" applyBorder="1" applyAlignment="1" applyProtection="1">
      <alignment horizontal="center"/>
      <protection locked="0"/>
    </xf>
    <xf numFmtId="0" fontId="21" fillId="0" borderId="35" xfId="0" applyFont="1" applyFill="1" applyBorder="1" applyAlignment="1" applyProtection="1">
      <alignment horizontal="center" vertical="center"/>
      <protection locked="0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5" fillId="0" borderId="0" xfId="3" applyFont="1" applyFill="1" applyAlignment="1" applyProtection="1">
      <alignment horizontal="left"/>
      <protection locked="0"/>
    </xf>
    <xf numFmtId="0" fontId="16" fillId="7" borderId="16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3" fillId="0" borderId="0" xfId="3" applyFont="1" applyFill="1" applyAlignment="1" applyProtection="1">
      <alignment horizontal="left"/>
      <protection locked="0"/>
    </xf>
    <xf numFmtId="0" fontId="16" fillId="0" borderId="0" xfId="0" applyFont="1" applyFill="1" applyAlignment="1" applyProtection="1">
      <alignment horizontal="center"/>
      <protection locked="0"/>
    </xf>
    <xf numFmtId="173" fontId="15" fillId="0" borderId="1" xfId="1" applyNumberFormat="1" applyFont="1" applyFill="1" applyBorder="1" applyAlignment="1" applyProtection="1">
      <alignment horizontal="center"/>
      <protection locked="0"/>
    </xf>
    <xf numFmtId="0" fontId="0" fillId="0" borderId="0" xfId="0" applyFill="1"/>
    <xf numFmtId="0" fontId="32" fillId="0" borderId="1" xfId="0" applyFont="1" applyFill="1" applyBorder="1" applyAlignment="1" applyProtection="1">
      <alignment horizontal="center"/>
      <protection locked="0"/>
    </xf>
    <xf numFmtId="0" fontId="16" fillId="0" borderId="0" xfId="0" applyFont="1" applyFill="1" applyAlignment="1" applyProtection="1">
      <alignment horizontal="center"/>
      <protection locked="0"/>
    </xf>
    <xf numFmtId="170" fontId="15" fillId="0" borderId="0" xfId="2" applyNumberFormat="1" applyFont="1" applyFill="1" applyProtection="1">
      <protection locked="0"/>
    </xf>
    <xf numFmtId="174" fontId="15" fillId="0" borderId="0" xfId="2" applyNumberFormat="1" applyFont="1" applyFill="1" applyProtection="1">
      <protection locked="0"/>
    </xf>
    <xf numFmtId="165" fontId="15" fillId="0" borderId="1" xfId="1" applyFont="1" applyFill="1" applyBorder="1" applyAlignment="1" applyProtection="1">
      <alignment horizontal="center" vertical="center"/>
      <protection locked="0"/>
    </xf>
    <xf numFmtId="20" fontId="23" fillId="0" borderId="16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36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/>
      <protection locked="0"/>
    </xf>
    <xf numFmtId="0" fontId="34" fillId="0" borderId="18" xfId="0" applyFont="1" applyFill="1" applyBorder="1" applyAlignment="1" applyProtection="1">
      <protection locked="0"/>
    </xf>
    <xf numFmtId="0" fontId="33" fillId="11" borderId="38" xfId="1" applyNumberFormat="1" applyFont="1" applyFill="1" applyBorder="1" applyAlignment="1" applyProtection="1">
      <alignment horizontal="center"/>
      <protection locked="0"/>
    </xf>
    <xf numFmtId="175" fontId="23" fillId="0" borderId="8" xfId="0" applyNumberFormat="1" applyFont="1" applyFill="1" applyBorder="1" applyAlignment="1" applyProtection="1">
      <alignment horizontal="center" vertical="center" wrapText="1"/>
      <protection locked="0"/>
    </xf>
    <xf numFmtId="175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4" fillId="12" borderId="1" xfId="0" applyFont="1" applyFill="1" applyBorder="1" applyAlignment="1" applyProtection="1">
      <alignment horizontal="center" vertical="center" wrapText="1"/>
      <protection locked="0"/>
    </xf>
    <xf numFmtId="0" fontId="35" fillId="12" borderId="1" xfId="0" applyFont="1" applyFill="1" applyBorder="1" applyAlignment="1" applyProtection="1">
      <alignment horizontal="center"/>
      <protection locked="0"/>
    </xf>
    <xf numFmtId="0" fontId="36" fillId="12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/>
    <xf numFmtId="0" fontId="16" fillId="0" borderId="0" xfId="0" applyFont="1" applyFill="1" applyAlignment="1" applyProtection="1">
      <alignment horizontal="center"/>
      <protection locked="0"/>
    </xf>
    <xf numFmtId="0" fontId="15" fillId="0" borderId="41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Fill="1" applyBorder="1" applyProtection="1"/>
    <xf numFmtId="0" fontId="22" fillId="0" borderId="0" xfId="0" applyFont="1" applyFill="1" applyAlignment="1" applyProtection="1">
      <alignment horizontal="center" vertical="center"/>
      <protection locked="0"/>
    </xf>
    <xf numFmtId="0" fontId="37" fillId="14" borderId="0" xfId="0" applyFont="1" applyFill="1"/>
    <xf numFmtId="0" fontId="12" fillId="14" borderId="0" xfId="0" applyFont="1" applyFill="1"/>
    <xf numFmtId="0" fontId="0" fillId="14" borderId="0" xfId="0" applyFill="1"/>
    <xf numFmtId="0" fontId="38" fillId="14" borderId="0" xfId="0" applyFont="1" applyFill="1" applyAlignment="1">
      <alignment horizontal="center"/>
    </xf>
    <xf numFmtId="0" fontId="38" fillId="14" borderId="0" xfId="0" applyFont="1" applyFill="1"/>
    <xf numFmtId="0" fontId="38" fillId="14" borderId="0" xfId="0" applyFont="1" applyFill="1" applyAlignment="1">
      <alignment horizontal="right"/>
    </xf>
    <xf numFmtId="0" fontId="15" fillId="7" borderId="0" xfId="0" applyFont="1" applyFill="1" applyProtection="1">
      <protection locked="0"/>
    </xf>
    <xf numFmtId="164" fontId="15" fillId="7" borderId="0" xfId="2" applyFont="1" applyFill="1" applyProtection="1">
      <protection locked="0"/>
    </xf>
    <xf numFmtId="0" fontId="16" fillId="13" borderId="1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/>
    <xf numFmtId="0" fontId="20" fillId="0" borderId="1" xfId="0" applyFont="1" applyBorder="1" applyAlignment="1">
      <alignment horizontal="center"/>
    </xf>
    <xf numFmtId="0" fontId="15" fillId="0" borderId="1" xfId="0" applyFont="1" applyFill="1" applyBorder="1" applyAlignment="1" applyProtection="1">
      <protection locked="0"/>
    </xf>
    <xf numFmtId="0" fontId="20" fillId="15" borderId="1" xfId="0" applyFont="1" applyFill="1" applyBorder="1"/>
    <xf numFmtId="0" fontId="20" fillId="15" borderId="1" xfId="0" applyFont="1" applyFill="1" applyBorder="1" applyAlignment="1">
      <alignment horizontal="center"/>
    </xf>
    <xf numFmtId="0" fontId="20" fillId="15" borderId="0" xfId="0" applyFont="1" applyFill="1"/>
    <xf numFmtId="176" fontId="0" fillId="0" borderId="0" xfId="0" applyNumberFormat="1"/>
    <xf numFmtId="177" fontId="15" fillId="0" borderId="0" xfId="0" applyNumberFormat="1" applyFont="1" applyFill="1" applyProtection="1">
      <protection locked="0"/>
    </xf>
    <xf numFmtId="178" fontId="0" fillId="0" borderId="0" xfId="0" applyNumberFormat="1"/>
    <xf numFmtId="0" fontId="20" fillId="7" borderId="0" xfId="0" applyFont="1" applyFill="1"/>
    <xf numFmtId="179" fontId="20" fillId="0" borderId="0" xfId="0" applyNumberFormat="1" applyFont="1"/>
    <xf numFmtId="178" fontId="20" fillId="0" borderId="0" xfId="0" applyNumberFormat="1" applyFont="1"/>
    <xf numFmtId="0" fontId="0" fillId="0" borderId="0" xfId="0" applyNumberFormat="1"/>
    <xf numFmtId="165" fontId="16" fillId="0" borderId="0" xfId="1" applyFont="1" applyFill="1" applyProtection="1">
      <protection locked="0"/>
    </xf>
    <xf numFmtId="0" fontId="39" fillId="0" borderId="0" xfId="12" applyFont="1" applyBorder="1" applyAlignment="1">
      <alignment horizontal="center"/>
    </xf>
    <xf numFmtId="0" fontId="39" fillId="0" borderId="0" xfId="12" applyFont="1" applyBorder="1"/>
    <xf numFmtId="167" fontId="39" fillId="0" borderId="0" xfId="12" applyNumberFormat="1" applyFont="1" applyBorder="1"/>
    <xf numFmtId="165" fontId="39" fillId="0" borderId="0" xfId="1" applyFont="1" applyBorder="1"/>
    <xf numFmtId="0" fontId="23" fillId="0" borderId="0" xfId="12" applyFont="1" applyBorder="1"/>
    <xf numFmtId="0" fontId="23" fillId="0" borderId="47" xfId="0" applyFont="1" applyFill="1" applyBorder="1" applyAlignment="1" applyProtection="1">
      <alignment horizontal="center" vertical="center" wrapText="1"/>
      <protection locked="0"/>
    </xf>
    <xf numFmtId="20" fontId="23" fillId="0" borderId="7" xfId="0" applyNumberFormat="1" applyFont="1" applyFill="1" applyBorder="1" applyAlignment="1" applyProtection="1">
      <alignment horizontal="center" vertical="center" wrapText="1"/>
      <protection locked="0"/>
    </xf>
    <xf numFmtId="20" fontId="23" fillId="0" borderId="46" xfId="0" applyNumberFormat="1" applyFont="1" applyFill="1" applyBorder="1" applyAlignment="1" applyProtection="1">
      <alignment horizontal="center" vertical="center" wrapText="1"/>
      <protection locked="0"/>
    </xf>
    <xf numFmtId="171" fontId="23" fillId="0" borderId="0" xfId="1" applyNumberFormat="1" applyFont="1" applyFill="1" applyProtection="1">
      <protection locked="0"/>
    </xf>
    <xf numFmtId="175" fontId="23" fillId="0" borderId="46" xfId="0" applyNumberFormat="1" applyFont="1" applyFill="1" applyBorder="1" applyAlignment="1" applyProtection="1">
      <alignment horizontal="center" vertical="center" wrapText="1"/>
      <protection locked="0"/>
    </xf>
    <xf numFmtId="175" fontId="23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46" xfId="0" applyFont="1" applyFill="1" applyBorder="1" applyAlignment="1" applyProtection="1">
      <alignment horizontal="center" vertical="center" wrapText="1"/>
      <protection locked="0"/>
    </xf>
    <xf numFmtId="0" fontId="23" fillId="0" borderId="7" xfId="0" applyFont="1" applyFill="1" applyBorder="1" applyAlignment="1" applyProtection="1">
      <alignment horizontal="center" vertical="center" wrapText="1"/>
      <protection locked="0"/>
    </xf>
    <xf numFmtId="0" fontId="16" fillId="16" borderId="1" xfId="0" applyFont="1" applyFill="1" applyBorder="1" applyAlignment="1" applyProtection="1">
      <alignment horizontal="center" vertical="center" wrapText="1"/>
      <protection locked="0"/>
    </xf>
    <xf numFmtId="0" fontId="19" fillId="16" borderId="1" xfId="0" applyFont="1" applyFill="1" applyBorder="1" applyAlignment="1" applyProtection="1">
      <alignment horizontal="center" vertical="center" wrapText="1"/>
      <protection locked="0"/>
    </xf>
    <xf numFmtId="0" fontId="42" fillId="0" borderId="1" xfId="0" applyFont="1" applyFill="1" applyBorder="1" applyProtection="1"/>
    <xf numFmtId="0" fontId="16" fillId="10" borderId="33" xfId="0" applyFont="1" applyFill="1" applyBorder="1" applyAlignment="1" applyProtection="1">
      <alignment horizontal="center" vertical="center" wrapText="1"/>
      <protection locked="0"/>
    </xf>
    <xf numFmtId="0" fontId="16" fillId="10" borderId="34" xfId="0" applyFont="1" applyFill="1" applyBorder="1" applyAlignment="1" applyProtection="1">
      <alignment horizontal="center" vertical="center" wrapText="1"/>
      <protection locked="0"/>
    </xf>
    <xf numFmtId="9" fontId="16" fillId="10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10" borderId="19" xfId="0" applyFont="1" applyFill="1" applyBorder="1" applyAlignment="1" applyProtection="1">
      <alignment horizontal="center" vertical="center" wrapText="1"/>
      <protection locked="0"/>
    </xf>
    <xf numFmtId="0" fontId="16" fillId="10" borderId="4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wrapText="1"/>
    </xf>
    <xf numFmtId="0" fontId="44" fillId="0" borderId="0" xfId="0" applyFont="1" applyBorder="1" applyAlignment="1">
      <alignment horizontal="center"/>
    </xf>
    <xf numFmtId="0" fontId="44" fillId="0" borderId="0" xfId="0" applyFont="1" applyBorder="1"/>
    <xf numFmtId="0" fontId="44" fillId="0" borderId="0" xfId="0" applyFont="1" applyFill="1" applyBorder="1"/>
    <xf numFmtId="164" fontId="44" fillId="19" borderId="0" xfId="2" applyFont="1" applyFill="1" applyBorder="1"/>
    <xf numFmtId="165" fontId="44" fillId="0" borderId="0" xfId="1" applyFont="1" applyBorder="1"/>
    <xf numFmtId="14" fontId="44" fillId="19" borderId="0" xfId="0" applyNumberFormat="1" applyFont="1" applyFill="1" applyBorder="1" applyAlignment="1">
      <alignment horizontal="center"/>
    </xf>
    <xf numFmtId="0" fontId="44" fillId="19" borderId="0" xfId="0" applyFont="1" applyFill="1" applyBorder="1"/>
    <xf numFmtId="14" fontId="44" fillId="0" borderId="0" xfId="0" applyNumberFormat="1" applyFont="1" applyBorder="1"/>
    <xf numFmtId="14" fontId="44" fillId="20" borderId="0" xfId="0" applyNumberFormat="1" applyFont="1" applyFill="1" applyBorder="1" applyAlignment="1">
      <alignment horizontal="center"/>
    </xf>
    <xf numFmtId="0" fontId="44" fillId="20" borderId="0" xfId="0" applyFont="1" applyFill="1" applyBorder="1"/>
    <xf numFmtId="0" fontId="43" fillId="0" borderId="0" xfId="0" applyFont="1" applyBorder="1"/>
    <xf numFmtId="0" fontId="45" fillId="0" borderId="0" xfId="0" applyNumberFormat="1" applyFont="1" applyFill="1" applyBorder="1" applyAlignment="1">
      <alignment horizontal="center"/>
    </xf>
    <xf numFmtId="14" fontId="44" fillId="0" borderId="0" xfId="0" applyNumberFormat="1" applyFont="1" applyBorder="1" applyAlignment="1">
      <alignment horizontal="center"/>
    </xf>
    <xf numFmtId="49" fontId="46" fillId="0" borderId="0" xfId="0" applyNumberFormat="1" applyFont="1" applyBorder="1" applyAlignment="1">
      <alignment horizontal="center"/>
    </xf>
    <xf numFmtId="49" fontId="43" fillId="0" borderId="0" xfId="0" applyNumberFormat="1" applyFont="1" applyBorder="1"/>
    <xf numFmtId="168" fontId="45" fillId="0" borderId="0" xfId="0" applyNumberFormat="1" applyFont="1" applyFill="1" applyBorder="1" applyAlignment="1">
      <alignment horizontal="center"/>
    </xf>
    <xf numFmtId="0" fontId="46" fillId="0" borderId="0" xfId="0" applyFont="1" applyBorder="1" applyAlignment="1">
      <alignment horizontal="center"/>
    </xf>
    <xf numFmtId="171" fontId="0" fillId="0" borderId="0" xfId="0" applyNumberFormat="1"/>
    <xf numFmtId="0" fontId="0" fillId="0" borderId="0" xfId="0" applyFill="1" applyBorder="1" applyProtection="1">
      <protection locked="0"/>
    </xf>
    <xf numFmtId="0" fontId="47" fillId="0" borderId="1" xfId="0" applyFont="1" applyFill="1" applyBorder="1" applyAlignment="1" applyProtection="1">
      <alignment horizontal="center"/>
      <protection locked="0"/>
    </xf>
    <xf numFmtId="0" fontId="19" fillId="11" borderId="38" xfId="1" applyNumberFormat="1" applyFont="1" applyFill="1" applyBorder="1" applyAlignment="1" applyProtection="1">
      <alignment horizontal="center"/>
      <protection locked="0"/>
    </xf>
    <xf numFmtId="0" fontId="32" fillId="0" borderId="1" xfId="0" applyFont="1" applyFill="1" applyBorder="1" applyAlignment="1" applyProtection="1">
      <alignment horizontal="center" vertical="center"/>
      <protection locked="0"/>
    </xf>
    <xf numFmtId="167" fontId="23" fillId="0" borderId="0" xfId="12" applyNumberFormat="1" applyFont="1" applyBorder="1" applyAlignment="1">
      <alignment horizontal="left"/>
    </xf>
    <xf numFmtId="167" fontId="39" fillId="0" borderId="0" xfId="12" applyNumberFormat="1" applyFont="1" applyBorder="1" applyAlignment="1">
      <alignment horizontal="center"/>
    </xf>
    <xf numFmtId="164" fontId="16" fillId="0" borderId="0" xfId="2" applyFont="1" applyFill="1" applyProtection="1">
      <protection locked="0"/>
    </xf>
    <xf numFmtId="167" fontId="15" fillId="0" borderId="1" xfId="12" applyNumberFormat="1" applyFont="1" applyBorder="1"/>
    <xf numFmtId="14" fontId="39" fillId="8" borderId="0" xfId="12" applyNumberFormat="1" applyFont="1" applyFill="1" applyBorder="1"/>
    <xf numFmtId="167" fontId="39" fillId="8" borderId="0" xfId="12" applyNumberFormat="1" applyFont="1" applyFill="1" applyBorder="1"/>
    <xf numFmtId="0" fontId="39" fillId="0" borderId="0" xfId="15" applyFont="1" applyBorder="1"/>
    <xf numFmtId="167" fontId="39" fillId="0" borderId="0" xfId="15" applyNumberFormat="1" applyFont="1" applyBorder="1"/>
    <xf numFmtId="167" fontId="25" fillId="0" borderId="0" xfId="15" applyNumberFormat="1" applyFont="1" applyBorder="1"/>
    <xf numFmtId="14" fontId="39" fillId="8" borderId="0" xfId="15" applyNumberFormat="1" applyFont="1" applyFill="1" applyBorder="1"/>
    <xf numFmtId="167" fontId="39" fillId="8" borderId="0" xfId="15" applyNumberFormat="1" applyFont="1" applyFill="1" applyBorder="1"/>
    <xf numFmtId="167" fontId="25" fillId="0" borderId="0" xfId="15" applyNumberFormat="1" applyFont="1" applyBorder="1" applyAlignment="1">
      <alignment horizontal="center"/>
    </xf>
    <xf numFmtId="0" fontId="25" fillId="0" borderId="0" xfId="15" applyFont="1" applyBorder="1" applyAlignment="1">
      <alignment horizontal="center"/>
    </xf>
    <xf numFmtId="0" fontId="25" fillId="0" borderId="0" xfId="15" applyFont="1" applyBorder="1"/>
    <xf numFmtId="167" fontId="14" fillId="0" borderId="0" xfId="15" applyNumberFormat="1" applyFont="1" applyBorder="1" applyAlignment="1">
      <alignment horizontal="left"/>
    </xf>
    <xf numFmtId="0" fontId="14" fillId="0" borderId="0" xfId="15" applyFont="1" applyBorder="1"/>
    <xf numFmtId="173" fontId="16" fillId="0" borderId="0" xfId="0" applyNumberFormat="1" applyFont="1" applyFill="1" applyProtection="1">
      <protection locked="0"/>
    </xf>
    <xf numFmtId="165" fontId="16" fillId="0" borderId="0" xfId="0" applyNumberFormat="1" applyFont="1" applyFill="1" applyProtection="1"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6" fillId="0" borderId="0" xfId="0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 vertical="center"/>
      <protection locked="0"/>
    </xf>
    <xf numFmtId="164" fontId="15" fillId="0" borderId="0" xfId="2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0" fillId="0" borderId="1" xfId="0" applyFont="1" applyFill="1" applyBorder="1" applyAlignment="1" applyProtection="1">
      <alignment horizontal="center" vertical="center" wrapText="1"/>
      <protection locked="0"/>
    </xf>
    <xf numFmtId="0" fontId="48" fillId="0" borderId="1" xfId="0" applyFont="1" applyFill="1" applyBorder="1" applyAlignment="1" applyProtection="1">
      <alignment horizontal="center" vertical="center"/>
      <protection locked="0"/>
    </xf>
    <xf numFmtId="0" fontId="21" fillId="0" borderId="1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Protection="1">
      <protection locked="0"/>
    </xf>
    <xf numFmtId="169" fontId="15" fillId="0" borderId="0" xfId="0" applyNumberFormat="1" applyFont="1" applyFill="1" applyAlignment="1" applyProtection="1">
      <alignment horizontal="center"/>
      <protection locked="0"/>
    </xf>
    <xf numFmtId="166" fontId="4" fillId="0" borderId="0" xfId="1" applyNumberFormat="1" applyFont="1" applyFill="1" applyAlignment="1">
      <alignment horizontal="center"/>
    </xf>
    <xf numFmtId="165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1" applyNumberFormat="1" applyFont="1" applyFill="1" applyAlignment="1" applyProtection="1">
      <alignment horizontal="center"/>
      <protection locked="0"/>
    </xf>
    <xf numFmtId="0" fontId="16" fillId="0" borderId="18" xfId="0" applyFont="1" applyFill="1" applyBorder="1" applyAlignment="1" applyProtection="1">
      <alignment horizontal="center"/>
      <protection locked="0"/>
    </xf>
    <xf numFmtId="165" fontId="15" fillId="0" borderId="48" xfId="1" applyFont="1" applyFill="1" applyBorder="1" applyProtection="1">
      <protection locked="0"/>
    </xf>
    <xf numFmtId="0" fontId="0" fillId="12" borderId="0" xfId="0" applyFill="1"/>
    <xf numFmtId="0" fontId="0" fillId="12" borderId="0" xfId="0" applyNumberFormat="1" applyFill="1"/>
    <xf numFmtId="171" fontId="31" fillId="7" borderId="18" xfId="1" applyNumberFormat="1" applyFont="1" applyFill="1" applyBorder="1" applyAlignment="1" applyProtection="1">
      <alignment horizontal="left"/>
      <protection locked="0"/>
    </xf>
    <xf numFmtId="171" fontId="31" fillId="7" borderId="0" xfId="1" applyNumberFormat="1" applyFont="1" applyFill="1" applyAlignment="1" applyProtection="1">
      <alignment horizontal="left"/>
      <protection locked="0"/>
    </xf>
    <xf numFmtId="0" fontId="50" fillId="7" borderId="0" xfId="0" applyFont="1" applyFill="1" applyAlignment="1" applyProtection="1">
      <alignment vertical="center"/>
      <protection locked="0"/>
    </xf>
    <xf numFmtId="0" fontId="52" fillId="7" borderId="0" xfId="0" applyFont="1" applyFill="1" applyAlignment="1" applyProtection="1">
      <alignment vertical="center"/>
      <protection locked="0"/>
    </xf>
    <xf numFmtId="0" fontId="53" fillId="0" borderId="36" xfId="0" applyFont="1" applyFill="1" applyBorder="1" applyAlignment="1" applyProtection="1">
      <alignment horizontal="center" vertical="center"/>
      <protection locked="0"/>
    </xf>
    <xf numFmtId="0" fontId="51" fillId="7" borderId="0" xfId="0" applyFont="1" applyFill="1" applyAlignment="1" applyProtection="1">
      <alignment vertical="center"/>
      <protection locked="0"/>
    </xf>
    <xf numFmtId="0" fontId="48" fillId="7" borderId="1" xfId="0" applyFont="1" applyFill="1" applyBorder="1" applyAlignment="1" applyProtection="1">
      <alignment horizontal="center" vertical="center"/>
      <protection locked="0"/>
    </xf>
    <xf numFmtId="0" fontId="48" fillId="21" borderId="1" xfId="0" applyFont="1" applyFill="1" applyBorder="1" applyAlignment="1" applyProtection="1">
      <alignment horizontal="center" vertical="center"/>
      <protection locked="0"/>
    </xf>
    <xf numFmtId="0" fontId="32" fillId="21" borderId="1" xfId="0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16" fontId="15" fillId="0" borderId="0" xfId="0" applyNumberFormat="1" applyFont="1" applyFill="1" applyProtection="1">
      <protection locked="0"/>
    </xf>
    <xf numFmtId="0" fontId="37" fillId="22" borderId="0" xfId="0" applyFont="1" applyFill="1" applyProtection="1">
      <protection locked="0"/>
    </xf>
    <xf numFmtId="0" fontId="17" fillId="22" borderId="0" xfId="0" applyFont="1" applyFill="1" applyBorder="1" applyProtection="1">
      <protection locked="0"/>
    </xf>
    <xf numFmtId="0" fontId="17" fillId="22" borderId="0" xfId="0" applyFont="1" applyFill="1" applyProtection="1">
      <protection locked="0"/>
    </xf>
    <xf numFmtId="164" fontId="17" fillId="22" borderId="0" xfId="2" applyFont="1" applyFill="1" applyProtection="1">
      <protection locked="0"/>
    </xf>
    <xf numFmtId="0" fontId="32" fillId="22" borderId="0" xfId="0" applyFont="1" applyFill="1" applyProtection="1">
      <protection locked="0"/>
    </xf>
    <xf numFmtId="0" fontId="17" fillId="22" borderId="0" xfId="0" applyFont="1" applyFill="1" applyAlignment="1" applyProtection="1">
      <alignment horizontal="center"/>
      <protection locked="0"/>
    </xf>
    <xf numFmtId="0" fontId="15" fillId="22" borderId="0" xfId="0" applyFont="1" applyFill="1" applyAlignment="1" applyProtection="1">
      <alignment horizontal="center"/>
      <protection locked="0"/>
    </xf>
    <xf numFmtId="0" fontId="48" fillId="23" borderId="1" xfId="0" applyFont="1" applyFill="1" applyBorder="1" applyAlignment="1" applyProtection="1">
      <alignment horizontal="center" vertical="center"/>
      <protection locked="0"/>
    </xf>
    <xf numFmtId="0" fontId="32" fillId="23" borderId="1" xfId="0" applyFont="1" applyFill="1" applyBorder="1" applyAlignment="1" applyProtection="1">
      <alignment horizontal="center" vertical="center"/>
      <protection locked="0"/>
    </xf>
    <xf numFmtId="0" fontId="32" fillId="24" borderId="1" xfId="0" applyFont="1" applyFill="1" applyBorder="1" applyAlignment="1" applyProtection="1">
      <alignment horizontal="center" vertical="center"/>
      <protection locked="0"/>
    </xf>
    <xf numFmtId="0" fontId="48" fillId="24" borderId="1" xfId="0" applyFont="1" applyFill="1" applyBorder="1" applyAlignment="1" applyProtection="1">
      <alignment horizontal="center" vertical="center"/>
      <protection locked="0"/>
    </xf>
    <xf numFmtId="171" fontId="30" fillId="0" borderId="0" xfId="1" applyNumberFormat="1" applyFont="1" applyFill="1" applyAlignment="1" applyProtection="1">
      <alignment horizontal="left"/>
      <protection locked="0"/>
    </xf>
    <xf numFmtId="0" fontId="16" fillId="15" borderId="33" xfId="0" applyFont="1" applyFill="1" applyBorder="1" applyAlignment="1" applyProtection="1">
      <alignment horizontal="center" vertical="center" wrapText="1"/>
      <protection locked="0"/>
    </xf>
    <xf numFmtId="0" fontId="16" fillId="15" borderId="34" xfId="0" applyFont="1" applyFill="1" applyBorder="1" applyAlignment="1" applyProtection="1">
      <alignment horizontal="center" vertical="center" wrapText="1"/>
      <protection locked="0"/>
    </xf>
    <xf numFmtId="9" fontId="16" fillId="15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15" borderId="19" xfId="0" applyFont="1" applyFill="1" applyBorder="1" applyAlignment="1" applyProtection="1">
      <alignment horizontal="center" vertical="center" wrapText="1"/>
      <protection locked="0"/>
    </xf>
    <xf numFmtId="0" fontId="22" fillId="15" borderId="2" xfId="0" applyFont="1" applyFill="1" applyBorder="1" applyAlignment="1" applyProtection="1">
      <alignment horizontal="center"/>
      <protection locked="0"/>
    </xf>
    <xf numFmtId="0" fontId="22" fillId="15" borderId="3" xfId="0" applyFont="1" applyFill="1" applyBorder="1" applyAlignment="1" applyProtection="1">
      <alignment horizontal="center"/>
      <protection locked="0"/>
    </xf>
    <xf numFmtId="0" fontId="16" fillId="17" borderId="33" xfId="0" applyFont="1" applyFill="1" applyBorder="1" applyAlignment="1" applyProtection="1">
      <alignment horizontal="center" vertical="center" wrapText="1"/>
      <protection locked="0"/>
    </xf>
    <xf numFmtId="0" fontId="16" fillId="17" borderId="34" xfId="0" applyFont="1" applyFill="1" applyBorder="1" applyAlignment="1" applyProtection="1">
      <alignment horizontal="center" vertical="center" wrapText="1"/>
      <protection locked="0"/>
    </xf>
    <xf numFmtId="9" fontId="16" fillId="17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17" borderId="19" xfId="0" applyFont="1" applyFill="1" applyBorder="1" applyAlignment="1" applyProtection="1">
      <alignment horizontal="center" vertical="center" wrapText="1"/>
      <protection locked="0"/>
    </xf>
    <xf numFmtId="0" fontId="22" fillId="17" borderId="2" xfId="0" applyFont="1" applyFill="1" applyBorder="1" applyAlignment="1" applyProtection="1">
      <alignment horizontal="center" vertical="center"/>
      <protection locked="0"/>
    </xf>
    <xf numFmtId="0" fontId="22" fillId="17" borderId="3" xfId="0" applyFont="1" applyFill="1" applyBorder="1" applyAlignment="1" applyProtection="1">
      <alignment horizontal="center" vertical="center"/>
      <protection locked="0"/>
    </xf>
    <xf numFmtId="165" fontId="0" fillId="0" borderId="0" xfId="1" applyFont="1" applyFill="1" applyBorder="1" applyProtection="1">
      <protection locked="0"/>
    </xf>
    <xf numFmtId="0" fontId="15" fillId="25" borderId="1" xfId="0" applyFont="1" applyFill="1" applyBorder="1" applyProtection="1"/>
    <xf numFmtId="165" fontId="15" fillId="25" borderId="1" xfId="1" applyFont="1" applyFill="1" applyBorder="1" applyProtection="1"/>
    <xf numFmtId="0" fontId="40" fillId="5" borderId="1" xfId="0" applyFont="1" applyFill="1" applyBorder="1" applyAlignment="1" applyProtection="1">
      <alignment horizontal="center"/>
      <protection locked="0"/>
    </xf>
    <xf numFmtId="0" fontId="41" fillId="18" borderId="0" xfId="3" applyFont="1" applyFill="1" applyAlignment="1" applyProtection="1">
      <alignment horizontal="left" vertical="center"/>
      <protection locked="0"/>
    </xf>
    <xf numFmtId="0" fontId="5" fillId="0" borderId="0" xfId="3" applyFont="1" applyFill="1" applyAlignment="1" applyProtection="1">
      <alignment horizontal="left" vertical="center"/>
      <protection locked="0"/>
    </xf>
    <xf numFmtId="0" fontId="16" fillId="17" borderId="2" xfId="0" applyFont="1" applyFill="1" applyBorder="1" applyAlignment="1" applyProtection="1">
      <alignment horizontal="center"/>
      <protection locked="0"/>
    </xf>
    <xf numFmtId="0" fontId="16" fillId="17" borderId="4" xfId="0" applyFont="1" applyFill="1" applyBorder="1" applyAlignment="1" applyProtection="1">
      <alignment horizontal="center"/>
      <protection locked="0"/>
    </xf>
    <xf numFmtId="0" fontId="20" fillId="0" borderId="2" xfId="0" applyFont="1" applyFill="1" applyBorder="1" applyAlignment="1" applyProtection="1">
      <alignment horizontal="center"/>
      <protection locked="0"/>
    </xf>
    <xf numFmtId="0" fontId="20" fillId="0" borderId="3" xfId="0" applyFont="1" applyFill="1" applyBorder="1" applyAlignment="1" applyProtection="1">
      <alignment horizont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22" fillId="6" borderId="4" xfId="0" applyFont="1" applyFill="1" applyBorder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5" fillId="0" borderId="21" xfId="0" applyFont="1" applyFill="1" applyBorder="1" applyAlignment="1" applyProtection="1">
      <alignment horizontal="left" vertical="top" wrapText="1"/>
      <protection locked="0"/>
    </xf>
    <xf numFmtId="0" fontId="15" fillId="0" borderId="22" xfId="0" applyFont="1" applyFill="1" applyBorder="1" applyAlignment="1" applyProtection="1">
      <alignment horizontal="left" vertical="top" wrapText="1"/>
      <protection locked="0"/>
    </xf>
    <xf numFmtId="0" fontId="15" fillId="0" borderId="23" xfId="0" applyFont="1" applyFill="1" applyBorder="1" applyAlignment="1" applyProtection="1">
      <alignment horizontal="left" vertical="top" wrapText="1"/>
      <protection locked="0"/>
    </xf>
    <xf numFmtId="0" fontId="16" fillId="17" borderId="28" xfId="0" applyFont="1" applyFill="1" applyBorder="1" applyAlignment="1" applyProtection="1">
      <alignment horizontal="center" vertical="center"/>
      <protection locked="0"/>
    </xf>
    <xf numFmtId="0" fontId="16" fillId="17" borderId="29" xfId="0" applyFont="1" applyFill="1" applyBorder="1" applyAlignment="1" applyProtection="1">
      <alignment horizontal="center" vertical="center"/>
      <protection locked="0"/>
    </xf>
    <xf numFmtId="0" fontId="16" fillId="17" borderId="30" xfId="0" applyFont="1" applyFill="1" applyBorder="1" applyAlignment="1" applyProtection="1">
      <alignment horizontal="center" vertical="center"/>
      <protection locked="0"/>
    </xf>
    <xf numFmtId="0" fontId="22" fillId="17" borderId="18" xfId="0" applyFont="1" applyFill="1" applyBorder="1" applyAlignment="1" applyProtection="1">
      <alignment horizontal="center"/>
      <protection locked="0"/>
    </xf>
    <xf numFmtId="0" fontId="22" fillId="17" borderId="20" xfId="0" applyFont="1" applyFill="1" applyBorder="1" applyAlignment="1" applyProtection="1">
      <alignment horizontal="center"/>
      <protection locked="0"/>
    </xf>
    <xf numFmtId="172" fontId="27" fillId="0" borderId="29" xfId="0" applyNumberFormat="1" applyFont="1" applyFill="1" applyBorder="1" applyAlignment="1" applyProtection="1">
      <alignment horizontal="center"/>
      <protection locked="0"/>
    </xf>
    <xf numFmtId="172" fontId="27" fillId="0" borderId="30" xfId="0" applyNumberFormat="1" applyFont="1" applyFill="1" applyBorder="1" applyAlignment="1" applyProtection="1">
      <alignment horizontal="center"/>
      <protection locked="0"/>
    </xf>
    <xf numFmtId="0" fontId="28" fillId="0" borderId="28" xfId="1" applyNumberFormat="1" applyFont="1" applyFill="1" applyBorder="1" applyAlignment="1" applyProtection="1">
      <alignment horizontal="center"/>
      <protection locked="0"/>
    </xf>
    <xf numFmtId="0" fontId="28" fillId="0" borderId="29" xfId="1" applyNumberFormat="1" applyFont="1" applyFill="1" applyBorder="1" applyAlignment="1" applyProtection="1">
      <alignment horizontal="center"/>
      <protection locked="0"/>
    </xf>
    <xf numFmtId="0" fontId="28" fillId="0" borderId="30" xfId="1" applyNumberFormat="1" applyFont="1" applyFill="1" applyBorder="1" applyAlignment="1" applyProtection="1">
      <alignment horizontal="center"/>
      <protection locked="0"/>
    </xf>
    <xf numFmtId="0" fontId="22" fillId="17" borderId="2" xfId="0" applyFont="1" applyFill="1" applyBorder="1" applyAlignment="1" applyProtection="1">
      <alignment horizontal="center"/>
      <protection locked="0"/>
    </xf>
    <xf numFmtId="0" fontId="22" fillId="17" borderId="3" xfId="0" applyFont="1" applyFill="1" applyBorder="1" applyAlignment="1" applyProtection="1">
      <alignment horizontal="center"/>
      <protection locked="0"/>
    </xf>
    <xf numFmtId="0" fontId="16" fillId="17" borderId="28" xfId="0" applyFont="1" applyFill="1" applyBorder="1" applyAlignment="1" applyProtection="1">
      <alignment horizontal="center" vertical="center" wrapText="1"/>
      <protection locked="0"/>
    </xf>
    <xf numFmtId="0" fontId="16" fillId="17" borderId="29" xfId="0" applyFont="1" applyFill="1" applyBorder="1" applyAlignment="1" applyProtection="1">
      <alignment horizontal="center" vertical="center" wrapText="1"/>
      <protection locked="0"/>
    </xf>
    <xf numFmtId="0" fontId="16" fillId="17" borderId="30" xfId="0" applyFont="1" applyFill="1" applyBorder="1" applyAlignment="1" applyProtection="1">
      <alignment horizontal="center" vertical="center" wrapText="1"/>
      <protection locked="0"/>
    </xf>
    <xf numFmtId="0" fontId="51" fillId="7" borderId="0" xfId="0" applyFont="1" applyFill="1" applyAlignment="1" applyProtection="1">
      <alignment horizontal="left" vertical="center" wrapText="1"/>
      <protection locked="0"/>
    </xf>
    <xf numFmtId="0" fontId="41" fillId="18" borderId="0" xfId="3" applyFont="1" applyFill="1" applyAlignment="1" applyProtection="1">
      <alignment horizontal="left"/>
      <protection locked="0"/>
    </xf>
    <xf numFmtId="0" fontId="29" fillId="0" borderId="0" xfId="3" applyFont="1" applyFill="1" applyAlignment="1" applyProtection="1">
      <alignment horizontal="left"/>
      <protection locked="0"/>
    </xf>
    <xf numFmtId="172" fontId="27" fillId="0" borderId="28" xfId="0" applyNumberFormat="1" applyFont="1" applyFill="1" applyBorder="1" applyAlignment="1" applyProtection="1">
      <alignment horizontal="center"/>
      <protection locked="0"/>
    </xf>
    <xf numFmtId="0" fontId="55" fillId="18" borderId="0" xfId="0" applyFont="1" applyFill="1" applyAlignment="1" applyProtection="1">
      <alignment horizontal="center" vertical="center"/>
      <protection locked="0"/>
    </xf>
    <xf numFmtId="0" fontId="51" fillId="7" borderId="0" xfId="0" applyFont="1" applyFill="1" applyAlignment="1" applyProtection="1">
      <alignment horizontal="left" wrapText="1"/>
      <protection locked="0"/>
    </xf>
    <xf numFmtId="0" fontId="16" fillId="15" borderId="28" xfId="0" applyFont="1" applyFill="1" applyBorder="1" applyAlignment="1" applyProtection="1">
      <alignment horizontal="center"/>
      <protection locked="0"/>
    </xf>
    <xf numFmtId="0" fontId="16" fillId="15" borderId="29" xfId="0" applyFont="1" applyFill="1" applyBorder="1" applyAlignment="1" applyProtection="1">
      <alignment horizontal="center"/>
      <protection locked="0"/>
    </xf>
    <xf numFmtId="0" fontId="16" fillId="15" borderId="30" xfId="0" applyFont="1" applyFill="1" applyBorder="1" applyAlignment="1" applyProtection="1">
      <alignment horizontal="center"/>
      <protection locked="0"/>
    </xf>
    <xf numFmtId="0" fontId="22" fillId="15" borderId="2" xfId="0" applyFont="1" applyFill="1" applyBorder="1" applyAlignment="1" applyProtection="1">
      <alignment horizontal="center"/>
      <protection locked="0"/>
    </xf>
    <xf numFmtId="0" fontId="22" fillId="15" borderId="3" xfId="0" applyFont="1" applyFill="1" applyBorder="1" applyAlignment="1" applyProtection="1">
      <alignment horizontal="center"/>
      <protection locked="0"/>
    </xf>
    <xf numFmtId="0" fontId="16" fillId="15" borderId="28" xfId="0" applyFont="1" applyFill="1" applyBorder="1" applyAlignment="1" applyProtection="1">
      <alignment horizontal="center" wrapText="1"/>
      <protection locked="0"/>
    </xf>
    <xf numFmtId="0" fontId="16" fillId="15" borderId="29" xfId="0" applyFont="1" applyFill="1" applyBorder="1" applyAlignment="1" applyProtection="1">
      <alignment horizontal="center" wrapText="1"/>
      <protection locked="0"/>
    </xf>
    <xf numFmtId="0" fontId="16" fillId="15" borderId="30" xfId="0" applyFont="1" applyFill="1" applyBorder="1" applyAlignment="1" applyProtection="1">
      <alignment horizontal="center" wrapText="1"/>
      <protection locked="0"/>
    </xf>
    <xf numFmtId="0" fontId="22" fillId="15" borderId="37" xfId="0" applyFont="1" applyFill="1" applyBorder="1" applyAlignment="1" applyProtection="1">
      <alignment horizontal="center"/>
      <protection locked="0"/>
    </xf>
    <xf numFmtId="0" fontId="22" fillId="15" borderId="18" xfId="0" applyFont="1" applyFill="1" applyBorder="1" applyAlignment="1" applyProtection="1">
      <alignment horizontal="center"/>
      <protection locked="0"/>
    </xf>
    <xf numFmtId="0" fontId="22" fillId="15" borderId="20" xfId="0" applyFont="1" applyFill="1" applyBorder="1" applyAlignment="1" applyProtection="1">
      <alignment horizontal="center"/>
      <protection locked="0"/>
    </xf>
    <xf numFmtId="0" fontId="15" fillId="0" borderId="42" xfId="0" applyFont="1" applyFill="1" applyBorder="1" applyAlignment="1" applyProtection="1">
      <alignment horizontal="center" vertical="top" wrapText="1"/>
      <protection locked="0"/>
    </xf>
    <xf numFmtId="0" fontId="15" fillId="0" borderId="43" xfId="0" applyFont="1" applyFill="1" applyBorder="1" applyAlignment="1" applyProtection="1">
      <alignment horizontal="center" vertical="top" wrapText="1"/>
      <protection locked="0"/>
    </xf>
    <xf numFmtId="0" fontId="15" fillId="0" borderId="44" xfId="0" applyFont="1" applyFill="1" applyBorder="1" applyAlignment="1" applyProtection="1">
      <alignment horizontal="center" vertical="top" wrapText="1"/>
      <protection locked="0"/>
    </xf>
    <xf numFmtId="0" fontId="15" fillId="0" borderId="39" xfId="0" applyFont="1" applyFill="1" applyBorder="1" applyAlignment="1" applyProtection="1">
      <alignment horizontal="center" vertical="top" wrapText="1"/>
      <protection locked="0"/>
    </xf>
    <xf numFmtId="0" fontId="15" fillId="0" borderId="0" xfId="0" applyFont="1" applyFill="1" applyBorder="1" applyAlignment="1" applyProtection="1">
      <alignment horizontal="center" vertical="top" wrapText="1"/>
      <protection locked="0"/>
    </xf>
    <xf numFmtId="0" fontId="15" fillId="0" borderId="45" xfId="0" applyFont="1" applyFill="1" applyBorder="1" applyAlignment="1" applyProtection="1">
      <alignment horizontal="center" vertical="top" wrapText="1"/>
      <protection locked="0"/>
    </xf>
    <xf numFmtId="0" fontId="15" fillId="0" borderId="32" xfId="0" applyFont="1" applyFill="1" applyBorder="1" applyAlignment="1" applyProtection="1">
      <alignment horizontal="center" vertical="top" wrapText="1"/>
      <protection locked="0"/>
    </xf>
    <xf numFmtId="0" fontId="15" fillId="0" borderId="31" xfId="0" applyFont="1" applyFill="1" applyBorder="1" applyAlignment="1" applyProtection="1">
      <alignment horizontal="center" vertical="top" wrapText="1"/>
      <protection locked="0"/>
    </xf>
    <xf numFmtId="0" fontId="15" fillId="0" borderId="27" xfId="0" applyFont="1" applyFill="1" applyBorder="1" applyAlignment="1" applyProtection="1">
      <alignment horizontal="center" vertical="top" wrapText="1"/>
      <protection locked="0"/>
    </xf>
    <xf numFmtId="0" fontId="16" fillId="10" borderId="28" xfId="0" applyFont="1" applyFill="1" applyBorder="1" applyAlignment="1" applyProtection="1">
      <alignment horizontal="center"/>
      <protection locked="0"/>
    </xf>
    <xf numFmtId="0" fontId="16" fillId="10" borderId="29" xfId="0" applyFont="1" applyFill="1" applyBorder="1" applyAlignment="1" applyProtection="1">
      <alignment horizontal="center"/>
      <protection locked="0"/>
    </xf>
    <xf numFmtId="0" fontId="16" fillId="10" borderId="30" xfId="0" applyFont="1" applyFill="1" applyBorder="1" applyAlignment="1" applyProtection="1">
      <alignment horizontal="center"/>
      <protection locked="0"/>
    </xf>
    <xf numFmtId="0" fontId="16" fillId="10" borderId="28" xfId="0" applyFont="1" applyFill="1" applyBorder="1" applyAlignment="1" applyProtection="1">
      <alignment horizontal="center" wrapText="1"/>
      <protection locked="0"/>
    </xf>
    <xf numFmtId="0" fontId="16" fillId="10" borderId="29" xfId="0" applyFont="1" applyFill="1" applyBorder="1" applyAlignment="1" applyProtection="1">
      <alignment horizontal="center" wrapText="1"/>
      <protection locked="0"/>
    </xf>
    <xf numFmtId="0" fontId="16" fillId="10" borderId="30" xfId="0" applyFont="1" applyFill="1" applyBorder="1" applyAlignment="1" applyProtection="1">
      <alignment horizontal="center" wrapText="1"/>
      <protection locked="0"/>
    </xf>
    <xf numFmtId="0" fontId="3" fillId="0" borderId="0" xfId="3" applyFont="1" applyFill="1" applyAlignment="1" applyProtection="1">
      <alignment horizontal="left"/>
      <protection locked="0"/>
    </xf>
    <xf numFmtId="0" fontId="22" fillId="10" borderId="18" xfId="0" applyFont="1" applyFill="1" applyBorder="1" applyAlignment="1" applyProtection="1">
      <alignment horizontal="center"/>
      <protection locked="0"/>
    </xf>
    <xf numFmtId="0" fontId="22" fillId="10" borderId="20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6" fillId="0" borderId="0" xfId="0" applyFont="1" applyFill="1" applyAlignment="1" applyProtection="1">
      <alignment horizontal="center"/>
      <protection locked="0"/>
    </xf>
    <xf numFmtId="0" fontId="29" fillId="9" borderId="0" xfId="3" applyFont="1" applyFill="1" applyAlignment="1" applyProtection="1">
      <alignment horizontal="left"/>
      <protection locked="0"/>
    </xf>
    <xf numFmtId="0" fontId="28" fillId="0" borderId="14" xfId="1" applyNumberFormat="1" applyFont="1" applyFill="1" applyBorder="1" applyAlignment="1" applyProtection="1">
      <alignment horizontal="center"/>
      <protection locked="0"/>
    </xf>
    <xf numFmtId="0" fontId="28" fillId="0" borderId="13" xfId="1" applyNumberFormat="1" applyFont="1" applyFill="1" applyBorder="1" applyAlignment="1" applyProtection="1">
      <alignment horizontal="center"/>
      <protection locked="0"/>
    </xf>
    <xf numFmtId="0" fontId="28" fillId="0" borderId="15" xfId="1" applyNumberFormat="1" applyFont="1" applyFill="1" applyBorder="1" applyAlignment="1" applyProtection="1">
      <alignment horizontal="center"/>
      <protection locked="0"/>
    </xf>
    <xf numFmtId="172" fontId="27" fillId="0" borderId="25" xfId="0" applyNumberFormat="1" applyFont="1" applyFill="1" applyBorder="1" applyAlignment="1" applyProtection="1">
      <alignment horizontal="center"/>
      <protection locked="0"/>
    </xf>
    <xf numFmtId="172" fontId="27" fillId="0" borderId="26" xfId="0" applyNumberFormat="1" applyFont="1" applyFill="1" applyBorder="1" applyAlignment="1" applyProtection="1">
      <alignment horizontal="center"/>
      <protection locked="0"/>
    </xf>
    <xf numFmtId="172" fontId="27" fillId="0" borderId="24" xfId="0" applyNumberFormat="1" applyFont="1" applyFill="1" applyBorder="1" applyAlignment="1" applyProtection="1">
      <alignment horizontal="center"/>
      <protection locked="0"/>
    </xf>
    <xf numFmtId="0" fontId="16" fillId="7" borderId="32" xfId="0" applyFont="1" applyFill="1" applyBorder="1" applyAlignment="1" applyProtection="1">
      <alignment horizontal="center"/>
      <protection locked="0"/>
    </xf>
    <xf numFmtId="0" fontId="16" fillId="7" borderId="31" xfId="0" applyFont="1" applyFill="1" applyBorder="1" applyAlignment="1" applyProtection="1">
      <alignment horizontal="center"/>
      <protection locked="0"/>
    </xf>
    <xf numFmtId="0" fontId="16" fillId="7" borderId="27" xfId="0" applyFont="1" applyFill="1" applyBorder="1" applyAlignment="1" applyProtection="1">
      <alignment horizontal="center"/>
      <protection locked="0"/>
    </xf>
    <xf numFmtId="0" fontId="22" fillId="6" borderId="18" xfId="0" applyFont="1" applyFill="1" applyBorder="1" applyAlignment="1" applyProtection="1">
      <alignment horizontal="center"/>
      <protection locked="0"/>
    </xf>
    <xf numFmtId="0" fontId="22" fillId="6" borderId="20" xfId="0" applyFont="1" applyFill="1" applyBorder="1" applyAlignment="1" applyProtection="1">
      <alignment horizontal="center"/>
      <protection locked="0"/>
    </xf>
    <xf numFmtId="0" fontId="16" fillId="7" borderId="16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16" fillId="7" borderId="4" xfId="0" applyFont="1" applyFill="1" applyBorder="1" applyAlignment="1" applyProtection="1">
      <alignment horizontal="center"/>
      <protection locked="0"/>
    </xf>
    <xf numFmtId="0" fontId="22" fillId="6" borderId="17" xfId="0" applyFont="1" applyFill="1" applyBorder="1" applyAlignment="1" applyProtection="1">
      <alignment horizontal="center"/>
      <protection locked="0"/>
    </xf>
    <xf numFmtId="0" fontId="16" fillId="7" borderId="28" xfId="0" applyFont="1" applyFill="1" applyBorder="1" applyAlignment="1" applyProtection="1">
      <alignment horizontal="center"/>
      <protection locked="0"/>
    </xf>
    <xf numFmtId="0" fontId="16" fillId="7" borderId="29" xfId="0" applyFont="1" applyFill="1" applyBorder="1" applyAlignment="1" applyProtection="1">
      <alignment horizontal="center"/>
      <protection locked="0"/>
    </xf>
    <xf numFmtId="0" fontId="16" fillId="7" borderId="30" xfId="0" applyFont="1" applyFill="1" applyBorder="1" applyAlignment="1" applyProtection="1">
      <alignment horizontal="center"/>
      <protection locked="0"/>
    </xf>
    <xf numFmtId="0" fontId="16" fillId="6" borderId="28" xfId="0" applyFont="1" applyFill="1" applyBorder="1" applyAlignment="1" applyProtection="1">
      <alignment horizontal="center"/>
      <protection locked="0"/>
    </xf>
    <xf numFmtId="0" fontId="16" fillId="6" borderId="29" xfId="0" applyFont="1" applyFill="1" applyBorder="1" applyAlignment="1" applyProtection="1">
      <alignment horizontal="center"/>
      <protection locked="0"/>
    </xf>
    <xf numFmtId="0" fontId="16" fillId="6" borderId="30" xfId="0" applyFont="1" applyFill="1" applyBorder="1" applyAlignment="1" applyProtection="1">
      <alignment horizontal="center"/>
      <protection locked="0"/>
    </xf>
    <xf numFmtId="0" fontId="48" fillId="22" borderId="1" xfId="0" applyFont="1" applyFill="1" applyBorder="1" applyAlignment="1" applyProtection="1">
      <alignment horizontal="center" vertical="center"/>
      <protection locked="0"/>
    </xf>
    <xf numFmtId="0" fontId="18" fillId="21" borderId="0" xfId="0" applyFont="1" applyFill="1" applyProtection="1">
      <protection locked="0"/>
    </xf>
    <xf numFmtId="0" fontId="18" fillId="22" borderId="0" xfId="0" applyFont="1" applyFill="1" applyProtection="1">
      <protection locked="0"/>
    </xf>
    <xf numFmtId="0" fontId="18" fillId="24" borderId="0" xfId="0" applyFont="1" applyFill="1" applyProtection="1">
      <protection locked="0"/>
    </xf>
    <xf numFmtId="0" fontId="18" fillId="25" borderId="0" xfId="0" applyFont="1" applyFill="1" applyProtection="1">
      <protection locked="0"/>
    </xf>
    <xf numFmtId="167" fontId="15" fillId="25" borderId="1" xfId="12" applyNumberFormat="1" applyFont="1" applyFill="1" applyBorder="1"/>
  </cellXfs>
  <cellStyles count="16">
    <cellStyle name="20% - Énfasis3 2" xfId="7"/>
    <cellStyle name="Cálculo 2" xfId="9"/>
    <cellStyle name="Entrada 2" xfId="8"/>
    <cellStyle name="Millares" xfId="1" builtinId="3"/>
    <cellStyle name="Moneda" xfId="2" builtinId="4"/>
    <cellStyle name="Moneda 2" xfId="6"/>
    <cellStyle name="Normal" xfId="0" builtinId="0"/>
    <cellStyle name="Normal 2" xfId="3"/>
    <cellStyle name="Normal 2 2" xfId="13"/>
    <cellStyle name="Normal 3" xfId="4"/>
    <cellStyle name="Normal 3 2" xfId="14"/>
    <cellStyle name="Normal 4" xfId="5"/>
    <cellStyle name="Normal 5" xfId="10"/>
    <cellStyle name="Normal 6" xfId="11"/>
    <cellStyle name="Normal 7" xfId="12"/>
    <cellStyle name="Normal 7 2" xfId="15"/>
  </cellStyles>
  <dxfs count="19"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color theme="0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214311</xdr:colOff>
      <xdr:row>2</xdr:row>
      <xdr:rowOff>154781</xdr:rowOff>
    </xdr:from>
    <xdr:to>
      <xdr:col>28</xdr:col>
      <xdr:colOff>202406</xdr:colOff>
      <xdr:row>6</xdr:row>
      <xdr:rowOff>95250</xdr:rowOff>
    </xdr:to>
    <xdr:sp macro="" textlink="">
      <xdr:nvSpPr>
        <xdr:cNvPr id="2" name="Globo: línea con borde y barra de énfasis 1">
          <a:extLst>
            <a:ext uri="{FF2B5EF4-FFF2-40B4-BE49-F238E27FC236}">
              <a16:creationId xmlns:a16="http://schemas.microsoft.com/office/drawing/2014/main" id="{08E05813-13BC-41BE-9673-755F4563FED7}"/>
            </a:ext>
          </a:extLst>
        </xdr:cNvPr>
        <xdr:cNvSpPr/>
      </xdr:nvSpPr>
      <xdr:spPr>
        <a:xfrm>
          <a:off x="9024936" y="178594"/>
          <a:ext cx="1988345" cy="1131094"/>
        </a:xfrm>
        <a:prstGeom prst="accentBorderCallout1">
          <a:avLst>
            <a:gd name="adj1" fmla="val 18750"/>
            <a:gd name="adj2" fmla="val -8333"/>
            <a:gd name="adj3" fmla="val 75415"/>
            <a:gd name="adj4" fmla="val -46385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1400"/>
            <a:t>SE INGRESA LA LETRA</a:t>
          </a:r>
          <a:r>
            <a:rPr lang="es-EC" sz="1400" baseline="0"/>
            <a:t> "</a:t>
          </a:r>
          <a:r>
            <a:rPr lang="es-EC" sz="1400" b="1" baseline="0">
              <a:solidFill>
                <a:srgbClr val="FF0000"/>
              </a:solidFill>
            </a:rPr>
            <a:t>F</a:t>
          </a:r>
          <a:r>
            <a:rPr lang="es-EC" sz="1400" b="0" baseline="0"/>
            <a:t>"  CUANDO ES UN DIA DE FERIADO </a:t>
          </a:r>
          <a:endParaRPr lang="es-EC" sz="1400" b="1"/>
        </a:p>
      </xdr:txBody>
    </xdr:sp>
    <xdr:clientData/>
  </xdr:twoCellAnchor>
  <xdr:twoCellAnchor>
    <xdr:from>
      <xdr:col>31</xdr:col>
      <xdr:colOff>59531</xdr:colOff>
      <xdr:row>1</xdr:row>
      <xdr:rowOff>0</xdr:rowOff>
    </xdr:from>
    <xdr:to>
      <xdr:col>36</xdr:col>
      <xdr:colOff>83342</xdr:colOff>
      <xdr:row>6</xdr:row>
      <xdr:rowOff>47624</xdr:rowOff>
    </xdr:to>
    <xdr:sp macro="" textlink="">
      <xdr:nvSpPr>
        <xdr:cNvPr id="3" name="Globo: línea doblada 2">
          <a:extLst>
            <a:ext uri="{FF2B5EF4-FFF2-40B4-BE49-F238E27FC236}">
              <a16:creationId xmlns:a16="http://schemas.microsoft.com/office/drawing/2014/main" id="{6A9FA084-BD76-4229-8BA1-6E76D7F34C89}"/>
            </a:ext>
          </a:extLst>
        </xdr:cNvPr>
        <xdr:cNvSpPr/>
      </xdr:nvSpPr>
      <xdr:spPr>
        <a:xfrm>
          <a:off x="12311062" y="23813"/>
          <a:ext cx="2464593" cy="123824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73985"/>
            <a:gd name="adj6" fmla="val -74685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1400"/>
            <a:t>SE APLICA EL ART. 21 CUANDO UN TRABAJADOR</a:t>
          </a:r>
          <a:r>
            <a:rPr lang="es-EC" sz="1400" baseline="0"/>
            <a:t> HA FALTADO A SU JORNADA LABORAL SIN JUSTIFICATIVO ALGUNO, SE COLOCA EN EL CASILLERO </a:t>
          </a:r>
          <a:r>
            <a:rPr lang="es-EC" sz="1400" b="1" baseline="0">
              <a:solidFill>
                <a:srgbClr val="FF0000"/>
              </a:solidFill>
            </a:rPr>
            <a:t>"-1"</a:t>
          </a:r>
          <a:r>
            <a:rPr lang="es-EC" sz="1400" baseline="0"/>
            <a:t> </a:t>
          </a:r>
          <a:endParaRPr lang="es-EC" sz="1400"/>
        </a:p>
      </xdr:txBody>
    </xdr:sp>
    <xdr:clientData/>
  </xdr:twoCellAnchor>
  <xdr:twoCellAnchor>
    <xdr:from>
      <xdr:col>5</xdr:col>
      <xdr:colOff>23812</xdr:colOff>
      <xdr:row>0</xdr:row>
      <xdr:rowOff>11907</xdr:rowOff>
    </xdr:from>
    <xdr:to>
      <xdr:col>13</xdr:col>
      <xdr:colOff>214313</xdr:colOff>
      <xdr:row>5</xdr:row>
      <xdr:rowOff>23812</xdr:rowOff>
    </xdr:to>
    <xdr:sp macro="" textlink="">
      <xdr:nvSpPr>
        <xdr:cNvPr id="5" name="Globo: línea doblada 4">
          <a:extLst>
            <a:ext uri="{FF2B5EF4-FFF2-40B4-BE49-F238E27FC236}">
              <a16:creationId xmlns:a16="http://schemas.microsoft.com/office/drawing/2014/main" id="{94558E76-7E83-4376-8AC3-CF5ED46A7C79}"/>
            </a:ext>
          </a:extLst>
        </xdr:cNvPr>
        <xdr:cNvSpPr/>
      </xdr:nvSpPr>
      <xdr:spPr>
        <a:xfrm>
          <a:off x="4298156" y="11907"/>
          <a:ext cx="2726532" cy="952499"/>
        </a:xfrm>
        <a:prstGeom prst="borderCallout2">
          <a:avLst>
            <a:gd name="adj1" fmla="val 55956"/>
            <a:gd name="adj2" fmla="val 106146"/>
            <a:gd name="adj3" fmla="val 163381"/>
            <a:gd name="adj4" fmla="val 107217"/>
            <a:gd name="adj5" fmla="val 285715"/>
            <a:gd name="adj6" fmla="val 122159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1100" b="1"/>
            <a:t>PARA CUALQUIER NOVEDAD DE LOS TRABAJADORES SE DEBE INSERTAR</a:t>
          </a:r>
          <a:r>
            <a:rPr lang="es-EC" sz="1100" b="1" baseline="0"/>
            <a:t> COMENTARIO HACIENDO CLICK DERECHO EN EL CUADRITO Y ESCOGER LA OPCION DE INSERTAR COMENTARIO</a:t>
          </a:r>
          <a:endParaRPr lang="es-EC" sz="1100" b="1"/>
        </a:p>
      </xdr:txBody>
    </xdr:sp>
    <xdr:clientData/>
  </xdr:twoCellAnchor>
  <xdr:twoCellAnchor>
    <xdr:from>
      <xdr:col>2</xdr:col>
      <xdr:colOff>2155031</xdr:colOff>
      <xdr:row>5</xdr:row>
      <xdr:rowOff>226218</xdr:rowOff>
    </xdr:from>
    <xdr:to>
      <xdr:col>5</xdr:col>
      <xdr:colOff>404812</xdr:colOff>
      <xdr:row>9</xdr:row>
      <xdr:rowOff>285749</xdr:rowOff>
    </xdr:to>
    <xdr:sp macro="" textlink="">
      <xdr:nvSpPr>
        <xdr:cNvPr id="6" name="Globo: línea 5">
          <a:extLst>
            <a:ext uri="{FF2B5EF4-FFF2-40B4-BE49-F238E27FC236}">
              <a16:creationId xmlns:a16="http://schemas.microsoft.com/office/drawing/2014/main" id="{9A7CF655-31F7-4725-96F9-E60CDD65F6B8}"/>
            </a:ext>
          </a:extLst>
        </xdr:cNvPr>
        <xdr:cNvSpPr/>
      </xdr:nvSpPr>
      <xdr:spPr>
        <a:xfrm>
          <a:off x="2428875" y="1166812"/>
          <a:ext cx="2250281" cy="881062"/>
        </a:xfrm>
        <a:prstGeom prst="borderCallout1">
          <a:avLst>
            <a:gd name="adj1" fmla="val 53885"/>
            <a:gd name="adj2" fmla="val 113585"/>
            <a:gd name="adj3" fmla="val 183330"/>
            <a:gd name="adj4" fmla="val 145221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1100" b="1"/>
            <a:t>SE DEBERA REALIZAR UNA AMONESTACION POR ESCRITO Y QUE LA FIRME PARA ENVIARLA A OFICINA DE MACHALA.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0</xdr:row>
      <xdr:rowOff>31749</xdr:rowOff>
    </xdr:from>
    <xdr:to>
      <xdr:col>2</xdr:col>
      <xdr:colOff>2619375</xdr:colOff>
      <xdr:row>0</xdr:row>
      <xdr:rowOff>1000125</xdr:rowOff>
    </xdr:to>
    <xdr:sp macro="" textlink="">
      <xdr:nvSpPr>
        <xdr:cNvPr id="2" name="Globo: línea doblada 1">
          <a:extLst>
            <a:ext uri="{FF2B5EF4-FFF2-40B4-BE49-F238E27FC236}">
              <a16:creationId xmlns:a16="http://schemas.microsoft.com/office/drawing/2014/main" id="{220B6050-69B8-4F95-8B3B-A0C3A48DE93A}"/>
            </a:ext>
          </a:extLst>
        </xdr:cNvPr>
        <xdr:cNvSpPr/>
      </xdr:nvSpPr>
      <xdr:spPr>
        <a:xfrm>
          <a:off x="1047750" y="31749"/>
          <a:ext cx="2095500" cy="968376"/>
        </a:xfrm>
        <a:prstGeom prst="borderCallout2">
          <a:avLst>
            <a:gd name="adj1" fmla="val 60610"/>
            <a:gd name="adj2" fmla="val 103880"/>
            <a:gd name="adj3" fmla="val 69913"/>
            <a:gd name="adj4" fmla="val 142875"/>
            <a:gd name="adj5" fmla="val 204341"/>
            <a:gd name="adj6" fmla="val 104420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1400" b="1"/>
            <a:t>SE INGRESA LA FECHA</a:t>
          </a:r>
          <a:r>
            <a:rPr lang="es-EC" sz="1400" b="1" baseline="0"/>
            <a:t> DEL PRIMER DIA DE LA QUINCENA POR EJEM: 01-01-19</a:t>
          </a:r>
          <a:endParaRPr lang="es-EC" sz="1400" b="1"/>
        </a:p>
      </xdr:txBody>
    </xdr:sp>
    <xdr:clientData/>
  </xdr:twoCellAnchor>
  <xdr:twoCellAnchor>
    <xdr:from>
      <xdr:col>2</xdr:col>
      <xdr:colOff>174625</xdr:colOff>
      <xdr:row>6</xdr:row>
      <xdr:rowOff>215899</xdr:rowOff>
    </xdr:from>
    <xdr:to>
      <xdr:col>2</xdr:col>
      <xdr:colOff>2651125</xdr:colOff>
      <xdr:row>7</xdr:row>
      <xdr:rowOff>873125</xdr:rowOff>
    </xdr:to>
    <xdr:sp macro="" textlink="">
      <xdr:nvSpPr>
        <xdr:cNvPr id="3" name="Globo: línea doblada 2">
          <a:extLst>
            <a:ext uri="{FF2B5EF4-FFF2-40B4-BE49-F238E27FC236}">
              <a16:creationId xmlns:a16="http://schemas.microsoft.com/office/drawing/2014/main" id="{45B3E1BE-7C75-4267-97E9-AC8B7A366917}"/>
            </a:ext>
          </a:extLst>
        </xdr:cNvPr>
        <xdr:cNvSpPr/>
      </xdr:nvSpPr>
      <xdr:spPr>
        <a:xfrm>
          <a:off x="698500" y="2740024"/>
          <a:ext cx="2476500" cy="911226"/>
        </a:xfrm>
        <a:prstGeom prst="borderCallout2">
          <a:avLst>
            <a:gd name="adj1" fmla="val 33836"/>
            <a:gd name="adj2" fmla="val 104762"/>
            <a:gd name="adj3" fmla="val -143"/>
            <a:gd name="adj4" fmla="val 124451"/>
            <a:gd name="adj5" fmla="val -35365"/>
            <a:gd name="adj6" fmla="val 103042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1400" b="1"/>
            <a:t>SE INGRESA LA FECHA</a:t>
          </a:r>
          <a:r>
            <a:rPr lang="es-EC" sz="1400" b="1" baseline="0"/>
            <a:t> DEL ULTIMO  DIA DE LA QUINCENA POR EJEM: 15-01-19</a:t>
          </a:r>
          <a:endParaRPr lang="es-EC" sz="1400" b="1"/>
        </a:p>
      </xdr:txBody>
    </xdr:sp>
    <xdr:clientData/>
  </xdr:twoCellAnchor>
  <xdr:twoCellAnchor>
    <xdr:from>
      <xdr:col>5</xdr:col>
      <xdr:colOff>349252</xdr:colOff>
      <xdr:row>0</xdr:row>
      <xdr:rowOff>746125</xdr:rowOff>
    </xdr:from>
    <xdr:to>
      <xdr:col>6</xdr:col>
      <xdr:colOff>365125</xdr:colOff>
      <xdr:row>3</xdr:row>
      <xdr:rowOff>47625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A169CA21-5974-4007-8CD6-37156B403C61}"/>
            </a:ext>
          </a:extLst>
        </xdr:cNvPr>
        <xdr:cNvCxnSpPr/>
      </xdr:nvCxnSpPr>
      <xdr:spPr>
        <a:xfrm flipH="1">
          <a:off x="4699002" y="746125"/>
          <a:ext cx="523873" cy="904875"/>
        </a:xfrm>
        <a:prstGeom prst="straightConnector1">
          <a:avLst/>
        </a:prstGeom>
        <a:ln>
          <a:headEnd type="none" w="med" len="med"/>
          <a:tailEnd type="arrow" w="med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95251</xdr:colOff>
      <xdr:row>1</xdr:row>
      <xdr:rowOff>15875</xdr:rowOff>
    </xdr:from>
    <xdr:to>
      <xdr:col>8</xdr:col>
      <xdr:colOff>0</xdr:colOff>
      <xdr:row>2</xdr:row>
      <xdr:rowOff>206375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FB17BE5D-B7B6-4715-B98A-41C0E387E813}"/>
            </a:ext>
          </a:extLst>
        </xdr:cNvPr>
        <xdr:cNvCxnSpPr/>
      </xdr:nvCxnSpPr>
      <xdr:spPr>
        <a:xfrm flipH="1">
          <a:off x="4953001" y="746125"/>
          <a:ext cx="936624" cy="476250"/>
        </a:xfrm>
        <a:prstGeom prst="straightConnector1">
          <a:avLst/>
        </a:prstGeom>
        <a:ln>
          <a:headEnd type="none" w="med" len="med"/>
          <a:tailEnd type="arrow" w="med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189442</xdr:colOff>
      <xdr:row>7</xdr:row>
      <xdr:rowOff>161924</xdr:rowOff>
    </xdr:from>
    <xdr:to>
      <xdr:col>11</xdr:col>
      <xdr:colOff>73025</xdr:colOff>
      <xdr:row>18</xdr:row>
      <xdr:rowOff>180975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5" r="38007" b="45175"/>
        <a:stretch/>
      </xdr:blipFill>
      <xdr:spPr>
        <a:xfrm>
          <a:off x="189442" y="1506007"/>
          <a:ext cx="7810500" cy="2114551"/>
        </a:xfrm>
        <a:prstGeom prst="rect">
          <a:avLst/>
        </a:prstGeom>
      </xdr:spPr>
    </xdr:pic>
    <xdr:clientData/>
  </xdr:twoCellAnchor>
  <xdr:twoCellAnchor editAs="oneCell">
    <xdr:from>
      <xdr:col>0</xdr:col>
      <xdr:colOff>338667</xdr:colOff>
      <xdr:row>29</xdr:row>
      <xdr:rowOff>32808</xdr:rowOff>
    </xdr:from>
    <xdr:to>
      <xdr:col>11</xdr:col>
      <xdr:colOff>231775</xdr:colOff>
      <xdr:row>41</xdr:row>
      <xdr:rowOff>166158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17" t="25915" r="38007" b="41008"/>
        <a:stretch/>
      </xdr:blipFill>
      <xdr:spPr>
        <a:xfrm>
          <a:off x="338667" y="5567891"/>
          <a:ext cx="7820025" cy="24193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1</xdr:rowOff>
    </xdr:from>
    <xdr:to>
      <xdr:col>10</xdr:col>
      <xdr:colOff>1026583</xdr:colOff>
      <xdr:row>74</xdr:row>
      <xdr:rowOff>167217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51" t="26624" r="36676" b="8842"/>
        <a:stretch/>
      </xdr:blipFill>
      <xdr:spPr>
        <a:xfrm>
          <a:off x="0" y="9535584"/>
          <a:ext cx="7757583" cy="4739216"/>
        </a:xfrm>
        <a:prstGeom prst="rect">
          <a:avLst/>
        </a:prstGeom>
      </xdr:spPr>
    </xdr:pic>
    <xdr:clientData/>
  </xdr:twoCellAnchor>
  <xdr:twoCellAnchor>
    <xdr:from>
      <xdr:col>4</xdr:col>
      <xdr:colOff>684633</xdr:colOff>
      <xdr:row>54</xdr:row>
      <xdr:rowOff>10583</xdr:rowOff>
    </xdr:from>
    <xdr:to>
      <xdr:col>10</xdr:col>
      <xdr:colOff>617110</xdr:colOff>
      <xdr:row>54</xdr:row>
      <xdr:rowOff>10583</xdr:rowOff>
    </xdr:to>
    <xdr:cxnSp macro="">
      <xdr:nvCxnSpPr>
        <xdr:cNvPr id="12" name="Conector recto de flecha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H="1">
          <a:off x="2843633" y="10308166"/>
          <a:ext cx="4504477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613191</xdr:colOff>
      <xdr:row>55</xdr:row>
      <xdr:rowOff>84667</xdr:rowOff>
    </xdr:from>
    <xdr:to>
      <xdr:col>10</xdr:col>
      <xdr:colOff>840953</xdr:colOff>
      <xdr:row>56</xdr:row>
      <xdr:rowOff>4233</xdr:rowOff>
    </xdr:to>
    <xdr:cxnSp macro="">
      <xdr:nvCxnSpPr>
        <xdr:cNvPr id="13" name="Conector recto de flecha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 flipH="1" flipV="1">
          <a:off x="5058191" y="10572750"/>
          <a:ext cx="2513762" cy="1100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627379</xdr:colOff>
      <xdr:row>57</xdr:row>
      <xdr:rowOff>188383</xdr:rowOff>
    </xdr:from>
    <xdr:to>
      <xdr:col>10</xdr:col>
      <xdr:colOff>619334</xdr:colOff>
      <xdr:row>63</xdr:row>
      <xdr:rowOff>158750</xdr:rowOff>
    </xdr:to>
    <xdr:cxnSp macro="">
      <xdr:nvCxnSpPr>
        <xdr:cNvPr id="14" name="Conector recto de flecha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/>
      </xdr:nvCxnSpPr>
      <xdr:spPr>
        <a:xfrm flipH="1">
          <a:off x="2786379" y="11057466"/>
          <a:ext cx="4563955" cy="111336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289166</xdr:colOff>
      <xdr:row>59</xdr:row>
      <xdr:rowOff>12700</xdr:rowOff>
    </xdr:from>
    <xdr:to>
      <xdr:col>10</xdr:col>
      <xdr:colOff>644280</xdr:colOff>
      <xdr:row>64</xdr:row>
      <xdr:rowOff>52917</xdr:rowOff>
    </xdr:to>
    <xdr:cxnSp macro="">
      <xdr:nvCxnSpPr>
        <xdr:cNvPr id="15" name="Conector recto de flecha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 flipH="1">
          <a:off x="3210166" y="11262783"/>
          <a:ext cx="4165114" cy="99271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645667</xdr:colOff>
      <xdr:row>60</xdr:row>
      <xdr:rowOff>10583</xdr:rowOff>
    </xdr:from>
    <xdr:to>
      <xdr:col>10</xdr:col>
      <xdr:colOff>666659</xdr:colOff>
      <xdr:row>64</xdr:row>
      <xdr:rowOff>105833</xdr:rowOff>
    </xdr:to>
    <xdr:cxnSp macro="">
      <xdr:nvCxnSpPr>
        <xdr:cNvPr id="16" name="Conector recto de flecha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H="1">
          <a:off x="3566667" y="11451166"/>
          <a:ext cx="3830992" cy="8572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369671</xdr:colOff>
      <xdr:row>61</xdr:row>
      <xdr:rowOff>42334</xdr:rowOff>
    </xdr:from>
    <xdr:to>
      <xdr:col>10</xdr:col>
      <xdr:colOff>814917</xdr:colOff>
      <xdr:row>64</xdr:row>
      <xdr:rowOff>127000</xdr:rowOff>
    </xdr:to>
    <xdr:cxnSp macro="">
      <xdr:nvCxnSpPr>
        <xdr:cNvPr id="17" name="Conector recto de flecha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CxnSpPr/>
      </xdr:nvCxnSpPr>
      <xdr:spPr>
        <a:xfrm flipH="1">
          <a:off x="4052671" y="11673417"/>
          <a:ext cx="3493246" cy="6561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634376</xdr:colOff>
      <xdr:row>62</xdr:row>
      <xdr:rowOff>83609</xdr:rowOff>
    </xdr:from>
    <xdr:to>
      <xdr:col>10</xdr:col>
      <xdr:colOff>1026583</xdr:colOff>
      <xdr:row>64</xdr:row>
      <xdr:rowOff>25400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8" idx="3"/>
        </xdr:cNvCxnSpPr>
      </xdr:nvCxnSpPr>
      <xdr:spPr>
        <a:xfrm flipH="1">
          <a:off x="6603376" y="11905192"/>
          <a:ext cx="1154207" cy="322791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114300</xdr:rowOff>
    </xdr:to>
    <xdr:sp macro="" textlink="">
      <xdr:nvSpPr>
        <xdr:cNvPr id="2" name="AutoShape 5" descr="Imagen relacionada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39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108851</xdr:rowOff>
    </xdr:from>
    <xdr:to>
      <xdr:col>2</xdr:col>
      <xdr:colOff>285750</xdr:colOff>
      <xdr:row>67</xdr:row>
      <xdr:rowOff>11071</xdr:rowOff>
    </xdr:to>
    <xdr:pic macro="[0]!BORRA_DATOS">
      <xdr:nvPicPr>
        <xdr:cNvPr id="3" name="Imagen 2" descr="http://www.puntogeek.com/wp-content/uploads/2011/06/free-file-wiper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06276"/>
          <a:ext cx="666750" cy="66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5" name="AutoShape 5" descr="Imagen relacionada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433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6" name="AutoShape 5" descr="Imagen relacionada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471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7" name="AutoShape 5" descr="Imagen relacionada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09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8" name="AutoShape 5" descr="Imagen relacionada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47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9" name="AutoShape 5" descr="Imagen relacionada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85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10" name="AutoShape 5" descr="Imagen relacionada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623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19</xdr:row>
      <xdr:rowOff>0</xdr:rowOff>
    </xdr:from>
    <xdr:ext cx="304800" cy="304800"/>
    <xdr:sp macro="" textlink="">
      <xdr:nvSpPr>
        <xdr:cNvPr id="11" name="AutoShape 5" descr="Imagen relacionada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66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20</xdr:row>
      <xdr:rowOff>0</xdr:rowOff>
    </xdr:from>
    <xdr:ext cx="304800" cy="304800"/>
    <xdr:sp macro="" textlink="">
      <xdr:nvSpPr>
        <xdr:cNvPr id="12" name="AutoShape 5" descr="Imagen relacionada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00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21</xdr:row>
      <xdr:rowOff>0</xdr:rowOff>
    </xdr:from>
    <xdr:ext cx="304800" cy="304800"/>
    <xdr:sp macro="" textlink="">
      <xdr:nvSpPr>
        <xdr:cNvPr id="13" name="AutoShape 5" descr="Imagen relacionada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38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22</xdr:row>
      <xdr:rowOff>0</xdr:rowOff>
    </xdr:from>
    <xdr:ext cx="304800" cy="304800"/>
    <xdr:sp macro="" textlink="">
      <xdr:nvSpPr>
        <xdr:cNvPr id="14" name="AutoShape 5" descr="Imagen relacionada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76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23</xdr:row>
      <xdr:rowOff>0</xdr:rowOff>
    </xdr:from>
    <xdr:ext cx="304800" cy="304800"/>
    <xdr:sp macro="" textlink="">
      <xdr:nvSpPr>
        <xdr:cNvPr id="15" name="AutoShape 5" descr="Imagen relacionada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14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24</xdr:row>
      <xdr:rowOff>0</xdr:rowOff>
    </xdr:from>
    <xdr:ext cx="304800" cy="304800"/>
    <xdr:sp macro="" textlink="">
      <xdr:nvSpPr>
        <xdr:cNvPr id="16" name="AutoShape 5" descr="Imagen relacionada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25</xdr:row>
      <xdr:rowOff>0</xdr:rowOff>
    </xdr:from>
    <xdr:ext cx="304800" cy="304800"/>
    <xdr:sp macro="" textlink="">
      <xdr:nvSpPr>
        <xdr:cNvPr id="17" name="AutoShape 5" descr="Imagen relacionada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18" name="AutoShape 5" descr="Imagen relacionada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928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27</xdr:row>
      <xdr:rowOff>0</xdr:rowOff>
    </xdr:from>
    <xdr:ext cx="304800" cy="304800"/>
    <xdr:sp macro="" textlink="">
      <xdr:nvSpPr>
        <xdr:cNvPr id="19" name="AutoShape 5" descr="Imagen relacionada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96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28</xdr:row>
      <xdr:rowOff>0</xdr:rowOff>
    </xdr:from>
    <xdr:ext cx="304800" cy="304800"/>
    <xdr:sp macro="" textlink="">
      <xdr:nvSpPr>
        <xdr:cNvPr id="20" name="AutoShape 5" descr="Imagen relacionada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04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1" name="AutoShape 5" descr="Imagen relacionada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42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30</xdr:row>
      <xdr:rowOff>0</xdr:rowOff>
    </xdr:from>
    <xdr:ext cx="304800" cy="304800"/>
    <xdr:sp macro="" textlink="">
      <xdr:nvSpPr>
        <xdr:cNvPr id="22" name="AutoShape 5" descr="Imagen relacionada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-bio\DOCUMENTOS%20SERVIDOR%20VIEJO\NOMINA\EMPLEADOS%20PSM-BIO-%20NUEV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_PSM"/>
      <sheetName val="EMPL_BIO"/>
      <sheetName val="Hoja2"/>
      <sheetName val="Consulta_PSM"/>
      <sheetName val="PSM"/>
      <sheetName val="Consulta_BIO"/>
      <sheetName val="BIO"/>
      <sheetName val="REG_EMPLEADO"/>
      <sheetName val="INGRESO"/>
      <sheetName val="COD_ACT_SECT"/>
      <sheetName val="EMPLE_SALEN"/>
      <sheetName val="GUARDIAS"/>
      <sheetName val="Consulta"/>
      <sheetName val="Hoja1"/>
      <sheetName val="EMPLEADOS PSM-BIO- NUEV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REG_CEDULA</v>
          </cell>
          <cell r="C1" t="str">
            <v>NOMBRE COMPLETO:</v>
          </cell>
          <cell r="D1" t="str">
            <v>FECHA DE NACIMIENTO</v>
          </cell>
          <cell r="E1" t="str">
            <v>EDAD:</v>
          </cell>
          <cell r="F1" t="str">
            <v># CEDULA:</v>
          </cell>
          <cell r="G1" t="str">
            <v>ESTADO CIVIL</v>
          </cell>
          <cell r="H1" t="str">
            <v>HIJOS:</v>
          </cell>
          <cell r="I1" t="str">
            <v>EDADES:</v>
          </cell>
          <cell r="J1" t="str">
            <v>DOMICILIO:</v>
          </cell>
          <cell r="K1" t="str">
            <v>TELEF:</v>
          </cell>
          <cell r="L1" t="str">
            <v>CELULAR:</v>
          </cell>
          <cell r="M1" t="str">
            <v>EMAIL:</v>
          </cell>
          <cell r="N1" t="str">
            <v>EN CASO DE EMERGENCIA LLAMAR A:</v>
          </cell>
          <cell r="O1" t="str">
            <v>QUIEN ES:</v>
          </cell>
          <cell r="P1" t="str">
            <v>LLAMAR TELF:</v>
          </cell>
          <cell r="Q1" t="str">
            <v>LLAMAR CELULAR:</v>
          </cell>
          <cell r="R1" t="str">
            <v>INSTRUCCION ACADEMICA:</v>
          </cell>
          <cell r="S1" t="str">
            <v>TRABAJO ANTES AQUÍ</v>
          </cell>
          <cell r="T1" t="str">
            <v xml:space="preserve">    FECHA:</v>
          </cell>
          <cell r="U1" t="str">
            <v xml:space="preserve">          POR QUE SALIÓ?:</v>
          </cell>
          <cell r="V1" t="str">
            <v>PARIENTES EN LA EMPRESA:</v>
          </cell>
          <cell r="W1" t="str">
            <v>QUIEN:</v>
          </cell>
          <cell r="X1" t="str">
            <v>QUIEN LO TRAE O RECOMIENDA:</v>
          </cell>
          <cell r="Y1" t="str">
            <v>APTITUDES/OFICIOS VARIOS:</v>
          </cell>
          <cell r="Z1" t="str">
            <v>FECHA DE INGRESO</v>
          </cell>
          <cell r="AA1" t="str">
            <v>EMPRESA</v>
          </cell>
          <cell r="AB1" t="str">
            <v>CODIGO SECTORIAL</v>
          </cell>
          <cell r="AC1" t="str">
            <v>SUELDO</v>
          </cell>
          <cell r="AD1" t="str">
            <v>FUNCION</v>
          </cell>
          <cell r="AE1" t="str">
            <v>AREA</v>
          </cell>
          <cell r="AF1" t="str">
            <v>SABE NADAR</v>
          </cell>
          <cell r="AG1" t="str">
            <v>SABE ATARRAYAR</v>
          </cell>
          <cell r="AH1" t="str">
            <v>SABE CONDUCIR</v>
          </cell>
          <cell r="AI1" t="str">
            <v>MOTO</v>
          </cell>
          <cell r="AJ1" t="str">
            <v>ANTECEDENT PENALES</v>
          </cell>
          <cell r="AK1" t="str">
            <v>EDAD ACTUA</v>
          </cell>
          <cell r="AL1" t="str">
            <v>DISCAPACIDAD</v>
          </cell>
          <cell r="AM1" t="str">
            <v>%</v>
          </cell>
          <cell r="AN1" t="str">
            <v>FECHA</v>
          </cell>
        </row>
        <row r="2">
          <cell r="B2" t="str">
            <v>070146930-6</v>
          </cell>
          <cell r="C2" t="str">
            <v>CARPIO JIMENEZ MIGUEL EMILIO</v>
          </cell>
          <cell r="D2">
            <v>22183</v>
          </cell>
          <cell r="E2">
            <v>55</v>
          </cell>
          <cell r="F2" t="str">
            <v>070146930-6</v>
          </cell>
          <cell r="G2" t="str">
            <v>CASADO</v>
          </cell>
          <cell r="H2">
            <v>1</v>
          </cell>
          <cell r="I2" t="str">
            <v/>
          </cell>
          <cell r="J2" t="str">
            <v>MACHALA LAS CRUCITA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 t="str">
            <v>SUPERIOR BIOLOGO</v>
          </cell>
          <cell r="S2" t="str">
            <v/>
          </cell>
          <cell r="T2" t="str">
            <v/>
          </cell>
          <cell r="U2" t="str">
            <v/>
          </cell>
          <cell r="V2" t="str">
            <v/>
          </cell>
          <cell r="W2" t="str">
            <v/>
          </cell>
          <cell r="X2" t="str">
            <v/>
          </cell>
          <cell r="Y2" t="str">
            <v/>
          </cell>
          <cell r="Z2">
            <v>32209</v>
          </cell>
          <cell r="AA2" t="str">
            <v>PSM</v>
          </cell>
          <cell r="AB2" t="str">
            <v>0302050003029</v>
          </cell>
          <cell r="AC2">
            <v>1692</v>
          </cell>
          <cell r="AD2" t="str">
            <v>BIOLOGO ACUACULTOR</v>
          </cell>
          <cell r="AE2" t="str">
            <v>PRODUCCION</v>
          </cell>
          <cell r="AF2" t="str">
            <v/>
          </cell>
          <cell r="AG2" t="str">
            <v/>
          </cell>
          <cell r="AH2" t="str">
            <v>SI</v>
          </cell>
          <cell r="AI2" t="str">
            <v/>
          </cell>
          <cell r="AJ2" t="str">
            <v>NO</v>
          </cell>
          <cell r="AK2">
            <v>58</v>
          </cell>
        </row>
        <row r="3">
          <cell r="B3" t="str">
            <v>070082318-0</v>
          </cell>
          <cell r="C3" t="str">
            <v>CARPIO JIMENEZ MARIA DE LOURDES</v>
          </cell>
          <cell r="D3">
            <v>20128</v>
          </cell>
          <cell r="E3">
            <v>61</v>
          </cell>
          <cell r="F3" t="str">
            <v>070082318-0</v>
          </cell>
          <cell r="G3" t="str">
            <v>DIVORCIADA</v>
          </cell>
          <cell r="H3" t="str">
            <v/>
          </cell>
          <cell r="I3" t="str">
            <v/>
          </cell>
          <cell r="J3" t="str">
            <v>MACHALA AV. LAS PALMERAS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 t="str">
            <v>SUPERIOR LICENCIADA</v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>
            <v>33817</v>
          </cell>
          <cell r="AA3" t="str">
            <v>PSM</v>
          </cell>
          <cell r="AB3" t="str">
            <v>1910000000026</v>
          </cell>
          <cell r="AC3">
            <v>1528</v>
          </cell>
          <cell r="AD3" t="str">
            <v>AUXILIAR CONTABILIDAD</v>
          </cell>
          <cell r="AE3" t="str">
            <v>ADMINISTRACION</v>
          </cell>
          <cell r="AF3" t="str">
            <v>SI</v>
          </cell>
          <cell r="AG3" t="str">
            <v/>
          </cell>
          <cell r="AH3" t="str">
            <v>SI</v>
          </cell>
          <cell r="AI3" t="str">
            <v>NO</v>
          </cell>
          <cell r="AJ3" t="str">
            <v>NO</v>
          </cell>
          <cell r="AK3">
            <v>63</v>
          </cell>
        </row>
        <row r="4">
          <cell r="B4" t="str">
            <v>230034363-5</v>
          </cell>
          <cell r="C4" t="str">
            <v>HERNANDEZ VALENCIA CARLOS ALBERTO</v>
          </cell>
          <cell r="D4">
            <v>33356</v>
          </cell>
          <cell r="E4">
            <v>25</v>
          </cell>
          <cell r="F4" t="str">
            <v>230034363-5</v>
          </cell>
          <cell r="G4" t="str">
            <v>SOLTERO</v>
          </cell>
          <cell r="H4">
            <v>0</v>
          </cell>
          <cell r="I4" t="str">
            <v/>
          </cell>
          <cell r="J4" t="str">
            <v>SANTO DOMINGO. JUAN EULOGIO</v>
          </cell>
          <cell r="K4">
            <v>0</v>
          </cell>
          <cell r="L4">
            <v>986877303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 t="str">
            <v>3ER CURSO</v>
          </cell>
          <cell r="S4" t="str">
            <v>NO</v>
          </cell>
          <cell r="T4" t="str">
            <v/>
          </cell>
          <cell r="U4" t="str">
            <v/>
          </cell>
          <cell r="V4" t="str">
            <v>NO</v>
          </cell>
          <cell r="W4" t="str">
            <v/>
          </cell>
          <cell r="X4" t="str">
            <v/>
          </cell>
          <cell r="Y4" t="str">
            <v>DIBUJA EN PAPEL, PAREDES, TATUAJES</v>
          </cell>
          <cell r="Z4">
            <v>40070</v>
          </cell>
          <cell r="AA4" t="str">
            <v>PSM</v>
          </cell>
          <cell r="AB4" t="str">
            <v>0302050003033</v>
          </cell>
          <cell r="AC4">
            <v>371.92</v>
          </cell>
          <cell r="AD4" t="str">
            <v>ASISTENTE BIOLOGO</v>
          </cell>
          <cell r="AE4" t="str">
            <v>CAMPO</v>
          </cell>
          <cell r="AF4" t="str">
            <v>SI</v>
          </cell>
          <cell r="AG4" t="str">
            <v>SI</v>
          </cell>
          <cell r="AH4" t="str">
            <v>SI</v>
          </cell>
          <cell r="AI4" t="str">
            <v>SI</v>
          </cell>
          <cell r="AJ4" t="str">
            <v>NO</v>
          </cell>
          <cell r="AK4">
            <v>27</v>
          </cell>
          <cell r="AL4">
            <v>0</v>
          </cell>
          <cell r="AM4">
            <v>0</v>
          </cell>
          <cell r="AN4">
            <v>0</v>
          </cell>
        </row>
        <row r="5">
          <cell r="B5" t="str">
            <v>070406459-1</v>
          </cell>
          <cell r="C5" t="str">
            <v>ROBLES BUSTAMANTE CARLOS ALBERTO</v>
          </cell>
          <cell r="D5">
            <v>29088</v>
          </cell>
          <cell r="E5">
            <v>36</v>
          </cell>
          <cell r="F5" t="str">
            <v>070406459-1</v>
          </cell>
          <cell r="G5" t="str">
            <v>SOLTERO</v>
          </cell>
          <cell r="H5">
            <v>0</v>
          </cell>
          <cell r="I5" t="str">
            <v>1 DE 5 AÑOS</v>
          </cell>
          <cell r="J5" t="str">
            <v>BALAO CHICO. JAIME ROLDOS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 t="str">
            <v>5TO CURSO</v>
          </cell>
          <cell r="S5" t="str">
            <v>NO</v>
          </cell>
          <cell r="T5" t="str">
            <v/>
          </cell>
          <cell r="U5" t="str">
            <v/>
          </cell>
          <cell r="V5" t="str">
            <v>NO</v>
          </cell>
          <cell r="W5" t="str">
            <v/>
          </cell>
          <cell r="X5" t="str">
            <v/>
          </cell>
          <cell r="Y5" t="str">
            <v>COMPRA DE CAMARON PROCESO DE EMPACADORA</v>
          </cell>
          <cell r="Z5">
            <v>40679</v>
          </cell>
          <cell r="AA5" t="str">
            <v>PSM</v>
          </cell>
          <cell r="AB5">
            <v>1910000000004</v>
          </cell>
          <cell r="AC5">
            <v>400</v>
          </cell>
          <cell r="AD5" t="str">
            <v>ADMINISTRADOR DE CAMPO</v>
          </cell>
          <cell r="AE5" t="str">
            <v>CAMPO</v>
          </cell>
          <cell r="AF5" t="str">
            <v>SI</v>
          </cell>
          <cell r="AG5" t="str">
            <v>SI</v>
          </cell>
          <cell r="AH5" t="str">
            <v>SI</v>
          </cell>
          <cell r="AI5" t="str">
            <v>NO</v>
          </cell>
          <cell r="AJ5" t="str">
            <v>NO</v>
          </cell>
          <cell r="AK5">
            <v>39</v>
          </cell>
          <cell r="AL5" t="str">
            <v>SI</v>
          </cell>
          <cell r="AM5">
            <v>0.3</v>
          </cell>
          <cell r="AN5">
            <v>40437</v>
          </cell>
        </row>
        <row r="6">
          <cell r="B6" t="str">
            <v>090288541-7</v>
          </cell>
          <cell r="C6" t="str">
            <v>MOSQUERA SERRANO CECILIA ELIZABETH</v>
          </cell>
          <cell r="D6">
            <v>20314</v>
          </cell>
          <cell r="E6">
            <v>60</v>
          </cell>
          <cell r="F6" t="str">
            <v>090288541-7</v>
          </cell>
          <cell r="G6" t="str">
            <v>CASADO</v>
          </cell>
          <cell r="H6">
            <v>1</v>
          </cell>
          <cell r="I6" t="str">
            <v/>
          </cell>
          <cell r="J6" t="str">
            <v>AV LAS PALMERAS ANTES DE LLEGAR CIRCUNVALACION SUR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 t="str">
            <v>SECUNDARIA QUE HACER DOMESTICO</v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>
            <v>40787</v>
          </cell>
          <cell r="AA6" t="str">
            <v>PSM</v>
          </cell>
          <cell r="AB6" t="str">
            <v>1910000000024</v>
          </cell>
          <cell r="AC6">
            <v>373.65</v>
          </cell>
          <cell r="AD6" t="str">
            <v>SECRETARIA</v>
          </cell>
          <cell r="AE6" t="str">
            <v>ADMINISTRACION</v>
          </cell>
          <cell r="AF6" t="str">
            <v/>
          </cell>
          <cell r="AG6" t="str">
            <v/>
          </cell>
          <cell r="AH6" t="str">
            <v/>
          </cell>
          <cell r="AI6" t="str">
            <v/>
          </cell>
          <cell r="AJ6" t="str">
            <v>NO</v>
          </cell>
          <cell r="AK6">
            <v>63</v>
          </cell>
          <cell r="AL6">
            <v>0</v>
          </cell>
          <cell r="AM6">
            <v>0</v>
          </cell>
          <cell r="AN6">
            <v>0</v>
          </cell>
        </row>
        <row r="7">
          <cell r="B7" t="str">
            <v>070177820-1</v>
          </cell>
          <cell r="C7" t="str">
            <v>LOAIZA ROMERO MARIA DEL CARMEN</v>
          </cell>
          <cell r="D7">
            <v>25525</v>
          </cell>
          <cell r="E7">
            <v>0</v>
          </cell>
          <cell r="F7" t="str">
            <v>070177820-1</v>
          </cell>
          <cell r="G7" t="str">
            <v>CASADO</v>
          </cell>
          <cell r="H7">
            <v>1</v>
          </cell>
          <cell r="I7" t="str">
            <v/>
          </cell>
          <cell r="J7" t="str">
            <v>MACHALA CDLA LAS CRUCITAS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>
            <v>40817</v>
          </cell>
          <cell r="AA7" t="str">
            <v>PSM</v>
          </cell>
          <cell r="AB7" t="str">
            <v>1910000000024</v>
          </cell>
          <cell r="AC7">
            <v>373.65</v>
          </cell>
          <cell r="AD7" t="str">
            <v>SECRETARIA</v>
          </cell>
          <cell r="AE7" t="str">
            <v>ADMINISTRACION</v>
          </cell>
          <cell r="AF7" t="str">
            <v/>
          </cell>
          <cell r="AG7" t="str">
            <v/>
          </cell>
          <cell r="AH7" t="str">
            <v>SI</v>
          </cell>
          <cell r="AI7" t="str">
            <v/>
          </cell>
          <cell r="AJ7" t="str">
            <v>NO</v>
          </cell>
          <cell r="AK7">
            <v>48</v>
          </cell>
          <cell r="AL7">
            <v>0</v>
          </cell>
          <cell r="AM7">
            <v>0</v>
          </cell>
          <cell r="AN7">
            <v>0</v>
          </cell>
        </row>
        <row r="8">
          <cell r="B8" t="str">
            <v>070219346-7</v>
          </cell>
          <cell r="C8" t="str">
            <v>ARMIJOS MIÑAN ANGEL OSWALDO</v>
          </cell>
          <cell r="D8">
            <v>25440</v>
          </cell>
          <cell r="E8">
            <v>46</v>
          </cell>
          <cell r="F8" t="str">
            <v>070219346-7</v>
          </cell>
          <cell r="G8" t="str">
            <v>SOLTERO</v>
          </cell>
          <cell r="H8">
            <v>0</v>
          </cell>
          <cell r="I8" t="str">
            <v/>
          </cell>
          <cell r="J8" t="str">
            <v>SANTA ROSA - EL ORO</v>
          </cell>
          <cell r="K8">
            <v>0</v>
          </cell>
          <cell r="L8">
            <v>985224374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 t="str">
            <v>PRIMARIA</v>
          </cell>
          <cell r="S8" t="str">
            <v>NO</v>
          </cell>
          <cell r="T8" t="str">
            <v/>
          </cell>
          <cell r="U8" t="str">
            <v/>
          </cell>
          <cell r="V8" t="str">
            <v>NO</v>
          </cell>
          <cell r="W8" t="str">
            <v/>
          </cell>
          <cell r="X8" t="str">
            <v>UN AMIGO (EL CHINO)</v>
          </cell>
          <cell r="Y8" t="str">
            <v>TIENE CONOCIMIENTOS DE CAMARONERA</v>
          </cell>
          <cell r="Z8">
            <v>41039</v>
          </cell>
          <cell r="AA8" t="str">
            <v>PSM</v>
          </cell>
          <cell r="AB8">
            <v>1709610000332</v>
          </cell>
          <cell r="AC8">
            <v>378.24</v>
          </cell>
          <cell r="AD8" t="str">
            <v>BOMBERO</v>
          </cell>
          <cell r="AE8" t="str">
            <v>CAMPO</v>
          </cell>
          <cell r="AF8" t="str">
            <v>SI</v>
          </cell>
          <cell r="AG8" t="str">
            <v>SI</v>
          </cell>
          <cell r="AH8" t="str">
            <v>NO</v>
          </cell>
          <cell r="AI8" t="str">
            <v>NO</v>
          </cell>
          <cell r="AJ8" t="str">
            <v>NO</v>
          </cell>
          <cell r="AK8">
            <v>49</v>
          </cell>
          <cell r="AL8">
            <v>0</v>
          </cell>
          <cell r="AM8">
            <v>0</v>
          </cell>
          <cell r="AN8">
            <v>0</v>
          </cell>
        </row>
        <row r="9">
          <cell r="B9" t="str">
            <v>110278326-1</v>
          </cell>
          <cell r="C9" t="str">
            <v>SOTO CANGO ROBER CORNELIO</v>
          </cell>
          <cell r="D9">
            <v>25057</v>
          </cell>
          <cell r="E9">
            <v>47</v>
          </cell>
          <cell r="F9" t="str">
            <v>110278326-1</v>
          </cell>
          <cell r="G9" t="str">
            <v>CASADO</v>
          </cell>
          <cell r="H9">
            <v>3</v>
          </cell>
          <cell r="I9" t="str">
            <v/>
          </cell>
          <cell r="J9" t="str">
            <v>NAMBACOLA - GONZANAMA - LOJA</v>
          </cell>
          <cell r="K9">
            <v>0</v>
          </cell>
          <cell r="L9">
            <v>979765027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 t="str">
            <v>PRIMARIA</v>
          </cell>
          <cell r="S9" t="str">
            <v>NO</v>
          </cell>
          <cell r="T9" t="str">
            <v/>
          </cell>
          <cell r="U9" t="str">
            <v/>
          </cell>
          <cell r="V9" t="str">
            <v>SI</v>
          </cell>
          <cell r="W9" t="str">
            <v>PEDRO SOTO - HIJO</v>
          </cell>
          <cell r="X9" t="str">
            <v>HIJO - PEDRO SOTO</v>
          </cell>
          <cell r="Y9" t="str">
            <v>GUARDIA - SABE OPERAR MOTOSIERRA -</v>
          </cell>
          <cell r="Z9">
            <v>41048</v>
          </cell>
          <cell r="AA9" t="str">
            <v>PSM</v>
          </cell>
          <cell r="AB9" t="str">
            <v>0302050003036</v>
          </cell>
          <cell r="AC9">
            <v>371.68</v>
          </cell>
          <cell r="AD9" t="str">
            <v>VARIOS TRABAJ-ACUILCOLA</v>
          </cell>
          <cell r="AE9" t="str">
            <v>CAMPO</v>
          </cell>
          <cell r="AF9" t="str">
            <v>SI</v>
          </cell>
          <cell r="AG9" t="str">
            <v>NO</v>
          </cell>
          <cell r="AH9" t="str">
            <v>NO</v>
          </cell>
          <cell r="AI9" t="str">
            <v>SI</v>
          </cell>
          <cell r="AJ9" t="str">
            <v>NO</v>
          </cell>
          <cell r="AK9">
            <v>50</v>
          </cell>
          <cell r="AL9">
            <v>0</v>
          </cell>
          <cell r="AM9">
            <v>0</v>
          </cell>
          <cell r="AN9">
            <v>0</v>
          </cell>
        </row>
        <row r="10">
          <cell r="B10" t="str">
            <v>070084580-3</v>
          </cell>
          <cell r="C10" t="str">
            <v>CARPIO JIMENEZ ROMULO PATRICIO</v>
          </cell>
          <cell r="D10">
            <v>20964</v>
          </cell>
          <cell r="E10">
            <v>59</v>
          </cell>
          <cell r="F10" t="str">
            <v>070084580-3</v>
          </cell>
          <cell r="G10" t="str">
            <v>CASADO</v>
          </cell>
          <cell r="H10">
            <v>1</v>
          </cell>
          <cell r="I10" t="str">
            <v/>
          </cell>
          <cell r="J10" t="str">
            <v>AV. LAS PALMERAS ANTES DE LLEGAR CIRCUNVALACION SUR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 t="str">
            <v>SUPERIOR AGRICULTOR</v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>
            <v>41275</v>
          </cell>
          <cell r="AA10" t="str">
            <v>PSM</v>
          </cell>
          <cell r="AB10" t="str">
            <v>204151101002</v>
          </cell>
          <cell r="AC10">
            <v>1528</v>
          </cell>
          <cell r="AD10" t="str">
            <v>MANTENIMIENTO MECANICA VARIOS</v>
          </cell>
          <cell r="AE10" t="str">
            <v>PRODUCCION</v>
          </cell>
          <cell r="AF10" t="str">
            <v>SI</v>
          </cell>
          <cell r="AG10" t="str">
            <v/>
          </cell>
          <cell r="AH10" t="str">
            <v>SI</v>
          </cell>
          <cell r="AI10" t="str">
            <v/>
          </cell>
          <cell r="AJ10" t="str">
            <v>NO</v>
          </cell>
          <cell r="AK10">
            <v>61</v>
          </cell>
          <cell r="AL10">
            <v>0</v>
          </cell>
          <cell r="AM10">
            <v>0</v>
          </cell>
          <cell r="AN10">
            <v>0</v>
          </cell>
        </row>
        <row r="11">
          <cell r="B11" t="str">
            <v>110315588-1</v>
          </cell>
          <cell r="C11" t="str">
            <v>CANGO QUITO JOSE LEOVARDO</v>
          </cell>
          <cell r="D11">
            <v>27812</v>
          </cell>
          <cell r="E11">
            <v>40</v>
          </cell>
          <cell r="F11" t="str">
            <v>110315588-1</v>
          </cell>
          <cell r="G11" t="str">
            <v>CASADO</v>
          </cell>
          <cell r="H11">
            <v>1</v>
          </cell>
          <cell r="I11" t="str">
            <v/>
          </cell>
          <cell r="J11" t="str">
            <v>LOJA</v>
          </cell>
          <cell r="K11">
            <v>0</v>
          </cell>
          <cell r="L11">
            <v>990985647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 t="str">
            <v>PRIMARIA</v>
          </cell>
          <cell r="S11" t="str">
            <v>NO</v>
          </cell>
          <cell r="T11" t="str">
            <v/>
          </cell>
          <cell r="U11" t="str">
            <v/>
          </cell>
          <cell r="V11" t="str">
            <v>NO</v>
          </cell>
          <cell r="W11" t="str">
            <v/>
          </cell>
          <cell r="X11" t="str">
            <v>FAMILIAR DE LA ESPOSA DE ROBER SOTO CANGO</v>
          </cell>
          <cell r="Y11" t="str">
            <v xml:space="preserve">AGRICULTURA, AYUDANTE DE CONSTRUCCION </v>
          </cell>
          <cell r="Z11">
            <v>41379</v>
          </cell>
          <cell r="AA11" t="str">
            <v>PSM</v>
          </cell>
          <cell r="AB11" t="str">
            <v>0302050003036</v>
          </cell>
          <cell r="AC11">
            <v>371.68</v>
          </cell>
          <cell r="AD11" t="str">
            <v>VARIOS TRABAJ-ACUILCOLA</v>
          </cell>
          <cell r="AE11" t="str">
            <v>CAMPO</v>
          </cell>
          <cell r="AF11" t="str">
            <v>NO</v>
          </cell>
          <cell r="AG11" t="str">
            <v>SI</v>
          </cell>
          <cell r="AH11" t="str">
            <v>NO</v>
          </cell>
          <cell r="AI11" t="str">
            <v>NO</v>
          </cell>
          <cell r="AJ11" t="str">
            <v>NO</v>
          </cell>
          <cell r="AK11">
            <v>42</v>
          </cell>
          <cell r="AL11">
            <v>0</v>
          </cell>
          <cell r="AM11">
            <v>0</v>
          </cell>
          <cell r="AN11">
            <v>0</v>
          </cell>
        </row>
        <row r="12">
          <cell r="B12" t="str">
            <v>070508993-6</v>
          </cell>
          <cell r="C12" t="str">
            <v>PEREZ JUMBO JORGE ROLANDO</v>
          </cell>
          <cell r="D12">
            <v>32181</v>
          </cell>
          <cell r="E12">
            <v>28</v>
          </cell>
          <cell r="F12" t="str">
            <v>070508993-6</v>
          </cell>
          <cell r="G12" t="str">
            <v>SOLTERO</v>
          </cell>
          <cell r="H12">
            <v>0</v>
          </cell>
          <cell r="I12" t="str">
            <v/>
          </cell>
          <cell r="J12" t="str">
            <v>AYACUCHO Y NOVENA NORTE</v>
          </cell>
          <cell r="K12">
            <v>0</v>
          </cell>
          <cell r="L12">
            <v>969630046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 t="str">
            <v>PRIMARIA</v>
          </cell>
          <cell r="S12" t="str">
            <v>NO</v>
          </cell>
          <cell r="T12" t="str">
            <v/>
          </cell>
          <cell r="U12" t="str">
            <v/>
          </cell>
          <cell r="V12" t="str">
            <v>NO</v>
          </cell>
          <cell r="W12" t="str">
            <v/>
          </cell>
          <cell r="X12" t="str">
            <v>VINICIO YANANGOMEZ (VECINO)</v>
          </cell>
          <cell r="Y12" t="str">
            <v>CONSTRUCCION</v>
          </cell>
          <cell r="Z12">
            <v>41386</v>
          </cell>
          <cell r="AA12" t="str">
            <v>PSM</v>
          </cell>
          <cell r="AB12" t="str">
            <v>0302050003036</v>
          </cell>
          <cell r="AC12">
            <v>371.68</v>
          </cell>
          <cell r="AD12" t="str">
            <v>VARIOS TRABAJ-ACUILCOLA</v>
          </cell>
          <cell r="AE12" t="str">
            <v>CAMPO</v>
          </cell>
          <cell r="AF12" t="str">
            <v>SI</v>
          </cell>
          <cell r="AG12" t="str">
            <v>SI</v>
          </cell>
          <cell r="AH12" t="str">
            <v>SI</v>
          </cell>
          <cell r="AI12" t="str">
            <v>NO</v>
          </cell>
          <cell r="AJ12" t="str">
            <v>NO</v>
          </cell>
          <cell r="AK12">
            <v>30</v>
          </cell>
          <cell r="AL12">
            <v>0</v>
          </cell>
          <cell r="AM12">
            <v>0</v>
          </cell>
          <cell r="AN12">
            <v>0</v>
          </cell>
        </row>
        <row r="13">
          <cell r="B13" t="str">
            <v>110377448-3</v>
          </cell>
          <cell r="C13" t="str">
            <v>RUIZ RUIZ DIEGO PATRICIO</v>
          </cell>
          <cell r="D13">
            <v>29755</v>
          </cell>
          <cell r="E13">
            <v>34</v>
          </cell>
          <cell r="F13" t="str">
            <v>110377448-3</v>
          </cell>
          <cell r="G13" t="str">
            <v>SOLTERO</v>
          </cell>
          <cell r="H13">
            <v>1</v>
          </cell>
          <cell r="I13" t="str">
            <v/>
          </cell>
          <cell r="J13" t="str">
            <v>LOJA</v>
          </cell>
          <cell r="K13">
            <v>0</v>
          </cell>
          <cell r="L13">
            <v>968268923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 t="str">
            <v>SECUNDARIA</v>
          </cell>
          <cell r="S13" t="str">
            <v>NO</v>
          </cell>
          <cell r="T13" t="str">
            <v/>
          </cell>
          <cell r="U13" t="str">
            <v/>
          </cell>
          <cell r="V13" t="str">
            <v>NO</v>
          </cell>
          <cell r="W13" t="str">
            <v/>
          </cell>
          <cell r="X13" t="str">
            <v>VICTOR VICENTE MACAS</v>
          </cell>
          <cell r="Y13" t="str">
            <v>GUARDIA, VENDEDOR, CAMARERO, GRANJERO</v>
          </cell>
          <cell r="Z13">
            <v>41420</v>
          </cell>
          <cell r="AA13" t="str">
            <v>PSM</v>
          </cell>
          <cell r="AB13" t="str">
            <v>0302050003036</v>
          </cell>
          <cell r="AC13">
            <v>371.68</v>
          </cell>
          <cell r="AD13" t="str">
            <v>VARIOS TRABAJ-ACUILCOLA</v>
          </cell>
          <cell r="AE13" t="str">
            <v>CAMPO</v>
          </cell>
          <cell r="AF13" t="str">
            <v>SI</v>
          </cell>
          <cell r="AG13" t="str">
            <v>NO</v>
          </cell>
          <cell r="AH13" t="str">
            <v>NO</v>
          </cell>
          <cell r="AI13" t="str">
            <v>NO</v>
          </cell>
          <cell r="AJ13" t="str">
            <v>NO</v>
          </cell>
          <cell r="AK13">
            <v>37</v>
          </cell>
          <cell r="AL13">
            <v>0</v>
          </cell>
          <cell r="AM13">
            <v>0</v>
          </cell>
          <cell r="AN13">
            <v>0</v>
          </cell>
        </row>
        <row r="14">
          <cell r="B14" t="str">
            <v>070250216-2</v>
          </cell>
          <cell r="C14" t="str">
            <v>JIMENEZ QUIMI ROBERTO SAMUEL</v>
          </cell>
          <cell r="D14">
            <v>25557</v>
          </cell>
          <cell r="E14">
            <v>46</v>
          </cell>
          <cell r="F14" t="str">
            <v>070250216-2</v>
          </cell>
          <cell r="G14" t="str">
            <v>DIVORCIADO</v>
          </cell>
          <cell r="H14">
            <v>1</v>
          </cell>
          <cell r="I14" t="str">
            <v/>
          </cell>
          <cell r="J14" t="str">
            <v>CIRCUNVALACION NORTE MACHALA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 t="str">
            <v>BACHILLER</v>
          </cell>
          <cell r="S14" t="str">
            <v>NO</v>
          </cell>
          <cell r="T14" t="str">
            <v/>
          </cell>
          <cell r="U14" t="str">
            <v/>
          </cell>
          <cell r="V14" t="str">
            <v>NO</v>
          </cell>
          <cell r="W14" t="str">
            <v/>
          </cell>
          <cell r="X14" t="str">
            <v>LCDA. CRISTINA BALLADARES</v>
          </cell>
          <cell r="Y14" t="str">
            <v>CHOFER PROFESIONAL</v>
          </cell>
          <cell r="Z14">
            <v>41521</v>
          </cell>
          <cell r="AA14" t="str">
            <v>PSM</v>
          </cell>
          <cell r="AB14" t="str">
            <v>1716950000004</v>
          </cell>
          <cell r="AC14">
            <v>556.89</v>
          </cell>
          <cell r="AD14" t="str">
            <v>CHOFER</v>
          </cell>
          <cell r="AE14" t="str">
            <v>PRODUCCION</v>
          </cell>
          <cell r="AF14" t="str">
            <v>SI</v>
          </cell>
          <cell r="AG14" t="str">
            <v>NO</v>
          </cell>
          <cell r="AH14" t="str">
            <v>SI</v>
          </cell>
          <cell r="AI14" t="str">
            <v>SI</v>
          </cell>
          <cell r="AJ14" t="str">
            <v>NO</v>
          </cell>
          <cell r="AK14">
            <v>48</v>
          </cell>
          <cell r="AL14">
            <v>0</v>
          </cell>
          <cell r="AM14">
            <v>0</v>
          </cell>
          <cell r="AN14">
            <v>0</v>
          </cell>
        </row>
        <row r="15">
          <cell r="B15" t="str">
            <v>070200116-5</v>
          </cell>
          <cell r="C15" t="str">
            <v>GOMEZ ESPINOZA GASTON SANTOS</v>
          </cell>
          <cell r="D15">
            <v>23119</v>
          </cell>
          <cell r="E15">
            <v>53</v>
          </cell>
          <cell r="F15" t="str">
            <v>070200116-5</v>
          </cell>
          <cell r="G15" t="str">
            <v>CASADO</v>
          </cell>
          <cell r="H15">
            <v>2</v>
          </cell>
          <cell r="I15" t="str">
            <v/>
          </cell>
          <cell r="J15" t="str">
            <v>11AVA OESTE Y GRAN COLOMBIA; CDLA 18 DE OCTUBRE; MACHALA - ECUADOR</v>
          </cell>
          <cell r="K15">
            <v>0</v>
          </cell>
          <cell r="L15">
            <v>988571322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 t="str">
            <v>BASICA</v>
          </cell>
          <cell r="S15" t="str">
            <v>SI</v>
          </cell>
          <cell r="T15" t="str">
            <v/>
          </cell>
          <cell r="U15" t="str">
            <v>POR PROBLEMAS DE LA EMPRESA</v>
          </cell>
          <cell r="V15" t="str">
            <v>NO</v>
          </cell>
          <cell r="W15" t="str">
            <v/>
          </cell>
          <cell r="X15" t="str">
            <v>DON PATRICIO CARPIO</v>
          </cell>
          <cell r="Y15" t="str">
            <v>CARPINTERO - MAESTRO ALBAÑIL - ELECTRICISTA- MULTIOFICIOS</v>
          </cell>
          <cell r="Z15">
            <v>41540</v>
          </cell>
          <cell r="AA15" t="str">
            <v>PSM</v>
          </cell>
          <cell r="AB15" t="str">
            <v>1406452000019</v>
          </cell>
          <cell r="AC15">
            <v>380.98</v>
          </cell>
          <cell r="AD15" t="str">
            <v>CARPINTERO</v>
          </cell>
          <cell r="AE15" t="str">
            <v>CAMPO</v>
          </cell>
          <cell r="AF15" t="str">
            <v>SI</v>
          </cell>
          <cell r="AG15" t="str">
            <v>NO</v>
          </cell>
          <cell r="AH15" t="str">
            <v>NO</v>
          </cell>
          <cell r="AI15" t="str">
            <v>SI</v>
          </cell>
          <cell r="AJ15" t="str">
            <v>NO</v>
          </cell>
          <cell r="AK15">
            <v>55</v>
          </cell>
          <cell r="AL15">
            <v>0</v>
          </cell>
          <cell r="AM15">
            <v>0</v>
          </cell>
          <cell r="AN15">
            <v>0</v>
          </cell>
        </row>
        <row r="16">
          <cell r="B16" t="str">
            <v>010400734-9</v>
          </cell>
          <cell r="C16" t="str">
            <v>CARPIO FIGUEROA ESTEBAN SEBASTIAN</v>
          </cell>
          <cell r="D16">
            <v>32099</v>
          </cell>
          <cell r="E16">
            <v>28</v>
          </cell>
          <cell r="F16" t="str">
            <v>010400734-9</v>
          </cell>
          <cell r="G16" t="str">
            <v>SOLTERO</v>
          </cell>
          <cell r="H16" t="str">
            <v/>
          </cell>
          <cell r="I16" t="str">
            <v/>
          </cell>
          <cell r="J16" t="str">
            <v>CUENCA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 t="str">
            <v>BACHILLERATO</v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>
            <v>41791</v>
          </cell>
          <cell r="AA16" t="str">
            <v>PSM</v>
          </cell>
          <cell r="AB16" t="str">
            <v>1910000000023</v>
          </cell>
          <cell r="AC16">
            <v>373.65</v>
          </cell>
          <cell r="AD16" t="str">
            <v>OPERADOR EN BODEGA</v>
          </cell>
          <cell r="AE16" t="str">
            <v>PRODUCCION</v>
          </cell>
          <cell r="AF16" t="str">
            <v/>
          </cell>
          <cell r="AG16" t="str">
            <v/>
          </cell>
          <cell r="AH16" t="str">
            <v>SI</v>
          </cell>
          <cell r="AI16" t="str">
            <v/>
          </cell>
          <cell r="AJ16" t="str">
            <v>NO</v>
          </cell>
          <cell r="AK16">
            <v>30</v>
          </cell>
          <cell r="AL16">
            <v>0</v>
          </cell>
          <cell r="AM16">
            <v>0</v>
          </cell>
          <cell r="AN16">
            <v>0</v>
          </cell>
        </row>
        <row r="17">
          <cell r="B17" t="str">
            <v>172485071-2</v>
          </cell>
          <cell r="C17" t="str">
            <v>PEÑA CEDEÑO JOSE PERFECTO</v>
          </cell>
          <cell r="D17">
            <v>33681</v>
          </cell>
          <cell r="E17">
            <v>24</v>
          </cell>
          <cell r="F17" t="str">
            <v>172485071-2</v>
          </cell>
          <cell r="G17" t="str">
            <v>SOLTERO</v>
          </cell>
          <cell r="H17">
            <v>0</v>
          </cell>
          <cell r="I17" t="str">
            <v/>
          </cell>
          <cell r="J17" t="str">
            <v>SANTO DOMINGO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 t="str">
            <v>BACHILLER</v>
          </cell>
          <cell r="S17" t="str">
            <v>NO</v>
          </cell>
          <cell r="T17" t="str">
            <v/>
          </cell>
          <cell r="U17" t="str">
            <v/>
          </cell>
          <cell r="V17" t="str">
            <v>NO</v>
          </cell>
          <cell r="W17" t="str">
            <v/>
          </cell>
          <cell r="X17" t="str">
            <v>JAIRO LARA</v>
          </cell>
          <cell r="Y17" t="str">
            <v>CONSTRUCCION, PLOMERIA, VENDEDOR</v>
          </cell>
          <cell r="Z17">
            <v>41837</v>
          </cell>
          <cell r="AA17" t="str">
            <v>PSM</v>
          </cell>
          <cell r="AB17" t="str">
            <v>0302050003036</v>
          </cell>
          <cell r="AC17">
            <v>371.68</v>
          </cell>
          <cell r="AD17" t="str">
            <v>VARIOS TRABAJ-ACUILCOLA</v>
          </cell>
          <cell r="AE17" t="str">
            <v>CAMPO</v>
          </cell>
          <cell r="AF17" t="str">
            <v>SI</v>
          </cell>
          <cell r="AG17" t="str">
            <v>NO</v>
          </cell>
          <cell r="AH17" t="str">
            <v>NO</v>
          </cell>
          <cell r="AI17" t="str">
            <v>SI</v>
          </cell>
          <cell r="AJ17" t="str">
            <v>NO</v>
          </cell>
          <cell r="AK17">
            <v>26</v>
          </cell>
          <cell r="AL17">
            <v>0</v>
          </cell>
          <cell r="AM17">
            <v>0</v>
          </cell>
          <cell r="AN17">
            <v>0</v>
          </cell>
        </row>
        <row r="18">
          <cell r="B18" t="str">
            <v>172755391-7</v>
          </cell>
          <cell r="C18" t="str">
            <v>BRAVO QUINTO JORGE DANIEL</v>
          </cell>
          <cell r="D18">
            <v>34078</v>
          </cell>
          <cell r="E18">
            <v>23</v>
          </cell>
          <cell r="F18" t="str">
            <v>172755391-7</v>
          </cell>
          <cell r="G18" t="str">
            <v>SOLTERO</v>
          </cell>
          <cell r="H18">
            <v>0</v>
          </cell>
          <cell r="I18" t="str">
            <v/>
          </cell>
          <cell r="J18" t="str">
            <v>SANTO DOMINGO</v>
          </cell>
          <cell r="K18">
            <v>0</v>
          </cell>
          <cell r="L18">
            <v>996852489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 t="str">
            <v>PRIMARIA</v>
          </cell>
          <cell r="S18" t="str">
            <v>NO</v>
          </cell>
          <cell r="T18" t="str">
            <v/>
          </cell>
          <cell r="U18" t="str">
            <v/>
          </cell>
          <cell r="V18" t="str">
            <v>NO</v>
          </cell>
          <cell r="W18" t="str">
            <v/>
          </cell>
          <cell r="X18" t="str">
            <v>CARLOS HERNANDEZ</v>
          </cell>
          <cell r="Y18" t="str">
            <v xml:space="preserve">OFICIAL DE PINTURA, OFICIAL DE CONSTRUCCION, </v>
          </cell>
          <cell r="Z18">
            <v>41869</v>
          </cell>
          <cell r="AA18" t="str">
            <v>PSM</v>
          </cell>
          <cell r="AB18" t="str">
            <v>0302050003036</v>
          </cell>
          <cell r="AC18">
            <v>371.68</v>
          </cell>
          <cell r="AD18" t="str">
            <v>VARIOS TRABAJ-ACUILCOLA</v>
          </cell>
          <cell r="AE18" t="str">
            <v>CAMPO</v>
          </cell>
          <cell r="AF18" t="str">
            <v>NO</v>
          </cell>
          <cell r="AG18" t="str">
            <v>NO</v>
          </cell>
          <cell r="AH18" t="str">
            <v>NO</v>
          </cell>
          <cell r="AI18" t="str">
            <v>SI</v>
          </cell>
          <cell r="AJ18" t="str">
            <v>NO</v>
          </cell>
          <cell r="AK18">
            <v>25</v>
          </cell>
          <cell r="AL18">
            <v>0</v>
          </cell>
          <cell r="AM18">
            <v>0</v>
          </cell>
          <cell r="AN18">
            <v>0</v>
          </cell>
        </row>
        <row r="19">
          <cell r="B19" t="str">
            <v>070733745-7</v>
          </cell>
          <cell r="C19" t="str">
            <v>GOMEZ PARRA RICARDO JOEL</v>
          </cell>
          <cell r="D19">
            <v>35323</v>
          </cell>
          <cell r="E19">
            <v>19</v>
          </cell>
          <cell r="F19" t="str">
            <v>070733745-7</v>
          </cell>
          <cell r="G19" t="str">
            <v>SOLTERO</v>
          </cell>
          <cell r="H19">
            <v>0</v>
          </cell>
          <cell r="I19" t="str">
            <v/>
          </cell>
          <cell r="J19" t="str">
            <v>1RA NORTE Y 11VA OESTE  MACHALA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 t="str">
            <v>SECUNDARIA</v>
          </cell>
          <cell r="S19" t="str">
            <v>NO</v>
          </cell>
          <cell r="T19" t="str">
            <v/>
          </cell>
          <cell r="U19" t="str">
            <v/>
          </cell>
          <cell r="V19" t="str">
            <v>SI</v>
          </cell>
          <cell r="W19" t="str">
            <v>GASTON GOMEZ - PADRE</v>
          </cell>
          <cell r="X19" t="str">
            <v>GASTON GOMEZ</v>
          </cell>
          <cell r="Y19" t="str">
            <v>ALBAÑIL, PINTURA, SERRAJERIA, COSECHA EN CAMARONERAS</v>
          </cell>
          <cell r="Z19">
            <v>42217</v>
          </cell>
          <cell r="AA19" t="str">
            <v>PSM</v>
          </cell>
          <cell r="AB19" t="str">
            <v>0302050003036</v>
          </cell>
          <cell r="AC19">
            <v>371.68</v>
          </cell>
          <cell r="AD19" t="str">
            <v>VARIOS TRABAJ-ACUILCOLA</v>
          </cell>
          <cell r="AE19" t="str">
            <v>CAMPO</v>
          </cell>
          <cell r="AF19" t="str">
            <v>SI</v>
          </cell>
          <cell r="AG19" t="str">
            <v>NO</v>
          </cell>
          <cell r="AH19" t="str">
            <v>NO</v>
          </cell>
          <cell r="AI19" t="str">
            <v>SI</v>
          </cell>
          <cell r="AJ19" t="str">
            <v>NO</v>
          </cell>
          <cell r="AK19">
            <v>22</v>
          </cell>
          <cell r="AL19">
            <v>0</v>
          </cell>
          <cell r="AM19">
            <v>0</v>
          </cell>
          <cell r="AN19">
            <v>0</v>
          </cell>
        </row>
        <row r="20">
          <cell r="B20" t="str">
            <v>070430025-0</v>
          </cell>
          <cell r="C20" t="str">
            <v>COLLAGUAZO GRANDA CARMEN MARIBEL</v>
          </cell>
          <cell r="D20">
            <v>30326</v>
          </cell>
          <cell r="E20">
            <v>33</v>
          </cell>
          <cell r="F20" t="str">
            <v>070430025-0</v>
          </cell>
          <cell r="G20" t="str">
            <v>CASADO</v>
          </cell>
          <cell r="H20" t="str">
            <v/>
          </cell>
          <cell r="I20" t="str">
            <v/>
          </cell>
          <cell r="J20" t="str">
            <v>BARRIO MANUEL ENCALADA</v>
          </cell>
          <cell r="K20">
            <v>0</v>
          </cell>
          <cell r="L20" t="str">
            <v>0982774029 - 0992289555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 t="str">
            <v>SUPERIOR ING. CONTABILIDAD Y AUDITORIA</v>
          </cell>
          <cell r="S20" t="str">
            <v>NO</v>
          </cell>
          <cell r="T20" t="str">
            <v/>
          </cell>
          <cell r="U20" t="str">
            <v/>
          </cell>
          <cell r="V20" t="str">
            <v>NO</v>
          </cell>
          <cell r="W20" t="str">
            <v/>
          </cell>
          <cell r="X20" t="str">
            <v>SRA. DOLORES LOAYZA</v>
          </cell>
          <cell r="Y20" t="str">
            <v>ASISTENTE CONTABLE</v>
          </cell>
          <cell r="Z20">
            <v>42312</v>
          </cell>
          <cell r="AA20" t="str">
            <v>PSM</v>
          </cell>
          <cell r="AB20" t="str">
            <v>1910000000026</v>
          </cell>
          <cell r="AC20">
            <v>400</v>
          </cell>
          <cell r="AD20" t="str">
            <v>AUXILIAR CONTABLE</v>
          </cell>
          <cell r="AE20" t="str">
            <v>ADMINISTRACION</v>
          </cell>
          <cell r="AF20" t="str">
            <v/>
          </cell>
          <cell r="AG20" t="str">
            <v/>
          </cell>
          <cell r="AH20" t="str">
            <v/>
          </cell>
          <cell r="AI20" t="str">
            <v/>
          </cell>
          <cell r="AJ20" t="str">
            <v>NO</v>
          </cell>
          <cell r="AK20">
            <v>35</v>
          </cell>
          <cell r="AL20">
            <v>0</v>
          </cell>
          <cell r="AM20">
            <v>0</v>
          </cell>
          <cell r="AN20">
            <v>0</v>
          </cell>
        </row>
        <row r="21">
          <cell r="B21" t="str">
            <v>*110478338-4</v>
          </cell>
          <cell r="C21" t="str">
            <v>*MATAILO MATAILO JOSE EFRAIN</v>
          </cell>
          <cell r="D21">
            <v>32960</v>
          </cell>
          <cell r="E21">
            <v>26</v>
          </cell>
          <cell r="F21" t="str">
            <v>110478338-4</v>
          </cell>
          <cell r="G21" t="str">
            <v>SOLTERO</v>
          </cell>
          <cell r="H21">
            <v>1</v>
          </cell>
          <cell r="I21" t="str">
            <v>5 AÑOS</v>
          </cell>
          <cell r="J21" t="str">
            <v>NAMBACOLA - GONZANAMA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 t="str">
            <v>SECUNDARIA</v>
          </cell>
          <cell r="S21" t="str">
            <v>NO</v>
          </cell>
          <cell r="T21" t="str">
            <v/>
          </cell>
          <cell r="U21" t="str">
            <v/>
          </cell>
          <cell r="V21" t="str">
            <v>NO</v>
          </cell>
          <cell r="W21" t="str">
            <v/>
          </cell>
          <cell r="X21" t="str">
            <v>UN AMIGO (LUS PINTA)</v>
          </cell>
          <cell r="Y21" t="str">
            <v>SABE OPERAR MOTOR FUERA DE BORDA - ALIMENTADOR - BOMBERO - LICENCIA PROFESIONAL - BACHILLER CONTABLE - COMPUTACION BASICA</v>
          </cell>
          <cell r="Z21">
            <v>42372</v>
          </cell>
          <cell r="AA21" t="str">
            <v>PSM</v>
          </cell>
          <cell r="AB21" t="str">
            <v>0302050003036</v>
          </cell>
          <cell r="AC21">
            <v>371.68</v>
          </cell>
          <cell r="AD21" t="str">
            <v>VARIOS TRABAJ-ACUILCOLA</v>
          </cell>
          <cell r="AE21" t="str">
            <v>CAMPO</v>
          </cell>
          <cell r="AF21" t="str">
            <v>SI</v>
          </cell>
          <cell r="AG21" t="str">
            <v>SI</v>
          </cell>
          <cell r="AH21" t="str">
            <v>SI</v>
          </cell>
          <cell r="AI21" t="str">
            <v>SI</v>
          </cell>
          <cell r="AJ21" t="str">
            <v>NO</v>
          </cell>
          <cell r="AK21">
            <v>28</v>
          </cell>
          <cell r="AL21">
            <v>0</v>
          </cell>
          <cell r="AM21">
            <v>0</v>
          </cell>
          <cell r="AN21">
            <v>0</v>
          </cell>
        </row>
        <row r="22">
          <cell r="B22" t="str">
            <v>070472131-5</v>
          </cell>
          <cell r="C22" t="str">
            <v>AGUIRRE CASTRO JOSE STALYN</v>
          </cell>
          <cell r="D22">
            <v>31030</v>
          </cell>
          <cell r="E22">
            <v>31</v>
          </cell>
          <cell r="F22" t="str">
            <v>070472131-5</v>
          </cell>
          <cell r="G22" t="str">
            <v>CASADO</v>
          </cell>
          <cell r="H22">
            <v>3</v>
          </cell>
          <cell r="I22" t="str">
            <v/>
          </cell>
          <cell r="J22" t="str">
            <v>ARENILLAS</v>
          </cell>
          <cell r="K22">
            <v>0</v>
          </cell>
          <cell r="L22">
            <v>998446142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 t="str">
            <v>SUPERIOR</v>
          </cell>
          <cell r="S22" t="str">
            <v>NO</v>
          </cell>
          <cell r="T22" t="str">
            <v/>
          </cell>
          <cell r="U22" t="str">
            <v/>
          </cell>
          <cell r="V22" t="str">
            <v>NO</v>
          </cell>
          <cell r="W22" t="str">
            <v/>
          </cell>
          <cell r="X22" t="str">
            <v>SEGUNDO PALADINES</v>
          </cell>
          <cell r="Y22" t="str">
            <v>TECNICO EN PRODUCCION DE CAMARON</v>
          </cell>
          <cell r="Z22">
            <v>42461</v>
          </cell>
          <cell r="AA22" t="str">
            <v>PSM</v>
          </cell>
          <cell r="AB22" t="str">
            <v>0302050003031</v>
          </cell>
          <cell r="AC22">
            <v>400</v>
          </cell>
          <cell r="AD22" t="str">
            <v>TECNICO EN PRODUCCION</v>
          </cell>
          <cell r="AE22" t="str">
            <v>PRODUCCION</v>
          </cell>
          <cell r="AF22" t="str">
            <v>SI</v>
          </cell>
          <cell r="AG22" t="str">
            <v>NO</v>
          </cell>
          <cell r="AH22" t="str">
            <v>SI</v>
          </cell>
          <cell r="AI22" t="str">
            <v>SI</v>
          </cell>
          <cell r="AJ22" t="str">
            <v>NO</v>
          </cell>
          <cell r="AK22">
            <v>33</v>
          </cell>
          <cell r="AL22">
            <v>0</v>
          </cell>
          <cell r="AM22">
            <v>0</v>
          </cell>
          <cell r="AN22">
            <v>0</v>
          </cell>
        </row>
        <row r="23">
          <cell r="B23" t="str">
            <v>070656723-7</v>
          </cell>
          <cell r="C23" t="str">
            <v>AGUILAR MIRABA LUIS ALFREDO</v>
          </cell>
          <cell r="D23">
            <v>33591</v>
          </cell>
          <cell r="E23">
            <v>24</v>
          </cell>
          <cell r="F23" t="str">
            <v>070656723-7</v>
          </cell>
          <cell r="G23" t="str">
            <v>SOLTERO</v>
          </cell>
          <cell r="H23" t="str">
            <v/>
          </cell>
          <cell r="I23" t="str">
            <v/>
          </cell>
          <cell r="J23" t="str">
            <v>MACHALA</v>
          </cell>
          <cell r="K23">
            <v>0</v>
          </cell>
          <cell r="L23">
            <v>989734818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 t="str">
            <v>BACHILLER</v>
          </cell>
          <cell r="S23" t="str">
            <v>NO</v>
          </cell>
          <cell r="T23" t="str">
            <v/>
          </cell>
          <cell r="U23" t="str">
            <v/>
          </cell>
          <cell r="V23" t="str">
            <v>NO</v>
          </cell>
          <cell r="W23" t="str">
            <v/>
          </cell>
          <cell r="X23" t="str">
            <v/>
          </cell>
          <cell r="Y23" t="str">
            <v/>
          </cell>
          <cell r="Z23">
            <v>42466</v>
          </cell>
          <cell r="AA23" t="str">
            <v>PSM</v>
          </cell>
          <cell r="AB23" t="str">
            <v>0302050003033</v>
          </cell>
          <cell r="AC23">
            <v>371.92</v>
          </cell>
          <cell r="AD23" t="str">
            <v>ASISTENTE BIOLOGO</v>
          </cell>
          <cell r="AE23" t="str">
            <v>PRODUCCION</v>
          </cell>
          <cell r="AF23" t="str">
            <v/>
          </cell>
          <cell r="AG23" t="str">
            <v>NO</v>
          </cell>
          <cell r="AH23" t="str">
            <v/>
          </cell>
          <cell r="AI23" t="str">
            <v/>
          </cell>
          <cell r="AJ23" t="str">
            <v>NO</v>
          </cell>
          <cell r="AK23">
            <v>26</v>
          </cell>
          <cell r="AL23">
            <v>0</v>
          </cell>
          <cell r="AM23">
            <v>0</v>
          </cell>
          <cell r="AN23">
            <v>0</v>
          </cell>
        </row>
        <row r="24">
          <cell r="B24" t="str">
            <v>110483502-8</v>
          </cell>
          <cell r="C24" t="str">
            <v>CUEVA LUDEÑA MANUEL DE JESUS</v>
          </cell>
          <cell r="D24">
            <v>33963</v>
          </cell>
          <cell r="E24">
            <v>23</v>
          </cell>
          <cell r="F24" t="str">
            <v>110483502-8</v>
          </cell>
          <cell r="G24" t="str">
            <v>UNION LIBRE</v>
          </cell>
          <cell r="H24">
            <v>1</v>
          </cell>
          <cell r="I24" t="str">
            <v/>
          </cell>
          <cell r="J24" t="str">
            <v>GONZANAMA - SAN VICENTE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 t="str">
            <v>PRIMARIA</v>
          </cell>
          <cell r="S24" t="str">
            <v>NO</v>
          </cell>
          <cell r="T24" t="str">
            <v/>
          </cell>
          <cell r="U24" t="str">
            <v/>
          </cell>
          <cell r="V24" t="str">
            <v>NO</v>
          </cell>
          <cell r="W24" t="str">
            <v/>
          </cell>
          <cell r="X24" t="str">
            <v>JOSE CHAMBA</v>
          </cell>
          <cell r="Y24" t="str">
            <v>GRANJA DE CERDOS FINCA DE GANADO</v>
          </cell>
          <cell r="Z24">
            <v>42480</v>
          </cell>
          <cell r="AA24" t="str">
            <v>PSM</v>
          </cell>
          <cell r="AB24" t="str">
            <v>0302050003036</v>
          </cell>
          <cell r="AC24">
            <v>371.68</v>
          </cell>
          <cell r="AD24" t="str">
            <v>VARIOS TRABAJ-ACUILCOLA</v>
          </cell>
          <cell r="AE24" t="str">
            <v>CAMPO</v>
          </cell>
          <cell r="AF24" t="str">
            <v>NO</v>
          </cell>
          <cell r="AG24" t="str">
            <v>NO</v>
          </cell>
          <cell r="AH24" t="str">
            <v>NO</v>
          </cell>
          <cell r="AI24" t="str">
            <v>NO</v>
          </cell>
          <cell r="AJ24" t="str">
            <v>NO</v>
          </cell>
          <cell r="AK24">
            <v>25</v>
          </cell>
          <cell r="AL24">
            <v>0</v>
          </cell>
          <cell r="AM24">
            <v>0</v>
          </cell>
          <cell r="AN24">
            <v>0</v>
          </cell>
        </row>
        <row r="25">
          <cell r="B25" t="str">
            <v>110571148-3</v>
          </cell>
          <cell r="C25" t="str">
            <v>JARA ARMIJOS CESAR HOMERO</v>
          </cell>
          <cell r="D25">
            <v>33844</v>
          </cell>
          <cell r="E25">
            <v>23</v>
          </cell>
          <cell r="F25" t="str">
            <v>110571148-3</v>
          </cell>
          <cell r="G25" t="str">
            <v>CASADO</v>
          </cell>
          <cell r="H25">
            <v>1</v>
          </cell>
          <cell r="I25" t="str">
            <v/>
          </cell>
          <cell r="J25" t="str">
            <v>NAMBACOLA - LOJA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 t="str">
            <v>SECUNDARIA</v>
          </cell>
          <cell r="S25" t="str">
            <v>SI</v>
          </cell>
          <cell r="T25">
            <v>41189</v>
          </cell>
          <cell r="U25" t="str">
            <v>POR MOTIVO DE SALUD</v>
          </cell>
          <cell r="V25" t="str">
            <v>NO</v>
          </cell>
          <cell r="W25" t="str">
            <v/>
          </cell>
          <cell r="X25" t="str">
            <v>JOSE CANGO</v>
          </cell>
          <cell r="Y25" t="str">
            <v>CABINA DE RECARGAS, CAJERO, COMPUTACION BASICA, BODEGUERO</v>
          </cell>
          <cell r="Z25">
            <v>42482</v>
          </cell>
          <cell r="AA25" t="str">
            <v>PSM</v>
          </cell>
          <cell r="AB25" t="str">
            <v>0302050003036</v>
          </cell>
          <cell r="AC25">
            <v>371.68</v>
          </cell>
          <cell r="AD25" t="str">
            <v>VARIOS TRABAJ-ACUILCOLA</v>
          </cell>
          <cell r="AE25" t="str">
            <v>CAMPO</v>
          </cell>
          <cell r="AF25" t="str">
            <v>NO</v>
          </cell>
          <cell r="AG25" t="str">
            <v>NO</v>
          </cell>
          <cell r="AH25" t="str">
            <v>SI</v>
          </cell>
          <cell r="AI25" t="str">
            <v>SI</v>
          </cell>
          <cell r="AJ25" t="str">
            <v>NO</v>
          </cell>
          <cell r="AK25">
            <v>26</v>
          </cell>
          <cell r="AL25">
            <v>0</v>
          </cell>
          <cell r="AM25">
            <v>0</v>
          </cell>
          <cell r="AN25">
            <v>0</v>
          </cell>
        </row>
        <row r="26">
          <cell r="B26" t="str">
            <v>110437810-2</v>
          </cell>
          <cell r="C26" t="str">
            <v>CASTILLO OCHOA HERIBERTO GUILLERMO</v>
          </cell>
          <cell r="D26">
            <v>30722</v>
          </cell>
          <cell r="E26">
            <v>32</v>
          </cell>
          <cell r="F26" t="str">
            <v>110437810-2</v>
          </cell>
          <cell r="G26" t="str">
            <v>SOLTERO</v>
          </cell>
          <cell r="H26">
            <v>2</v>
          </cell>
          <cell r="I26" t="str">
            <v/>
          </cell>
          <cell r="J26" t="str">
            <v>NANBACOLA - LOJA</v>
          </cell>
          <cell r="K26">
            <v>986352296</v>
          </cell>
          <cell r="L26">
            <v>967353681</v>
          </cell>
          <cell r="M26" t="str">
            <v/>
          </cell>
          <cell r="N26" t="str">
            <v>NORMA CASTILLO</v>
          </cell>
          <cell r="O26" t="str">
            <v>HERMANA</v>
          </cell>
          <cell r="P26">
            <v>986009760</v>
          </cell>
          <cell r="Q26" t="str">
            <v/>
          </cell>
          <cell r="R26" t="str">
            <v>PRIMARIA</v>
          </cell>
          <cell r="S26" t="str">
            <v>NO</v>
          </cell>
          <cell r="T26" t="str">
            <v/>
          </cell>
          <cell r="U26" t="str">
            <v/>
          </cell>
          <cell r="V26" t="str">
            <v>NO</v>
          </cell>
          <cell r="W26" t="str">
            <v/>
          </cell>
          <cell r="X26" t="str">
            <v>MANUEL CUEVA</v>
          </cell>
          <cell r="Y26" t="str">
            <v>AYUDANTE TOPOGRAFO</v>
          </cell>
          <cell r="Z26">
            <v>42552</v>
          </cell>
          <cell r="AA26" t="str">
            <v>PSM</v>
          </cell>
          <cell r="AB26" t="str">
            <v>0302050003036</v>
          </cell>
          <cell r="AC26">
            <v>371.68</v>
          </cell>
          <cell r="AD26" t="str">
            <v>VARIOS TRABAJ-ACUILCOLA</v>
          </cell>
          <cell r="AE26" t="str">
            <v>CAMPO</v>
          </cell>
          <cell r="AF26" t="str">
            <v>SI</v>
          </cell>
          <cell r="AG26" t="str">
            <v>NO</v>
          </cell>
          <cell r="AH26" t="str">
            <v>NO</v>
          </cell>
          <cell r="AI26" t="str">
            <v/>
          </cell>
          <cell r="AJ26" t="str">
            <v>NO</v>
          </cell>
          <cell r="AK26">
            <v>34</v>
          </cell>
          <cell r="AL26">
            <v>0</v>
          </cell>
          <cell r="AM26">
            <v>0</v>
          </cell>
          <cell r="AN26">
            <v>0</v>
          </cell>
        </row>
        <row r="27">
          <cell r="B27" t="str">
            <v>120444433-3</v>
          </cell>
          <cell r="C27" t="str">
            <v>CEREZO SANCHEZ CARLOS LEONARDO</v>
          </cell>
          <cell r="D27">
            <v>31273</v>
          </cell>
          <cell r="E27">
            <v>30</v>
          </cell>
          <cell r="F27" t="str">
            <v>120444433-3</v>
          </cell>
          <cell r="G27" t="str">
            <v>CASADO</v>
          </cell>
          <cell r="H27">
            <v>5</v>
          </cell>
          <cell r="I27" t="str">
            <v/>
          </cell>
          <cell r="J27" t="str">
            <v>AUGSTO VALENCIA LOS RIOS VINCES</v>
          </cell>
          <cell r="K27" t="str">
            <v/>
          </cell>
          <cell r="L27">
            <v>959581585</v>
          </cell>
          <cell r="M27" t="str">
            <v/>
          </cell>
          <cell r="N27" t="str">
            <v>VIVIANA PERALTA</v>
          </cell>
          <cell r="O27" t="str">
            <v>ESPOSA</v>
          </cell>
          <cell r="P27" t="str">
            <v/>
          </cell>
          <cell r="Q27">
            <v>989451236</v>
          </cell>
          <cell r="R27" t="str">
            <v>PRIMARIA</v>
          </cell>
          <cell r="S27" t="str">
            <v>NO</v>
          </cell>
          <cell r="T27" t="str">
            <v/>
          </cell>
          <cell r="U27" t="str">
            <v/>
          </cell>
          <cell r="V27" t="str">
            <v>NO</v>
          </cell>
          <cell r="W27" t="str">
            <v/>
          </cell>
          <cell r="X27" t="str">
            <v>TAPIA LIVISTON</v>
          </cell>
          <cell r="Y27" t="str">
            <v>APLICADOR DE CAL; MALLERO; ROSADOR</v>
          </cell>
          <cell r="Z27">
            <v>42556</v>
          </cell>
          <cell r="AA27" t="str">
            <v>PSM</v>
          </cell>
          <cell r="AB27" t="str">
            <v>0302050003036</v>
          </cell>
          <cell r="AC27">
            <v>371.68</v>
          </cell>
          <cell r="AD27" t="str">
            <v>VARIOS TRABAJ-ACUILCOLA</v>
          </cell>
          <cell r="AE27" t="str">
            <v>CAMPO</v>
          </cell>
          <cell r="AF27" t="str">
            <v>SI</v>
          </cell>
          <cell r="AG27" t="str">
            <v>NO</v>
          </cell>
          <cell r="AH27" t="str">
            <v>NO</v>
          </cell>
          <cell r="AI27" t="str">
            <v>SI</v>
          </cell>
          <cell r="AJ27" t="str">
            <v>NO</v>
          </cell>
          <cell r="AK27">
            <v>33</v>
          </cell>
          <cell r="AL27">
            <v>0</v>
          </cell>
          <cell r="AM27">
            <v>0</v>
          </cell>
          <cell r="AN27">
            <v>0</v>
          </cell>
        </row>
        <row r="28">
          <cell r="B28" t="str">
            <v>120653372-9</v>
          </cell>
          <cell r="C28" t="str">
            <v>CORNEJO SANCHEZ FELIX TEOBALDO</v>
          </cell>
          <cell r="D28">
            <v>32765</v>
          </cell>
          <cell r="E28">
            <v>26</v>
          </cell>
          <cell r="F28" t="str">
            <v>120653372-9</v>
          </cell>
          <cell r="G28" t="str">
            <v>SOLTERO</v>
          </cell>
          <cell r="H28">
            <v>2</v>
          </cell>
          <cell r="I28" t="str">
            <v/>
          </cell>
          <cell r="J28" t="str">
            <v>VINCES LOS RIOS</v>
          </cell>
          <cell r="K28">
            <v>939938118</v>
          </cell>
          <cell r="L28">
            <v>978809118</v>
          </cell>
          <cell r="M28" t="str">
            <v/>
          </cell>
          <cell r="N28" t="str">
            <v>ANGEL CORNEJO</v>
          </cell>
          <cell r="O28" t="str">
            <v>HERMANO</v>
          </cell>
          <cell r="P28" t="str">
            <v/>
          </cell>
          <cell r="Q28">
            <v>985458804</v>
          </cell>
          <cell r="R28" t="str">
            <v>PRIMARIA</v>
          </cell>
          <cell r="S28" t="str">
            <v>NO</v>
          </cell>
          <cell r="T28" t="str">
            <v/>
          </cell>
          <cell r="U28" t="str">
            <v/>
          </cell>
          <cell r="V28" t="str">
            <v>NO</v>
          </cell>
          <cell r="W28" t="str">
            <v/>
          </cell>
          <cell r="X28" t="str">
            <v>ANGEL CORNEJO</v>
          </cell>
          <cell r="Y28" t="str">
            <v>BOLSERO; COSECHADOR; ROSADOR</v>
          </cell>
          <cell r="Z28">
            <v>42556</v>
          </cell>
          <cell r="AA28" t="str">
            <v>PSM</v>
          </cell>
          <cell r="AB28" t="str">
            <v>0302050003036</v>
          </cell>
          <cell r="AC28">
            <v>371.68</v>
          </cell>
          <cell r="AD28" t="str">
            <v>VARIOS TRABAJ-ACUILCOLA</v>
          </cell>
          <cell r="AE28" t="str">
            <v>CAMPO</v>
          </cell>
          <cell r="AF28" t="str">
            <v>SI</v>
          </cell>
          <cell r="AG28" t="str">
            <v>NO</v>
          </cell>
          <cell r="AH28" t="str">
            <v>NO</v>
          </cell>
          <cell r="AI28" t="str">
            <v>NO</v>
          </cell>
          <cell r="AJ28" t="str">
            <v>NO</v>
          </cell>
          <cell r="AK28">
            <v>29</v>
          </cell>
          <cell r="AL28">
            <v>0</v>
          </cell>
          <cell r="AM28">
            <v>0</v>
          </cell>
          <cell r="AN28">
            <v>0</v>
          </cell>
        </row>
        <row r="29">
          <cell r="B29" t="str">
            <v>110576532-3</v>
          </cell>
          <cell r="C29" t="str">
            <v>PINTA PINTA WILMER ROLANDO</v>
          </cell>
          <cell r="D29">
            <v>33898</v>
          </cell>
          <cell r="E29">
            <v>23</v>
          </cell>
          <cell r="F29" t="str">
            <v>110576532-3</v>
          </cell>
          <cell r="G29" t="str">
            <v>SOLTERO</v>
          </cell>
          <cell r="H29">
            <v>0</v>
          </cell>
          <cell r="I29" t="str">
            <v/>
          </cell>
          <cell r="J29" t="str">
            <v>NAMBACOLA - LOJA</v>
          </cell>
          <cell r="K29">
            <v>967442116</v>
          </cell>
          <cell r="L29">
            <v>989725618</v>
          </cell>
          <cell r="M29" t="str">
            <v/>
          </cell>
          <cell r="N29" t="str">
            <v>ELENA MARTINA PINTA AGUILAR</v>
          </cell>
          <cell r="O29" t="str">
            <v>MAMA</v>
          </cell>
          <cell r="P29" t="str">
            <v/>
          </cell>
          <cell r="Q29">
            <v>992161814</v>
          </cell>
          <cell r="R29" t="str">
            <v>SECUNDARIA</v>
          </cell>
          <cell r="S29" t="str">
            <v>NO</v>
          </cell>
          <cell r="T29" t="str">
            <v/>
          </cell>
          <cell r="U29" t="str">
            <v/>
          </cell>
          <cell r="V29" t="str">
            <v>SI</v>
          </cell>
          <cell r="W29" t="str">
            <v>DIEGO FERNANDO PINTA AGUILAR (HERMANO)</v>
          </cell>
          <cell r="X29" t="str">
            <v>DIEGO PINTA AGUILAR</v>
          </cell>
          <cell r="Y29" t="str">
            <v>MEJA COMPUTADORA; AGRICULTURA; ROSAR</v>
          </cell>
          <cell r="Z29">
            <v>42561</v>
          </cell>
          <cell r="AA29" t="str">
            <v>PSM</v>
          </cell>
          <cell r="AB29" t="str">
            <v>0302050003036</v>
          </cell>
          <cell r="AC29">
            <v>371.68</v>
          </cell>
          <cell r="AD29" t="str">
            <v>VARIOS TRABAJ-ACUILCOLA</v>
          </cell>
          <cell r="AE29" t="str">
            <v>CAMPO</v>
          </cell>
          <cell r="AF29" t="str">
            <v>NO</v>
          </cell>
          <cell r="AG29" t="str">
            <v>NO</v>
          </cell>
          <cell r="AH29" t="str">
            <v>SI</v>
          </cell>
          <cell r="AI29" t="str">
            <v>NO</v>
          </cell>
          <cell r="AJ29" t="str">
            <v>NO</v>
          </cell>
          <cell r="AK29">
            <v>25</v>
          </cell>
          <cell r="AL29">
            <v>0</v>
          </cell>
          <cell r="AM29">
            <v>0</v>
          </cell>
          <cell r="AN29">
            <v>0</v>
          </cell>
        </row>
        <row r="30">
          <cell r="B30" t="str">
            <v>070605677-7</v>
          </cell>
          <cell r="C30" t="str">
            <v>CONTENTO LIVIZACA RUDY ANDRES</v>
          </cell>
          <cell r="D30">
            <v>33256</v>
          </cell>
          <cell r="E30">
            <v>25</v>
          </cell>
          <cell r="F30" t="str">
            <v>070605677-7</v>
          </cell>
          <cell r="G30" t="str">
            <v>CASADO</v>
          </cell>
          <cell r="H30">
            <v>0</v>
          </cell>
          <cell r="I30">
            <v>1</v>
          </cell>
          <cell r="J30" t="str">
            <v>BARRIO SAN VICENTE ARENILLAS</v>
          </cell>
          <cell r="K30">
            <v>72909984</v>
          </cell>
          <cell r="L30">
            <v>982936636</v>
          </cell>
          <cell r="M30" t="str">
            <v/>
          </cell>
          <cell r="N30" t="str">
            <v>MAXIMO CONTENTO</v>
          </cell>
          <cell r="O30" t="str">
            <v>PADRE</v>
          </cell>
          <cell r="P30" t="str">
            <v/>
          </cell>
          <cell r="Q30">
            <v>988170289</v>
          </cell>
          <cell r="R30" t="str">
            <v>BACHILLERATO</v>
          </cell>
          <cell r="S30" t="str">
            <v>NO</v>
          </cell>
          <cell r="T30" t="str">
            <v/>
          </cell>
          <cell r="U30" t="str">
            <v/>
          </cell>
          <cell r="V30" t="str">
            <v>NO</v>
          </cell>
          <cell r="W30" t="str">
            <v/>
          </cell>
          <cell r="X30" t="str">
            <v>ING. STALYN AGUIRRE</v>
          </cell>
          <cell r="Y30" t="str">
            <v>GUARDIA DE SEGURIDAD Y MAESTRO ALBAÑIL</v>
          </cell>
          <cell r="Z30">
            <v>42688</v>
          </cell>
          <cell r="AA30" t="str">
            <v>PSM</v>
          </cell>
          <cell r="AB30" t="str">
            <v>0302050003036</v>
          </cell>
          <cell r="AC30">
            <v>371.68</v>
          </cell>
          <cell r="AD30" t="str">
            <v>VARIOS TRABAJ-ACUILCOLA</v>
          </cell>
          <cell r="AE30" t="str">
            <v>CAMPO</v>
          </cell>
          <cell r="AF30" t="str">
            <v>SI</v>
          </cell>
          <cell r="AG30" t="str">
            <v>NO</v>
          </cell>
          <cell r="AH30" t="str">
            <v/>
          </cell>
          <cell r="AI30" t="str">
            <v>SI</v>
          </cell>
          <cell r="AJ30" t="str">
            <v>NO</v>
          </cell>
          <cell r="AK30">
            <v>27</v>
          </cell>
          <cell r="AL30">
            <v>0</v>
          </cell>
          <cell r="AM30">
            <v>0</v>
          </cell>
          <cell r="AN30">
            <v>0</v>
          </cell>
        </row>
        <row r="31">
          <cell r="B31" t="str">
            <v>120468593-5</v>
          </cell>
          <cell r="C31" t="str">
            <v>MENDOZA ROJAS ALBERTO DE LA CRUZ</v>
          </cell>
          <cell r="D31">
            <v>28610</v>
          </cell>
          <cell r="E31">
            <v>38</v>
          </cell>
          <cell r="F31" t="str">
            <v>120468593-5</v>
          </cell>
          <cell r="G31" t="str">
            <v>SOLTERO</v>
          </cell>
          <cell r="H31">
            <v>3</v>
          </cell>
          <cell r="I31" t="str">
            <v/>
          </cell>
          <cell r="J31" t="str">
            <v>VINCE</v>
          </cell>
          <cell r="K31" t="str">
            <v/>
          </cell>
          <cell r="L31">
            <v>988971881</v>
          </cell>
          <cell r="M31" t="str">
            <v/>
          </cell>
          <cell r="N31" t="str">
            <v>CAROLINA MENDOZA</v>
          </cell>
          <cell r="O31" t="str">
            <v>HIJA</v>
          </cell>
          <cell r="P31" t="str">
            <v/>
          </cell>
          <cell r="Q31" t="str">
            <v/>
          </cell>
          <cell r="R31" t="str">
            <v>PRIMARIA</v>
          </cell>
          <cell r="S31" t="str">
            <v>NO</v>
          </cell>
          <cell r="T31" t="str">
            <v/>
          </cell>
          <cell r="U31" t="str">
            <v/>
          </cell>
          <cell r="V31" t="str">
            <v>NO</v>
          </cell>
          <cell r="W31" t="str">
            <v/>
          </cell>
          <cell r="X31" t="str">
            <v>FELIX CORNEJO</v>
          </cell>
          <cell r="Y31" t="str">
            <v/>
          </cell>
          <cell r="Z31">
            <v>42715</v>
          </cell>
          <cell r="AA31" t="str">
            <v>PSM</v>
          </cell>
          <cell r="AB31" t="str">
            <v>0302050003036</v>
          </cell>
          <cell r="AC31">
            <v>371.68</v>
          </cell>
          <cell r="AD31" t="str">
            <v>VARIOS TRABAJ-ACUICOLA</v>
          </cell>
          <cell r="AE31" t="str">
            <v>CAMPO</v>
          </cell>
          <cell r="AF31" t="str">
            <v>SI</v>
          </cell>
          <cell r="AG31" t="str">
            <v>NO</v>
          </cell>
          <cell r="AH31" t="str">
            <v>NO</v>
          </cell>
          <cell r="AI31" t="str">
            <v>SI</v>
          </cell>
          <cell r="AJ31" t="str">
            <v/>
          </cell>
          <cell r="AK31">
            <v>40</v>
          </cell>
          <cell r="AL31">
            <v>0</v>
          </cell>
          <cell r="AM31">
            <v>0</v>
          </cell>
          <cell r="AN31">
            <v>0</v>
          </cell>
        </row>
        <row r="32">
          <cell r="B32" t="str">
            <v>110422124-5</v>
          </cell>
          <cell r="C32" t="str">
            <v>CASTILLO JARA ALBARO EDUARDO</v>
          </cell>
          <cell r="D32">
            <v>29935</v>
          </cell>
          <cell r="E32">
            <v>35</v>
          </cell>
          <cell r="F32" t="str">
            <v>110422124-5</v>
          </cell>
          <cell r="G32" t="str">
            <v>SOLTERO</v>
          </cell>
          <cell r="H32">
            <v>4</v>
          </cell>
          <cell r="I32" t="str">
            <v/>
          </cell>
          <cell r="J32" t="str">
            <v>LOJA - GONZAMANA</v>
          </cell>
          <cell r="K32" t="str">
            <v/>
          </cell>
          <cell r="L32">
            <v>981500473</v>
          </cell>
          <cell r="M32" t="str">
            <v/>
          </cell>
          <cell r="N32" t="str">
            <v>WILFRIDO CASTILLO</v>
          </cell>
          <cell r="O32" t="str">
            <v>HERMANO</v>
          </cell>
          <cell r="P32" t="str">
            <v/>
          </cell>
          <cell r="Q32">
            <v>986442779</v>
          </cell>
          <cell r="R32" t="str">
            <v>PEIMARIA</v>
          </cell>
          <cell r="S32" t="str">
            <v/>
          </cell>
          <cell r="T32" t="str">
            <v/>
          </cell>
          <cell r="U32" t="str">
            <v/>
          </cell>
          <cell r="V32" t="str">
            <v>SI</v>
          </cell>
          <cell r="W32" t="str">
            <v>HOMERO JARA  (PRIMO)</v>
          </cell>
          <cell r="X32" t="str">
            <v>HOMERO JARA</v>
          </cell>
          <cell r="Y32" t="str">
            <v>ALIMENTA; CURAR; CALEAR</v>
          </cell>
          <cell r="Z32">
            <v>42856</v>
          </cell>
          <cell r="AA32" t="str">
            <v>PSM</v>
          </cell>
          <cell r="AB32" t="str">
            <v>0302050003036</v>
          </cell>
          <cell r="AC32">
            <v>380.24</v>
          </cell>
          <cell r="AD32" t="str">
            <v>VARIOS TRABAJ-ACUICOLA</v>
          </cell>
          <cell r="AE32" t="str">
            <v>CAMPO</v>
          </cell>
          <cell r="AF32" t="str">
            <v>SI</v>
          </cell>
          <cell r="AG32" t="str">
            <v>NO</v>
          </cell>
          <cell r="AH32" t="str">
            <v>NO</v>
          </cell>
          <cell r="AI32" t="str">
            <v>NO</v>
          </cell>
          <cell r="AJ32" t="str">
            <v>NO</v>
          </cell>
          <cell r="AK32">
            <v>36</v>
          </cell>
          <cell r="AL32">
            <v>0</v>
          </cell>
          <cell r="AM32">
            <v>0</v>
          </cell>
          <cell r="AN32">
            <v>0</v>
          </cell>
        </row>
        <row r="33">
          <cell r="B33" t="str">
            <v>110506978-3</v>
          </cell>
          <cell r="C33" t="str">
            <v>SIMANCAS AGUILAR DAVID MOISES</v>
          </cell>
          <cell r="D33">
            <v>34188</v>
          </cell>
          <cell r="E33">
            <v>23</v>
          </cell>
          <cell r="F33" t="str">
            <v>110506978-3</v>
          </cell>
          <cell r="G33" t="str">
            <v>SOLTERO</v>
          </cell>
          <cell r="H33" t="str">
            <v/>
          </cell>
          <cell r="I33" t="str">
            <v/>
          </cell>
          <cell r="J33" t="str">
            <v>NAMBACOLA LOJA</v>
          </cell>
          <cell r="K33" t="str">
            <v/>
          </cell>
          <cell r="L33">
            <v>959146083</v>
          </cell>
          <cell r="M33" t="str">
            <v/>
          </cell>
          <cell r="N33" t="str">
            <v>DELICIA SIMANCAS</v>
          </cell>
          <cell r="O33" t="str">
            <v>HERMANA</v>
          </cell>
          <cell r="P33" t="str">
            <v/>
          </cell>
          <cell r="Q33">
            <v>985380411</v>
          </cell>
          <cell r="R33" t="str">
            <v>BACHILLER</v>
          </cell>
          <cell r="S33" t="str">
            <v>NO</v>
          </cell>
          <cell r="T33" t="str">
            <v/>
          </cell>
          <cell r="U33" t="str">
            <v/>
          </cell>
          <cell r="V33" t="str">
            <v>NO</v>
          </cell>
          <cell r="W33" t="str">
            <v/>
          </cell>
          <cell r="X33" t="str">
            <v/>
          </cell>
          <cell r="Y33" t="str">
            <v>MECANICO INDUSTRIAL; ESTACION DE BOMBEO; ALUMINIO Y VIDRIO</v>
          </cell>
          <cell r="Z33">
            <v>42877</v>
          </cell>
          <cell r="AA33" t="str">
            <v>PSM</v>
          </cell>
          <cell r="AB33" t="str">
            <v>0302050003036</v>
          </cell>
          <cell r="AC33">
            <v>380.24</v>
          </cell>
          <cell r="AD33" t="str">
            <v>VARIOS TRABAJ-ACUICOLA</v>
          </cell>
          <cell r="AE33" t="str">
            <v>CAMPO</v>
          </cell>
          <cell r="AF33" t="str">
            <v>SI</v>
          </cell>
          <cell r="AG33" t="str">
            <v>SI</v>
          </cell>
          <cell r="AH33" t="str">
            <v>NO</v>
          </cell>
          <cell r="AI33" t="str">
            <v>NO</v>
          </cell>
          <cell r="AJ33" t="str">
            <v>NO</v>
          </cell>
          <cell r="AK33">
            <v>25</v>
          </cell>
          <cell r="AL33">
            <v>0</v>
          </cell>
          <cell r="AM33">
            <v>0</v>
          </cell>
          <cell r="AN33">
            <v>0</v>
          </cell>
        </row>
        <row r="34">
          <cell r="B34" t="str">
            <v>195018591-6</v>
          </cell>
          <cell r="C34" t="str">
            <v>ARMIJOS AZUERO ALEXANDER LEONEL</v>
          </cell>
          <cell r="D34">
            <v>35715</v>
          </cell>
          <cell r="E34">
            <v>19</v>
          </cell>
          <cell r="F34" t="str">
            <v>195018591-6</v>
          </cell>
          <cell r="G34" t="str">
            <v>SOLTERO</v>
          </cell>
          <cell r="H34" t="str">
            <v/>
          </cell>
          <cell r="I34" t="str">
            <v/>
          </cell>
          <cell r="J34" t="str">
            <v>LOS ENCUENTROS ZAMORA CHINCHIPE</v>
          </cell>
          <cell r="K34" t="str">
            <v/>
          </cell>
          <cell r="L34">
            <v>995345840</v>
          </cell>
          <cell r="M34" t="str">
            <v/>
          </cell>
          <cell r="N34" t="str">
            <v>JUANA ARMIJOS</v>
          </cell>
          <cell r="O34" t="str">
            <v>MADRE</v>
          </cell>
          <cell r="P34" t="str">
            <v/>
          </cell>
          <cell r="Q34">
            <v>990246460</v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>SI</v>
          </cell>
          <cell r="W34" t="str">
            <v>MARIO JARA</v>
          </cell>
          <cell r="X34" t="str">
            <v/>
          </cell>
          <cell r="Y34" t="str">
            <v/>
          </cell>
          <cell r="Z34">
            <v>42905</v>
          </cell>
          <cell r="AA34" t="str">
            <v>PSM</v>
          </cell>
          <cell r="AB34" t="str">
            <v>0302050003036</v>
          </cell>
          <cell r="AC34">
            <v>380.24</v>
          </cell>
          <cell r="AD34" t="str">
            <v>VARIOS TRABAJ-ACUICOLA</v>
          </cell>
          <cell r="AE34" t="str">
            <v>CAMPO</v>
          </cell>
          <cell r="AF34" t="str">
            <v>SI</v>
          </cell>
          <cell r="AG34" t="str">
            <v>NO</v>
          </cell>
          <cell r="AH34" t="str">
            <v>NO</v>
          </cell>
          <cell r="AI34" t="str">
            <v>NO</v>
          </cell>
          <cell r="AJ34" t="str">
            <v>NO</v>
          </cell>
          <cell r="AK34">
            <v>20</v>
          </cell>
          <cell r="AL34">
            <v>0</v>
          </cell>
          <cell r="AM34">
            <v>0</v>
          </cell>
          <cell r="AN34">
            <v>0</v>
          </cell>
        </row>
        <row r="35">
          <cell r="B35" t="str">
            <v>110514219-2</v>
          </cell>
          <cell r="C35" t="str">
            <v>CANGO CUEVA FRANCISCO ARMANDO</v>
          </cell>
          <cell r="D35">
            <v>32211</v>
          </cell>
          <cell r="E35">
            <v>29</v>
          </cell>
          <cell r="F35" t="str">
            <v>110514219-2</v>
          </cell>
          <cell r="G35" t="str">
            <v>SOLTERO</v>
          </cell>
          <cell r="H35">
            <v>2</v>
          </cell>
          <cell r="I35" t="str">
            <v/>
          </cell>
          <cell r="J35" t="str">
            <v>SAN VICENTE - LOJA</v>
          </cell>
          <cell r="K35">
            <v>939846495</v>
          </cell>
          <cell r="L35">
            <v>967503676</v>
          </cell>
          <cell r="M35" t="str">
            <v/>
          </cell>
          <cell r="N35" t="str">
            <v>ROSA OCHOA LUDEÑA</v>
          </cell>
          <cell r="O35" t="str">
            <v>ESPOSA</v>
          </cell>
          <cell r="P35" t="str">
            <v/>
          </cell>
          <cell r="Q35">
            <v>939846495</v>
          </cell>
          <cell r="R35" t="str">
            <v/>
          </cell>
          <cell r="S35" t="str">
            <v>NO</v>
          </cell>
          <cell r="T35" t="str">
            <v/>
          </cell>
          <cell r="U35" t="str">
            <v/>
          </cell>
          <cell r="V35" t="str">
            <v>NO</v>
          </cell>
          <cell r="W35" t="str">
            <v/>
          </cell>
          <cell r="X35" t="str">
            <v>MANUEL CUEVA</v>
          </cell>
          <cell r="Y35" t="str">
            <v>AGRICULTOR</v>
          </cell>
          <cell r="Z35">
            <v>42927</v>
          </cell>
          <cell r="AA35" t="str">
            <v>PSM</v>
          </cell>
          <cell r="AB35" t="str">
            <v>0302050003036</v>
          </cell>
          <cell r="AC35">
            <v>380.24</v>
          </cell>
          <cell r="AD35" t="str">
            <v>VARIOS TRABAJ-ACUICOLA</v>
          </cell>
          <cell r="AE35" t="str">
            <v>CAMPO</v>
          </cell>
          <cell r="AF35" t="str">
            <v>SI</v>
          </cell>
          <cell r="AG35" t="str">
            <v>NO</v>
          </cell>
          <cell r="AH35" t="str">
            <v>NO</v>
          </cell>
          <cell r="AI35" t="str">
            <v>SI</v>
          </cell>
          <cell r="AJ35" t="str">
            <v>NO</v>
          </cell>
          <cell r="AK35">
            <v>30</v>
          </cell>
          <cell r="AL35">
            <v>0</v>
          </cell>
          <cell r="AM35">
            <v>0</v>
          </cell>
          <cell r="AN35">
            <v>0</v>
          </cell>
        </row>
        <row r="36">
          <cell r="B36" t="str">
            <v>230013608-8</v>
          </cell>
          <cell r="C36" t="str">
            <v>ORTIZ MENDEZ EDWIN ELOY</v>
          </cell>
          <cell r="D36">
            <v>33900</v>
          </cell>
          <cell r="E36">
            <v>24</v>
          </cell>
          <cell r="F36" t="str">
            <v>230013608-8</v>
          </cell>
          <cell r="G36" t="str">
            <v>SOLTERO</v>
          </cell>
          <cell r="H36">
            <v>1</v>
          </cell>
          <cell r="I36" t="str">
            <v/>
          </cell>
          <cell r="J36" t="str">
            <v>CHEGUEVARA SANTO DOMINGO</v>
          </cell>
          <cell r="K36">
            <v>990382542</v>
          </cell>
          <cell r="L36">
            <v>960942880</v>
          </cell>
          <cell r="M36" t="str">
            <v/>
          </cell>
          <cell r="N36" t="str">
            <v>ONEIDA MENDEZ</v>
          </cell>
          <cell r="O36" t="str">
            <v>MADRE</v>
          </cell>
          <cell r="P36" t="str">
            <v/>
          </cell>
          <cell r="Q36">
            <v>990382542</v>
          </cell>
          <cell r="R36" t="str">
            <v>SECUNDARIA</v>
          </cell>
          <cell r="S36" t="str">
            <v>NO</v>
          </cell>
          <cell r="T36" t="str">
            <v/>
          </cell>
          <cell r="U36" t="str">
            <v/>
          </cell>
          <cell r="V36" t="str">
            <v>NO</v>
          </cell>
          <cell r="W36" t="str">
            <v/>
          </cell>
          <cell r="X36" t="str">
            <v>CARLOS HERNANDEZ</v>
          </cell>
          <cell r="Y36" t="str">
            <v>CONSTRUCCION EN TUBERIAS DE AGUA POTABLE; ASFALTO OTRAS ACTIVIDADES</v>
          </cell>
          <cell r="Z36">
            <v>42936</v>
          </cell>
          <cell r="AA36" t="str">
            <v>PSM</v>
          </cell>
          <cell r="AB36" t="str">
            <v>0302050003036</v>
          </cell>
          <cell r="AC36">
            <v>380.24</v>
          </cell>
          <cell r="AD36" t="str">
            <v>VARIOS TRABAJ-ACUICOLA</v>
          </cell>
          <cell r="AE36" t="str">
            <v>CAMPO</v>
          </cell>
          <cell r="AF36" t="str">
            <v>SI</v>
          </cell>
          <cell r="AG36" t="str">
            <v>NO</v>
          </cell>
          <cell r="AH36" t="str">
            <v>NO</v>
          </cell>
          <cell r="AI36" t="str">
            <v>SI</v>
          </cell>
          <cell r="AJ36" t="str">
            <v>NO</v>
          </cell>
          <cell r="AK36">
            <v>25</v>
          </cell>
          <cell r="AL36">
            <v>0</v>
          </cell>
          <cell r="AM36">
            <v>0</v>
          </cell>
          <cell r="AN36">
            <v>0</v>
          </cell>
        </row>
        <row r="37">
          <cell r="B37" t="str">
            <v>070339013-8</v>
          </cell>
          <cell r="C37" t="str">
            <v>CHALACO CASTILLO ROBERTH IVAN</v>
          </cell>
          <cell r="D37">
            <v>28394</v>
          </cell>
          <cell r="E37">
            <v>39</v>
          </cell>
          <cell r="F37" t="str">
            <v>070339013-8</v>
          </cell>
          <cell r="G37" t="str">
            <v>SOLTERO</v>
          </cell>
          <cell r="H37" t="str">
            <v/>
          </cell>
          <cell r="I37" t="str">
            <v/>
          </cell>
          <cell r="J37" t="str">
            <v>CALLEJON 8VA NORTE # 231 Y NAPOLEON MERA</v>
          </cell>
          <cell r="K37">
            <v>72963146</v>
          </cell>
          <cell r="L37">
            <v>991030748</v>
          </cell>
          <cell r="M37" t="str">
            <v>roberthivanch@gmail.com</v>
          </cell>
          <cell r="N37" t="str">
            <v>MARLON CHALACO</v>
          </cell>
          <cell r="O37" t="str">
            <v>HERMANO</v>
          </cell>
          <cell r="P37" t="str">
            <v/>
          </cell>
          <cell r="Q37">
            <v>995320931</v>
          </cell>
          <cell r="R37" t="str">
            <v>SECUNDARIA</v>
          </cell>
          <cell r="S37" t="str">
            <v>SI</v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>
            <v>42962</v>
          </cell>
          <cell r="AA37" t="str">
            <v>PSM</v>
          </cell>
          <cell r="AB37" t="str">
            <v>1716950000004</v>
          </cell>
          <cell r="AC37">
            <v>556.89</v>
          </cell>
          <cell r="AD37" t="str">
            <v>CHOFER</v>
          </cell>
          <cell r="AE37" t="str">
            <v>PRODUCCION</v>
          </cell>
          <cell r="AF37" t="str">
            <v/>
          </cell>
          <cell r="AG37" t="str">
            <v/>
          </cell>
          <cell r="AH37" t="str">
            <v>SI</v>
          </cell>
          <cell r="AI37" t="str">
            <v/>
          </cell>
          <cell r="AJ37" t="str">
            <v>NO</v>
          </cell>
          <cell r="AK37">
            <v>41</v>
          </cell>
          <cell r="AL37">
            <v>0</v>
          </cell>
          <cell r="AM37">
            <v>0</v>
          </cell>
          <cell r="AN37">
            <v>0</v>
          </cell>
        </row>
        <row r="38">
          <cell r="B38" t="str">
            <v>070627525-2</v>
          </cell>
          <cell r="C38" t="str">
            <v>BRIONES DAVILA ROBERTH SAMUEL</v>
          </cell>
          <cell r="D38">
            <v>36299</v>
          </cell>
          <cell r="E38">
            <v>18</v>
          </cell>
          <cell r="F38" t="str">
            <v>070627525-2</v>
          </cell>
          <cell r="G38" t="str">
            <v>SOLTERO</v>
          </cell>
          <cell r="H38" t="str">
            <v/>
          </cell>
          <cell r="I38" t="str">
            <v/>
          </cell>
          <cell r="J38" t="str">
            <v>AV. 10MA SUR ENTRE 19AVA OESTE Y CALLEJON PEATONAL (BARRIO LAS TINAS)</v>
          </cell>
          <cell r="K38" t="str">
            <v/>
          </cell>
          <cell r="L38">
            <v>960213171</v>
          </cell>
          <cell r="M38" t="str">
            <v>sambriodavila@gmail.com</v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>BACHILLER</v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>
            <v>42975</v>
          </cell>
          <cell r="AA38" t="str">
            <v>PSM</v>
          </cell>
          <cell r="AB38" t="str">
            <v>0302050003036</v>
          </cell>
          <cell r="AC38">
            <v>380.24</v>
          </cell>
          <cell r="AD38" t="str">
            <v>VARIOS TRABAJ-ACUICOLA</v>
          </cell>
          <cell r="AE38" t="str">
            <v>CAMPO</v>
          </cell>
          <cell r="AF38" t="str">
            <v/>
          </cell>
          <cell r="AG38" t="str">
            <v/>
          </cell>
          <cell r="AH38" t="str">
            <v/>
          </cell>
          <cell r="AI38" t="str">
            <v/>
          </cell>
          <cell r="AJ38" t="str">
            <v>NO</v>
          </cell>
          <cell r="AK38">
            <v>19</v>
          </cell>
          <cell r="AL38">
            <v>0</v>
          </cell>
          <cell r="AM38">
            <v>0</v>
          </cell>
          <cell r="AN38">
            <v>0</v>
          </cell>
        </row>
        <row r="39">
          <cell r="B39" t="str">
            <v>070118831-0</v>
          </cell>
          <cell r="C39" t="str">
            <v>CARPIO JIMENEZ ALBERTO VINICIO</v>
          </cell>
          <cell r="D39">
            <v>21227</v>
          </cell>
          <cell r="E39">
            <v>59</v>
          </cell>
          <cell r="F39" t="str">
            <v>070118831-0</v>
          </cell>
          <cell r="G39" t="str">
            <v>CASADO</v>
          </cell>
          <cell r="H39">
            <v>1</v>
          </cell>
          <cell r="I39" t="str">
            <v/>
          </cell>
          <cell r="J39" t="str">
            <v>MACHALA LAS CRUCITA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 t="str">
            <v>SUPERIOR DR. JURISPRUDENCIA</v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>
            <v>43009</v>
          </cell>
          <cell r="AA39" t="str">
            <v>PSM</v>
          </cell>
          <cell r="AB39" t="str">
            <v>1910000000006</v>
          </cell>
          <cell r="AC39">
            <v>2000</v>
          </cell>
          <cell r="AD39" t="str">
            <v>ADMINISTRADOR</v>
          </cell>
          <cell r="AE39" t="str">
            <v>ADMINISTRACION</v>
          </cell>
          <cell r="AF39" t="str">
            <v/>
          </cell>
          <cell r="AG39" t="str">
            <v/>
          </cell>
          <cell r="AH39" t="str">
            <v>SI</v>
          </cell>
          <cell r="AI39" t="str">
            <v/>
          </cell>
          <cell r="AJ39" t="str">
            <v>NO</v>
          </cell>
          <cell r="AK39">
            <v>60</v>
          </cell>
          <cell r="AL39">
            <v>0</v>
          </cell>
          <cell r="AM39">
            <v>0</v>
          </cell>
          <cell r="AN39">
            <v>0</v>
          </cell>
        </row>
        <row r="40">
          <cell r="B40" t="str">
            <v>070173513-6</v>
          </cell>
          <cell r="C40" t="str">
            <v>FIGUEROA AGUIRRE TERESITA MARLENE</v>
          </cell>
          <cell r="D40">
            <v>22817</v>
          </cell>
          <cell r="E40">
            <v>53</v>
          </cell>
          <cell r="F40" t="str">
            <v>070173513-6</v>
          </cell>
          <cell r="G40" t="str">
            <v>CASADO</v>
          </cell>
          <cell r="H40" t="str">
            <v/>
          </cell>
          <cell r="I40" t="str">
            <v/>
          </cell>
          <cell r="J40" t="str">
            <v>CUENCA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 t="str">
            <v>SECUNDARIA QUE HACERES DOMESTICO</v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>
            <v>43009</v>
          </cell>
          <cell r="AA40" t="str">
            <v>PSM</v>
          </cell>
          <cell r="AB40" t="str">
            <v>1910000000026</v>
          </cell>
          <cell r="AC40">
            <v>2000</v>
          </cell>
          <cell r="AD40" t="str">
            <v>AUXILIAR CONTABILIDAD</v>
          </cell>
          <cell r="AE40" t="str">
            <v>PRODUCCION</v>
          </cell>
          <cell r="AF40" t="str">
            <v/>
          </cell>
          <cell r="AG40" t="str">
            <v/>
          </cell>
          <cell r="AH40" t="str">
            <v/>
          </cell>
          <cell r="AI40" t="str">
            <v/>
          </cell>
          <cell r="AJ40" t="str">
            <v>NO</v>
          </cell>
          <cell r="AK40">
            <v>56</v>
          </cell>
          <cell r="AL40">
            <v>0</v>
          </cell>
          <cell r="AM40">
            <v>0</v>
          </cell>
          <cell r="AN40">
            <v>0</v>
          </cell>
        </row>
        <row r="41">
          <cell r="B41" t="str">
            <v>075010317-8</v>
          </cell>
          <cell r="C41" t="str">
            <v>ORTIZ RODRIGUEZ JOSE VICENTE</v>
          </cell>
          <cell r="D41">
            <v>34809</v>
          </cell>
          <cell r="E41">
            <v>22</v>
          </cell>
          <cell r="F41" t="str">
            <v>075010317-8</v>
          </cell>
          <cell r="G41" t="str">
            <v>SOLTERO</v>
          </cell>
          <cell r="H41">
            <v>1</v>
          </cell>
          <cell r="I41" t="str">
            <v/>
          </cell>
          <cell r="J41" t="str">
            <v>ARENILLAS</v>
          </cell>
          <cell r="K41" t="str">
            <v/>
          </cell>
          <cell r="L41">
            <v>981428681</v>
          </cell>
          <cell r="M41" t="str">
            <v/>
          </cell>
          <cell r="N41" t="str">
            <v>JORGE ORTIZ</v>
          </cell>
          <cell r="O41" t="str">
            <v>HERMANO</v>
          </cell>
          <cell r="P41">
            <v>988957238</v>
          </cell>
          <cell r="Q41" t="str">
            <v/>
          </cell>
          <cell r="R41" t="str">
            <v>SECUNDARIA</v>
          </cell>
          <cell r="S41" t="str">
            <v>NO</v>
          </cell>
          <cell r="T41" t="str">
            <v/>
          </cell>
          <cell r="U41" t="str">
            <v/>
          </cell>
          <cell r="V41" t="str">
            <v>NO</v>
          </cell>
          <cell r="W41" t="str">
            <v/>
          </cell>
          <cell r="X41" t="str">
            <v>ING STALYN AGUIRRE</v>
          </cell>
          <cell r="Y41" t="str">
            <v>CONDUCTOR, INFORMATICA BASICA</v>
          </cell>
          <cell r="Z41">
            <v>43066</v>
          </cell>
          <cell r="AA41" t="str">
            <v>PSM</v>
          </cell>
          <cell r="AB41">
            <v>302050003036</v>
          </cell>
          <cell r="AC41">
            <v>380.24</v>
          </cell>
          <cell r="AD41" t="str">
            <v>VARIOS TRABAJ-ACUICOLA</v>
          </cell>
          <cell r="AE41" t="str">
            <v>CAMPO</v>
          </cell>
          <cell r="AF41" t="str">
            <v>SI</v>
          </cell>
          <cell r="AG41" t="str">
            <v>NO</v>
          </cell>
          <cell r="AH41" t="str">
            <v>SI</v>
          </cell>
          <cell r="AI41" t="str">
            <v>SI</v>
          </cell>
          <cell r="AJ41" t="str">
            <v>NO</v>
          </cell>
          <cell r="AK41">
            <v>23</v>
          </cell>
          <cell r="AL41">
            <v>0</v>
          </cell>
          <cell r="AM41">
            <v>0</v>
          </cell>
          <cell r="AN41">
            <v>0</v>
          </cell>
        </row>
        <row r="42">
          <cell r="B42" t="str">
            <v>0700426893</v>
          </cell>
          <cell r="C42" t="str">
            <v>JIMENEZ ORDOÑEZ BERTHA RUFINA</v>
          </cell>
          <cell r="D42">
            <v>16502</v>
          </cell>
          <cell r="E42">
            <v>72</v>
          </cell>
          <cell r="F42" t="str">
            <v>0700426893</v>
          </cell>
          <cell r="G42" t="str">
            <v>DIVORCIADO</v>
          </cell>
          <cell r="H42" t="str">
            <v/>
          </cell>
          <cell r="I42" t="str">
            <v/>
          </cell>
          <cell r="J42" t="str">
            <v>MACHALA</v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>
            <v>43085</v>
          </cell>
          <cell r="AA42" t="str">
            <v>PSM</v>
          </cell>
          <cell r="AB42">
            <v>1920000000041</v>
          </cell>
          <cell r="AC42">
            <v>375</v>
          </cell>
          <cell r="AD42" t="str">
            <v>AUX. SERV.EN  GENERAL</v>
          </cell>
          <cell r="AE42" t="str">
            <v>ADMINISTRACION</v>
          </cell>
          <cell r="AF42" t="str">
            <v/>
          </cell>
          <cell r="AG42" t="str">
            <v/>
          </cell>
          <cell r="AH42" t="str">
            <v/>
          </cell>
          <cell r="AI42" t="str">
            <v/>
          </cell>
          <cell r="AJ42" t="str">
            <v/>
          </cell>
          <cell r="AK42">
            <v>73</v>
          </cell>
          <cell r="AL42">
            <v>0</v>
          </cell>
          <cell r="AM42">
            <v>0</v>
          </cell>
          <cell r="AN42">
            <v>0</v>
          </cell>
        </row>
        <row r="43">
          <cell r="B43" t="str">
            <v>0700419328</v>
          </cell>
          <cell r="C43" t="str">
            <v>LOAYZA SANCHEZ ZOILA DOLORES</v>
          </cell>
          <cell r="D43">
            <v>17711</v>
          </cell>
          <cell r="E43">
            <v>69</v>
          </cell>
          <cell r="F43" t="str">
            <v>0700419328</v>
          </cell>
          <cell r="G43" t="str">
            <v>CASADA</v>
          </cell>
          <cell r="H43" t="str">
            <v/>
          </cell>
          <cell r="I43" t="str">
            <v/>
          </cell>
          <cell r="J43" t="str">
            <v>AV, LA FERROVIARIA</v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>SUPERIOR</v>
          </cell>
          <cell r="S43" t="str">
            <v>NO</v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>
            <v>43102</v>
          </cell>
          <cell r="AA43" t="str">
            <v>PSM</v>
          </cell>
          <cell r="AB43" t="str">
            <v/>
          </cell>
          <cell r="AC43">
            <v>985.4</v>
          </cell>
          <cell r="AD43" t="str">
            <v>CONTADORA</v>
          </cell>
          <cell r="AE43" t="str">
            <v>ADMINISTRACION</v>
          </cell>
          <cell r="AF43" t="str">
            <v/>
          </cell>
          <cell r="AG43" t="str">
            <v/>
          </cell>
          <cell r="AH43" t="str">
            <v/>
          </cell>
          <cell r="AI43" t="str">
            <v/>
          </cell>
          <cell r="AJ43" t="str">
            <v/>
          </cell>
          <cell r="AK43">
            <v>70</v>
          </cell>
          <cell r="AL43">
            <v>0</v>
          </cell>
          <cell r="AM43">
            <v>0</v>
          </cell>
          <cell r="AN43">
            <v>0</v>
          </cell>
        </row>
        <row r="44">
          <cell r="B44" t="str">
            <v>110480020-4</v>
          </cell>
          <cell r="C44" t="str">
            <v>MOROCHO SALINAS FABRICIO EDUARDO</v>
          </cell>
          <cell r="D44">
            <v>31912</v>
          </cell>
          <cell r="E44">
            <v>30</v>
          </cell>
          <cell r="F44" t="str">
            <v>1104800204</v>
          </cell>
          <cell r="G44" t="str">
            <v>CASADO</v>
          </cell>
          <cell r="H44">
            <v>2</v>
          </cell>
          <cell r="I44" t="str">
            <v/>
          </cell>
          <cell r="J44" t="str">
            <v>VILCABAMBA</v>
          </cell>
          <cell r="K44" t="str">
            <v/>
          </cell>
          <cell r="L44">
            <v>997486520</v>
          </cell>
          <cell r="M44" t="str">
            <v/>
          </cell>
          <cell r="N44">
            <v>99014886</v>
          </cell>
          <cell r="O44" t="str">
            <v>HERMANA</v>
          </cell>
          <cell r="P44" t="str">
            <v/>
          </cell>
          <cell r="Q44" t="str">
            <v/>
          </cell>
          <cell r="R44" t="str">
            <v>BACHILLER</v>
          </cell>
          <cell r="S44" t="str">
            <v>NO</v>
          </cell>
          <cell r="T44" t="str">
            <v/>
          </cell>
          <cell r="U44" t="str">
            <v/>
          </cell>
          <cell r="V44" t="str">
            <v>NO</v>
          </cell>
          <cell r="W44" t="str">
            <v/>
          </cell>
          <cell r="X44" t="str">
            <v/>
          </cell>
          <cell r="Y44" t="str">
            <v/>
          </cell>
          <cell r="Z44">
            <v>43109</v>
          </cell>
          <cell r="AA44" t="str">
            <v>PSM</v>
          </cell>
          <cell r="AB44" t="str">
            <v>302050003036</v>
          </cell>
          <cell r="AC44">
            <v>391.4</v>
          </cell>
          <cell r="AD44" t="str">
            <v>TRABAJADOR ACUICOLA</v>
          </cell>
          <cell r="AE44" t="str">
            <v>CAMPO</v>
          </cell>
          <cell r="AF44" t="str">
            <v>SI</v>
          </cell>
          <cell r="AG44" t="str">
            <v/>
          </cell>
          <cell r="AH44" t="str">
            <v/>
          </cell>
          <cell r="AI44" t="str">
            <v/>
          </cell>
          <cell r="AJ44" t="str">
            <v/>
          </cell>
          <cell r="AK44">
            <v>31</v>
          </cell>
          <cell r="AL44">
            <v>0</v>
          </cell>
          <cell r="AM44">
            <v>0</v>
          </cell>
          <cell r="AN44">
            <v>0</v>
          </cell>
        </row>
        <row r="45">
          <cell r="B45" t="str">
            <v>080297728-0</v>
          </cell>
          <cell r="C45" t="str">
            <v>CHILA QUIÑONEZ KLEBER FELIPE</v>
          </cell>
          <cell r="D45">
            <v>31062</v>
          </cell>
          <cell r="E45">
            <v>33</v>
          </cell>
          <cell r="F45" t="str">
            <v>0802977280</v>
          </cell>
          <cell r="G45" t="str">
            <v>UNION LIBRE</v>
          </cell>
          <cell r="H45">
            <v>5</v>
          </cell>
          <cell r="I45" t="str">
            <v/>
          </cell>
          <cell r="J45" t="str">
            <v>COOP CHEGUEVARA SECTOR#3</v>
          </cell>
          <cell r="K45">
            <v>958756727</v>
          </cell>
          <cell r="L45">
            <v>961004687</v>
          </cell>
          <cell r="M45" t="str">
            <v/>
          </cell>
          <cell r="N45" t="str">
            <v>VERONICA LASTRA MERINO</v>
          </cell>
          <cell r="O45" t="str">
            <v>ESPOSA</v>
          </cell>
          <cell r="P45" t="str">
            <v/>
          </cell>
          <cell r="Q45">
            <v>939866282</v>
          </cell>
          <cell r="R45" t="str">
            <v>PRIMARIA</v>
          </cell>
          <cell r="S45" t="str">
            <v>NO</v>
          </cell>
          <cell r="T45" t="str">
            <v/>
          </cell>
          <cell r="U45" t="str">
            <v/>
          </cell>
          <cell r="V45" t="str">
            <v>NO</v>
          </cell>
          <cell r="W45" t="str">
            <v/>
          </cell>
          <cell r="X45" t="str">
            <v>TRABAJADOR ELOY ORTIZ</v>
          </cell>
          <cell r="Y45" t="str">
            <v>ALBAÑIL</v>
          </cell>
          <cell r="Z45">
            <v>43152</v>
          </cell>
          <cell r="AA45" t="str">
            <v>PSM</v>
          </cell>
          <cell r="AB45" t="str">
            <v>0302050003036</v>
          </cell>
          <cell r="AC45">
            <v>391.4</v>
          </cell>
          <cell r="AD45" t="str">
            <v>VARIOS TRABAJ-ACUICOLA</v>
          </cell>
          <cell r="AE45" t="str">
            <v>CAMPO</v>
          </cell>
          <cell r="AF45" t="str">
            <v>SI</v>
          </cell>
          <cell r="AG45" t="str">
            <v>SI</v>
          </cell>
          <cell r="AH45" t="str">
            <v>SI</v>
          </cell>
          <cell r="AI45" t="str">
            <v>SI</v>
          </cell>
          <cell r="AJ45" t="str">
            <v>NO</v>
          </cell>
          <cell r="AK45">
            <v>33</v>
          </cell>
          <cell r="AL45">
            <v>0</v>
          </cell>
          <cell r="AM45">
            <v>0</v>
          </cell>
          <cell r="AN45">
            <v>0</v>
          </cell>
        </row>
        <row r="46">
          <cell r="B46" t="str">
            <v>230048401-7</v>
          </cell>
          <cell r="C46" t="str">
            <v>POROZO PEÑA ADAN ALFONSO</v>
          </cell>
          <cell r="D46">
            <v>36076</v>
          </cell>
          <cell r="E46">
            <v>19</v>
          </cell>
          <cell r="F46" t="str">
            <v>2300484017</v>
          </cell>
          <cell r="G46" t="str">
            <v>UNION LIBRE</v>
          </cell>
          <cell r="H46" t="str">
            <v/>
          </cell>
          <cell r="I46" t="str">
            <v/>
          </cell>
          <cell r="J46" t="str">
            <v xml:space="preserve">SANTO DOMINGO .-CHEGUEVARA SECTOR 2 </v>
          </cell>
          <cell r="K46">
            <v>991511300</v>
          </cell>
          <cell r="L46">
            <v>991511300</v>
          </cell>
          <cell r="M46" t="str">
            <v/>
          </cell>
          <cell r="N46" t="str">
            <v xml:space="preserve">RAQUEL </v>
          </cell>
          <cell r="O46" t="str">
            <v>TIA</v>
          </cell>
          <cell r="P46" t="str">
            <v/>
          </cell>
          <cell r="Q46">
            <v>991753188</v>
          </cell>
          <cell r="R46" t="str">
            <v>SECUNDARIA</v>
          </cell>
          <cell r="S46" t="str">
            <v>NO</v>
          </cell>
          <cell r="T46" t="str">
            <v/>
          </cell>
          <cell r="U46" t="str">
            <v/>
          </cell>
          <cell r="V46" t="str">
            <v>NO</v>
          </cell>
          <cell r="W46" t="str">
            <v/>
          </cell>
          <cell r="X46" t="str">
            <v>UN AMIGO SEGUNDO CEDEÑO</v>
          </cell>
          <cell r="Y46" t="str">
            <v>COSECHADOR DE CACAO,SIEMBRA DE MAIZ</v>
          </cell>
          <cell r="Z46">
            <v>43179</v>
          </cell>
          <cell r="AA46" t="str">
            <v>PSM</v>
          </cell>
          <cell r="AB46">
            <v>302050003036</v>
          </cell>
          <cell r="AC46">
            <v>391.4</v>
          </cell>
          <cell r="AD46" t="str">
            <v>TRABAJADOR ACUICOLA</v>
          </cell>
          <cell r="AE46" t="str">
            <v>CAMPO</v>
          </cell>
          <cell r="AF46" t="str">
            <v>SI</v>
          </cell>
          <cell r="AG46" t="str">
            <v>SI</v>
          </cell>
          <cell r="AH46" t="str">
            <v>SI</v>
          </cell>
          <cell r="AI46" t="str">
            <v/>
          </cell>
          <cell r="AJ46" t="str">
            <v/>
          </cell>
          <cell r="AK46">
            <v>19</v>
          </cell>
          <cell r="AL46">
            <v>0</v>
          </cell>
          <cell r="AM46">
            <v>0</v>
          </cell>
          <cell r="AN46">
            <v>0</v>
          </cell>
        </row>
        <row r="47">
          <cell r="B47" t="str">
            <v>070653203-3</v>
          </cell>
          <cell r="C47" t="str">
            <v>HERRERA NOLE KARLA LISBETH</v>
          </cell>
          <cell r="D47">
            <v>33613</v>
          </cell>
          <cell r="E47">
            <v>26</v>
          </cell>
          <cell r="F47" t="str">
            <v>0706532033</v>
          </cell>
          <cell r="G47" t="str">
            <v>SOLTERO</v>
          </cell>
          <cell r="H47">
            <v>0</v>
          </cell>
          <cell r="I47" t="str">
            <v/>
          </cell>
          <cell r="J47" t="str">
            <v>MACHALA</v>
          </cell>
          <cell r="K47" t="str">
            <v/>
          </cell>
          <cell r="L47">
            <v>996409841</v>
          </cell>
          <cell r="M47" t="str">
            <v>karliz1992@hotmail.com</v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>PSICOLOGA CLINICA</v>
          </cell>
          <cell r="S47" t="str">
            <v>NO</v>
          </cell>
          <cell r="T47" t="str">
            <v/>
          </cell>
          <cell r="U47" t="str">
            <v/>
          </cell>
          <cell r="V47" t="str">
            <v>NO</v>
          </cell>
          <cell r="W47" t="str">
            <v/>
          </cell>
          <cell r="X47" t="str">
            <v/>
          </cell>
          <cell r="Y47" t="str">
            <v>PSICOLOGA CLINICA</v>
          </cell>
          <cell r="Z47">
            <v>43179</v>
          </cell>
          <cell r="AA47" t="str">
            <v>PSM</v>
          </cell>
          <cell r="AB47" t="str">
            <v>1920000000009</v>
          </cell>
          <cell r="AC47">
            <v>402.08</v>
          </cell>
          <cell r="AD47" t="str">
            <v xml:space="preserve">MONITOREADOR </v>
          </cell>
          <cell r="AE47" t="str">
            <v>PRODUCCION</v>
          </cell>
          <cell r="AF47" t="str">
            <v>SI</v>
          </cell>
          <cell r="AG47" t="str">
            <v>NO</v>
          </cell>
          <cell r="AH47" t="str">
            <v>NO</v>
          </cell>
          <cell r="AI47" t="str">
            <v>NO</v>
          </cell>
          <cell r="AJ47" t="str">
            <v>NO</v>
          </cell>
          <cell r="AK47">
            <v>26</v>
          </cell>
          <cell r="AL47">
            <v>0</v>
          </cell>
          <cell r="AM47">
            <v>0</v>
          </cell>
          <cell r="AN47">
            <v>0</v>
          </cell>
        </row>
        <row r="48">
          <cell r="B48" t="str">
            <v>070579953-4</v>
          </cell>
          <cell r="C48" t="str">
            <v xml:space="preserve">JORDAN LOAYZA LIZBETH ESTEFANIA </v>
          </cell>
          <cell r="D48">
            <v>35023</v>
          </cell>
          <cell r="E48">
            <v>22</v>
          </cell>
          <cell r="F48" t="str">
            <v>0705799534</v>
          </cell>
          <cell r="G48" t="str">
            <v>SOLTERO</v>
          </cell>
          <cell r="H48">
            <v>1</v>
          </cell>
          <cell r="I48" t="str">
            <v/>
          </cell>
          <cell r="J48" t="str">
            <v>MACHALA</v>
          </cell>
          <cell r="K48" t="str">
            <v/>
          </cell>
          <cell r="L48">
            <v>999679387</v>
          </cell>
          <cell r="M48" t="str">
            <v>lizbethj345@gmail.com</v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 xml:space="preserve">secundaria TECNICO EN COMERCIO Y ADM </v>
          </cell>
          <cell r="S48" t="str">
            <v>NO</v>
          </cell>
          <cell r="T48" t="str">
            <v/>
          </cell>
          <cell r="U48" t="str">
            <v/>
          </cell>
          <cell r="V48" t="str">
            <v>NO</v>
          </cell>
          <cell r="W48" t="str">
            <v/>
          </cell>
          <cell r="X48" t="str">
            <v/>
          </cell>
          <cell r="Y48" t="str">
            <v/>
          </cell>
          <cell r="Z48">
            <v>43179</v>
          </cell>
          <cell r="AA48" t="str">
            <v>PSM</v>
          </cell>
          <cell r="AB48" t="str">
            <v>1920000000009</v>
          </cell>
          <cell r="AC48">
            <v>402.08</v>
          </cell>
          <cell r="AD48" t="str">
            <v>MONITOREADOR</v>
          </cell>
          <cell r="AE48" t="str">
            <v>PRODUCCION</v>
          </cell>
          <cell r="AF48" t="str">
            <v>SI</v>
          </cell>
          <cell r="AG48" t="str">
            <v>NO</v>
          </cell>
          <cell r="AH48" t="str">
            <v>NO</v>
          </cell>
          <cell r="AI48" t="str">
            <v>NO</v>
          </cell>
          <cell r="AJ48" t="str">
            <v>NO</v>
          </cell>
          <cell r="AK48">
            <v>22</v>
          </cell>
          <cell r="AL48">
            <v>0</v>
          </cell>
          <cell r="AM48">
            <v>0</v>
          </cell>
          <cell r="AN48">
            <v>0</v>
          </cell>
        </row>
        <row r="49">
          <cell r="B49" t="str">
            <v>171647229-3</v>
          </cell>
          <cell r="C49" t="str">
            <v xml:space="preserve">SIMANCAS QUEZADA ORLANDO BAUDILIO </v>
          </cell>
          <cell r="D49">
            <v>29363</v>
          </cell>
          <cell r="E49">
            <v>38</v>
          </cell>
          <cell r="F49" t="str">
            <v>1716472293</v>
          </cell>
          <cell r="G49" t="str">
            <v>CASADO</v>
          </cell>
          <cell r="H49">
            <v>5</v>
          </cell>
          <cell r="I49" t="str">
            <v>14- 13- 7- 3- 2</v>
          </cell>
          <cell r="J49" t="str">
            <v>VIA PORTETE Y MOYEPAMBA</v>
          </cell>
          <cell r="K49" t="str">
            <v/>
          </cell>
          <cell r="L49">
            <v>991655229</v>
          </cell>
          <cell r="M49" t="str">
            <v/>
          </cell>
          <cell r="N49" t="str">
            <v>MARIA HORTENCIA</v>
          </cell>
          <cell r="O49" t="str">
            <v>HERMANA</v>
          </cell>
          <cell r="P49">
            <v>22691824</v>
          </cell>
          <cell r="Q49" t="str">
            <v/>
          </cell>
          <cell r="R49" t="str">
            <v xml:space="preserve">PRIMARIA </v>
          </cell>
          <cell r="S49" t="str">
            <v>NO</v>
          </cell>
          <cell r="T49" t="str">
            <v>-</v>
          </cell>
          <cell r="U49" t="str">
            <v>-</v>
          </cell>
          <cell r="V49" t="str">
            <v>NO</v>
          </cell>
          <cell r="W49" t="str">
            <v>-</v>
          </cell>
          <cell r="X49" t="str">
            <v xml:space="preserve">RAIMUNDO PINTA </v>
          </cell>
          <cell r="Y49" t="str">
            <v xml:space="preserve">ELECTRICISTA DE ALTA TENSION, GUARDIA DE EMPRESAS </v>
          </cell>
          <cell r="Z49">
            <v>43285</v>
          </cell>
          <cell r="AA49" t="str">
            <v>PSM</v>
          </cell>
          <cell r="AB49" t="str">
            <v>302050003036</v>
          </cell>
          <cell r="AC49">
            <v>391.4</v>
          </cell>
          <cell r="AD49" t="str">
            <v>TRABAJADOR ACUICOLA</v>
          </cell>
          <cell r="AE49" t="str">
            <v>CAMPO</v>
          </cell>
          <cell r="AF49" t="str">
            <v>SI</v>
          </cell>
          <cell r="AG49" t="str">
            <v>NO</v>
          </cell>
          <cell r="AH49" t="str">
            <v>SI</v>
          </cell>
          <cell r="AI49" t="str">
            <v>NO</v>
          </cell>
          <cell r="AJ49" t="str">
            <v>NO</v>
          </cell>
          <cell r="AK49">
            <v>38</v>
          </cell>
          <cell r="AL49">
            <v>0</v>
          </cell>
          <cell r="AM49">
            <v>0</v>
          </cell>
          <cell r="AN49">
            <v>0</v>
          </cell>
        </row>
        <row r="50">
          <cell r="B50" t="str">
            <v>2350477945</v>
          </cell>
          <cell r="C50" t="str">
            <v>PONCE JARAMILLO CRISTIAN DAMIAN</v>
          </cell>
          <cell r="D50">
            <v>34938</v>
          </cell>
          <cell r="E50">
            <v>22</v>
          </cell>
          <cell r="F50" t="str">
            <v>2350477945</v>
          </cell>
          <cell r="G50" t="str">
            <v>SOLTERO</v>
          </cell>
          <cell r="H50" t="str">
            <v/>
          </cell>
          <cell r="I50" t="str">
            <v/>
          </cell>
          <cell r="J50" t="str">
            <v>SANTO DOMINGO BARRIO CHEGUEVARA</v>
          </cell>
          <cell r="K50" t="str">
            <v>0968454107</v>
          </cell>
          <cell r="L50" t="e">
            <v>#REF!</v>
          </cell>
          <cell r="M50" t="str">
            <v>-</v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>NO</v>
          </cell>
          <cell r="T50" t="str">
            <v>-</v>
          </cell>
          <cell r="U50" t="str">
            <v>-</v>
          </cell>
          <cell r="V50" t="str">
            <v>NO</v>
          </cell>
          <cell r="W50" t="str">
            <v>-</v>
          </cell>
          <cell r="X50" t="str">
            <v>SEGUNDO CEDEÑO</v>
          </cell>
          <cell r="Y50" t="str">
            <v>FUMIGAR DE TODO UN POCO</v>
          </cell>
          <cell r="Z50">
            <v>43306</v>
          </cell>
          <cell r="AA50" t="str">
            <v>PSM</v>
          </cell>
          <cell r="AB50">
            <v>302050003036</v>
          </cell>
          <cell r="AC50">
            <v>391.4</v>
          </cell>
          <cell r="AD50" t="str">
            <v>TRABAJADOR ACUICOLA</v>
          </cell>
          <cell r="AE50" t="str">
            <v>CAMPO</v>
          </cell>
          <cell r="AF50" t="str">
            <v>SI</v>
          </cell>
          <cell r="AG50" t="str">
            <v>NO</v>
          </cell>
          <cell r="AH50" t="str">
            <v>NO</v>
          </cell>
          <cell r="AI50" t="str">
            <v>SI</v>
          </cell>
          <cell r="AJ50" t="str">
            <v>NO</v>
          </cell>
          <cell r="AK50">
            <v>23</v>
          </cell>
          <cell r="AL50">
            <v>0</v>
          </cell>
          <cell r="AM50">
            <v>0</v>
          </cell>
          <cell r="AN50">
            <v>0</v>
          </cell>
        </row>
        <row r="51">
          <cell r="B51" t="str">
            <v>0705899664</v>
          </cell>
          <cell r="C51" t="str">
            <v>ACEVEDO PEREZ HOLGER EUGENIO</v>
          </cell>
          <cell r="D51">
            <v>32511</v>
          </cell>
          <cell r="E51">
            <v>29</v>
          </cell>
          <cell r="F51" t="str">
            <v>0705899664</v>
          </cell>
          <cell r="G51" t="str">
            <v>CASADO</v>
          </cell>
          <cell r="H51">
            <v>2</v>
          </cell>
          <cell r="I51" t="str">
            <v/>
          </cell>
          <cell r="J51" t="str">
            <v>PALMALES - ARENILLAS</v>
          </cell>
          <cell r="K51" t="str">
            <v>0994902282</v>
          </cell>
          <cell r="L51" t="e">
            <v>#REF!</v>
          </cell>
          <cell r="M51" t="str">
            <v>holgeracevedo@outlook.es</v>
          </cell>
          <cell r="N51" t="str">
            <v>MARIA ZHUNAULA</v>
          </cell>
          <cell r="O51" t="str">
            <v>MUJER</v>
          </cell>
          <cell r="P51">
            <v>989858195</v>
          </cell>
          <cell r="Q51" t="str">
            <v/>
          </cell>
          <cell r="R51" t="str">
            <v>BACHILLER</v>
          </cell>
          <cell r="S51" t="str">
            <v>NO</v>
          </cell>
          <cell r="T51" t="str">
            <v>NO</v>
          </cell>
          <cell r="U51" t="str">
            <v>NO</v>
          </cell>
          <cell r="V51" t="str">
            <v>NO</v>
          </cell>
          <cell r="W51" t="str">
            <v>NO</v>
          </cell>
          <cell r="X51" t="str">
            <v/>
          </cell>
          <cell r="Y51" t="str">
            <v>AGRICULTURA</v>
          </cell>
          <cell r="Z51">
            <v>43313</v>
          </cell>
          <cell r="AA51" t="str">
            <v>PSM</v>
          </cell>
          <cell r="AB51">
            <v>302050003036</v>
          </cell>
          <cell r="AC51">
            <v>391.4</v>
          </cell>
          <cell r="AD51" t="str">
            <v>TRABAJADOR ACUICOLA</v>
          </cell>
          <cell r="AE51" t="str">
            <v>CAMPO</v>
          </cell>
          <cell r="AF51" t="str">
            <v>SI</v>
          </cell>
          <cell r="AG51" t="str">
            <v>SI</v>
          </cell>
          <cell r="AH51" t="str">
            <v>SI</v>
          </cell>
          <cell r="AI51" t="str">
            <v>SI</v>
          </cell>
          <cell r="AJ51" t="str">
            <v>NO</v>
          </cell>
          <cell r="AK51">
            <v>29</v>
          </cell>
          <cell r="AL51">
            <v>0</v>
          </cell>
          <cell r="AM51">
            <v>0</v>
          </cell>
          <cell r="AN51">
            <v>0</v>
          </cell>
        </row>
        <row r="52">
          <cell r="B52" t="str">
            <v>1105244725</v>
          </cell>
          <cell r="C52" t="str">
            <v>QUINCHE MATAILO JAIRO ISMAEL</v>
          </cell>
          <cell r="D52">
            <v>36694</v>
          </cell>
          <cell r="E52">
            <v>18</v>
          </cell>
          <cell r="F52" t="str">
            <v>1105244725</v>
          </cell>
          <cell r="G52" t="str">
            <v>SOLTERO</v>
          </cell>
          <cell r="H52" t="str">
            <v>NO</v>
          </cell>
          <cell r="I52" t="str">
            <v>-</v>
          </cell>
          <cell r="J52" t="str">
            <v>LOJA, PARROQUIA NAMBACOLA - BARRIO PORTETE</v>
          </cell>
          <cell r="K52" t="str">
            <v/>
          </cell>
          <cell r="L52" t="e">
            <v>#REF!</v>
          </cell>
          <cell r="M52" t="str">
            <v/>
          </cell>
          <cell r="N52" t="str">
            <v>RODRIGO QUINCHE PINTA</v>
          </cell>
          <cell r="O52" t="str">
            <v>TIO</v>
          </cell>
          <cell r="P52" t="str">
            <v/>
          </cell>
          <cell r="Q52">
            <v>997877494</v>
          </cell>
          <cell r="R52" t="str">
            <v>BACHILLER</v>
          </cell>
          <cell r="S52" t="str">
            <v>NO</v>
          </cell>
          <cell r="T52" t="str">
            <v>-</v>
          </cell>
          <cell r="U52" t="str">
            <v>-</v>
          </cell>
          <cell r="V52" t="str">
            <v>NO</v>
          </cell>
          <cell r="W52" t="str">
            <v>-</v>
          </cell>
          <cell r="X52" t="str">
            <v>DAVID SIMANCAS</v>
          </cell>
          <cell r="Y52" t="str">
            <v>ENCARGADO DE3 AIRIADORES, DESAGUES DE AGUA , CAMBIO DE MALLAS Y COMPUERTAS DE DESAGUES</v>
          </cell>
          <cell r="Z52">
            <v>43354</v>
          </cell>
          <cell r="AA52" t="str">
            <v>PSM</v>
          </cell>
          <cell r="AB52" t="str">
            <v/>
          </cell>
          <cell r="AC52">
            <v>391.4</v>
          </cell>
          <cell r="AD52" t="str">
            <v>TRABAJADOR ACUICOLA</v>
          </cell>
          <cell r="AE52" t="str">
            <v>CAMPO</v>
          </cell>
          <cell r="AF52" t="str">
            <v>SI</v>
          </cell>
          <cell r="AG52" t="str">
            <v>SI</v>
          </cell>
          <cell r="AH52" t="str">
            <v>NO</v>
          </cell>
          <cell r="AI52" t="str">
            <v>SI</v>
          </cell>
          <cell r="AJ52" t="str">
            <v>NO</v>
          </cell>
          <cell r="AK52">
            <v>18</v>
          </cell>
          <cell r="AL52">
            <v>0</v>
          </cell>
          <cell r="AM52">
            <v>0</v>
          </cell>
          <cell r="AN52">
            <v>0</v>
          </cell>
        </row>
        <row r="53">
          <cell r="B53" t="str">
            <v>070118831-0</v>
          </cell>
          <cell r="C53" t="str">
            <v>CARPIO JIMENEZ ALBERTO VINICIO</v>
          </cell>
          <cell r="D53">
            <v>21227</v>
          </cell>
          <cell r="E53">
            <v>58</v>
          </cell>
          <cell r="F53" t="str">
            <v>070118831-0</v>
          </cell>
          <cell r="G53" t="str">
            <v>CASADO</v>
          </cell>
          <cell r="H53">
            <v>1</v>
          </cell>
          <cell r="I53" t="str">
            <v/>
          </cell>
          <cell r="J53" t="str">
            <v>MACHALA LAS CRUCITA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 t="str">
            <v>SUPERIOR DR. JURISPRUDENCIA</v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>
            <v>37347</v>
          </cell>
          <cell r="AA53" t="str">
            <v>BIO</v>
          </cell>
          <cell r="AB53" t="str">
            <v>1910000000006</v>
          </cell>
          <cell r="AC53">
            <v>1528</v>
          </cell>
          <cell r="AD53" t="str">
            <v>SUBGERENTE</v>
          </cell>
          <cell r="AE53" t="str">
            <v>ADMINISTRACION</v>
          </cell>
          <cell r="AF53" t="str">
            <v/>
          </cell>
          <cell r="AG53" t="str">
            <v/>
          </cell>
          <cell r="AH53" t="str">
            <v>SI</v>
          </cell>
          <cell r="AI53" t="str">
            <v/>
          </cell>
          <cell r="AJ53" t="str">
            <v>NO</v>
          </cell>
          <cell r="AK53">
            <v>60</v>
          </cell>
          <cell r="AL53">
            <v>0</v>
          </cell>
          <cell r="AM53">
            <v>0</v>
          </cell>
          <cell r="AN53">
            <v>0</v>
          </cell>
        </row>
        <row r="54">
          <cell r="B54" t="str">
            <v>090756418-1</v>
          </cell>
          <cell r="C54" t="str">
            <v>SANCHEZ MENDOZA EDUARDO ROSENDO</v>
          </cell>
          <cell r="D54">
            <v>21551</v>
          </cell>
          <cell r="E54">
            <v>57</v>
          </cell>
          <cell r="F54" t="str">
            <v>090756418-1</v>
          </cell>
          <cell r="G54" t="str">
            <v>SOLTERO</v>
          </cell>
          <cell r="H54" t="str">
            <v/>
          </cell>
          <cell r="I54" t="str">
            <v/>
          </cell>
          <cell r="J54" t="str">
            <v/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>
            <v>40817</v>
          </cell>
          <cell r="AA54" t="str">
            <v>BIO</v>
          </cell>
          <cell r="AB54" t="str">
            <v>1920000000041</v>
          </cell>
          <cell r="AC54">
            <v>373.65</v>
          </cell>
          <cell r="AD54" t="str">
            <v>AUXILIAR SERV_GENERAL</v>
          </cell>
          <cell r="AE54" t="str">
            <v>PRODUCCION</v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>NO</v>
          </cell>
          <cell r="AK54">
            <v>59</v>
          </cell>
          <cell r="AL54">
            <v>0</v>
          </cell>
          <cell r="AM54">
            <v>0</v>
          </cell>
          <cell r="AN54">
            <v>0</v>
          </cell>
        </row>
        <row r="55">
          <cell r="B55" t="str">
            <v>070293000-9</v>
          </cell>
          <cell r="C55" t="str">
            <v>MERA ZAMBRANO MARIA VERONICA</v>
          </cell>
          <cell r="D55">
            <v>27211</v>
          </cell>
          <cell r="E55">
            <v>41</v>
          </cell>
          <cell r="F55" t="str">
            <v>070293000-9</v>
          </cell>
          <cell r="G55" t="str">
            <v>CASADO</v>
          </cell>
          <cell r="H55">
            <v>2</v>
          </cell>
          <cell r="I55" t="str">
            <v/>
          </cell>
          <cell r="J55" t="str">
            <v>MACHALA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 t="str">
            <v>BACHILLER</v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>
            <v>40817</v>
          </cell>
          <cell r="AA55" t="str">
            <v>BIO</v>
          </cell>
          <cell r="AB55" t="str">
            <v>1920000000041</v>
          </cell>
          <cell r="AC55">
            <v>373.65</v>
          </cell>
          <cell r="AD55" t="str">
            <v>AUXILIAR CONTABLE</v>
          </cell>
          <cell r="AE55" t="str">
            <v>ADMINISTRACION</v>
          </cell>
          <cell r="AF55" t="str">
            <v/>
          </cell>
          <cell r="AG55" t="str">
            <v/>
          </cell>
          <cell r="AH55" t="str">
            <v>SI</v>
          </cell>
          <cell r="AI55" t="str">
            <v/>
          </cell>
          <cell r="AJ55" t="str">
            <v>NO</v>
          </cell>
          <cell r="AK55">
            <v>44</v>
          </cell>
          <cell r="AL55">
            <v>0</v>
          </cell>
          <cell r="AM55">
            <v>0</v>
          </cell>
          <cell r="AN55">
            <v>0</v>
          </cell>
        </row>
        <row r="56">
          <cell r="B56" t="str">
            <v>070083955-8</v>
          </cell>
          <cell r="C56" t="str">
            <v>FIGUEROA AGUIRRE BLANCA AZUCENA</v>
          </cell>
          <cell r="D56">
            <v>19718</v>
          </cell>
          <cell r="E56">
            <v>62</v>
          </cell>
          <cell r="F56" t="str">
            <v>070083955-8</v>
          </cell>
          <cell r="G56" t="str">
            <v>DIVORSIADA</v>
          </cell>
          <cell r="H56" t="str">
            <v/>
          </cell>
          <cell r="I56" t="str">
            <v/>
          </cell>
          <cell r="J56" t="str">
            <v>MACHALA AYACUCHO Y AV 25 DE JUNIO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 t="str">
            <v>BACHILLERATO</v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>
            <v>40848</v>
          </cell>
          <cell r="AA56" t="str">
            <v>BIO</v>
          </cell>
          <cell r="AB56" t="str">
            <v>1910000000026</v>
          </cell>
          <cell r="AC56">
            <v>373.65</v>
          </cell>
          <cell r="AD56" t="str">
            <v>SECRETARIA</v>
          </cell>
          <cell r="AE56" t="str">
            <v>ADMINISTRACION</v>
          </cell>
          <cell r="AF56" t="str">
            <v/>
          </cell>
          <cell r="AG56" t="str">
            <v/>
          </cell>
          <cell r="AH56" t="str">
            <v/>
          </cell>
          <cell r="AI56" t="str">
            <v/>
          </cell>
          <cell r="AJ56" t="str">
            <v>NO</v>
          </cell>
          <cell r="AK56">
            <v>64</v>
          </cell>
          <cell r="AL56" t="str">
            <v>SI</v>
          </cell>
          <cell r="AM56">
            <v>0.5</v>
          </cell>
          <cell r="AN56">
            <v>0</v>
          </cell>
        </row>
        <row r="57">
          <cell r="B57" t="str">
            <v>130362626-9</v>
          </cell>
          <cell r="C57" t="str">
            <v>GOMEZ JUMBO YORJIN</v>
          </cell>
          <cell r="D57">
            <v>21385</v>
          </cell>
          <cell r="E57">
            <v>57</v>
          </cell>
          <cell r="F57" t="str">
            <v>130362626-9</v>
          </cell>
          <cell r="G57" t="str">
            <v>UNION LIBRE</v>
          </cell>
          <cell r="H57">
            <v>0</v>
          </cell>
          <cell r="I57" t="str">
            <v/>
          </cell>
          <cell r="J57" t="str">
            <v>BARRIO CENTENARIO -  SANTA ROSA - EL ORO</v>
          </cell>
          <cell r="K57">
            <v>0</v>
          </cell>
          <cell r="L57">
            <v>989071385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 t="str">
            <v>SECUNDARIA</v>
          </cell>
          <cell r="S57" t="str">
            <v>SI</v>
          </cell>
          <cell r="T57" t="str">
            <v/>
          </cell>
          <cell r="U57" t="str">
            <v>CERRÓ LA CAMARONERA POR LA MANCHA BLANCA</v>
          </cell>
          <cell r="V57" t="str">
            <v>NO</v>
          </cell>
          <cell r="W57" t="str">
            <v/>
          </cell>
          <cell r="X57" t="str">
            <v>DON PATRICIO CARPIO</v>
          </cell>
          <cell r="Y57" t="str">
            <v>MECANICA GENERAL</v>
          </cell>
          <cell r="Z57">
            <v>41155</v>
          </cell>
          <cell r="AA57" t="str">
            <v>BIO</v>
          </cell>
          <cell r="AB57" t="str">
            <v>1104341000017</v>
          </cell>
          <cell r="AC57">
            <v>376.98</v>
          </cell>
          <cell r="AD57" t="str">
            <v>AYUDANTE DE MECANICA</v>
          </cell>
          <cell r="AE57" t="str">
            <v>CAMPO</v>
          </cell>
          <cell r="AF57" t="str">
            <v>SI</v>
          </cell>
          <cell r="AG57" t="str">
            <v>NO</v>
          </cell>
          <cell r="AH57" t="str">
            <v>SI</v>
          </cell>
          <cell r="AI57" t="str">
            <v>NO</v>
          </cell>
          <cell r="AJ57" t="str">
            <v>NO</v>
          </cell>
          <cell r="AK57">
            <v>60</v>
          </cell>
          <cell r="AL57">
            <v>0</v>
          </cell>
          <cell r="AM57">
            <v>0</v>
          </cell>
          <cell r="AN57">
            <v>0</v>
          </cell>
        </row>
        <row r="58">
          <cell r="B58" t="str">
            <v>110352731-1</v>
          </cell>
          <cell r="C58" t="str">
            <v>MATAILO PINTA MIGUEL ANGEL</v>
          </cell>
          <cell r="D58">
            <v>28725</v>
          </cell>
          <cell r="E58">
            <v>37</v>
          </cell>
          <cell r="F58" t="str">
            <v>110352731-1</v>
          </cell>
          <cell r="G58" t="str">
            <v>CASADO</v>
          </cell>
          <cell r="H58">
            <v>3</v>
          </cell>
          <cell r="I58" t="str">
            <v>14, 14, 11, 8 AÑOS</v>
          </cell>
          <cell r="J58" t="str">
            <v>NAMBACOLA</v>
          </cell>
          <cell r="K58">
            <v>0</v>
          </cell>
          <cell r="L58">
            <v>959240385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 t="str">
            <v>PRIMARIA</v>
          </cell>
          <cell r="S58" t="str">
            <v>NO</v>
          </cell>
          <cell r="T58" t="str">
            <v/>
          </cell>
          <cell r="U58" t="str">
            <v/>
          </cell>
          <cell r="V58" t="str">
            <v>NO</v>
          </cell>
          <cell r="W58" t="str">
            <v/>
          </cell>
          <cell r="X58" t="str">
            <v/>
          </cell>
          <cell r="Y58" t="str">
            <v xml:space="preserve">GUARDIAN NOCTURNO, ALIMENTADOR, BOLSERO, CALEAR, ALBAÑILERIA, ASERRAR MADERA,  </v>
          </cell>
          <cell r="Z58">
            <v>41352</v>
          </cell>
          <cell r="AA58" t="str">
            <v>BIO</v>
          </cell>
          <cell r="AB58" t="str">
            <v>0302050003036</v>
          </cell>
          <cell r="AC58">
            <v>371.68</v>
          </cell>
          <cell r="AD58" t="str">
            <v>VARIOS TRABAJ-ACUILCOLA</v>
          </cell>
          <cell r="AE58" t="str">
            <v>CAMPO</v>
          </cell>
          <cell r="AF58" t="str">
            <v>SI</v>
          </cell>
          <cell r="AG58" t="str">
            <v>SI</v>
          </cell>
          <cell r="AH58" t="str">
            <v>SI</v>
          </cell>
          <cell r="AI58" t="str">
            <v>NO</v>
          </cell>
          <cell r="AJ58" t="str">
            <v>NO</v>
          </cell>
          <cell r="AK58">
            <v>40</v>
          </cell>
          <cell r="AL58">
            <v>0</v>
          </cell>
          <cell r="AM58">
            <v>0</v>
          </cell>
          <cell r="AN58">
            <v>0</v>
          </cell>
        </row>
        <row r="59">
          <cell r="B59" t="str">
            <v>110295161-1</v>
          </cell>
          <cell r="C59" t="str">
            <v>PINTA MATAILO REIMUNDO ROMELIO</v>
          </cell>
          <cell r="D59">
            <v>25863</v>
          </cell>
          <cell r="E59">
            <v>43</v>
          </cell>
          <cell r="F59" t="str">
            <v>110295161-1</v>
          </cell>
          <cell r="G59" t="str">
            <v>CASADO</v>
          </cell>
          <cell r="H59">
            <v>0</v>
          </cell>
          <cell r="I59">
            <v>0</v>
          </cell>
          <cell r="J59" t="str">
            <v>NAMBACOLA</v>
          </cell>
          <cell r="K59">
            <v>0</v>
          </cell>
          <cell r="L59">
            <v>967936610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 t="str">
            <v>PRIMARIA</v>
          </cell>
          <cell r="S59" t="str">
            <v>NO</v>
          </cell>
          <cell r="T59" t="str">
            <v/>
          </cell>
          <cell r="U59" t="str">
            <v/>
          </cell>
          <cell r="V59" t="str">
            <v>NO</v>
          </cell>
          <cell r="W59" t="str">
            <v/>
          </cell>
          <cell r="X59" t="str">
            <v>MIGUEL MATAILO</v>
          </cell>
          <cell r="Y59" t="str">
            <v>AYUDANTE DE CONSTRUCCION, MACHETEAR, AGRICULTURA</v>
          </cell>
          <cell r="Z59">
            <v>41582</v>
          </cell>
          <cell r="AA59" t="str">
            <v>BIO</v>
          </cell>
          <cell r="AB59" t="str">
            <v>0302050003036</v>
          </cell>
          <cell r="AC59">
            <v>371.68</v>
          </cell>
          <cell r="AD59" t="str">
            <v>VARIOS TRABAJ-ACUILCOLA</v>
          </cell>
          <cell r="AE59" t="str">
            <v>CAMPO</v>
          </cell>
          <cell r="AF59" t="str">
            <v>SI</v>
          </cell>
          <cell r="AG59" t="str">
            <v>NO</v>
          </cell>
          <cell r="AH59" t="str">
            <v>NO</v>
          </cell>
          <cell r="AI59" t="str">
            <v>SI</v>
          </cell>
          <cell r="AJ59" t="str">
            <v>NO</v>
          </cell>
          <cell r="AK59">
            <v>47</v>
          </cell>
          <cell r="AL59">
            <v>0</v>
          </cell>
          <cell r="AM59">
            <v>0</v>
          </cell>
          <cell r="AN59">
            <v>0</v>
          </cell>
        </row>
        <row r="60">
          <cell r="B60" t="str">
            <v>070173513-6</v>
          </cell>
          <cell r="C60" t="str">
            <v>FIGUEROA AGUIRRE TERESITA MARLENE</v>
          </cell>
          <cell r="D60">
            <v>22817</v>
          </cell>
          <cell r="E60">
            <v>53</v>
          </cell>
          <cell r="F60" t="str">
            <v>070173513-6</v>
          </cell>
          <cell r="G60" t="str">
            <v>CASADO</v>
          </cell>
          <cell r="H60" t="str">
            <v/>
          </cell>
          <cell r="I60" t="str">
            <v/>
          </cell>
          <cell r="J60" t="str">
            <v>CUENCA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 t="str">
            <v>SECUNDARIA QUE HACERES DOMESTICO</v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>
            <v>41791</v>
          </cell>
          <cell r="AA60" t="str">
            <v>BIO</v>
          </cell>
          <cell r="AB60" t="str">
            <v>1910000000026</v>
          </cell>
          <cell r="AC60">
            <v>1528</v>
          </cell>
          <cell r="AD60" t="str">
            <v>AUXILIAR CONTABILIDAD</v>
          </cell>
          <cell r="AE60" t="str">
            <v>PRODUCCION</v>
          </cell>
          <cell r="AF60" t="str">
            <v/>
          </cell>
          <cell r="AG60" t="str">
            <v/>
          </cell>
          <cell r="AH60" t="str">
            <v/>
          </cell>
          <cell r="AI60" t="str">
            <v/>
          </cell>
          <cell r="AJ60" t="str">
            <v>NO</v>
          </cell>
          <cell r="AK60">
            <v>56</v>
          </cell>
          <cell r="AL60">
            <v>0</v>
          </cell>
          <cell r="AM60">
            <v>0</v>
          </cell>
          <cell r="AN60">
            <v>0</v>
          </cell>
        </row>
        <row r="61">
          <cell r="B61" t="str">
            <v>110457677-0</v>
          </cell>
          <cell r="C61" t="str">
            <v>PINTA AGUILAR DIEGO FERNANDO</v>
          </cell>
          <cell r="D61">
            <v>31945</v>
          </cell>
          <cell r="E61">
            <v>28</v>
          </cell>
          <cell r="F61" t="str">
            <v>110457677-0</v>
          </cell>
          <cell r="G61" t="str">
            <v>UNION LIBRE</v>
          </cell>
          <cell r="H61">
            <v>3</v>
          </cell>
          <cell r="I61" t="str">
            <v/>
          </cell>
          <cell r="J61" t="str">
            <v>NAMBACOLA</v>
          </cell>
          <cell r="K61">
            <v>0</v>
          </cell>
          <cell r="L61">
            <v>980933889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 t="str">
            <v>BASICA</v>
          </cell>
          <cell r="S61" t="str">
            <v>NO</v>
          </cell>
          <cell r="T61" t="str">
            <v/>
          </cell>
          <cell r="U61" t="str">
            <v/>
          </cell>
          <cell r="V61" t="str">
            <v>SI</v>
          </cell>
          <cell r="W61" t="str">
            <v>REIMUNDO PINTA - PRIMO</v>
          </cell>
          <cell r="X61" t="str">
            <v>REIMUNDO PINTA</v>
          </cell>
          <cell r="Y61" t="str">
            <v>CHOFER, VENDEDOR, BODEGUERO, AGRICULTURA</v>
          </cell>
          <cell r="Z61">
            <v>41838</v>
          </cell>
          <cell r="AA61" t="str">
            <v>BIO</v>
          </cell>
          <cell r="AB61" t="str">
            <v>0302050003036</v>
          </cell>
          <cell r="AC61">
            <v>371.68</v>
          </cell>
          <cell r="AD61" t="str">
            <v>VARIOS TRABAJ-ACUILCOLA</v>
          </cell>
          <cell r="AE61" t="str">
            <v>CAMPO</v>
          </cell>
          <cell r="AF61" t="str">
            <v>SI</v>
          </cell>
          <cell r="AG61" t="str">
            <v>NO</v>
          </cell>
          <cell r="AH61" t="str">
            <v>SI</v>
          </cell>
          <cell r="AI61" t="str">
            <v>SI</v>
          </cell>
          <cell r="AJ61" t="str">
            <v>NO</v>
          </cell>
          <cell r="AK61">
            <v>31</v>
          </cell>
          <cell r="AL61">
            <v>0</v>
          </cell>
          <cell r="AM61">
            <v>0</v>
          </cell>
          <cell r="AN61">
            <v>0</v>
          </cell>
        </row>
        <row r="62">
          <cell r="B62" t="str">
            <v>091694579-3</v>
          </cell>
          <cell r="C62" t="str">
            <v>MANCHENO GUERRERO DAVID ESNEL</v>
          </cell>
          <cell r="D62">
            <v>29064</v>
          </cell>
          <cell r="E62">
            <v>36</v>
          </cell>
          <cell r="F62" t="str">
            <v>091694579-3</v>
          </cell>
          <cell r="G62" t="str">
            <v>CASADO</v>
          </cell>
          <cell r="H62">
            <v>3</v>
          </cell>
          <cell r="I62" t="str">
            <v>13; 7; 11 MESES</v>
          </cell>
          <cell r="J62" t="str">
            <v>LOTIZACION COSTA AZUL MZ F SOLAR 41</v>
          </cell>
          <cell r="K62">
            <v>72792560</v>
          </cell>
          <cell r="L62">
            <v>996478097</v>
          </cell>
          <cell r="M62" t="str">
            <v>davidmanchenopsmbio@gmail.com</v>
          </cell>
          <cell r="N62" t="str">
            <v>MARIUXI CAJAMARCA</v>
          </cell>
          <cell r="O62" t="str">
            <v>ESPOSA</v>
          </cell>
          <cell r="P62">
            <v>72792560</v>
          </cell>
          <cell r="Q62">
            <v>993196294</v>
          </cell>
          <cell r="R62" t="str">
            <v>BACHILLER</v>
          </cell>
          <cell r="S62" t="str">
            <v>NO</v>
          </cell>
          <cell r="T62" t="str">
            <v/>
          </cell>
          <cell r="U62" t="str">
            <v/>
          </cell>
          <cell r="V62" t="str">
            <v>NO</v>
          </cell>
          <cell r="W62" t="str">
            <v/>
          </cell>
          <cell r="X62" t="str">
            <v/>
          </cell>
          <cell r="Y62" t="str">
            <v/>
          </cell>
          <cell r="Z62">
            <v>41890</v>
          </cell>
          <cell r="AA62" t="str">
            <v>BIO</v>
          </cell>
          <cell r="AB62" t="str">
            <v>1910000000026</v>
          </cell>
          <cell r="AC62">
            <v>400</v>
          </cell>
          <cell r="AD62" t="str">
            <v>AUXILIAR CONTABILIDAD</v>
          </cell>
          <cell r="AE62" t="str">
            <v>ADMINISTRACION</v>
          </cell>
          <cell r="AF62" t="str">
            <v>SI</v>
          </cell>
          <cell r="AG62" t="str">
            <v>NO</v>
          </cell>
          <cell r="AH62" t="str">
            <v>SI</v>
          </cell>
          <cell r="AI62" t="str">
            <v/>
          </cell>
          <cell r="AJ62" t="str">
            <v>NO</v>
          </cell>
          <cell r="AK62">
            <v>39</v>
          </cell>
          <cell r="AL62">
            <v>0</v>
          </cell>
          <cell r="AM62">
            <v>0</v>
          </cell>
          <cell r="AN62">
            <v>0</v>
          </cell>
        </row>
        <row r="63">
          <cell r="B63" t="str">
            <v>110495641-0</v>
          </cell>
          <cell r="C63" t="str">
            <v>CHAMBA BARSALLO ROBERTO CARLOS</v>
          </cell>
          <cell r="D63">
            <v>33100</v>
          </cell>
          <cell r="E63">
            <v>25</v>
          </cell>
          <cell r="F63" t="str">
            <v>110495641-0</v>
          </cell>
          <cell r="G63" t="str">
            <v>SOLTERO</v>
          </cell>
          <cell r="H63">
            <v>1</v>
          </cell>
          <cell r="I63" t="str">
            <v/>
          </cell>
          <cell r="J63" t="str">
            <v>GONZANAMA,NAMBACOLA</v>
          </cell>
          <cell r="K63">
            <v>0</v>
          </cell>
          <cell r="L63">
            <v>981745195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 t="str">
            <v>BACHILLER EN INFORMATICA</v>
          </cell>
          <cell r="S63" t="str">
            <v>NO</v>
          </cell>
          <cell r="T63" t="str">
            <v/>
          </cell>
          <cell r="U63" t="str">
            <v/>
          </cell>
          <cell r="V63" t="str">
            <v>NO</v>
          </cell>
          <cell r="W63" t="str">
            <v/>
          </cell>
          <cell r="X63" t="str">
            <v>REIMUNDO PINTA</v>
          </cell>
          <cell r="Y63" t="str">
            <v>BODEGERO,VENDEDOR</v>
          </cell>
          <cell r="Z63">
            <v>42007</v>
          </cell>
          <cell r="AA63" t="str">
            <v>BIO</v>
          </cell>
          <cell r="AB63" t="str">
            <v>0302050003036</v>
          </cell>
          <cell r="AC63">
            <v>371.68</v>
          </cell>
          <cell r="AD63" t="str">
            <v>VARIOS TRABAJ-ACUILCOLA</v>
          </cell>
          <cell r="AE63" t="str">
            <v>CAMPO</v>
          </cell>
          <cell r="AF63" t="str">
            <v>SI</v>
          </cell>
          <cell r="AG63" t="str">
            <v>NO</v>
          </cell>
          <cell r="AH63" t="str">
            <v>NO</v>
          </cell>
          <cell r="AI63" t="str">
            <v>NO</v>
          </cell>
          <cell r="AJ63" t="str">
            <v>NO</v>
          </cell>
          <cell r="AK63">
            <v>28</v>
          </cell>
          <cell r="AL63">
            <v>0</v>
          </cell>
          <cell r="AM63">
            <v>0</v>
          </cell>
          <cell r="AN63">
            <v>0</v>
          </cell>
        </row>
        <row r="64">
          <cell r="B64" t="str">
            <v>171933177-7</v>
          </cell>
          <cell r="C64" t="str">
            <v>CEDEÑO CHILAN SEGUNDO VICENTE</v>
          </cell>
          <cell r="D64">
            <v>30551</v>
          </cell>
          <cell r="E64">
            <v>32</v>
          </cell>
          <cell r="F64" t="str">
            <v>171933177-7</v>
          </cell>
          <cell r="G64" t="str">
            <v>SOLTERO</v>
          </cell>
          <cell r="H64">
            <v>4</v>
          </cell>
          <cell r="I64" t="str">
            <v/>
          </cell>
          <cell r="J64" t="str">
            <v>SANTO DOMINGO , COOP CHE GUEVARA,SECTOR 1</v>
          </cell>
          <cell r="K64">
            <v>0</v>
          </cell>
          <cell r="L64">
            <v>989841145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 t="str">
            <v>PRIMARIA</v>
          </cell>
          <cell r="S64" t="str">
            <v>NO</v>
          </cell>
          <cell r="T64" t="str">
            <v/>
          </cell>
          <cell r="U64" t="str">
            <v/>
          </cell>
          <cell r="V64" t="str">
            <v>NO</v>
          </cell>
          <cell r="W64" t="str">
            <v/>
          </cell>
          <cell r="X64" t="str">
            <v>JOSE PEÑA</v>
          </cell>
          <cell r="Y64" t="str">
            <v>PINTOR,COMERCIANTE</v>
          </cell>
          <cell r="Z64">
            <v>42016</v>
          </cell>
          <cell r="AA64" t="str">
            <v>BIO</v>
          </cell>
          <cell r="AB64" t="str">
            <v>0302050003036</v>
          </cell>
          <cell r="AC64">
            <v>371.68</v>
          </cell>
          <cell r="AD64" t="str">
            <v>VARIOS TRABAJ-ACUILCOLA</v>
          </cell>
          <cell r="AE64" t="str">
            <v>CAMPO</v>
          </cell>
          <cell r="AF64" t="str">
            <v>SI</v>
          </cell>
          <cell r="AG64" t="str">
            <v>SI</v>
          </cell>
          <cell r="AH64" t="str">
            <v>SI</v>
          </cell>
          <cell r="AI64" t="str">
            <v>SI</v>
          </cell>
          <cell r="AJ64" t="str">
            <v>NO</v>
          </cell>
          <cell r="AK64">
            <v>35</v>
          </cell>
          <cell r="AL64">
            <v>0</v>
          </cell>
          <cell r="AM64">
            <v>0</v>
          </cell>
          <cell r="AN64">
            <v>0</v>
          </cell>
        </row>
        <row r="65">
          <cell r="B65" t="str">
            <v>110470822-5</v>
          </cell>
          <cell r="C65" t="str">
            <v>ORDOÑEZ ROMERO FELIX BENJAMIN</v>
          </cell>
          <cell r="D65">
            <v>31923</v>
          </cell>
          <cell r="E65">
            <v>29</v>
          </cell>
          <cell r="F65" t="str">
            <v>110470822-5</v>
          </cell>
          <cell r="G65" t="str">
            <v>SOLTERO</v>
          </cell>
          <cell r="H65">
            <v>2</v>
          </cell>
          <cell r="I65" t="str">
            <v>3 AÑOS</v>
          </cell>
          <cell r="J65" t="str">
            <v>CATAMAYO</v>
          </cell>
          <cell r="K65">
            <v>0</v>
          </cell>
          <cell r="L65">
            <v>987654938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 t="str">
            <v/>
          </cell>
          <cell r="S65" t="str">
            <v>SI</v>
          </cell>
          <cell r="T65">
            <v>41850</v>
          </cell>
          <cell r="U65" t="str">
            <v>POR FALTAS</v>
          </cell>
          <cell r="V65" t="str">
            <v>NO</v>
          </cell>
          <cell r="W65" t="str">
            <v/>
          </cell>
          <cell r="X65" t="str">
            <v/>
          </cell>
          <cell r="Y65" t="str">
            <v>OPERADOR, PATERO, BOLSERO, BOMBERO</v>
          </cell>
          <cell r="Z65">
            <v>42018</v>
          </cell>
          <cell r="AA65" t="str">
            <v>BIO</v>
          </cell>
          <cell r="AB65" t="str">
            <v>0302050003036</v>
          </cell>
          <cell r="AC65">
            <v>371.68</v>
          </cell>
          <cell r="AD65" t="str">
            <v>VARIOS TRABAJ-ACUILCOLA</v>
          </cell>
          <cell r="AE65" t="str">
            <v>CAMPO</v>
          </cell>
          <cell r="AF65" t="str">
            <v>SI</v>
          </cell>
          <cell r="AG65" t="str">
            <v>SI</v>
          </cell>
          <cell r="AH65" t="str">
            <v>NO</v>
          </cell>
          <cell r="AI65" t="str">
            <v>NO</v>
          </cell>
          <cell r="AJ65" t="str">
            <v>NO</v>
          </cell>
          <cell r="AK65">
            <v>31</v>
          </cell>
          <cell r="AL65">
            <v>0</v>
          </cell>
          <cell r="AM65">
            <v>0</v>
          </cell>
          <cell r="AN65">
            <v>0</v>
          </cell>
        </row>
        <row r="66">
          <cell r="B66" t="str">
            <v>235026425-1</v>
          </cell>
          <cell r="C66" t="str">
            <v>CHAGNA MORALES ARMANDO PAUL</v>
          </cell>
          <cell r="D66">
            <v>34202</v>
          </cell>
          <cell r="E66">
            <v>22</v>
          </cell>
          <cell r="F66" t="str">
            <v>235026425-1</v>
          </cell>
          <cell r="G66" t="str">
            <v>SOLTERO</v>
          </cell>
          <cell r="H66">
            <v>0</v>
          </cell>
          <cell r="I66" t="str">
            <v/>
          </cell>
          <cell r="J66" t="str">
            <v>SANTA MARTA - SNTO DOMINGO</v>
          </cell>
          <cell r="K66">
            <v>0</v>
          </cell>
          <cell r="L66">
            <v>987656047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 t="str">
            <v>PRIMARIA</v>
          </cell>
          <cell r="S66" t="str">
            <v>NO</v>
          </cell>
          <cell r="T66" t="str">
            <v/>
          </cell>
          <cell r="U66" t="str">
            <v/>
          </cell>
          <cell r="V66" t="str">
            <v>NO</v>
          </cell>
          <cell r="W66" t="str">
            <v/>
          </cell>
          <cell r="X66" t="str">
            <v>SRA ISABEL (CASA DOÑA EMPERITA)</v>
          </cell>
          <cell r="Y66" t="str">
            <v>ALBAÑIL, LIJAR CARROS, PULIR</v>
          </cell>
          <cell r="Z66">
            <v>42030</v>
          </cell>
          <cell r="AA66" t="str">
            <v>BIO</v>
          </cell>
          <cell r="AB66" t="str">
            <v>0302050003036</v>
          </cell>
          <cell r="AC66">
            <v>371.68</v>
          </cell>
          <cell r="AD66" t="str">
            <v>VARIOS TRABAJ-ACUILCOLA</v>
          </cell>
          <cell r="AE66" t="str">
            <v>CAMPO</v>
          </cell>
          <cell r="AF66" t="str">
            <v>NO</v>
          </cell>
          <cell r="AG66" t="str">
            <v>NO</v>
          </cell>
          <cell r="AH66" t="str">
            <v>NO</v>
          </cell>
          <cell r="AI66" t="str">
            <v>SI</v>
          </cell>
          <cell r="AJ66" t="str">
            <v>NO</v>
          </cell>
          <cell r="AK66">
            <v>25</v>
          </cell>
          <cell r="AL66">
            <v>0</v>
          </cell>
          <cell r="AM66">
            <v>0</v>
          </cell>
          <cell r="AN66">
            <v>0</v>
          </cell>
        </row>
        <row r="67">
          <cell r="B67" t="str">
            <v>070518922-3</v>
          </cell>
          <cell r="C67" t="str">
            <v>OCHOA DELGADO CRISTOPHER EDUARDO</v>
          </cell>
          <cell r="D67">
            <v>34264</v>
          </cell>
          <cell r="E67">
            <v>22</v>
          </cell>
          <cell r="F67" t="str">
            <v>070518922-3</v>
          </cell>
          <cell r="G67" t="str">
            <v>SOLTERO</v>
          </cell>
          <cell r="H67" t="str">
            <v/>
          </cell>
          <cell r="I67" t="str">
            <v/>
          </cell>
          <cell r="J67" t="str">
            <v>AV. LAS PALMERAS Y MANUEL ESTONBA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 t="str">
            <v>BASICA</v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>
            <v>42164</v>
          </cell>
          <cell r="AA67" t="str">
            <v>BIO</v>
          </cell>
          <cell r="AB67" t="str">
            <v>1910000000034</v>
          </cell>
          <cell r="AC67">
            <v>185.29</v>
          </cell>
          <cell r="AD67" t="str">
            <v>MENSAJERO VARIOS</v>
          </cell>
          <cell r="AE67" t="str">
            <v>ADMINISTRACION</v>
          </cell>
          <cell r="AF67" t="str">
            <v/>
          </cell>
          <cell r="AG67" t="str">
            <v/>
          </cell>
          <cell r="AH67" t="str">
            <v/>
          </cell>
          <cell r="AI67" t="str">
            <v/>
          </cell>
          <cell r="AJ67" t="str">
            <v>NO</v>
          </cell>
          <cell r="AK67">
            <v>23</v>
          </cell>
          <cell r="AL67">
            <v>0</v>
          </cell>
          <cell r="AM67">
            <v>0</v>
          </cell>
          <cell r="AN67">
            <v>0</v>
          </cell>
        </row>
        <row r="68">
          <cell r="B68" t="str">
            <v>070421950-0</v>
          </cell>
          <cell r="C68" t="str">
            <v>CEVALLOS ALAY MELVIN DAVID</v>
          </cell>
          <cell r="D68">
            <v>30401</v>
          </cell>
          <cell r="E68">
            <v>33</v>
          </cell>
          <cell r="F68" t="str">
            <v>070421950-0</v>
          </cell>
          <cell r="G68" t="str">
            <v>SOLTERO</v>
          </cell>
          <cell r="H68">
            <v>0</v>
          </cell>
          <cell r="I68" t="str">
            <v/>
          </cell>
          <cell r="J68" t="str">
            <v>VELLAVISTA,NARANJAL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 t="str">
            <v>PRIMARIA</v>
          </cell>
          <cell r="S68" t="str">
            <v>NO</v>
          </cell>
          <cell r="T68" t="str">
            <v/>
          </cell>
          <cell r="U68" t="str">
            <v/>
          </cell>
          <cell r="V68" t="str">
            <v>NO</v>
          </cell>
          <cell r="W68" t="str">
            <v/>
          </cell>
          <cell r="X68" t="str">
            <v>CARLOS ROBLES</v>
          </cell>
          <cell r="Y68" t="str">
            <v>AGRICULTURA,GANADERIA</v>
          </cell>
          <cell r="Z68">
            <v>42171</v>
          </cell>
          <cell r="AA68" t="str">
            <v>BIO</v>
          </cell>
          <cell r="AB68" t="str">
            <v>0302050003036</v>
          </cell>
          <cell r="AC68">
            <v>371.68</v>
          </cell>
          <cell r="AD68" t="str">
            <v>VARIOS TRABAJ-ACUILCOLA</v>
          </cell>
          <cell r="AE68" t="str">
            <v>CAMPO</v>
          </cell>
          <cell r="AF68" t="str">
            <v>SI</v>
          </cell>
          <cell r="AG68" t="str">
            <v>NO</v>
          </cell>
          <cell r="AH68" t="str">
            <v>NO</v>
          </cell>
          <cell r="AI68" t="str">
            <v>SI</v>
          </cell>
          <cell r="AJ68" t="str">
            <v>NO</v>
          </cell>
          <cell r="AK68">
            <v>35</v>
          </cell>
          <cell r="AL68">
            <v>0</v>
          </cell>
          <cell r="AM68">
            <v>0</v>
          </cell>
          <cell r="AN68">
            <v>0</v>
          </cell>
        </row>
        <row r="69">
          <cell r="B69" t="str">
            <v>070504505-2</v>
          </cell>
          <cell r="C69" t="str">
            <v>JAPON JARAMILLO LILIANA PAOLA</v>
          </cell>
          <cell r="D69">
            <v>31819</v>
          </cell>
          <cell r="E69">
            <v>29</v>
          </cell>
          <cell r="F69" t="str">
            <v>070504505-2</v>
          </cell>
          <cell r="G69" t="str">
            <v>SOLTERO</v>
          </cell>
          <cell r="H69">
            <v>1</v>
          </cell>
          <cell r="I69" t="str">
            <v/>
          </cell>
          <cell r="J69" t="str">
            <v>BARRIO LA FLORIDA</v>
          </cell>
          <cell r="K69">
            <v>72790091</v>
          </cell>
          <cell r="L69">
            <v>939770789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 t="str">
            <v>SUPERIOR</v>
          </cell>
          <cell r="S69" t="str">
            <v>NO</v>
          </cell>
          <cell r="T69" t="str">
            <v/>
          </cell>
          <cell r="U69" t="str">
            <v/>
          </cell>
          <cell r="V69" t="str">
            <v>NO</v>
          </cell>
          <cell r="W69" t="str">
            <v/>
          </cell>
          <cell r="X69" t="str">
            <v/>
          </cell>
          <cell r="Y69" t="str">
            <v/>
          </cell>
          <cell r="Z69">
            <v>42340</v>
          </cell>
          <cell r="AA69" t="str">
            <v>BIO</v>
          </cell>
          <cell r="AB69" t="str">
            <v>1910000000026</v>
          </cell>
          <cell r="AC69">
            <v>400</v>
          </cell>
          <cell r="AD69" t="str">
            <v>AUXILIAR CONTABLE</v>
          </cell>
          <cell r="AE69" t="str">
            <v>ADMINISTRACION</v>
          </cell>
          <cell r="AF69" t="str">
            <v/>
          </cell>
          <cell r="AG69" t="str">
            <v/>
          </cell>
          <cell r="AH69" t="str">
            <v/>
          </cell>
          <cell r="AI69" t="str">
            <v/>
          </cell>
          <cell r="AJ69" t="str">
            <v>NO</v>
          </cell>
          <cell r="AK69">
            <v>31</v>
          </cell>
          <cell r="AL69">
            <v>0</v>
          </cell>
          <cell r="AM69">
            <v>0</v>
          </cell>
          <cell r="AN69">
            <v>0</v>
          </cell>
        </row>
        <row r="70">
          <cell r="B70" t="str">
            <v>172485077-9</v>
          </cell>
          <cell r="C70" t="str">
            <v>LOZANO MANZABA BRYAN RENE</v>
          </cell>
          <cell r="D70">
            <v>35783</v>
          </cell>
          <cell r="E70">
            <v>18</v>
          </cell>
          <cell r="F70" t="str">
            <v>172485077-9</v>
          </cell>
          <cell r="G70" t="str">
            <v>SOLTERO</v>
          </cell>
          <cell r="H70">
            <v>0</v>
          </cell>
          <cell r="I70" t="str">
            <v/>
          </cell>
          <cell r="J70" t="str">
            <v>COOP. CHE GUEVARA - SANTO DOMINGO DE LOS COLORADOS</v>
          </cell>
          <cell r="K70">
            <v>0</v>
          </cell>
          <cell r="L70">
            <v>991364284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 t="str">
            <v>SECUNDARIA</v>
          </cell>
          <cell r="S70" t="str">
            <v>NO</v>
          </cell>
          <cell r="T70" t="str">
            <v/>
          </cell>
          <cell r="U70" t="str">
            <v/>
          </cell>
          <cell r="V70" t="str">
            <v>NO</v>
          </cell>
          <cell r="W70" t="str">
            <v/>
          </cell>
          <cell r="X70" t="str">
            <v>JOSE PEÑA</v>
          </cell>
          <cell r="Y70" t="str">
            <v>COMPUTACIÓN BÁSICA, SABE ALBAÑILERÍA PORQUE HA TRABAJADO CON EL PAPÁ</v>
          </cell>
          <cell r="Z70">
            <v>42365</v>
          </cell>
          <cell r="AA70" t="str">
            <v>BIO</v>
          </cell>
          <cell r="AB70" t="str">
            <v>0302050003036</v>
          </cell>
          <cell r="AC70">
            <v>371.68</v>
          </cell>
          <cell r="AD70" t="str">
            <v>VARIOS TRABAJ-ACUILCOLA</v>
          </cell>
          <cell r="AE70" t="str">
            <v>CAMPO</v>
          </cell>
          <cell r="AF70" t="str">
            <v>SI</v>
          </cell>
          <cell r="AG70" t="str">
            <v>NO</v>
          </cell>
          <cell r="AH70" t="str">
            <v>NO</v>
          </cell>
          <cell r="AI70" t="str">
            <v>NO</v>
          </cell>
          <cell r="AJ70" t="str">
            <v>NO</v>
          </cell>
          <cell r="AK70">
            <v>20</v>
          </cell>
          <cell r="AL70">
            <v>0</v>
          </cell>
          <cell r="AM70">
            <v>0</v>
          </cell>
          <cell r="AN70">
            <v>0</v>
          </cell>
        </row>
        <row r="71">
          <cell r="B71" t="str">
            <v>172092053-5</v>
          </cell>
          <cell r="C71" t="str">
            <v>CHAMBA ORTEGA PASTOR BOLIVAR</v>
          </cell>
          <cell r="D71">
            <v>30022</v>
          </cell>
          <cell r="E71">
            <v>34</v>
          </cell>
          <cell r="F71" t="str">
            <v>172092053-5</v>
          </cell>
          <cell r="G71" t="str">
            <v>CASADO</v>
          </cell>
          <cell r="H71">
            <v>2</v>
          </cell>
          <cell r="I71" t="str">
            <v/>
          </cell>
          <cell r="J71" t="str">
            <v>NAMBACOLA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 t="str">
            <v>PRIMARIA</v>
          </cell>
          <cell r="S71" t="str">
            <v>SI</v>
          </cell>
          <cell r="T71">
            <v>42023</v>
          </cell>
          <cell r="U71" t="str">
            <v>TENIA QUE TRABAJAR EN LA CONSTRUCCION DE SU CASA</v>
          </cell>
          <cell r="V71" t="str">
            <v>SI</v>
          </cell>
          <cell r="W71" t="str">
            <v>MIGUEL MATAILO - PRIMO</v>
          </cell>
          <cell r="X71" t="str">
            <v>MIGUEL MATAILO</v>
          </cell>
          <cell r="Y71" t="str">
            <v>ALBAÑILERIA BASICA, CHOFER</v>
          </cell>
          <cell r="Z71">
            <v>42372</v>
          </cell>
          <cell r="AA71" t="str">
            <v>BIO</v>
          </cell>
          <cell r="AB71" t="str">
            <v>0302050003036</v>
          </cell>
          <cell r="AC71">
            <v>371.68</v>
          </cell>
          <cell r="AD71" t="str">
            <v>VARIOS TRABAJ-ACUILCOLA</v>
          </cell>
          <cell r="AE71" t="str">
            <v>CAMPO</v>
          </cell>
          <cell r="AF71" t="str">
            <v>NO</v>
          </cell>
          <cell r="AG71" t="str">
            <v>NO</v>
          </cell>
          <cell r="AH71" t="str">
            <v>SI</v>
          </cell>
          <cell r="AI71" t="str">
            <v>NO</v>
          </cell>
          <cell r="AJ71" t="str">
            <v>NO</v>
          </cell>
          <cell r="AK71">
            <v>36</v>
          </cell>
          <cell r="AL71">
            <v>0</v>
          </cell>
          <cell r="AM71">
            <v>0</v>
          </cell>
          <cell r="AN71">
            <v>0</v>
          </cell>
        </row>
        <row r="72">
          <cell r="B72" t="str">
            <v>070362264-7</v>
          </cell>
          <cell r="C72" t="str">
            <v>HELGUERO MARTINEZ CARLOS RENÉ</v>
          </cell>
          <cell r="D72">
            <v>29393</v>
          </cell>
          <cell r="E72">
            <v>35</v>
          </cell>
          <cell r="F72" t="str">
            <v>070362264-7</v>
          </cell>
          <cell r="G72" t="str">
            <v>UNION LIBRE</v>
          </cell>
          <cell r="H72">
            <v>1</v>
          </cell>
          <cell r="I72" t="str">
            <v/>
          </cell>
          <cell r="J72" t="str">
            <v>BARRIO NUEVO PILO CALLE BONAERGE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 t="str">
            <v>SEGUNDO AÑO DE COLEGIO</v>
          </cell>
          <cell r="S72" t="str">
            <v>NO</v>
          </cell>
          <cell r="T72" t="str">
            <v/>
          </cell>
          <cell r="U72" t="str">
            <v/>
          </cell>
          <cell r="V72" t="str">
            <v>NO</v>
          </cell>
          <cell r="W72" t="str">
            <v/>
          </cell>
          <cell r="X72" t="str">
            <v>UN AMIGO.</v>
          </cell>
          <cell r="Y72" t="str">
            <v>SABE ATARRAYAR- BOMBERO - SABE VARIOS OFICIOS DE CAMARONERA.</v>
          </cell>
          <cell r="Z72">
            <v>42430</v>
          </cell>
          <cell r="AA72" t="str">
            <v>BIO</v>
          </cell>
          <cell r="AB72" t="str">
            <v>1709610000332</v>
          </cell>
          <cell r="AC72">
            <v>378.24</v>
          </cell>
          <cell r="AD72" t="str">
            <v>BOMBERO</v>
          </cell>
          <cell r="AE72" t="str">
            <v>CAMPO</v>
          </cell>
          <cell r="AF72" t="str">
            <v>SI</v>
          </cell>
          <cell r="AG72" t="str">
            <v>SI</v>
          </cell>
          <cell r="AH72" t="str">
            <v>NO</v>
          </cell>
          <cell r="AI72" t="str">
            <v>NO</v>
          </cell>
          <cell r="AJ72" t="str">
            <v>NO</v>
          </cell>
          <cell r="AK72">
            <v>38</v>
          </cell>
          <cell r="AL72">
            <v>0</v>
          </cell>
          <cell r="AM72">
            <v>0</v>
          </cell>
          <cell r="AN72">
            <v>0</v>
          </cell>
        </row>
        <row r="73">
          <cell r="B73" t="str">
            <v>070472131-5</v>
          </cell>
          <cell r="C73" t="str">
            <v>AGUIRRE CASTRO JOSE STALYN (BIO)</v>
          </cell>
          <cell r="D73">
            <v>31030</v>
          </cell>
          <cell r="E73">
            <v>31</v>
          </cell>
          <cell r="F73" t="str">
            <v>070472131-5</v>
          </cell>
          <cell r="G73" t="str">
            <v>CASADO</v>
          </cell>
          <cell r="H73">
            <v>3</v>
          </cell>
          <cell r="I73" t="str">
            <v/>
          </cell>
          <cell r="J73" t="str">
            <v>BARRIO LOMA QUITO CALLE PASAJE ARENILLAS</v>
          </cell>
          <cell r="K73">
            <v>0</v>
          </cell>
          <cell r="L73">
            <v>998446142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 t="str">
            <v>SUPERIOR</v>
          </cell>
          <cell r="S73" t="str">
            <v>NO</v>
          </cell>
          <cell r="T73" t="str">
            <v/>
          </cell>
          <cell r="U73" t="str">
            <v/>
          </cell>
          <cell r="V73" t="str">
            <v>NO</v>
          </cell>
          <cell r="W73" t="str">
            <v/>
          </cell>
          <cell r="X73" t="str">
            <v>ING. SEGUNDO PALADINES</v>
          </cell>
          <cell r="Y73" t="str">
            <v>TECNICO EN PRODUCCION EN CAMARON</v>
          </cell>
          <cell r="Z73">
            <v>42461</v>
          </cell>
          <cell r="AA73" t="str">
            <v>BIO</v>
          </cell>
          <cell r="AB73" t="str">
            <v>0302050003031</v>
          </cell>
          <cell r="AC73">
            <v>400</v>
          </cell>
          <cell r="AD73" t="str">
            <v>TECNICO ACUICOLA</v>
          </cell>
          <cell r="AE73" t="str">
            <v>PRODUCCION</v>
          </cell>
          <cell r="AF73" t="str">
            <v>SI</v>
          </cell>
          <cell r="AG73" t="str">
            <v>NO</v>
          </cell>
          <cell r="AH73" t="str">
            <v>SI</v>
          </cell>
          <cell r="AI73" t="str">
            <v>SI</v>
          </cell>
          <cell r="AJ73" t="str">
            <v>NO</v>
          </cell>
          <cell r="AK73">
            <v>33</v>
          </cell>
          <cell r="AL73">
            <v>0</v>
          </cell>
          <cell r="AM73">
            <v>0</v>
          </cell>
          <cell r="AN73">
            <v>0</v>
          </cell>
        </row>
        <row r="74">
          <cell r="B74" t="str">
            <v>060215909-7</v>
          </cell>
          <cell r="C74" t="str">
            <v>VILLAFUERTE MERDECES DEL PILAR</v>
          </cell>
          <cell r="D74">
            <v>24741</v>
          </cell>
          <cell r="E74">
            <v>48</v>
          </cell>
          <cell r="F74" t="str">
            <v>060215909-7</v>
          </cell>
          <cell r="G74" t="str">
            <v>CASADO</v>
          </cell>
          <cell r="H74">
            <v>1</v>
          </cell>
          <cell r="I74" t="str">
            <v/>
          </cell>
          <cell r="J74" t="str">
            <v xml:space="preserve">GUABO 526 E/. NAPOLEON MERA Y BUENAVISTA MACHALA </v>
          </cell>
          <cell r="K74">
            <v>72938512</v>
          </cell>
          <cell r="L74">
            <v>995440673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 t="str">
            <v>BACHILLERATO</v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>
            <v>42522</v>
          </cell>
          <cell r="AA74" t="str">
            <v>BIO</v>
          </cell>
          <cell r="AB74" t="str">
            <v>1910000000026</v>
          </cell>
          <cell r="AC74">
            <v>800</v>
          </cell>
          <cell r="AD74" t="str">
            <v>ASISTENTE CONTABLE</v>
          </cell>
          <cell r="AE74" t="str">
            <v>ADMINISTRACION</v>
          </cell>
          <cell r="AF74" t="str">
            <v/>
          </cell>
          <cell r="AG74" t="str">
            <v/>
          </cell>
          <cell r="AH74" t="str">
            <v/>
          </cell>
          <cell r="AI74" t="str">
            <v/>
          </cell>
          <cell r="AJ74" t="str">
            <v>NO</v>
          </cell>
          <cell r="AK74">
            <v>51</v>
          </cell>
          <cell r="AL74">
            <v>0</v>
          </cell>
          <cell r="AM74">
            <v>0</v>
          </cell>
          <cell r="AN74">
            <v>0</v>
          </cell>
        </row>
        <row r="75">
          <cell r="B75" t="str">
            <v>110468487-1</v>
          </cell>
          <cell r="C75" t="str">
            <v>VICENTE MACAS VICTOR HUGO</v>
          </cell>
          <cell r="D75">
            <v>32440</v>
          </cell>
          <cell r="E75">
            <v>27</v>
          </cell>
          <cell r="F75" t="str">
            <v>110468487-1</v>
          </cell>
          <cell r="G75" t="str">
            <v>SOLTERO</v>
          </cell>
          <cell r="H75">
            <v>0</v>
          </cell>
          <cell r="I75">
            <v>1</v>
          </cell>
          <cell r="J75" t="str">
            <v>NAMBACOLA - LOJA</v>
          </cell>
          <cell r="K75" t="str">
            <v/>
          </cell>
          <cell r="L75">
            <v>990674996</v>
          </cell>
          <cell r="M75" t="str">
            <v/>
          </cell>
          <cell r="N75" t="str">
            <v>CARMEN LIDA MACAS</v>
          </cell>
          <cell r="O75" t="str">
            <v>MADRE</v>
          </cell>
          <cell r="P75" t="str">
            <v/>
          </cell>
          <cell r="Q75">
            <v>981176842</v>
          </cell>
          <cell r="R75" t="str">
            <v>BASICA</v>
          </cell>
          <cell r="S75" t="str">
            <v>SI</v>
          </cell>
          <cell r="T75" t="str">
            <v>10-05-2011 AL 22/04/2015</v>
          </cell>
          <cell r="U75" t="str">
            <v>PROBLEMAS DE SALUD TRABAJO EN PSM</v>
          </cell>
          <cell r="V75" t="str">
            <v>NO</v>
          </cell>
          <cell r="W75" t="str">
            <v/>
          </cell>
          <cell r="X75" t="str">
            <v xml:space="preserve">ROBER SOTO </v>
          </cell>
          <cell r="Y75" t="str">
            <v>GUARDIA; MAESTRO CONSTRUCTOR</v>
          </cell>
          <cell r="Z75">
            <v>42559</v>
          </cell>
          <cell r="AA75" t="str">
            <v>BIO</v>
          </cell>
          <cell r="AB75" t="str">
            <v>1911740000051</v>
          </cell>
          <cell r="AC75">
            <v>381.82</v>
          </cell>
          <cell r="AD75" t="str">
            <v>MONITORISTA</v>
          </cell>
          <cell r="AE75" t="str">
            <v>CAMPO</v>
          </cell>
          <cell r="AF75" t="str">
            <v>SI</v>
          </cell>
          <cell r="AG75" t="str">
            <v>NO</v>
          </cell>
          <cell r="AH75" t="str">
            <v>NO</v>
          </cell>
          <cell r="AI75" t="str">
            <v>SI</v>
          </cell>
          <cell r="AJ75" t="str">
            <v>NO</v>
          </cell>
          <cell r="AK75">
            <v>29</v>
          </cell>
          <cell r="AL75">
            <v>0</v>
          </cell>
          <cell r="AM75">
            <v>0</v>
          </cell>
          <cell r="AN75">
            <v>0</v>
          </cell>
        </row>
        <row r="76">
          <cell r="B76" t="str">
            <v>110524951-8</v>
          </cell>
          <cell r="C76" t="str">
            <v>JARA ARMIJOS BYRON GERMAN</v>
          </cell>
          <cell r="D76">
            <v>34549</v>
          </cell>
          <cell r="E76">
            <v>21</v>
          </cell>
          <cell r="F76" t="str">
            <v>110524951-8</v>
          </cell>
          <cell r="G76" t="str">
            <v>SOLTERO</v>
          </cell>
          <cell r="H76">
            <v>0</v>
          </cell>
          <cell r="I76" t="str">
            <v/>
          </cell>
          <cell r="J76" t="str">
            <v>LOJA</v>
          </cell>
          <cell r="K76" t="str">
            <v/>
          </cell>
          <cell r="L76">
            <v>989238541</v>
          </cell>
          <cell r="M76" t="str">
            <v/>
          </cell>
          <cell r="N76" t="str">
            <v>PATRICIO JARA</v>
          </cell>
          <cell r="O76" t="str">
            <v>PAPA</v>
          </cell>
          <cell r="P76" t="str">
            <v/>
          </cell>
          <cell r="Q76">
            <v>988549709</v>
          </cell>
          <cell r="R76" t="str">
            <v>PRIMARIA</v>
          </cell>
          <cell r="S76" t="str">
            <v>NO</v>
          </cell>
          <cell r="T76" t="str">
            <v/>
          </cell>
          <cell r="U76" t="str">
            <v/>
          </cell>
          <cell r="V76" t="str">
            <v>SI</v>
          </cell>
          <cell r="W76" t="str">
            <v>HOMERO JARA (PRIMO)</v>
          </cell>
          <cell r="X76" t="str">
            <v>HOMERO JARA</v>
          </cell>
          <cell r="Y76" t="str">
            <v>ATARRAYAR; MESERO</v>
          </cell>
          <cell r="Z76">
            <v>42561</v>
          </cell>
          <cell r="AA76" t="str">
            <v>BIO</v>
          </cell>
          <cell r="AB76" t="str">
            <v>0302050003036</v>
          </cell>
          <cell r="AC76">
            <v>371.68</v>
          </cell>
          <cell r="AD76" t="str">
            <v>VARIOS TRABAJ-ACUILCOLA</v>
          </cell>
          <cell r="AE76" t="str">
            <v>CAMPO</v>
          </cell>
          <cell r="AF76" t="str">
            <v>SI</v>
          </cell>
          <cell r="AG76" t="str">
            <v>SI</v>
          </cell>
          <cell r="AH76" t="str">
            <v>NO</v>
          </cell>
          <cell r="AI76" t="str">
            <v>NO</v>
          </cell>
          <cell r="AJ76" t="str">
            <v>NO</v>
          </cell>
          <cell r="AK76">
            <v>24</v>
          </cell>
          <cell r="AL76">
            <v>0</v>
          </cell>
          <cell r="AM76">
            <v>0</v>
          </cell>
          <cell r="AN76">
            <v>0</v>
          </cell>
        </row>
        <row r="77">
          <cell r="B77" t="str">
            <v>110599059-0</v>
          </cell>
          <cell r="C77" t="str">
            <v>CANGO CUEVA DIEGO POLO</v>
          </cell>
          <cell r="D77">
            <v>33555</v>
          </cell>
          <cell r="E77">
            <v>25</v>
          </cell>
          <cell r="F77" t="str">
            <v>110599059-0</v>
          </cell>
          <cell r="G77" t="str">
            <v>SOLTERO</v>
          </cell>
          <cell r="H77">
            <v>1</v>
          </cell>
          <cell r="I77" t="str">
            <v/>
          </cell>
          <cell r="J77" t="str">
            <v>SAN VICENTE GONZAMANA</v>
          </cell>
          <cell r="K77">
            <v>967371852</v>
          </cell>
          <cell r="L77">
            <v>968510437</v>
          </cell>
          <cell r="M77" t="str">
            <v/>
          </cell>
          <cell r="N77" t="str">
            <v/>
          </cell>
          <cell r="O77" t="str">
            <v>MAMA</v>
          </cell>
          <cell r="P77" t="str">
            <v/>
          </cell>
          <cell r="Q77">
            <v>967022639</v>
          </cell>
          <cell r="R77" t="str">
            <v>PRIMARIA</v>
          </cell>
          <cell r="S77" t="str">
            <v>NO</v>
          </cell>
          <cell r="T77" t="str">
            <v/>
          </cell>
          <cell r="U77" t="str">
            <v/>
          </cell>
          <cell r="V77" t="str">
            <v>NO</v>
          </cell>
          <cell r="W77" t="str">
            <v/>
          </cell>
          <cell r="X77" t="str">
            <v/>
          </cell>
          <cell r="Y77" t="str">
            <v>ELECTRICISTA</v>
          </cell>
          <cell r="Z77">
            <v>42715</v>
          </cell>
          <cell r="AA77" t="str">
            <v>BIO</v>
          </cell>
          <cell r="AB77" t="str">
            <v>0302050003036</v>
          </cell>
          <cell r="AC77">
            <v>371.68</v>
          </cell>
          <cell r="AD77" t="str">
            <v>VARIOS TRABAJ-ACUICOLA</v>
          </cell>
          <cell r="AE77" t="str">
            <v>CAMPO</v>
          </cell>
          <cell r="AF77" t="str">
            <v>SI</v>
          </cell>
          <cell r="AG77" t="str">
            <v>NO</v>
          </cell>
          <cell r="AH77" t="str">
            <v>NO</v>
          </cell>
          <cell r="AI77" t="str">
            <v>NO</v>
          </cell>
          <cell r="AJ77" t="str">
            <v>NO</v>
          </cell>
          <cell r="AK77">
            <v>26</v>
          </cell>
          <cell r="AL77">
            <v>0</v>
          </cell>
          <cell r="AM77">
            <v>0</v>
          </cell>
          <cell r="AN77">
            <v>0</v>
          </cell>
        </row>
        <row r="78">
          <cell r="B78" t="str">
            <v>115040949-6</v>
          </cell>
          <cell r="C78" t="str">
            <v>JARA ARMIJOS MARIO FABIAN</v>
          </cell>
          <cell r="D78">
            <v>35200</v>
          </cell>
          <cell r="E78">
            <v>20</v>
          </cell>
          <cell r="F78" t="str">
            <v>115040949-6</v>
          </cell>
          <cell r="G78" t="str">
            <v>SOLTERO</v>
          </cell>
          <cell r="H78">
            <v>1</v>
          </cell>
          <cell r="I78" t="str">
            <v/>
          </cell>
          <cell r="J78" t="str">
            <v>NAMBACOLA</v>
          </cell>
          <cell r="K78">
            <v>969723127</v>
          </cell>
          <cell r="L78">
            <v>967111582</v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>SECUNDARIA</v>
          </cell>
          <cell r="S78" t="str">
            <v>NO</v>
          </cell>
          <cell r="T78" t="str">
            <v/>
          </cell>
          <cell r="U78" t="str">
            <v/>
          </cell>
          <cell r="V78" t="str">
            <v>SI</v>
          </cell>
          <cell r="W78" t="str">
            <v>BYRON JARA (HERMANO)</v>
          </cell>
          <cell r="X78" t="str">
            <v>BYRON JARA</v>
          </cell>
          <cell r="Y78" t="str">
            <v>CONSTRUCCION COMO AYUDANTE; BODEGUERO FABRICA DE ZAPATOS</v>
          </cell>
          <cell r="Z78">
            <v>42738</v>
          </cell>
          <cell r="AA78" t="str">
            <v>BIO</v>
          </cell>
          <cell r="AB78" t="str">
            <v>0302050003036</v>
          </cell>
          <cell r="AC78">
            <v>371.68</v>
          </cell>
          <cell r="AD78" t="str">
            <v>VARIOS TRABAJ-ACUICOLA</v>
          </cell>
          <cell r="AE78" t="str">
            <v>CAMPO</v>
          </cell>
          <cell r="AF78" t="str">
            <v>SI</v>
          </cell>
          <cell r="AG78" t="str">
            <v>NO</v>
          </cell>
          <cell r="AH78" t="str">
            <v>NO</v>
          </cell>
          <cell r="AI78" t="str">
            <v>NO</v>
          </cell>
          <cell r="AJ78" t="str">
            <v>NO</v>
          </cell>
          <cell r="AK78">
            <v>22</v>
          </cell>
          <cell r="AL78">
            <v>0</v>
          </cell>
          <cell r="AM78">
            <v>0</v>
          </cell>
          <cell r="AN78">
            <v>0</v>
          </cell>
        </row>
        <row r="79">
          <cell r="B79" t="str">
            <v>070654177-8</v>
          </cell>
          <cell r="C79" t="str">
            <v>BATALLAS ALVARADO ANGELICA PAULETTE</v>
          </cell>
          <cell r="D79">
            <v>34913</v>
          </cell>
          <cell r="E79">
            <v>21</v>
          </cell>
          <cell r="F79" t="str">
            <v>070654177-8</v>
          </cell>
          <cell r="G79" t="str">
            <v>SOLTERO</v>
          </cell>
          <cell r="H79">
            <v>2</v>
          </cell>
          <cell r="I79" t="str">
            <v/>
          </cell>
          <cell r="J79" t="str">
            <v>6TA OESTE Y 14AVA SUR BARRIO BRISAS DEL MAR MACHALA</v>
          </cell>
          <cell r="K79" t="str">
            <v/>
          </cell>
          <cell r="L79">
            <v>990545646</v>
          </cell>
          <cell r="M79" t="str">
            <v>jo_je_da@hotmail.com</v>
          </cell>
          <cell r="N79" t="str">
            <v>CARMEN ALVARADO</v>
          </cell>
          <cell r="O79" t="str">
            <v>MAMA</v>
          </cell>
          <cell r="P79" t="str">
            <v/>
          </cell>
          <cell r="Q79">
            <v>968861257</v>
          </cell>
          <cell r="R79" t="str">
            <v>BACHILLER</v>
          </cell>
          <cell r="S79" t="str">
            <v>NO</v>
          </cell>
          <cell r="T79" t="str">
            <v/>
          </cell>
          <cell r="U79" t="str">
            <v/>
          </cell>
          <cell r="V79" t="str">
            <v>NO</v>
          </cell>
          <cell r="W79" t="str">
            <v/>
          </cell>
          <cell r="X79" t="str">
            <v/>
          </cell>
          <cell r="Y79" t="str">
            <v/>
          </cell>
          <cell r="Z79">
            <v>42800</v>
          </cell>
          <cell r="AA79" t="str">
            <v>BIO</v>
          </cell>
          <cell r="AB79" t="str">
            <v>1920000000041</v>
          </cell>
          <cell r="AC79">
            <v>375</v>
          </cell>
          <cell r="AD79" t="str">
            <v>SERVICIOS VARIOS</v>
          </cell>
          <cell r="AE79" t="str">
            <v>ADMINISTRACION</v>
          </cell>
          <cell r="AF79" t="str">
            <v/>
          </cell>
          <cell r="AG79" t="str">
            <v/>
          </cell>
          <cell r="AH79" t="str">
            <v/>
          </cell>
          <cell r="AI79" t="str">
            <v/>
          </cell>
          <cell r="AJ79" t="str">
            <v>NO</v>
          </cell>
          <cell r="AK79">
            <v>23</v>
          </cell>
          <cell r="AL79">
            <v>0</v>
          </cell>
          <cell r="AM79">
            <v>0</v>
          </cell>
          <cell r="AN79">
            <v>0</v>
          </cell>
        </row>
        <row r="80">
          <cell r="B80" t="str">
            <v>110323737-4</v>
          </cell>
          <cell r="C80" t="str">
            <v>CASTILLO PINTA EDWIN MESIAS</v>
          </cell>
          <cell r="D80">
            <v>26957</v>
          </cell>
          <cell r="E80">
            <v>43</v>
          </cell>
          <cell r="F80" t="str">
            <v>110323737-4</v>
          </cell>
          <cell r="G80" t="str">
            <v>SOLTERO</v>
          </cell>
          <cell r="H80">
            <v>0</v>
          </cell>
          <cell r="I80" t="str">
            <v/>
          </cell>
          <cell r="J80" t="str">
            <v>NAMBACOLA LOJA</v>
          </cell>
          <cell r="K80" t="str">
            <v/>
          </cell>
          <cell r="L80">
            <v>994538206</v>
          </cell>
          <cell r="M80" t="str">
            <v/>
          </cell>
          <cell r="N80" t="str">
            <v>LORENA CASTILLO PINTA</v>
          </cell>
          <cell r="O80" t="str">
            <v>HERMANA</v>
          </cell>
          <cell r="P80" t="str">
            <v/>
          </cell>
          <cell r="Q80">
            <v>989471817</v>
          </cell>
          <cell r="R80" t="str">
            <v>PRIMARIA</v>
          </cell>
          <cell r="S80" t="str">
            <v>NO</v>
          </cell>
          <cell r="T80" t="str">
            <v/>
          </cell>
          <cell r="U80" t="str">
            <v/>
          </cell>
          <cell r="V80" t="str">
            <v>NO</v>
          </cell>
          <cell r="W80" t="str">
            <v/>
          </cell>
          <cell r="X80" t="str">
            <v>ROBERTO CHAMBA</v>
          </cell>
          <cell r="Y80" t="str">
            <v>ALBAÑILERIA; LABORES DE CAMPO</v>
          </cell>
          <cell r="Z80">
            <v>42848</v>
          </cell>
          <cell r="AA80" t="str">
            <v>BIO</v>
          </cell>
          <cell r="AB80" t="str">
            <v>0302050003036</v>
          </cell>
          <cell r="AC80">
            <v>380.24</v>
          </cell>
          <cell r="AD80" t="str">
            <v>VARIOS TRABAJ-ACUICOLA</v>
          </cell>
          <cell r="AE80" t="str">
            <v>CAMPO</v>
          </cell>
          <cell r="AF80" t="str">
            <v>SI</v>
          </cell>
          <cell r="AG80" t="str">
            <v/>
          </cell>
          <cell r="AH80" t="str">
            <v>NO</v>
          </cell>
          <cell r="AI80" t="str">
            <v>NO</v>
          </cell>
          <cell r="AJ80" t="str">
            <v>NO</v>
          </cell>
          <cell r="AK80">
            <v>44</v>
          </cell>
          <cell r="AL80">
            <v>0</v>
          </cell>
          <cell r="AM80">
            <v>0</v>
          </cell>
          <cell r="AN80">
            <v>0</v>
          </cell>
        </row>
        <row r="81">
          <cell r="B81" t="str">
            <v>110478338-4</v>
          </cell>
          <cell r="C81" t="str">
            <v>MATAILO MATAILO JOSE EFRAIN</v>
          </cell>
          <cell r="D81">
            <v>32960</v>
          </cell>
          <cell r="E81">
            <v>27</v>
          </cell>
          <cell r="F81" t="str">
            <v>110478338-4</v>
          </cell>
          <cell r="G81" t="str">
            <v>SOLTERO</v>
          </cell>
          <cell r="H81">
            <v>1</v>
          </cell>
          <cell r="I81" t="str">
            <v/>
          </cell>
          <cell r="J81" t="str">
            <v>LOJA</v>
          </cell>
          <cell r="K81" t="str">
            <v/>
          </cell>
          <cell r="L81">
            <v>990406811</v>
          </cell>
          <cell r="M81" t="str">
            <v/>
          </cell>
          <cell r="N81" t="str">
            <v>PATRICIA MATAILO</v>
          </cell>
          <cell r="O81" t="str">
            <v>HERMANA</v>
          </cell>
          <cell r="P81" t="str">
            <v/>
          </cell>
          <cell r="Q81">
            <v>985623750</v>
          </cell>
          <cell r="R81" t="str">
            <v>BACHILLER</v>
          </cell>
          <cell r="S81" t="str">
            <v>SI</v>
          </cell>
          <cell r="T81" t="str">
            <v/>
          </cell>
          <cell r="U81" t="str">
            <v>CALAMIDAD DOMESTICA</v>
          </cell>
          <cell r="V81" t="str">
            <v>NO</v>
          </cell>
          <cell r="W81" t="str">
            <v/>
          </cell>
          <cell r="X81" t="str">
            <v/>
          </cell>
          <cell r="Y81" t="str">
            <v/>
          </cell>
          <cell r="Z81">
            <v>42877</v>
          </cell>
          <cell r="AA81" t="str">
            <v>BIO</v>
          </cell>
          <cell r="AB81" t="str">
            <v>0302050003036</v>
          </cell>
          <cell r="AC81">
            <v>380.24</v>
          </cell>
          <cell r="AD81" t="str">
            <v>VARIOS TRABAJ-ACUICOLA</v>
          </cell>
          <cell r="AE81" t="str">
            <v>CAMPO</v>
          </cell>
          <cell r="AF81" t="str">
            <v>SI</v>
          </cell>
          <cell r="AG81" t="str">
            <v>SI</v>
          </cell>
          <cell r="AH81" t="str">
            <v>SI</v>
          </cell>
          <cell r="AI81" t="str">
            <v>SI</v>
          </cell>
          <cell r="AJ81" t="str">
            <v>NO</v>
          </cell>
          <cell r="AK81">
            <v>28</v>
          </cell>
          <cell r="AL81">
            <v>0</v>
          </cell>
          <cell r="AM81">
            <v>0</v>
          </cell>
          <cell r="AN81">
            <v>0</v>
          </cell>
        </row>
        <row r="82">
          <cell r="B82" t="str">
            <v>070476411-7</v>
          </cell>
          <cell r="C82" t="str">
            <v>YAGUANA MACAS VERONICA ALEXANDRA</v>
          </cell>
          <cell r="D82">
            <v>30514</v>
          </cell>
          <cell r="E82">
            <v>33</v>
          </cell>
          <cell r="F82" t="str">
            <v>070476411-7</v>
          </cell>
          <cell r="G82" t="str">
            <v>SOLTERO</v>
          </cell>
          <cell r="H82">
            <v>2</v>
          </cell>
          <cell r="I82" t="str">
            <v/>
          </cell>
          <cell r="J82" t="str">
            <v>BOLIVAR Y JOSE MORENO</v>
          </cell>
          <cell r="K82">
            <v>76000040</v>
          </cell>
          <cell r="L82">
            <v>982580339</v>
          </cell>
          <cell r="M82" t="str">
            <v>veronicayaguano@hotmail.com</v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>BACHILLER</v>
          </cell>
          <cell r="S82" t="str">
            <v>NO</v>
          </cell>
          <cell r="T82" t="str">
            <v/>
          </cell>
          <cell r="U82" t="str">
            <v/>
          </cell>
          <cell r="V82" t="str">
            <v>NO</v>
          </cell>
          <cell r="W82" t="str">
            <v/>
          </cell>
          <cell r="X82" t="str">
            <v/>
          </cell>
          <cell r="Y82" t="str">
            <v/>
          </cell>
          <cell r="Z82">
            <v>42898</v>
          </cell>
          <cell r="AA82" t="str">
            <v>BIO</v>
          </cell>
          <cell r="AB82" t="str">
            <v>1910000000034</v>
          </cell>
          <cell r="AC82">
            <v>379.1</v>
          </cell>
          <cell r="AD82" t="str">
            <v>MENSAJERIA</v>
          </cell>
          <cell r="AE82" t="str">
            <v>ADMINISTRACION</v>
          </cell>
          <cell r="AF82" t="str">
            <v/>
          </cell>
          <cell r="AG82" t="str">
            <v/>
          </cell>
          <cell r="AH82" t="str">
            <v/>
          </cell>
          <cell r="AI82" t="str">
            <v/>
          </cell>
          <cell r="AJ82" t="str">
            <v>NO</v>
          </cell>
          <cell r="AK82">
            <v>35</v>
          </cell>
          <cell r="AL82">
            <v>0</v>
          </cell>
          <cell r="AM82">
            <v>0</v>
          </cell>
          <cell r="AN82">
            <v>0</v>
          </cell>
        </row>
        <row r="83">
          <cell r="B83" t="str">
            <v>090917988-9</v>
          </cell>
          <cell r="C83" t="str">
            <v>CARPIO MOSQUERA ROSA EMPERATRIZ</v>
          </cell>
          <cell r="D83">
            <v>27996</v>
          </cell>
          <cell r="E83">
            <v>41</v>
          </cell>
          <cell r="F83" t="str">
            <v>090917988-9</v>
          </cell>
          <cell r="G83" t="str">
            <v>CASADO</v>
          </cell>
          <cell r="H83">
            <v>3</v>
          </cell>
          <cell r="I83">
            <v>0</v>
          </cell>
          <cell r="J83" t="str">
            <v>MACHALA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 t="str">
            <v>SUPERIOR-LIC.DISEÑO IN.</v>
          </cell>
          <cell r="S83" t="str">
            <v>NO</v>
          </cell>
          <cell r="T83">
            <v>0</v>
          </cell>
          <cell r="U83">
            <v>0</v>
          </cell>
          <cell r="V83" t="str">
            <v>SI</v>
          </cell>
          <cell r="W83" t="str">
            <v>PATRICIO CARPIO(PADRE)</v>
          </cell>
          <cell r="X83">
            <v>0</v>
          </cell>
          <cell r="Y83">
            <v>0</v>
          </cell>
          <cell r="Z83">
            <v>43009</v>
          </cell>
          <cell r="AA83" t="str">
            <v>BIO</v>
          </cell>
          <cell r="AB83" t="str">
            <v>1910000000024</v>
          </cell>
          <cell r="AC83">
            <v>382.24</v>
          </cell>
          <cell r="AD83" t="str">
            <v>SECRETARIA</v>
          </cell>
          <cell r="AE83" t="str">
            <v>ADMINISTRACION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 t="str">
            <v>NO</v>
          </cell>
          <cell r="AK83">
            <v>42</v>
          </cell>
          <cell r="AL83">
            <v>0</v>
          </cell>
          <cell r="AM83">
            <v>0</v>
          </cell>
          <cell r="AN83">
            <v>0</v>
          </cell>
        </row>
        <row r="84">
          <cell r="B84" t="str">
            <v>195013467-4</v>
          </cell>
          <cell r="C84" t="str">
            <v>JIMENEZ GUAYANAY ALEXANDER EDUARDO</v>
          </cell>
          <cell r="D84">
            <v>35916</v>
          </cell>
          <cell r="E84">
            <v>19</v>
          </cell>
          <cell r="F84" t="str">
            <v>195013467-4</v>
          </cell>
          <cell r="G84" t="str">
            <v>SOLTERO</v>
          </cell>
          <cell r="H84" t="str">
            <v/>
          </cell>
          <cell r="I84" t="str">
            <v/>
          </cell>
          <cell r="J84" t="str">
            <v>BARRIO SAN FRANCISCO</v>
          </cell>
          <cell r="K84" t="str">
            <v/>
          </cell>
          <cell r="L84">
            <v>959033540</v>
          </cell>
          <cell r="M84" t="str">
            <v/>
          </cell>
          <cell r="N84" t="str">
            <v>PATRICIA MARQUEZ</v>
          </cell>
          <cell r="O84" t="str">
            <v/>
          </cell>
          <cell r="P84" t="str">
            <v/>
          </cell>
          <cell r="Q84">
            <v>960141077</v>
          </cell>
          <cell r="R84" t="str">
            <v>BASICA</v>
          </cell>
          <cell r="S84" t="str">
            <v>NO</v>
          </cell>
          <cell r="T84" t="str">
            <v/>
          </cell>
          <cell r="U84" t="str">
            <v/>
          </cell>
          <cell r="V84" t="str">
            <v>NO</v>
          </cell>
          <cell r="W84" t="str">
            <v/>
          </cell>
          <cell r="X84" t="str">
            <v/>
          </cell>
          <cell r="Y84" t="str">
            <v/>
          </cell>
          <cell r="Z84">
            <v>43034</v>
          </cell>
          <cell r="AA84" t="str">
            <v>BIO</v>
          </cell>
          <cell r="AB84" t="str">
            <v>0302050003036</v>
          </cell>
          <cell r="AC84">
            <v>380.24</v>
          </cell>
          <cell r="AD84" t="str">
            <v>VARIOS TRABAJ-ACUICOLA</v>
          </cell>
          <cell r="AE84" t="str">
            <v>CAMPO</v>
          </cell>
          <cell r="AF84" t="str">
            <v>SI</v>
          </cell>
          <cell r="AG84" t="str">
            <v/>
          </cell>
          <cell r="AH84" t="str">
            <v/>
          </cell>
          <cell r="AI84" t="str">
            <v/>
          </cell>
          <cell r="AJ84" t="str">
            <v/>
          </cell>
          <cell r="AK84">
            <v>20</v>
          </cell>
          <cell r="AL84">
            <v>0</v>
          </cell>
          <cell r="AM84">
            <v>0</v>
          </cell>
          <cell r="AN84">
            <v>0</v>
          </cell>
        </row>
        <row r="85">
          <cell r="B85" t="str">
            <v>230078109-9</v>
          </cell>
          <cell r="C85" t="str">
            <v>MARMOLEJO MARQUEZ VICTOR MANUEL</v>
          </cell>
          <cell r="D85">
            <v>36166</v>
          </cell>
          <cell r="E85">
            <v>18</v>
          </cell>
          <cell r="F85" t="str">
            <v>230078109-9</v>
          </cell>
          <cell r="G85" t="str">
            <v>SOLTERO</v>
          </cell>
          <cell r="H85">
            <v>0</v>
          </cell>
          <cell r="I85">
            <v>0</v>
          </cell>
          <cell r="J85" t="str">
            <v>SANTO DOMINGO, COOP.CHE GUEVARA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43049</v>
          </cell>
          <cell r="AA85" t="str">
            <v>BIO</v>
          </cell>
          <cell r="AB85" t="str">
            <v>0302050003036</v>
          </cell>
          <cell r="AC85">
            <v>380.24</v>
          </cell>
          <cell r="AD85" t="str">
            <v>VARIOS TRABAJ-ACUICOLA</v>
          </cell>
          <cell r="AE85" t="str">
            <v>CAMPO</v>
          </cell>
          <cell r="AF85" t="str">
            <v>SI</v>
          </cell>
          <cell r="AG85">
            <v>0</v>
          </cell>
          <cell r="AH85" t="str">
            <v>NO</v>
          </cell>
          <cell r="AI85" t="str">
            <v>SI</v>
          </cell>
          <cell r="AJ85" t="str">
            <v>NO</v>
          </cell>
          <cell r="AK85">
            <v>19</v>
          </cell>
          <cell r="AL85">
            <v>0</v>
          </cell>
          <cell r="AM85">
            <v>0</v>
          </cell>
          <cell r="AN85">
            <v>0</v>
          </cell>
        </row>
        <row r="86">
          <cell r="B86" t="str">
            <v>085082270-1</v>
          </cell>
          <cell r="C86" t="str">
            <v>BUENAVENTURA GONZALEZ LUIS MIGUEL</v>
          </cell>
          <cell r="D86">
            <v>34900</v>
          </cell>
          <cell r="E86">
            <v>22</v>
          </cell>
          <cell r="F86" t="str">
            <v>085082270-1</v>
          </cell>
          <cell r="G86" t="str">
            <v>UNION LIBRE</v>
          </cell>
          <cell r="H86">
            <v>3</v>
          </cell>
          <cell r="I86">
            <v>0</v>
          </cell>
          <cell r="J86" t="str">
            <v>SANTO DOMINGO, COOP. SAM EULOGIO</v>
          </cell>
          <cell r="K86" t="str">
            <v/>
          </cell>
          <cell r="L86">
            <v>959444519</v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>SECUNDARIA</v>
          </cell>
          <cell r="S86" t="str">
            <v>NO</v>
          </cell>
          <cell r="T86" t="str">
            <v>-</v>
          </cell>
          <cell r="U86" t="str">
            <v>-</v>
          </cell>
          <cell r="V86" t="str">
            <v>NO</v>
          </cell>
          <cell r="W86" t="str">
            <v/>
          </cell>
          <cell r="X86" t="str">
            <v>EDWIN ORTIZ</v>
          </cell>
          <cell r="Y86" t="str">
            <v>ALIMENTADOR -  ATARRAYAR</v>
          </cell>
          <cell r="Z86">
            <v>43053</v>
          </cell>
          <cell r="AA86" t="str">
            <v>BIO</v>
          </cell>
          <cell r="AB86" t="str">
            <v>302050003036</v>
          </cell>
          <cell r="AC86">
            <v>380.24</v>
          </cell>
          <cell r="AD86" t="str">
            <v>VARIOS TRABAJ-ACUICOLA</v>
          </cell>
          <cell r="AE86" t="str">
            <v>CAMPO</v>
          </cell>
          <cell r="AF86" t="str">
            <v>SI</v>
          </cell>
          <cell r="AG86" t="str">
            <v>SI</v>
          </cell>
          <cell r="AH86" t="str">
            <v>SI</v>
          </cell>
          <cell r="AI86" t="str">
            <v>SI</v>
          </cell>
          <cell r="AJ86" t="str">
            <v>NO</v>
          </cell>
          <cell r="AK86">
            <v>23</v>
          </cell>
          <cell r="AL86">
            <v>0</v>
          </cell>
          <cell r="AM86">
            <v>0</v>
          </cell>
          <cell r="AN86">
            <v>0</v>
          </cell>
        </row>
        <row r="87">
          <cell r="B87" t="str">
            <v>094237190-7</v>
          </cell>
          <cell r="C87" t="str">
            <v>AVILA AVILA STALIN JEFFERSON</v>
          </cell>
          <cell r="D87">
            <v>34193</v>
          </cell>
          <cell r="E87">
            <v>24</v>
          </cell>
          <cell r="F87" t="str">
            <v>094237190-7</v>
          </cell>
          <cell r="G87" t="str">
            <v>UNION LIBRE</v>
          </cell>
          <cell r="H87">
            <v>0</v>
          </cell>
          <cell r="I87" t="str">
            <v/>
          </cell>
          <cell r="J87" t="str">
            <v xml:space="preserve">SANTO DOMINGO </v>
          </cell>
          <cell r="K87" t="str">
            <v/>
          </cell>
          <cell r="L87">
            <v>967093810</v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>PRIMARIA</v>
          </cell>
          <cell r="S87" t="str">
            <v>NO</v>
          </cell>
          <cell r="T87" t="str">
            <v/>
          </cell>
          <cell r="U87" t="str">
            <v/>
          </cell>
          <cell r="V87" t="str">
            <v>NO</v>
          </cell>
          <cell r="W87" t="str">
            <v/>
          </cell>
          <cell r="X87" t="str">
            <v>AMIGO SEGUNDO CEDEÑO</v>
          </cell>
          <cell r="Y87" t="str">
            <v>ATARRAYAR</v>
          </cell>
          <cell r="Z87">
            <v>43054</v>
          </cell>
          <cell r="AA87" t="str">
            <v>BIO</v>
          </cell>
          <cell r="AB87" t="str">
            <v>302050003036</v>
          </cell>
          <cell r="AC87">
            <v>380.24</v>
          </cell>
          <cell r="AD87" t="str">
            <v>VARIOS TRABAJ-ACUICOLA</v>
          </cell>
          <cell r="AE87" t="str">
            <v>CAMPO</v>
          </cell>
          <cell r="AF87" t="str">
            <v>SI</v>
          </cell>
          <cell r="AG87" t="str">
            <v>SI</v>
          </cell>
          <cell r="AH87" t="str">
            <v>SI</v>
          </cell>
          <cell r="AI87" t="str">
            <v>SI</v>
          </cell>
          <cell r="AJ87" t="str">
            <v>NO</v>
          </cell>
          <cell r="AK87">
            <v>25</v>
          </cell>
          <cell r="AL87">
            <v>0</v>
          </cell>
          <cell r="AM87">
            <v>0</v>
          </cell>
          <cell r="AN87">
            <v>0</v>
          </cell>
        </row>
        <row r="88">
          <cell r="B88" t="str">
            <v>235022240-8</v>
          </cell>
          <cell r="C88" t="str">
            <v>PEÑA CEDEÑO CRISTHIAN JAVIER</v>
          </cell>
          <cell r="D88">
            <v>35550</v>
          </cell>
          <cell r="E88">
            <v>20</v>
          </cell>
          <cell r="F88" t="str">
            <v>235022240-8</v>
          </cell>
          <cell r="G88" t="str">
            <v>UNION LIBRE</v>
          </cell>
          <cell r="H88">
            <v>1</v>
          </cell>
          <cell r="I88" t="str">
            <v/>
          </cell>
          <cell r="J88" t="str">
            <v>SANTO DOMINGO</v>
          </cell>
          <cell r="K88">
            <v>988614411</v>
          </cell>
          <cell r="L88">
            <v>994918654</v>
          </cell>
          <cell r="M88" t="str">
            <v/>
          </cell>
          <cell r="N88" t="str">
            <v>MARIA VALENCIA</v>
          </cell>
          <cell r="O88" t="str">
            <v>ESPOSA</v>
          </cell>
          <cell r="P88">
            <v>980387552</v>
          </cell>
          <cell r="Q88" t="str">
            <v/>
          </cell>
          <cell r="R88" t="str">
            <v>PRIMARIA</v>
          </cell>
          <cell r="S88" t="str">
            <v>NO</v>
          </cell>
          <cell r="T88" t="str">
            <v/>
          </cell>
          <cell r="U88" t="str">
            <v/>
          </cell>
          <cell r="V88" t="str">
            <v>NO</v>
          </cell>
          <cell r="W88" t="str">
            <v/>
          </cell>
          <cell r="X88" t="str">
            <v xml:space="preserve">JOSE PEÑA </v>
          </cell>
          <cell r="Y88" t="str">
            <v>ALIMENTAR</v>
          </cell>
          <cell r="Z88">
            <v>43061</v>
          </cell>
          <cell r="AA88" t="str">
            <v>BIO</v>
          </cell>
          <cell r="AB88" t="str">
            <v>302050003036</v>
          </cell>
          <cell r="AC88">
            <v>380.24</v>
          </cell>
          <cell r="AD88" t="str">
            <v>VARIOS TRABAJ-ACUICOLA</v>
          </cell>
          <cell r="AE88" t="str">
            <v>CAMPO</v>
          </cell>
          <cell r="AF88" t="str">
            <v>SI</v>
          </cell>
          <cell r="AG88" t="str">
            <v/>
          </cell>
          <cell r="AH88" t="str">
            <v>NO</v>
          </cell>
          <cell r="AI88" t="str">
            <v>NO</v>
          </cell>
          <cell r="AJ88" t="str">
            <v>NO</v>
          </cell>
          <cell r="AK88">
            <v>21</v>
          </cell>
          <cell r="AL88">
            <v>0</v>
          </cell>
          <cell r="AM88">
            <v>0</v>
          </cell>
          <cell r="AN88">
            <v>0</v>
          </cell>
        </row>
        <row r="89">
          <cell r="B89" t="str">
            <v>110495242-7</v>
          </cell>
          <cell r="C89" t="str">
            <v>SOTO MATAILO JOSE ENRIQUE</v>
          </cell>
          <cell r="D89">
            <v>33381</v>
          </cell>
          <cell r="E89">
            <v>26</v>
          </cell>
          <cell r="F89" t="str">
            <v>110495242-7</v>
          </cell>
          <cell r="G89" t="str">
            <v>SOLTERO</v>
          </cell>
          <cell r="H89">
            <v>1</v>
          </cell>
          <cell r="I89" t="str">
            <v/>
          </cell>
          <cell r="J89" t="str">
            <v>NAMBACOLA</v>
          </cell>
          <cell r="K89" t="str">
            <v/>
          </cell>
          <cell r="L89">
            <v>983461989</v>
          </cell>
          <cell r="M89" t="str">
            <v/>
          </cell>
          <cell r="N89" t="str">
            <v>CARMEN MATAILO</v>
          </cell>
          <cell r="O89" t="str">
            <v>MADRE</v>
          </cell>
          <cell r="P89">
            <v>981629878</v>
          </cell>
          <cell r="Q89" t="str">
            <v/>
          </cell>
          <cell r="R89" t="str">
            <v>SECUNDARIA</v>
          </cell>
          <cell r="S89" t="str">
            <v>NO</v>
          </cell>
          <cell r="T89" t="str">
            <v/>
          </cell>
          <cell r="U89" t="str">
            <v/>
          </cell>
          <cell r="V89" t="str">
            <v>NO</v>
          </cell>
          <cell r="W89" t="str">
            <v/>
          </cell>
          <cell r="X89" t="str">
            <v>JOSE CANGO</v>
          </cell>
          <cell r="Y89" t="str">
            <v>GUARDIA-AGRICULTURA-COCINA</v>
          </cell>
          <cell r="Z89">
            <v>43066</v>
          </cell>
          <cell r="AA89" t="str">
            <v>BIO</v>
          </cell>
          <cell r="AB89" t="str">
            <v>302050003036</v>
          </cell>
          <cell r="AC89">
            <v>380.24</v>
          </cell>
          <cell r="AD89" t="str">
            <v>VARIOS TRABAJ-ACUICOLA</v>
          </cell>
          <cell r="AE89" t="str">
            <v>CAMPO</v>
          </cell>
          <cell r="AF89" t="str">
            <v>SI</v>
          </cell>
          <cell r="AG89" t="str">
            <v>SI</v>
          </cell>
          <cell r="AH89" t="str">
            <v>NO</v>
          </cell>
          <cell r="AI89" t="str">
            <v>NO</v>
          </cell>
          <cell r="AJ89" t="str">
            <v>NO</v>
          </cell>
          <cell r="AK89">
            <v>27</v>
          </cell>
          <cell r="AL89">
            <v>0</v>
          </cell>
          <cell r="AM89">
            <v>0</v>
          </cell>
          <cell r="AN89">
            <v>0</v>
          </cell>
        </row>
        <row r="90">
          <cell r="B90" t="str">
            <v>070146930-6</v>
          </cell>
          <cell r="C90" t="str">
            <v>CARPIO JIMENEZ MIGUEL EMILIO</v>
          </cell>
          <cell r="D90">
            <v>22183</v>
          </cell>
          <cell r="E90">
            <v>57</v>
          </cell>
          <cell r="F90" t="str">
            <v>070146930-6</v>
          </cell>
          <cell r="G90" t="str">
            <v>CASADO</v>
          </cell>
          <cell r="H90">
            <v>1</v>
          </cell>
          <cell r="I90" t="str">
            <v/>
          </cell>
          <cell r="J90" t="str">
            <v>MACHALA LAS CRUCITA</v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>SUPERIOR BIOLOGO</v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>
            <v>43070</v>
          </cell>
          <cell r="AA90" t="str">
            <v>BIO</v>
          </cell>
          <cell r="AB90" t="str">
            <v>0302050003029</v>
          </cell>
          <cell r="AC90">
            <v>2000</v>
          </cell>
          <cell r="AD90" t="str">
            <v>BIOLOGO ACUACULTOR</v>
          </cell>
          <cell r="AE90" t="str">
            <v>PRODUCCION</v>
          </cell>
          <cell r="AF90" t="str">
            <v/>
          </cell>
          <cell r="AG90" t="str">
            <v/>
          </cell>
          <cell r="AH90" t="str">
            <v>SI</v>
          </cell>
          <cell r="AI90" t="str">
            <v/>
          </cell>
          <cell r="AJ90" t="str">
            <v>NO</v>
          </cell>
          <cell r="AK90">
            <v>58</v>
          </cell>
          <cell r="AL90">
            <v>0</v>
          </cell>
          <cell r="AM90">
            <v>0</v>
          </cell>
          <cell r="AN90">
            <v>0</v>
          </cell>
        </row>
        <row r="91">
          <cell r="B91" t="str">
            <v>070082318-0</v>
          </cell>
          <cell r="C91" t="str">
            <v>CARPIO JIMENEZ MARIA DE LOURDES</v>
          </cell>
          <cell r="D91">
            <v>20128</v>
          </cell>
          <cell r="E91">
            <v>62</v>
          </cell>
          <cell r="F91" t="str">
            <v>070082318-0</v>
          </cell>
          <cell r="G91" t="str">
            <v>DIVORCIADO</v>
          </cell>
          <cell r="H91">
            <v>0</v>
          </cell>
          <cell r="I91" t="str">
            <v/>
          </cell>
          <cell r="J91" t="str">
            <v>MACHALA AV. LAS PALMERAS</v>
          </cell>
          <cell r="K91">
            <v>2920371</v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>SUPERIOR LCDA</v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>
            <v>43070</v>
          </cell>
          <cell r="AA91" t="str">
            <v>BIO</v>
          </cell>
          <cell r="AB91" t="str">
            <v>1910000000026</v>
          </cell>
          <cell r="AC91">
            <v>2000</v>
          </cell>
          <cell r="AD91" t="str">
            <v xml:space="preserve">AUXILIAR CONTABLE </v>
          </cell>
          <cell r="AE91" t="str">
            <v>ADMINISTRACION</v>
          </cell>
          <cell r="AF91" t="str">
            <v/>
          </cell>
          <cell r="AG91" t="str">
            <v/>
          </cell>
          <cell r="AH91" t="str">
            <v>SI</v>
          </cell>
          <cell r="AI91" t="str">
            <v/>
          </cell>
          <cell r="AJ91" t="str">
            <v>NO</v>
          </cell>
          <cell r="AK91">
            <v>63</v>
          </cell>
          <cell r="AL91">
            <v>0</v>
          </cell>
          <cell r="AM91">
            <v>0</v>
          </cell>
          <cell r="AN91">
            <v>0</v>
          </cell>
        </row>
        <row r="92">
          <cell r="B92" t="str">
            <v>0700419328</v>
          </cell>
          <cell r="C92" t="str">
            <v xml:space="preserve">LOAYZA SANCHEZ ZOILA DOLORES </v>
          </cell>
          <cell r="D92">
            <v>17711</v>
          </cell>
          <cell r="E92">
            <v>69</v>
          </cell>
          <cell r="F92" t="str">
            <v>0700419328</v>
          </cell>
          <cell r="G92" t="str">
            <v>CASADO</v>
          </cell>
          <cell r="H92" t="str">
            <v/>
          </cell>
          <cell r="I92" t="str">
            <v/>
          </cell>
          <cell r="J92" t="str">
            <v>AV. LA FERROVIARIA</v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>SUPERIOR</v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>
            <v>43102</v>
          </cell>
          <cell r="AA92" t="str">
            <v>BIO</v>
          </cell>
          <cell r="AB92" t="str">
            <v/>
          </cell>
          <cell r="AC92">
            <v>510</v>
          </cell>
          <cell r="AD92" t="str">
            <v>CONTADORA</v>
          </cell>
          <cell r="AE92" t="str">
            <v>ADMINISTRACION</v>
          </cell>
          <cell r="AF92" t="str">
            <v/>
          </cell>
          <cell r="AG92" t="str">
            <v/>
          </cell>
          <cell r="AH92" t="str">
            <v/>
          </cell>
          <cell r="AI92" t="str">
            <v/>
          </cell>
          <cell r="AJ92" t="str">
            <v/>
          </cell>
          <cell r="AK92">
            <v>70</v>
          </cell>
          <cell r="AL92">
            <v>0</v>
          </cell>
          <cell r="AM92">
            <v>0</v>
          </cell>
          <cell r="AN92">
            <v>0</v>
          </cell>
        </row>
        <row r="93">
          <cell r="B93" t="str">
            <v>0706593829</v>
          </cell>
          <cell r="C93" t="str">
            <v>JARAMILLO QUICHIMBO JOE ARIEL</v>
          </cell>
          <cell r="D93">
            <v>35763</v>
          </cell>
          <cell r="E93">
            <v>20</v>
          </cell>
          <cell r="F93" t="str">
            <v>0706593829</v>
          </cell>
          <cell r="G93" t="str">
            <v>SOLTERO</v>
          </cell>
          <cell r="H93" t="str">
            <v/>
          </cell>
          <cell r="I93" t="str">
            <v/>
          </cell>
          <cell r="J93" t="str">
            <v>ARENILLAS BARRIO LOMA QUITO</v>
          </cell>
          <cell r="K93">
            <v>2908162</v>
          </cell>
          <cell r="L93">
            <v>962591712</v>
          </cell>
          <cell r="M93" t="str">
            <v/>
          </cell>
          <cell r="N93" t="str">
            <v>JANETH QUICHIMBO</v>
          </cell>
          <cell r="O93" t="str">
            <v>MAMA</v>
          </cell>
          <cell r="P93" t="str">
            <v/>
          </cell>
          <cell r="Q93" t="str">
            <v/>
          </cell>
          <cell r="R93" t="str">
            <v>SECUNDARIA</v>
          </cell>
          <cell r="S93" t="str">
            <v>NO</v>
          </cell>
          <cell r="T93" t="str">
            <v/>
          </cell>
          <cell r="U93" t="str">
            <v/>
          </cell>
          <cell r="V93" t="str">
            <v>NO</v>
          </cell>
          <cell r="W93" t="str">
            <v/>
          </cell>
          <cell r="X93" t="str">
            <v>ING. STALYN AGUIRRE</v>
          </cell>
          <cell r="Y93" t="str">
            <v>TRABAJO EN CONSTRUCCION</v>
          </cell>
          <cell r="Z93">
            <v>43178</v>
          </cell>
          <cell r="AA93" t="str">
            <v>BIO</v>
          </cell>
          <cell r="AB93" t="str">
            <v>302050003036</v>
          </cell>
          <cell r="AC93">
            <v>391.4</v>
          </cell>
          <cell r="AD93" t="str">
            <v>TRABAJADOR ACUICOLA</v>
          </cell>
          <cell r="AE93" t="str">
            <v>CAMPO</v>
          </cell>
          <cell r="AF93" t="str">
            <v>SI</v>
          </cell>
          <cell r="AG93" t="str">
            <v>NO</v>
          </cell>
          <cell r="AH93" t="str">
            <v>NO</v>
          </cell>
          <cell r="AI93" t="str">
            <v>NO</v>
          </cell>
          <cell r="AJ93" t="str">
            <v/>
          </cell>
          <cell r="AK93">
            <v>20</v>
          </cell>
          <cell r="AL93">
            <v>0</v>
          </cell>
          <cell r="AM93">
            <v>0</v>
          </cell>
          <cell r="AN93">
            <v>0</v>
          </cell>
        </row>
        <row r="94">
          <cell r="B94" t="str">
            <v>07006127164</v>
          </cell>
          <cell r="C94" t="str">
            <v xml:space="preserve">CRISTINA LISSETH VELEPUCHA VELASQUEZ </v>
          </cell>
          <cell r="D94">
            <v>35178</v>
          </cell>
          <cell r="E94">
            <v>22</v>
          </cell>
          <cell r="F94" t="str">
            <v>0700612716-4</v>
          </cell>
          <cell r="G94" t="str">
            <v>SOLTERO</v>
          </cell>
          <cell r="H94">
            <v>1</v>
          </cell>
          <cell r="I94" t="str">
            <v>1 AÑO</v>
          </cell>
          <cell r="J94" t="str">
            <v>MACHALA</v>
          </cell>
          <cell r="K94">
            <v>967720998</v>
          </cell>
          <cell r="L94">
            <v>0</v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>BACHILLERATO</v>
          </cell>
          <cell r="S94" t="str">
            <v>NO</v>
          </cell>
          <cell r="T94" t="str">
            <v/>
          </cell>
          <cell r="U94" t="str">
            <v/>
          </cell>
          <cell r="V94" t="str">
            <v>NO</v>
          </cell>
          <cell r="W94" t="str">
            <v/>
          </cell>
          <cell r="X94" t="str">
            <v/>
          </cell>
          <cell r="Y94" t="str">
            <v>MONITORISTA</v>
          </cell>
          <cell r="Z94">
            <v>43179</v>
          </cell>
          <cell r="AA94" t="str">
            <v>BIO</v>
          </cell>
          <cell r="AB94" t="str">
            <v>1920000000009</v>
          </cell>
          <cell r="AC94">
            <v>402.08</v>
          </cell>
          <cell r="AD94" t="str">
            <v>MONITORISTA</v>
          </cell>
          <cell r="AE94" t="str">
            <v>PRODUCCION</v>
          </cell>
          <cell r="AF94" t="str">
            <v>SI</v>
          </cell>
          <cell r="AG94" t="str">
            <v>NO</v>
          </cell>
          <cell r="AH94" t="str">
            <v>NO</v>
          </cell>
          <cell r="AI94" t="str">
            <v>NO</v>
          </cell>
          <cell r="AJ94" t="str">
            <v>NO</v>
          </cell>
          <cell r="AK94">
            <v>22</v>
          </cell>
          <cell r="AL94">
            <v>0</v>
          </cell>
          <cell r="AM94">
            <v>0</v>
          </cell>
          <cell r="AN94">
            <v>0</v>
          </cell>
        </row>
        <row r="95">
          <cell r="B95" t="str">
            <v>0705170967</v>
          </cell>
          <cell r="C95" t="str">
            <v>CARRION GRIJALVA EVELYN GIANELLA</v>
          </cell>
          <cell r="D95">
            <v>33644</v>
          </cell>
          <cell r="E95">
            <v>26</v>
          </cell>
          <cell r="F95" t="str">
            <v>0705170967</v>
          </cell>
          <cell r="G95" t="str">
            <v>SOLTERO</v>
          </cell>
          <cell r="H95">
            <v>1</v>
          </cell>
          <cell r="I95" t="str">
            <v>5 AÑOS</v>
          </cell>
          <cell r="J95" t="str">
            <v>MACHALA TERCERA SUR E/14VA Y 15AVA OESTE</v>
          </cell>
          <cell r="K95">
            <v>987523580</v>
          </cell>
          <cell r="L95">
            <v>987523580</v>
          </cell>
          <cell r="M95" t="str">
            <v>giane_carrion@hotmail.com</v>
          </cell>
          <cell r="N95" t="str">
            <v>ANGELICA GRIJALVA</v>
          </cell>
          <cell r="O95" t="str">
            <v>MAMA</v>
          </cell>
          <cell r="P95">
            <v>2933006</v>
          </cell>
          <cell r="Q95">
            <v>999775045</v>
          </cell>
          <cell r="R95" t="str">
            <v>SUPERIOR</v>
          </cell>
          <cell r="S95" t="str">
            <v>NO</v>
          </cell>
          <cell r="T95" t="str">
            <v/>
          </cell>
          <cell r="U95" t="str">
            <v/>
          </cell>
          <cell r="V95" t="str">
            <v>NO</v>
          </cell>
          <cell r="W95" t="str">
            <v/>
          </cell>
          <cell r="X95" t="str">
            <v xml:space="preserve">UNA AMIGA </v>
          </cell>
          <cell r="Y95" t="str">
            <v>AUXILIAR CONTABLE</v>
          </cell>
          <cell r="Z95">
            <v>43192</v>
          </cell>
          <cell r="AA95" t="str">
            <v>BIO</v>
          </cell>
          <cell r="AB95" t="str">
            <v>191000000026</v>
          </cell>
          <cell r="AC95">
            <v>393.48</v>
          </cell>
          <cell r="AD95" t="str">
            <v>AUXILIAR CONTABLE</v>
          </cell>
          <cell r="AE95" t="str">
            <v>ADMINISTRACION</v>
          </cell>
          <cell r="AF95" t="str">
            <v>SI</v>
          </cell>
          <cell r="AG95" t="str">
            <v>NO</v>
          </cell>
          <cell r="AH95" t="str">
            <v>SI</v>
          </cell>
          <cell r="AI95" t="str">
            <v>NO</v>
          </cell>
          <cell r="AJ95" t="str">
            <v>NO</v>
          </cell>
          <cell r="AK95">
            <v>26</v>
          </cell>
          <cell r="AL95">
            <v>0</v>
          </cell>
          <cell r="AM95">
            <v>0</v>
          </cell>
          <cell r="AN95">
            <v>0</v>
          </cell>
        </row>
        <row r="96">
          <cell r="B96" t="str">
            <v>075020232-7</v>
          </cell>
          <cell r="C96" t="str">
            <v>CELY TOTOY EVELYN DAYANA</v>
          </cell>
          <cell r="D96">
            <v>36602</v>
          </cell>
          <cell r="E96">
            <v>18</v>
          </cell>
          <cell r="F96" t="str">
            <v>075020232-7</v>
          </cell>
          <cell r="G96" t="str">
            <v>SOLTERO</v>
          </cell>
          <cell r="H96">
            <v>0</v>
          </cell>
          <cell r="I96" t="str">
            <v/>
          </cell>
          <cell r="J96" t="str">
            <v>PALMERAS Y CIRCUNVALACION NORTE</v>
          </cell>
          <cell r="K96">
            <v>939146797</v>
          </cell>
          <cell r="L96" t="e">
            <v>#REF!</v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>SECUNDARIA</v>
          </cell>
          <cell r="S96" t="str">
            <v>NO</v>
          </cell>
          <cell r="T96" t="str">
            <v/>
          </cell>
          <cell r="U96" t="str">
            <v/>
          </cell>
          <cell r="V96" t="str">
            <v>NO</v>
          </cell>
          <cell r="W96" t="str">
            <v/>
          </cell>
          <cell r="X96" t="str">
            <v/>
          </cell>
          <cell r="Y96" t="str">
            <v>MONITORISTA</v>
          </cell>
          <cell r="Z96">
            <v>43196</v>
          </cell>
          <cell r="AA96" t="str">
            <v>BIO</v>
          </cell>
          <cell r="AB96" t="str">
            <v>1920000000009</v>
          </cell>
          <cell r="AC96">
            <v>402.08</v>
          </cell>
          <cell r="AD96" t="str">
            <v>MONITOREADOR</v>
          </cell>
          <cell r="AE96" t="str">
            <v>PRODUCCION</v>
          </cell>
          <cell r="AF96" t="str">
            <v>NO</v>
          </cell>
          <cell r="AG96" t="str">
            <v>NO</v>
          </cell>
          <cell r="AH96" t="str">
            <v>NO</v>
          </cell>
          <cell r="AI96" t="str">
            <v>NO</v>
          </cell>
          <cell r="AJ96" t="str">
            <v/>
          </cell>
          <cell r="AK96">
            <v>18</v>
          </cell>
          <cell r="AL96">
            <v>0</v>
          </cell>
          <cell r="AM96">
            <v>0</v>
          </cell>
          <cell r="AN96">
            <v>0</v>
          </cell>
        </row>
        <row r="97">
          <cell r="B97" t="str">
            <v>075060497-7</v>
          </cell>
          <cell r="C97" t="str">
            <v>DANES JOSUE CORONEL QUICHIMBO</v>
          </cell>
          <cell r="D97">
            <v>35138</v>
          </cell>
          <cell r="E97">
            <v>22</v>
          </cell>
          <cell r="F97" t="str">
            <v>075060497-7</v>
          </cell>
          <cell r="G97" t="str">
            <v>SOLTERO</v>
          </cell>
          <cell r="H97">
            <v>0</v>
          </cell>
          <cell r="I97">
            <v>0</v>
          </cell>
          <cell r="J97" t="str">
            <v>ARENILLAS, BARRIO LOMA QUITO</v>
          </cell>
          <cell r="K97" t="str">
            <v/>
          </cell>
          <cell r="L97">
            <v>988915360</v>
          </cell>
          <cell r="M97" t="str">
            <v/>
          </cell>
          <cell r="N97" t="str">
            <v>CARMEN QUICHIMBO</v>
          </cell>
          <cell r="O97" t="str">
            <v>MAMA</v>
          </cell>
          <cell r="P97">
            <v>993850774</v>
          </cell>
          <cell r="Q97" t="str">
            <v/>
          </cell>
          <cell r="R97" t="str">
            <v>SECUNDARIA</v>
          </cell>
          <cell r="S97" t="str">
            <v>NO</v>
          </cell>
          <cell r="T97" t="str">
            <v/>
          </cell>
          <cell r="U97" t="str">
            <v/>
          </cell>
          <cell r="V97" t="str">
            <v>NO</v>
          </cell>
          <cell r="W97" t="str">
            <v/>
          </cell>
          <cell r="X97" t="str">
            <v>ING. STALYN AGUIRRE</v>
          </cell>
          <cell r="Y97" t="str">
            <v>AYUDANTE DE PINTOR, ESTIBADOR</v>
          </cell>
          <cell r="Z97">
            <v>43200</v>
          </cell>
          <cell r="AA97" t="str">
            <v>BIO</v>
          </cell>
          <cell r="AB97" t="str">
            <v>0302050003036</v>
          </cell>
          <cell r="AC97">
            <v>391.4</v>
          </cell>
          <cell r="AD97" t="str">
            <v>TRABAJADOR VARIO - ACUICOLA</v>
          </cell>
          <cell r="AE97" t="str">
            <v>CAMPO</v>
          </cell>
          <cell r="AF97" t="str">
            <v>SI</v>
          </cell>
          <cell r="AG97" t="str">
            <v>NO</v>
          </cell>
          <cell r="AH97" t="str">
            <v>SI</v>
          </cell>
          <cell r="AI97" t="str">
            <v>SI</v>
          </cell>
          <cell r="AJ97" t="str">
            <v>NO</v>
          </cell>
          <cell r="AK97">
            <v>22</v>
          </cell>
        </row>
        <row r="98">
          <cell r="B98" t="str">
            <v>0703496570</v>
          </cell>
          <cell r="C98" t="str">
            <v>CUN ZAMBRANO LUIS FABIAN</v>
          </cell>
          <cell r="D98">
            <v>29038</v>
          </cell>
          <cell r="E98">
            <v>38</v>
          </cell>
          <cell r="F98" t="str">
            <v>0703496570</v>
          </cell>
          <cell r="G98" t="str">
            <v>SOLTERO</v>
          </cell>
          <cell r="H98" t="str">
            <v>SI</v>
          </cell>
          <cell r="I98" t="str">
            <v/>
          </cell>
          <cell r="J98" t="str">
            <v>ARENILLAS, BARRIO LOMA QUITO</v>
          </cell>
          <cell r="K98">
            <v>982529785</v>
          </cell>
          <cell r="L98">
            <v>982529785</v>
          </cell>
          <cell r="M98" t="str">
            <v/>
          </cell>
          <cell r="N98" t="str">
            <v>OLGA TORO</v>
          </cell>
          <cell r="O98" t="str">
            <v>VECINA</v>
          </cell>
          <cell r="P98">
            <v>72909608</v>
          </cell>
          <cell r="Q98">
            <v>993941390</v>
          </cell>
          <cell r="R98" t="str">
            <v>PRIMARIA</v>
          </cell>
          <cell r="S98" t="str">
            <v>NO</v>
          </cell>
          <cell r="T98" t="str">
            <v/>
          </cell>
          <cell r="U98" t="str">
            <v/>
          </cell>
          <cell r="V98" t="str">
            <v>NO</v>
          </cell>
          <cell r="W98" t="str">
            <v/>
          </cell>
          <cell r="X98" t="str">
            <v>ING. STALIN AGUIRRE</v>
          </cell>
          <cell r="Y98" t="str">
            <v>SEGURIDAD Y STIVADOR</v>
          </cell>
          <cell r="Z98">
            <v>43213</v>
          </cell>
          <cell r="AA98" t="str">
            <v>BIO</v>
          </cell>
          <cell r="AB98" t="str">
            <v>302050003036</v>
          </cell>
          <cell r="AC98">
            <v>391.4</v>
          </cell>
          <cell r="AD98" t="str">
            <v>TRABAJADOR VARIO - ACUICOLA</v>
          </cell>
          <cell r="AE98" t="str">
            <v>CAMPO</v>
          </cell>
          <cell r="AF98" t="str">
            <v>SI</v>
          </cell>
          <cell r="AG98" t="str">
            <v>SI</v>
          </cell>
          <cell r="AH98" t="str">
            <v>SI</v>
          </cell>
          <cell r="AI98" t="str">
            <v>SI</v>
          </cell>
          <cell r="AJ98" t="str">
            <v>NO</v>
          </cell>
          <cell r="AK98">
            <v>39</v>
          </cell>
          <cell r="AL98">
            <v>0</v>
          </cell>
          <cell r="AM98">
            <v>0</v>
          </cell>
          <cell r="AN98">
            <v>0</v>
          </cell>
        </row>
        <row r="99">
          <cell r="B99" t="str">
            <v>0706696911</v>
          </cell>
          <cell r="C99" t="str">
            <v>JENNY ELIZABETH UCHUARI MAZA</v>
          </cell>
          <cell r="D99">
            <v>33848</v>
          </cell>
          <cell r="E99">
            <v>25</v>
          </cell>
          <cell r="F99" t="str">
            <v>0706696911</v>
          </cell>
          <cell r="G99" t="str">
            <v>SOLTERA</v>
          </cell>
          <cell r="H99" t="str">
            <v>NO</v>
          </cell>
          <cell r="I99" t="str">
            <v/>
          </cell>
          <cell r="J99" t="str">
            <v>CDLA. EL BOSQUE</v>
          </cell>
          <cell r="K99">
            <v>993688224</v>
          </cell>
          <cell r="L99" t="e">
            <v>#REF!</v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>SUPERIOR</v>
          </cell>
          <cell r="S99" t="str">
            <v>NO</v>
          </cell>
          <cell r="T99" t="str">
            <v/>
          </cell>
          <cell r="U99" t="str">
            <v/>
          </cell>
          <cell r="V99" t="str">
            <v>NO</v>
          </cell>
          <cell r="W99" t="str">
            <v/>
          </cell>
          <cell r="X99" t="str">
            <v/>
          </cell>
          <cell r="Y99" t="str">
            <v>MONITORISTA</v>
          </cell>
          <cell r="Z99">
            <v>43222</v>
          </cell>
          <cell r="AA99" t="str">
            <v>BIO</v>
          </cell>
          <cell r="AB99" t="str">
            <v>1920000000009</v>
          </cell>
          <cell r="AC99">
            <v>402.08</v>
          </cell>
          <cell r="AD99" t="str">
            <v>MONITOREO</v>
          </cell>
          <cell r="AE99" t="str">
            <v>PRODUCCION</v>
          </cell>
          <cell r="AF99" t="str">
            <v>NO</v>
          </cell>
          <cell r="AG99" t="str">
            <v>NO</v>
          </cell>
          <cell r="AH99" t="str">
            <v>NO</v>
          </cell>
          <cell r="AI99" t="str">
            <v>NO</v>
          </cell>
          <cell r="AJ99" t="str">
            <v>NO</v>
          </cell>
          <cell r="AK99">
            <v>26</v>
          </cell>
          <cell r="AL99">
            <v>0</v>
          </cell>
          <cell r="AM99">
            <v>0</v>
          </cell>
          <cell r="AN99">
            <v>0</v>
          </cell>
        </row>
        <row r="100">
          <cell r="B100" t="str">
            <v>0705838795</v>
          </cell>
          <cell r="C100" t="str">
            <v>VELASQUEZ COBEÑA MAYRA ALEJANDRA</v>
          </cell>
          <cell r="D100">
            <v>32627</v>
          </cell>
          <cell r="E100">
            <v>29</v>
          </cell>
          <cell r="F100" t="str">
            <v>0705838795</v>
          </cell>
          <cell r="G100" t="str">
            <v>SOLTERO</v>
          </cell>
          <cell r="H100" t="str">
            <v>NO</v>
          </cell>
          <cell r="I100" t="str">
            <v/>
          </cell>
          <cell r="J100" t="str">
            <v>4 DE AGOSTO Y 1RO DE NOVIEMBRE</v>
          </cell>
          <cell r="K100">
            <v>999338570</v>
          </cell>
          <cell r="L100" t="e">
            <v>#REF!</v>
          </cell>
          <cell r="M100" t="str">
            <v>velasquezmayra329@gmail.com</v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>SUPERIOR</v>
          </cell>
          <cell r="S100" t="str">
            <v>NO</v>
          </cell>
          <cell r="T100" t="str">
            <v>-</v>
          </cell>
          <cell r="U100" t="str">
            <v>-</v>
          </cell>
          <cell r="V100" t="str">
            <v>NO</v>
          </cell>
          <cell r="W100" t="str">
            <v>-</v>
          </cell>
          <cell r="X100" t="str">
            <v>-</v>
          </cell>
          <cell r="Y100" t="str">
            <v>MONITORISTA</v>
          </cell>
          <cell r="Z100">
            <v>43252</v>
          </cell>
          <cell r="AA100" t="str">
            <v>BIO</v>
          </cell>
          <cell r="AB100" t="str">
            <v>1920000000009</v>
          </cell>
          <cell r="AC100">
            <v>402.08</v>
          </cell>
          <cell r="AD100" t="str">
            <v>MONITORISTA</v>
          </cell>
          <cell r="AE100" t="str">
            <v>PRODUCCION</v>
          </cell>
          <cell r="AF100" t="str">
            <v>NO</v>
          </cell>
          <cell r="AG100" t="str">
            <v>NO</v>
          </cell>
          <cell r="AH100" t="str">
            <v>NO</v>
          </cell>
          <cell r="AI100" t="str">
            <v>NO</v>
          </cell>
          <cell r="AJ100" t="str">
            <v>NO</v>
          </cell>
          <cell r="AK100">
            <v>29</v>
          </cell>
          <cell r="AL100">
            <v>0</v>
          </cell>
          <cell r="AM100">
            <v>0</v>
          </cell>
          <cell r="AN100">
            <v>0</v>
          </cell>
        </row>
        <row r="101">
          <cell r="B101" t="str">
            <v>1722281308</v>
          </cell>
          <cell r="C101" t="str">
            <v xml:space="preserve">CEDEÑO LOOR EDWIN JOSE </v>
          </cell>
          <cell r="D101">
            <v>31778</v>
          </cell>
          <cell r="E101">
            <v>31</v>
          </cell>
          <cell r="F101" t="str">
            <v>1722281308</v>
          </cell>
          <cell r="G101" t="str">
            <v>CASADO</v>
          </cell>
          <cell r="H101">
            <v>2</v>
          </cell>
          <cell r="I101" t="str">
            <v xml:space="preserve">8 AÑOS Y 11 MESES </v>
          </cell>
          <cell r="J101" t="str">
            <v>COOPERATIVA CHEGUEVARA</v>
          </cell>
          <cell r="K101" t="str">
            <v>0989020324</v>
          </cell>
          <cell r="L101" t="e">
            <v>#REF!</v>
          </cell>
          <cell r="M101" t="str">
            <v/>
          </cell>
          <cell r="N101" t="str">
            <v>PASTORA VALENCIA</v>
          </cell>
          <cell r="O101" t="str">
            <v>SUEGRA</v>
          </cell>
          <cell r="P101" t="str">
            <v/>
          </cell>
          <cell r="Q101">
            <v>997106408</v>
          </cell>
          <cell r="R101" t="str">
            <v>BASICA</v>
          </cell>
          <cell r="S101" t="str">
            <v>NO</v>
          </cell>
          <cell r="T101" t="str">
            <v>-</v>
          </cell>
          <cell r="U101" t="str">
            <v>-</v>
          </cell>
          <cell r="V101" t="str">
            <v>SI</v>
          </cell>
          <cell r="W101" t="str">
            <v>CARLOS HERNANDEZ</v>
          </cell>
          <cell r="X101" t="str">
            <v>KLEBER CHILA</v>
          </cell>
          <cell r="Y101" t="str">
            <v/>
          </cell>
          <cell r="Z101">
            <v>43263</v>
          </cell>
          <cell r="AA101" t="str">
            <v>BIO</v>
          </cell>
          <cell r="AB101" t="str">
            <v>302050003036</v>
          </cell>
          <cell r="AC101">
            <v>391.4</v>
          </cell>
          <cell r="AD101" t="str">
            <v>TRBAJADOR ACUICOLA</v>
          </cell>
          <cell r="AE101" t="str">
            <v>CAMPO</v>
          </cell>
          <cell r="AF101" t="str">
            <v>SI</v>
          </cell>
          <cell r="AG101" t="str">
            <v>SI</v>
          </cell>
          <cell r="AH101" t="str">
            <v>SI</v>
          </cell>
          <cell r="AI101" t="str">
            <v>SI</v>
          </cell>
          <cell r="AJ101" t="str">
            <v>NO</v>
          </cell>
          <cell r="AK101">
            <v>31</v>
          </cell>
        </row>
        <row r="102">
          <cell r="B102" t="str">
            <v>2300053614</v>
          </cell>
          <cell r="C102" t="str">
            <v xml:space="preserve">LUIS ANDRES BARRE CUSME </v>
          </cell>
          <cell r="D102">
            <v>35431</v>
          </cell>
          <cell r="E102">
            <v>21</v>
          </cell>
          <cell r="F102" t="str">
            <v>2300053614</v>
          </cell>
          <cell r="G102" t="str">
            <v>SOLTERO</v>
          </cell>
          <cell r="H102" t="str">
            <v>NO</v>
          </cell>
          <cell r="I102" t="str">
            <v>-</v>
          </cell>
          <cell r="J102" t="str">
            <v xml:space="preserve">SANTO DOMINGO BARRIO EL CISNE </v>
          </cell>
          <cell r="K102" t="str">
            <v/>
          </cell>
          <cell r="L102" t="e">
            <v>#REF!</v>
          </cell>
          <cell r="M102" t="str">
            <v/>
          </cell>
          <cell r="N102" t="str">
            <v xml:space="preserve">OCTAVIO BARRE </v>
          </cell>
          <cell r="O102" t="str">
            <v>PADRE</v>
          </cell>
          <cell r="P102" t="str">
            <v/>
          </cell>
          <cell r="Q102">
            <v>991271954</v>
          </cell>
          <cell r="R102" t="str">
            <v/>
          </cell>
          <cell r="S102" t="str">
            <v>NO</v>
          </cell>
          <cell r="T102" t="str">
            <v>-</v>
          </cell>
          <cell r="U102" t="str">
            <v>-</v>
          </cell>
          <cell r="V102" t="str">
            <v>NO</v>
          </cell>
          <cell r="W102" t="str">
            <v/>
          </cell>
          <cell r="X102" t="str">
            <v>SRA. ISABEL LINDURA</v>
          </cell>
          <cell r="Y102" t="str">
            <v>CARGADOR Y PERCHERO</v>
          </cell>
          <cell r="Z102">
            <v>43348</v>
          </cell>
          <cell r="AA102" t="str">
            <v>BIO</v>
          </cell>
          <cell r="AB102" t="str">
            <v/>
          </cell>
          <cell r="AC102">
            <v>391.4</v>
          </cell>
          <cell r="AD102" t="str">
            <v>TRABAJADOR ACUICOLA</v>
          </cell>
          <cell r="AE102" t="str">
            <v>CAMPO</v>
          </cell>
          <cell r="AF102" t="str">
            <v>SI</v>
          </cell>
          <cell r="AG102" t="str">
            <v>NO</v>
          </cell>
          <cell r="AH102" t="str">
            <v>NO</v>
          </cell>
          <cell r="AI102" t="str">
            <v>SI</v>
          </cell>
          <cell r="AJ102" t="str">
            <v>NO</v>
          </cell>
          <cell r="AK102">
            <v>21</v>
          </cell>
          <cell r="AL102">
            <v>0</v>
          </cell>
          <cell r="AM102">
            <v>0</v>
          </cell>
          <cell r="AN102">
            <v>0</v>
          </cell>
        </row>
        <row r="103">
          <cell r="K103">
            <v>0</v>
          </cell>
          <cell r="L103">
            <v>0</v>
          </cell>
        </row>
        <row r="104">
          <cell r="K104">
            <v>0</v>
          </cell>
          <cell r="L104">
            <v>0</v>
          </cell>
        </row>
        <row r="105">
          <cell r="K105">
            <v>0</v>
          </cell>
          <cell r="L105">
            <v>0</v>
          </cell>
        </row>
        <row r="106">
          <cell r="K106">
            <v>0</v>
          </cell>
          <cell r="L106">
            <v>0</v>
          </cell>
        </row>
        <row r="107">
          <cell r="K107">
            <v>0</v>
          </cell>
          <cell r="L10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6" tint="-0.249977111117893"/>
  </sheetPr>
  <dimension ref="A1:AU33"/>
  <sheetViews>
    <sheetView tabSelected="1" topLeftCell="B1" zoomScale="80" zoomScaleNormal="80" workbookViewId="0">
      <pane xSplit="5" ySplit="10" topLeftCell="G14" activePane="bottomRight" state="frozen"/>
      <selection activeCell="B1" sqref="B1"/>
      <selection pane="topRight" activeCell="G1" sqref="G1"/>
      <selection pane="bottomLeft" activeCell="B11" sqref="B11"/>
      <selection pane="bottomRight" activeCell="M23" sqref="M23"/>
    </sheetView>
  </sheetViews>
  <sheetFormatPr baseColWidth="10" defaultRowHeight="15" x14ac:dyDescent="0.25"/>
  <cols>
    <col min="1" max="1" width="2.85546875" style="3" hidden="1" customWidth="1"/>
    <col min="2" max="2" width="4.140625" style="3" bestFit="1" customWidth="1"/>
    <col min="3" max="3" width="36.7109375" style="3" customWidth="1"/>
    <col min="4" max="4" width="12.85546875" style="3" bestFit="1" customWidth="1"/>
    <col min="5" max="5" width="10.42578125" style="3" customWidth="1"/>
    <col min="6" max="6" width="11.7109375" style="14" customWidth="1"/>
    <col min="7" max="8" width="3.7109375" style="5" customWidth="1"/>
    <col min="9" max="9" width="3.7109375" style="3" customWidth="1"/>
    <col min="10" max="14" width="3.7109375" style="5" customWidth="1"/>
    <col min="15" max="16" width="3.7109375" style="3" customWidth="1"/>
    <col min="17" max="20" width="3.7109375" style="5" customWidth="1"/>
    <col min="21" max="21" width="3.7109375" style="3" customWidth="1"/>
    <col min="22" max="22" width="1.85546875" style="3" hidden="1" customWidth="1"/>
    <col min="23" max="23" width="5.5703125" style="223" bestFit="1" customWidth="1"/>
    <col min="24" max="24" width="6.85546875" style="223" customWidth="1"/>
    <col min="25" max="25" width="4.140625" style="223" customWidth="1"/>
    <col min="26" max="26" width="5.42578125" style="5" customWidth="1"/>
    <col min="27" max="27" width="4.140625" style="5" customWidth="1"/>
    <col min="28" max="28" width="4.140625" style="3" customWidth="1"/>
    <col min="29" max="29" width="7.7109375" style="223" customWidth="1"/>
    <col min="30" max="30" width="5.85546875" style="223" customWidth="1"/>
    <col min="31" max="31" width="8" style="223" customWidth="1"/>
    <col min="32" max="32" width="7.28515625" style="223" customWidth="1"/>
    <col min="33" max="33" width="6.7109375" style="3" customWidth="1"/>
    <col min="34" max="34" width="8.140625" style="3" customWidth="1"/>
    <col min="35" max="35" width="6.7109375" style="3" customWidth="1"/>
    <col min="36" max="36" width="7.42578125" style="3" customWidth="1"/>
    <col min="37" max="37" width="8.140625" style="3" customWidth="1"/>
    <col min="38" max="38" width="10.7109375" style="3" customWidth="1"/>
    <col min="39" max="39" width="4.7109375" style="3" customWidth="1"/>
    <col min="40" max="40" width="10.7109375" style="3" customWidth="1"/>
    <col min="41" max="41" width="4.7109375" style="3" customWidth="1"/>
    <col min="42" max="42" width="9.5703125" style="9" customWidth="1"/>
    <col min="43" max="43" width="25.42578125" style="9" customWidth="1"/>
    <col min="44" max="44" width="12.85546875" style="3" bestFit="1" customWidth="1"/>
    <col min="45" max="45" width="11.42578125" style="14" customWidth="1"/>
    <col min="46" max="46" width="10" style="14" bestFit="1" customWidth="1"/>
    <col min="47" max="16384" width="11.42578125" style="3"/>
  </cols>
  <sheetData>
    <row r="1" spans="2:46" ht="1.5" customHeight="1" x14ac:dyDescent="0.25"/>
    <row r="2" spans="2:46" ht="12" hidden="1" customHeight="1" x14ac:dyDescent="0.25">
      <c r="G2" s="105" t="str">
        <f t="shared" ref="G2:V2" si="0">IF(G10="D","F",IF(G10="S","F",IF(G6="F","F"," ")))</f>
        <v>F</v>
      </c>
      <c r="H2" s="105" t="str">
        <f t="shared" si="0"/>
        <v>F</v>
      </c>
      <c r="I2" s="105" t="str">
        <f t="shared" si="0"/>
        <v xml:space="preserve"> </v>
      </c>
      <c r="J2" s="202" t="str">
        <f t="shared" si="0"/>
        <v xml:space="preserve"> </v>
      </c>
      <c r="K2" s="202" t="str">
        <f t="shared" si="0"/>
        <v xml:space="preserve"> </v>
      </c>
      <c r="L2" s="105" t="str">
        <f t="shared" si="0"/>
        <v xml:space="preserve"> </v>
      </c>
      <c r="M2" s="105" t="str">
        <f t="shared" si="0"/>
        <v>F</v>
      </c>
      <c r="N2" s="105" t="str">
        <f t="shared" si="0"/>
        <v>F</v>
      </c>
      <c r="O2" s="105" t="str">
        <f t="shared" si="0"/>
        <v>F</v>
      </c>
      <c r="P2" s="105" t="str">
        <f t="shared" si="0"/>
        <v xml:space="preserve"> </v>
      </c>
      <c r="Q2" s="202" t="str">
        <f t="shared" si="0"/>
        <v xml:space="preserve"> </v>
      </c>
      <c r="R2" s="202" t="str">
        <f t="shared" si="0"/>
        <v xml:space="preserve"> </v>
      </c>
      <c r="S2" s="105" t="str">
        <f t="shared" si="0"/>
        <v xml:space="preserve"> </v>
      </c>
      <c r="T2" s="105" t="str">
        <f t="shared" si="0"/>
        <v xml:space="preserve"> </v>
      </c>
      <c r="U2" s="105" t="str">
        <f t="shared" si="0"/>
        <v>F</v>
      </c>
      <c r="V2" s="105" t="str">
        <f t="shared" si="0"/>
        <v xml:space="preserve"> </v>
      </c>
      <c r="Z2" s="5" t="s">
        <v>135</v>
      </c>
    </row>
    <row r="3" spans="2:46" ht="27" customHeight="1" x14ac:dyDescent="0.25">
      <c r="C3" s="279" t="s">
        <v>48</v>
      </c>
      <c r="D3" s="279"/>
      <c r="E3" s="279"/>
      <c r="P3" s="143"/>
      <c r="Q3" s="367"/>
      <c r="R3" s="368"/>
      <c r="S3" s="369"/>
      <c r="T3" s="370"/>
    </row>
    <row r="4" spans="2:46" ht="21.75" customHeight="1" x14ac:dyDescent="0.3">
      <c r="C4" s="280" t="s">
        <v>49</v>
      </c>
      <c r="D4" s="280"/>
      <c r="E4" s="280"/>
      <c r="F4" s="49"/>
      <c r="T4" s="50"/>
      <c r="U4" s="46"/>
      <c r="V4" s="46"/>
      <c r="AC4" s="232"/>
      <c r="AE4" s="233"/>
    </row>
    <row r="5" spans="2:46" ht="23.25" customHeight="1" x14ac:dyDescent="0.25">
      <c r="C5" s="53" t="str">
        <f>+'CONTROL H.E.'!C4</f>
        <v>PRIMERA QUINCENA DE JUNIO DEL 2019</v>
      </c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E5" s="234"/>
      <c r="AF5" s="234"/>
    </row>
    <row r="6" spans="2:46" s="8" customFormat="1" ht="21.75" customHeight="1" x14ac:dyDescent="0.25">
      <c r="C6" s="91" t="str">
        <f>+VARIOS!B12</f>
        <v>DEL 1 AL 15 DE JUNIO DEL 2019</v>
      </c>
      <c r="G6" s="126"/>
      <c r="H6" s="126"/>
      <c r="I6" s="126"/>
      <c r="J6" s="203"/>
      <c r="K6" s="203"/>
      <c r="L6" s="126"/>
      <c r="M6" s="126" t="s">
        <v>206</v>
      </c>
      <c r="N6" s="126"/>
      <c r="O6" s="126"/>
      <c r="P6" s="126"/>
      <c r="Q6" s="203"/>
      <c r="R6" s="203"/>
      <c r="S6" s="126"/>
      <c r="T6" s="126"/>
      <c r="U6" s="126"/>
      <c r="V6" s="126"/>
      <c r="W6" s="61"/>
      <c r="X6" s="61"/>
      <c r="Y6" s="61"/>
      <c r="Z6" s="124"/>
      <c r="AA6" s="61"/>
      <c r="AB6" s="61"/>
      <c r="AC6" s="235"/>
      <c r="AD6" s="50"/>
      <c r="AE6" s="235"/>
      <c r="AF6" s="235"/>
      <c r="AR6" s="3"/>
      <c r="AS6" s="14"/>
      <c r="AT6" s="14"/>
    </row>
    <row r="7" spans="2:46" ht="15" customHeight="1" x14ac:dyDescent="0.25">
      <c r="C7" s="54"/>
      <c r="D7" s="48" t="s">
        <v>100</v>
      </c>
      <c r="E7" s="104">
        <f>+'CONTROL H.E.'!C7</f>
        <v>5</v>
      </c>
      <c r="G7" s="230">
        <f>DAY('CONTROL H.E.'!C5)</f>
        <v>1</v>
      </c>
      <c r="H7" s="230">
        <f>IF(G7&gt;=VARIOS!$F$14," ",IF(G7=0," ",+G7+1))</f>
        <v>2</v>
      </c>
      <c r="I7" s="230">
        <f>IF(H7&gt;=VARIOS!$F$14," ",IF(H7=0," ",+H7+1))</f>
        <v>3</v>
      </c>
      <c r="J7" s="230">
        <f>IF(I7&gt;=VARIOS!$F$14," ",IF(I7=0," ",+I7+1))</f>
        <v>4</v>
      </c>
      <c r="K7" s="230">
        <f>IF(J7&gt;=VARIOS!$F$14," ",IF(J7=0," ",+J7+1))</f>
        <v>5</v>
      </c>
      <c r="L7" s="230">
        <f>IF(K7&gt;=VARIOS!$F$14," ",IF(K7=0," ",+K7+1))</f>
        <v>6</v>
      </c>
      <c r="M7" s="230">
        <f>IF(L7&gt;=VARIOS!$F$14," ",IF(L7=0," ",+L7+1))</f>
        <v>7</v>
      </c>
      <c r="N7" s="230">
        <f>IF(M7&gt;=VARIOS!$F$14," ",IF(M7=0," ",+M7+1))</f>
        <v>8</v>
      </c>
      <c r="O7" s="230">
        <f>IF(N7&gt;=VARIOS!$F$14," ",IF(N7=0," ",+N7+1))</f>
        <v>9</v>
      </c>
      <c r="P7" s="230">
        <f>IF(O7&gt;=VARIOS!$F$14," ",IF(O7=0," ",+O7+1))</f>
        <v>10</v>
      </c>
      <c r="Q7" s="230">
        <f>IF(P7&gt;=VARIOS!$F$14," ",IF(P7=0," ",+P7+1))</f>
        <v>11</v>
      </c>
      <c r="R7" s="230">
        <f>IF(Q7&gt;=VARIOS!$F$14," ",IF(Q7=0," ",+Q7+1))</f>
        <v>12</v>
      </c>
      <c r="S7" s="230">
        <f>IF(R7&gt;=VARIOS!$F$14," ",IF(R7=0," ",+R7+1))</f>
        <v>13</v>
      </c>
      <c r="T7" s="230">
        <f>IF(S7&gt;=VARIOS!$F$14," ",IF(S7=0," ",+S7+1))</f>
        <v>14</v>
      </c>
      <c r="U7" s="230">
        <f>IF(T7&gt;=VARIOS!$F$14," ",IF(T7=0," ",+T7+1))</f>
        <v>15</v>
      </c>
      <c r="V7" s="230" t="str">
        <f>IF(U7&gt;=VARIOS!$F$14," ",IF(U7=0," ",+U7+1))</f>
        <v xml:space="preserve"> </v>
      </c>
      <c r="W7" s="106"/>
      <c r="X7" s="107"/>
      <c r="Y7" s="107"/>
      <c r="Z7" s="107"/>
      <c r="AA7" s="107"/>
      <c r="AB7" s="107"/>
    </row>
    <row r="8" spans="2:46" ht="14.1" customHeight="1" x14ac:dyDescent="0.25">
      <c r="G8" s="231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  <c r="V8" s="231"/>
    </row>
    <row r="9" spans="2:46" x14ac:dyDescent="0.25">
      <c r="G9" s="283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36"/>
      <c r="X9" s="236"/>
      <c r="Y9" s="236"/>
      <c r="Z9" s="125" t="s">
        <v>136</v>
      </c>
      <c r="AA9" s="62"/>
      <c r="AB9" s="62"/>
      <c r="AC9" s="236"/>
      <c r="AD9" s="236"/>
      <c r="AE9" s="236"/>
      <c r="AF9" s="236"/>
      <c r="AG9" s="281" t="s">
        <v>33</v>
      </c>
      <c r="AH9" s="282"/>
      <c r="AI9" s="285" t="s">
        <v>12</v>
      </c>
      <c r="AJ9" s="286"/>
      <c r="AK9" s="287"/>
      <c r="AL9" s="278" t="s">
        <v>13</v>
      </c>
      <c r="AM9" s="278"/>
      <c r="AN9" s="278"/>
      <c r="AO9" s="278"/>
      <c r="AP9" s="278"/>
      <c r="AT9" s="8"/>
    </row>
    <row r="10" spans="2:46" ht="75" x14ac:dyDescent="0.25">
      <c r="B10" s="15" t="s">
        <v>14</v>
      </c>
      <c r="C10" s="15" t="s">
        <v>0</v>
      </c>
      <c r="D10" s="15" t="s">
        <v>37</v>
      </c>
      <c r="E10" s="15" t="s">
        <v>1</v>
      </c>
      <c r="F10" s="16" t="s">
        <v>19</v>
      </c>
      <c r="G10" s="17" t="str">
        <f>VLOOKUP(G7,VARIOS!$K:$N,4,FALSE)</f>
        <v>S</v>
      </c>
      <c r="H10" s="17" t="str">
        <f>VLOOKUP(H7,VARIOS!$K:$N,4,FALSE)</f>
        <v>D</v>
      </c>
      <c r="I10" s="228" t="str">
        <f>VLOOKUP(I7,VARIOS!$K:$N,4,FALSE)</f>
        <v>L</v>
      </c>
      <c r="J10" s="228" t="str">
        <f>VLOOKUP(J7,VARIOS!$K:$N,4,FALSE)</f>
        <v>M</v>
      </c>
      <c r="K10" s="228" t="str">
        <f>VLOOKUP(K7,VARIOS!$K:$N,4,FALSE)</f>
        <v>Mi</v>
      </c>
      <c r="L10" s="228" t="str">
        <f>VLOOKUP(L7,VARIOS!$K:$N,4,FALSE)</f>
        <v>J</v>
      </c>
      <c r="M10" s="17" t="str">
        <f>VLOOKUP(M7,VARIOS!$K:$N,4,FALSE)</f>
        <v>V</v>
      </c>
      <c r="N10" s="17" t="str">
        <f>VLOOKUP(N7,VARIOS!$K:$N,4,FALSE)</f>
        <v>S</v>
      </c>
      <c r="O10" s="17" t="str">
        <f>VLOOKUP(O7,VARIOS!$K:$N,4,FALSE)</f>
        <v>D</v>
      </c>
      <c r="P10" s="228" t="str">
        <f>VLOOKUP(P7,VARIOS!$K:$N,4,FALSE)</f>
        <v>L</v>
      </c>
      <c r="Q10" s="228" t="str">
        <f>VLOOKUP(Q7,VARIOS!$K:$N,4,FALSE)</f>
        <v>M</v>
      </c>
      <c r="R10" s="228" t="str">
        <f>VLOOKUP(R7,VARIOS!$K:$N,4,FALSE)</f>
        <v>Mi</v>
      </c>
      <c r="S10" s="228" t="str">
        <f>VLOOKUP(S7,VARIOS!$K:$N,4,FALSE)</f>
        <v>J</v>
      </c>
      <c r="T10" s="228" t="str">
        <f>VLOOKUP(T7,VARIOS!$K:$N,4,FALSE)</f>
        <v>V</v>
      </c>
      <c r="U10" s="17" t="str">
        <f>VLOOKUP(U7,VARIOS!$K:$N,4,FALSE)</f>
        <v>S</v>
      </c>
      <c r="V10" s="228" t="str">
        <f>VLOOKUP(V7,VARIOS!$K:$N,4,FALSE)</f>
        <v xml:space="preserve"> </v>
      </c>
      <c r="W10" s="173" t="s">
        <v>128</v>
      </c>
      <c r="X10" s="174" t="s">
        <v>129</v>
      </c>
      <c r="Y10" s="17" t="s">
        <v>130</v>
      </c>
      <c r="Z10" s="129" t="s">
        <v>134</v>
      </c>
      <c r="AA10" s="145" t="s">
        <v>171</v>
      </c>
      <c r="AB10" s="15" t="s">
        <v>131</v>
      </c>
      <c r="AC10" s="15" t="s">
        <v>31</v>
      </c>
      <c r="AD10" s="15" t="s">
        <v>17</v>
      </c>
      <c r="AE10" s="18" t="s">
        <v>50</v>
      </c>
      <c r="AF10" s="15" t="s">
        <v>51</v>
      </c>
      <c r="AG10" s="18" t="s">
        <v>50</v>
      </c>
      <c r="AH10" s="15" t="s">
        <v>51</v>
      </c>
      <c r="AI10" s="18" t="s">
        <v>50</v>
      </c>
      <c r="AJ10" s="15" t="s">
        <v>51</v>
      </c>
      <c r="AK10" s="18" t="s">
        <v>32</v>
      </c>
      <c r="AL10" s="15" t="s">
        <v>20</v>
      </c>
      <c r="AM10" s="15" t="s">
        <v>16</v>
      </c>
      <c r="AN10" s="15" t="s">
        <v>20</v>
      </c>
      <c r="AO10" s="15" t="s">
        <v>16</v>
      </c>
      <c r="AP10" s="24" t="s">
        <v>15</v>
      </c>
      <c r="AQ10" s="25" t="s">
        <v>45</v>
      </c>
      <c r="AR10" s="8"/>
      <c r="AS10" s="8"/>
    </row>
    <row r="11" spans="2:46" ht="16.5" customHeight="1" x14ac:dyDescent="0.25">
      <c r="B11" s="27">
        <v>1</v>
      </c>
      <c r="C11" s="10" t="str">
        <f>IFERROR(VLOOKUP('Reporte Asistencia Laboral'!D11,EMPLEADO!C:Q,15,0),"")</f>
        <v>HERNANDEZ VALENCIA CARLOS ALBERTO</v>
      </c>
      <c r="D11" s="11" t="s">
        <v>39</v>
      </c>
      <c r="E11" s="10" t="str">
        <f>IFERROR(VLOOKUP(D11,EMPLEADO!C:E,2,FALSE),"")</f>
        <v>ASIST. BIOLOGO</v>
      </c>
      <c r="F11" s="12">
        <f>IFERROR(ROUND(VLOOKUP('Reporte Asistencia Laboral'!D11,EMPLEADO!C:AE,3,FALSE)/30*AD11,2),"")</f>
        <v>106.61</v>
      </c>
      <c r="G11" s="204">
        <v>0</v>
      </c>
      <c r="H11" s="204">
        <v>0</v>
      </c>
      <c r="I11" s="246"/>
      <c r="J11" s="246">
        <v>8</v>
      </c>
      <c r="K11" s="229">
        <v>8</v>
      </c>
      <c r="L11" s="229">
        <v>8</v>
      </c>
      <c r="M11" s="204">
        <v>0</v>
      </c>
      <c r="N11" s="204">
        <v>8</v>
      </c>
      <c r="O11" s="204">
        <v>8</v>
      </c>
      <c r="P11" s="229">
        <v>8</v>
      </c>
      <c r="Q11" s="229"/>
      <c r="R11" s="229"/>
      <c r="S11" s="229"/>
      <c r="T11" s="229"/>
      <c r="U11" s="204"/>
      <c r="V11" s="40"/>
      <c r="W11" s="92">
        <f t="shared" ref="W11:W26" si="1">IF($G$10="S",+G11,IF($G$10="D",+G11,0))+IF($H$10="S",+H11,IF($H$10="D",+H11,0))+IF($I$10="S",+I11,IF($I$10="D",+I11,0))+IF($J$10="S",+J11,IF($J$10="D",+J11,0))+IF($K$10="S",+K11,IF($K$10="D",+K11,0))+IF($L$10="S",+L11,IF($L$10="D",+L11,0))+IF($M$10="S",+M11,IF($M$10="D",+M11,0))+IF($N$10="S",+N11,IF($N$10="D",+N11,0))+IF($O$10="S",+O11,IF($O$10="D",+O11,0))+IF($P$10="S",+P11,IF($P$10="D",+P11,0))+IF($Q$10="S",+Q11,IF($Q$10="D",+Q11,0))+IF($R$10="S",+R11,IF($R$10="D",+R11,0))+IF($S$10="S",+S11,IF($S$10="D",+S11,0))+IF($T$10="S",+T11,IF($T$10="D",+T11,0))+IF($U$10="S",+U11,IF($U$10="D",+U11,0))+IF($V$10="S",+V11,IF($V$10="D",+V11,0))</f>
        <v>16</v>
      </c>
      <c r="X11" s="92">
        <f t="shared" ref="X11:X12" si="2">IF($G$6="F",G11,0)+IF($H$6="F",+H11,0)+IF($I$6="F",+I11,0)+IF($J$6="F",+J11,0)+IF($K$6="F",+K11,0)+IF($L$6="F",+L11,0)+IF($M$6="F",+M11,0)+IF($N$6="F",+N11,0)+IF($O$6="F",+O11,0)+IF($P$6="F",+P11,0)+IF($Q$6="F",+Q11,0)+IF($R$6="F",+R11,0)+IF($S$6="F",+S11,0)+IF($T$6="F",+T11,0)+IF($U$6="F",+U11,0)+IF($V$6="F",+V11,0)</f>
        <v>0</v>
      </c>
      <c r="Y11" s="117">
        <f>IF($G$2="F",0,IF(G11&gt;8,G11-8,0))+IF($H$2="F",0,IF(H11&gt;8,H11-8,0))+IF($I$2="F",0,IF(I11&gt;8,I11-8,0))+IF($J$2="F",0,IF(J11&gt;8,J11-8,0))+IF($K$2="F",0,IF(K11&gt;8,K11-8,0))+IF($L$2="F",0,IF(L11&gt;8,L11-8,0))+IF($M$2="F",0,IF(M11&gt;8,M11-8,0))+IF($N$2="F",0,IF(N11&gt;8,N11-8,0))+IF($O$2="F",0,IF(O11&gt;8,O11-8,0))+IF($P$2="F",0,IF(P11&gt;8,P11-8,0))+IF($Q$2="F",0,IF(Q11&gt;8,Q11-8,0))+IF($R$2="F",0,IF(R11&gt;8,R11-8,0))+IF($S$2="F",0,IF(S11&gt;8,S11-8,0))+IF($T$2="F",0,IF(T11&gt;8,T11-8,0))+IF($U$2="F",0,IF(U11&gt;8,U11-8,0))+IF($V$2="F",0,IF(V11&gt;8,V11-8,0))</f>
        <v>0</v>
      </c>
      <c r="Z11" s="130"/>
      <c r="AA11" s="202">
        <v>-1</v>
      </c>
      <c r="AB11" s="4"/>
      <c r="AC11" s="13">
        <f>+SUM(G11:V11)</f>
        <v>48</v>
      </c>
      <c r="AD11" s="92">
        <f>IF(COUNT(G11:V11)&gt;15,COUNT(G11:V11)-1,COUNT(G11:U11))+AA11</f>
        <v>8</v>
      </c>
      <c r="AE11" s="13">
        <f>IF(Z11="N",0,Y11)</f>
        <v>0</v>
      </c>
      <c r="AF11" s="65">
        <f>IF(Z11="N",W11+X11+Y11,W11+X11)</f>
        <v>16</v>
      </c>
      <c r="AG11" s="115">
        <f>'CONTROL H.E.'!BJ10</f>
        <v>0</v>
      </c>
      <c r="AH11" s="115">
        <f>'CONTROL H.E.'!BK10</f>
        <v>0</v>
      </c>
      <c r="AI11" s="115">
        <f>'CONTROL H.E. Transf.'!BJ10</f>
        <v>0</v>
      </c>
      <c r="AJ11" s="115">
        <f>'CONTROL H.E. Transf.'!BK10</f>
        <v>0</v>
      </c>
      <c r="AK11" s="20">
        <f>IFERROR(ROUND((VLOOKUP(D11,EMPLEADO!C:F,3,FALSE)/240*1.5*(AE11+AG11+AI11)+(VLOOKUP(D11,EMPLEADO!C:F,3,FALSE)/240*2*(AF11+AH11+AJ11))),2),"")</f>
        <v>53.3</v>
      </c>
      <c r="AL11" s="148" t="str">
        <f>IFERROR(IF(C11=AS11,VLOOKUP(C11,Dato_Pesc!F:H,2,FALSE)," ")," ")</f>
        <v xml:space="preserve"> </v>
      </c>
      <c r="AM11" s="7">
        <f>IFERROR(IF(C11=AS11,VLOOKUP(C11,Dato_Pesc!F:H,3,FALSE),0),0)</f>
        <v>0</v>
      </c>
      <c r="AN11" s="6" t="str">
        <f>IFERROR(IF(C11=AT11,VLOOKUP(C11,Dato_Pesc!I:K,2,FALSE)," ")," ")</f>
        <v xml:space="preserve"> </v>
      </c>
      <c r="AO11" s="7">
        <f>IFERROR(IF(C11=AT11,VLOOKUP(C11,Dato_Pesc!I:K,3,FALSE),0),0)</f>
        <v>0</v>
      </c>
      <c r="AP11" s="20">
        <f ca="1">IFERROR(ROUND(((SUMIF('$ NOCHE_PESC'!$B$4:$C$11,AL11,'$ NOCHE_PESC'!$C$4:$C$11))*AM11)+((SUMIF('$ NOCHE_PESC'!$B$4:$C$11,AN11,'$ NOCHE_PESC'!$C$4:$C$11))*AO11),2),"")</f>
        <v>0</v>
      </c>
      <c r="AQ11" s="23"/>
      <c r="AS11" s="148" t="str">
        <f>IFERROR(IF(AT11=C11,AT11,VLOOKUP(C11,Dato_Pesc!B:K,5)),"")</f>
        <v/>
      </c>
      <c r="AT11" s="148" t="str">
        <f>IFERROR(VLOOKUP(C11,Dato_Pesc!B:K,8),"")</f>
        <v/>
      </c>
    </row>
    <row r="12" spans="2:46" ht="16.5" customHeight="1" x14ac:dyDescent="0.25">
      <c r="B12" s="27">
        <f>B11+1</f>
        <v>2</v>
      </c>
      <c r="C12" s="10" t="str">
        <f>IFERROR(VLOOKUP('Reporte Asistencia Laboral'!D12,EMPLEADO!C:Q,15,0),"")</f>
        <v>ARMIJOS MIÑAN ANGEL</v>
      </c>
      <c r="D12" s="11" t="s">
        <v>38</v>
      </c>
      <c r="E12" s="10" t="str">
        <f>IFERROR(VLOOKUP(D12,EMPLEADO!C:E,2,FALSE),"")</f>
        <v>BOMBERO</v>
      </c>
      <c r="F12" s="12">
        <f>IFERROR(ROUND(VLOOKUP('Reporte Asistencia Laboral'!D12,EMPLEADO!C:AE,3,FALSE)/30*AD12,2),"")</f>
        <v>0</v>
      </c>
      <c r="G12" s="204"/>
      <c r="H12" s="204"/>
      <c r="I12" s="229"/>
      <c r="J12" s="229"/>
      <c r="K12" s="229"/>
      <c r="L12" s="229"/>
      <c r="M12" s="204"/>
      <c r="N12" s="204"/>
      <c r="O12" s="204"/>
      <c r="P12" s="229"/>
      <c r="Q12" s="229"/>
      <c r="R12" s="229"/>
      <c r="S12" s="229"/>
      <c r="T12" s="229"/>
      <c r="U12" s="204"/>
      <c r="V12" s="40"/>
      <c r="W12" s="92">
        <f t="shared" si="1"/>
        <v>0</v>
      </c>
      <c r="X12" s="92">
        <f t="shared" si="2"/>
        <v>0</v>
      </c>
      <c r="Y12" s="117">
        <f t="shared" ref="Y12:Y20" si="3">IF($G$2="F",0,IF(G12&gt;8,G12-8,0))+IF($H$2="F",0,IF(H12&gt;8,H12-8,0))+IF($I$2="F",0,IF(I12&gt;8,I12-8,0))+IF($J$2="F",0,IF(J12&gt;8,J12-8,0))+IF($K$2="F",0,IF(K12&gt;8,K12-8,0))+IF($L$2="F",0,IF(L12&gt;8,L12-8,0))+IF($M$2="F",0,IF(M12&gt;8,M12-8,0))+IF($N$2="F",0,IF(N12&gt;8,N12-8,0))+IF($O$2="F",0,IF(O12&gt;8,O12-8,0))+IF($P$2="F",0,IF(P12&gt;8,P12-8,0))+IF($Q$2="F",0,IF(Q12&gt;8,Q12-8,0))+IF($R$2="F",0,IF(R12&gt;8,R12-8,0))+IF($S$2="F",0,IF(S12&gt;8,S12-8,0))+IF($T$2="F",0,IF(T12&gt;8,T12-8,0))+IF($U$2="F",0,IF(U12&gt;8,U12-8,0))+IF($V$2="F",0,IF(V12&gt;8,V12-8,0))</f>
        <v>0</v>
      </c>
      <c r="Z12" s="130"/>
      <c r="AA12" s="202"/>
      <c r="AB12" s="4"/>
      <c r="AC12" s="13">
        <f t="shared" ref="AC12:AC20" si="4">+SUM(G12:V12)</f>
        <v>0</v>
      </c>
      <c r="AD12" s="92">
        <f>IF(COUNT(G12:V12)&gt;15,COUNT(G12:V12)-1,COUNT(G12:U12))+AA12</f>
        <v>0</v>
      </c>
      <c r="AE12" s="13">
        <f>IF(Z12="N",0,Y12)</f>
        <v>0</v>
      </c>
      <c r="AF12" s="65">
        <f>IF(Z12="N",W12+X12+Y12,W12+X12)</f>
        <v>0</v>
      </c>
      <c r="AG12" s="115">
        <f>'CONTROL H.E.'!BJ11</f>
        <v>0</v>
      </c>
      <c r="AH12" s="115">
        <f>'CONTROL H.E.'!BK11</f>
        <v>0</v>
      </c>
      <c r="AI12" s="115">
        <f>'CONTROL H.E. Transf.'!BJ11</f>
        <v>0</v>
      </c>
      <c r="AJ12" s="115">
        <f>'CONTROL H.E. Transf.'!BK11</f>
        <v>0</v>
      </c>
      <c r="AK12" s="20">
        <f>IFERROR(ROUND((VLOOKUP(D12,EMPLEADO!C:F,3,FALSE)/240*1.5*(AE12+AG12+AI12)+(VLOOKUP(D12,EMPLEADO!C:F,3,FALSE)/240*2*(AF12+AH12+AJ12))),2),"")</f>
        <v>0</v>
      </c>
      <c r="AL12" s="148" t="str">
        <f>IFERROR(IF(C12=AS12,VLOOKUP(C12,Dato_Pesc!F:H,2,FALSE)," ")," ")</f>
        <v xml:space="preserve"> </v>
      </c>
      <c r="AM12" s="7">
        <f>IFERROR(IF(C12=AS12,VLOOKUP(C12,Dato_Pesc!F:H,3,FALSE),0),0)</f>
        <v>0</v>
      </c>
      <c r="AN12" s="6" t="str">
        <f>IFERROR(IF(C12=AT12,VLOOKUP(C12,Dato_Pesc!I:K,2,FALSE)," ")," ")</f>
        <v xml:space="preserve"> </v>
      </c>
      <c r="AO12" s="7">
        <f>IFERROR(IF(C12=AT12,VLOOKUP(C12,Dato_Pesc!I:K,3,FALSE),0),0)</f>
        <v>0</v>
      </c>
      <c r="AP12" s="20">
        <f ca="1">IFERROR(ROUND(((SUMIF('$ NOCHE_PESC'!$B$4:$C$11,AL12,'$ NOCHE_PESC'!$C$4:$C$11))*AM12)+((SUMIF('$ NOCHE_PESC'!$B$4:$C$11,AN12,'$ NOCHE_PESC'!$C$4:$C$11))*AO12),2),"")</f>
        <v>0</v>
      </c>
      <c r="AQ12" s="22"/>
      <c r="AS12" s="148" t="str">
        <f>IFERROR(IF(AT12=C12,AT12,VLOOKUP(C12,Dato_Pesc!B:K,5)),"")</f>
        <v/>
      </c>
      <c r="AT12" s="148" t="str">
        <f>IFERROR(VLOOKUP(C12,Dato_Pesc!B:K,8),"")</f>
        <v/>
      </c>
    </row>
    <row r="13" spans="2:46" ht="16.5" customHeight="1" x14ac:dyDescent="0.25">
      <c r="B13" s="27">
        <f t="shared" ref="B13:B30" si="5">B12+1</f>
        <v>3</v>
      </c>
      <c r="C13" s="10" t="str">
        <f>IFERROR(VLOOKUP('Reporte Asistencia Laboral'!D13,EMPLEADO!C:Q,15,0),"")</f>
        <v>SOTO CANGO ROBER CORNELIO</v>
      </c>
      <c r="D13" s="11" t="s">
        <v>41</v>
      </c>
      <c r="E13" s="10" t="str">
        <f>IFERROR(VLOOKUP(D13,EMPLEADO!C:E,2,FALSE),"")</f>
        <v>DIARIO</v>
      </c>
      <c r="F13" s="12">
        <f>IFERROR(ROUND(VLOOKUP('Reporte Asistencia Laboral'!D13,EMPLEADO!C:AE,3,FALSE)/30*AD13,2),"")</f>
        <v>133.16999999999999</v>
      </c>
      <c r="G13" s="204">
        <v>0</v>
      </c>
      <c r="H13" s="204">
        <v>0</v>
      </c>
      <c r="I13" s="246">
        <v>8</v>
      </c>
      <c r="J13" s="246">
        <v>8</v>
      </c>
      <c r="K13" s="229">
        <v>8</v>
      </c>
      <c r="L13" s="229">
        <v>8</v>
      </c>
      <c r="M13" s="204">
        <v>0</v>
      </c>
      <c r="N13" s="249">
        <v>0</v>
      </c>
      <c r="O13" s="204">
        <v>8</v>
      </c>
      <c r="P13" s="229">
        <v>8</v>
      </c>
      <c r="Q13" s="229"/>
      <c r="R13" s="229"/>
      <c r="S13" s="229"/>
      <c r="T13" s="229"/>
      <c r="U13" s="204"/>
      <c r="V13" s="40"/>
      <c r="W13" s="92">
        <f t="shared" si="1"/>
        <v>8</v>
      </c>
      <c r="X13" s="92">
        <f>IF($G$6="F",G13,0)+IF($H$6="F",+H13,0)+IF($I$6="F",+I13,0)+IF($J$6="F",+J13,0)+IF($K$6="F",+K13,0)+IF($L$6="F",+L13,0)+IF($M$6="F",+M13,0)+IF($N$6="F",+N13,0)+IF($O$6="F",+O13,0)+IF($P$6="F",+P13,0)+IF($Q$6="F",+Q13,0)+IF($R$6="F",+R13,0)+IF($S$6="F",+S13,0)+IF($T$6="F",+T13,0)+IF($U$6="F",+U13,0)+IF($V$6="F",+V13,0)</f>
        <v>0</v>
      </c>
      <c r="Y13" s="117">
        <f t="shared" si="3"/>
        <v>0</v>
      </c>
      <c r="Z13" s="130"/>
      <c r="AA13" s="202"/>
      <c r="AB13" s="4"/>
      <c r="AC13" s="13">
        <f t="shared" si="4"/>
        <v>48</v>
      </c>
      <c r="AD13" s="92">
        <f t="shared" ref="AD13:AD20" si="6">IF(COUNT(G13:V13)&gt;15,COUNT(G13:V13)-1,COUNT(G13:U13))+AA13</f>
        <v>10</v>
      </c>
      <c r="AE13" s="13">
        <f t="shared" ref="AE13:AE14" si="7">IF(Z13="N",0,Y13)</f>
        <v>0</v>
      </c>
      <c r="AF13" s="65">
        <f t="shared" ref="AF13:AF20" si="8">IF(Z13="N",W13+X13+Y13,W13+X13)</f>
        <v>8</v>
      </c>
      <c r="AG13" s="115">
        <f>'CONTROL H.E.'!BJ12</f>
        <v>0</v>
      </c>
      <c r="AH13" s="115">
        <f>'CONTROL H.E.'!BK12</f>
        <v>0</v>
      </c>
      <c r="AI13" s="115">
        <f>'CONTROL H.E. Transf.'!BJ12</f>
        <v>0</v>
      </c>
      <c r="AJ13" s="115">
        <f>'CONTROL H.E. Transf.'!BK12</f>
        <v>0</v>
      </c>
      <c r="AK13" s="20">
        <f>IFERROR(ROUND((VLOOKUP(D13,EMPLEADO!C:F,3,FALSE)/240*1.5*(AE13+AG13+AI13)+(VLOOKUP(D13,EMPLEADO!C:F,3,FALSE)/240*2*(AF13+AH13+AJ13))),2),"")</f>
        <v>26.63</v>
      </c>
      <c r="AL13" s="148" t="str">
        <f>IFERROR(IF(C13=AS13,VLOOKUP(C13,Dato_Pesc!F:H,2,FALSE)," ")," ")</f>
        <v xml:space="preserve"> </v>
      </c>
      <c r="AM13" s="7">
        <f>IFERROR(IF(C13=AS13,VLOOKUP(C13,Dato_Pesc!F:H,3,FALSE),0),0)</f>
        <v>0</v>
      </c>
      <c r="AN13" s="6" t="str">
        <f>IFERROR(IF(C13=AT13,VLOOKUP(C13,Dato_Pesc!I:K,2,FALSE)," ")," ")</f>
        <v xml:space="preserve"> </v>
      </c>
      <c r="AO13" s="7">
        <f>IFERROR(IF(C13=AT13,VLOOKUP(C13,Dato_Pesc!I:K,3,FALSE),0),0)</f>
        <v>0</v>
      </c>
      <c r="AP13" s="20">
        <f ca="1">IFERROR(ROUND(((SUMIF('$ NOCHE_PESC'!$B$4:$C$11,AL13,'$ NOCHE_PESC'!$C$4:$C$11))*AM13)+((SUMIF('$ NOCHE_PESC'!$B$4:$C$11,AN13,'$ NOCHE_PESC'!$C$4:$C$11))*AO13),2),"")</f>
        <v>0</v>
      </c>
      <c r="AQ13" s="22"/>
      <c r="AS13" s="148" t="str">
        <f>IFERROR(IF(AT13=C13,AT13,VLOOKUP(C13,Dato_Pesc!B:K,5)),"")</f>
        <v/>
      </c>
      <c r="AT13" s="148" t="str">
        <f>IFERROR(VLOOKUP(C13,Dato_Pesc!B:K,8),"")</f>
        <v/>
      </c>
    </row>
    <row r="14" spans="2:46" ht="16.5" customHeight="1" x14ac:dyDescent="0.25">
      <c r="B14" s="27">
        <f t="shared" si="5"/>
        <v>4</v>
      </c>
      <c r="C14" s="10" t="str">
        <f>IFERROR(VLOOKUP('Reporte Asistencia Laboral'!D14,EMPLEADO!C:Q,15,0),"")</f>
        <v>CANGO QUITO JOSE LEOVARDO</v>
      </c>
      <c r="D14" s="11" t="s">
        <v>42</v>
      </c>
      <c r="E14" s="10" t="str">
        <f>IFERROR(VLOOKUP(D14,EMPLEADO!C:E,2,FALSE),"")</f>
        <v>DIARIO</v>
      </c>
      <c r="F14" s="12">
        <f>IFERROR(ROUND(VLOOKUP('Reporte Asistencia Laboral'!D14,EMPLEADO!C:AE,3,FALSE)/30*AD14,2),"")</f>
        <v>0</v>
      </c>
      <c r="G14" s="204"/>
      <c r="H14" s="204"/>
      <c r="I14" s="229"/>
      <c r="J14" s="229"/>
      <c r="K14" s="229"/>
      <c r="L14" s="229"/>
      <c r="M14" s="204"/>
      <c r="N14" s="204"/>
      <c r="O14" s="204"/>
      <c r="P14" s="229"/>
      <c r="Q14" s="229"/>
      <c r="R14" s="229"/>
      <c r="S14" s="229"/>
      <c r="T14" s="229"/>
      <c r="U14" s="204"/>
      <c r="V14" s="40"/>
      <c r="W14" s="92">
        <f t="shared" si="1"/>
        <v>0</v>
      </c>
      <c r="X14" s="92">
        <f>IF($G$6="F",G14,0)+IF($H$6="F",+H14,0)+IF($I$6="F",+I14,0)+IF($J$6="F",+J14,0)+IF($K$6="F",+K14,0)+IF($L$6="F",+L14,0)+IF($M$6="F",+M14,0)+IF($N$6="F",+N14,0)+IF($O$6="F",+O14,0)+IF($P$6="F",+P14,0)+IF($Q$6="F",+Q14,0)+IF($R$6="F",+R14,0)+IF($S$6="F",+S14,0)+IF($T$6="F",+T14,0)+IF($U$6="F",+U14,0)+IF($V$6="F",+V14,0)</f>
        <v>0</v>
      </c>
      <c r="Y14" s="117">
        <f t="shared" si="3"/>
        <v>0</v>
      </c>
      <c r="Z14" s="130"/>
      <c r="AA14" s="202"/>
      <c r="AB14" s="4"/>
      <c r="AC14" s="13">
        <f t="shared" si="4"/>
        <v>0</v>
      </c>
      <c r="AD14" s="92">
        <f t="shared" si="6"/>
        <v>0</v>
      </c>
      <c r="AE14" s="13">
        <f t="shared" si="7"/>
        <v>0</v>
      </c>
      <c r="AF14" s="65">
        <f t="shared" si="8"/>
        <v>0</v>
      </c>
      <c r="AG14" s="115">
        <f>'CONTROL H.E.'!BJ13</f>
        <v>0</v>
      </c>
      <c r="AH14" s="115">
        <f>'CONTROL H.E.'!BK13</f>
        <v>0</v>
      </c>
      <c r="AI14" s="115">
        <f>'CONTROL H.E. Transf.'!BJ13</f>
        <v>0</v>
      </c>
      <c r="AJ14" s="115">
        <f>'CONTROL H.E. Transf.'!BK13</f>
        <v>0</v>
      </c>
      <c r="AK14" s="20">
        <f>IFERROR(ROUND((VLOOKUP(D14,EMPLEADO!C:F,3,FALSE)/240*1.5*(AE14+AG14+AI14)+(VLOOKUP(D14,EMPLEADO!C:F,3,FALSE)/240*2*(AF14+AH14+AJ14))),2),"")</f>
        <v>0</v>
      </c>
      <c r="AL14" s="148" t="str">
        <f>IFERROR(IF(C14=AS14,VLOOKUP(C14,Dato_Pesc!F:H,2,FALSE)," ")," ")</f>
        <v xml:space="preserve"> </v>
      </c>
      <c r="AM14" s="7">
        <f>IFERROR(IF(C14=AS14,VLOOKUP(C14,Dato_Pesc!F:H,3,FALSE),0),0)</f>
        <v>0</v>
      </c>
      <c r="AN14" s="6" t="str">
        <f>IFERROR(IF(C14=AT14,VLOOKUP(C14,Dato_Pesc!I:K,2,FALSE)," ")," ")</f>
        <v xml:space="preserve"> </v>
      </c>
      <c r="AO14" s="7">
        <f>IFERROR(IF(C14=AT14,VLOOKUP(C14,Dato_Pesc!I:K,3,FALSE),0),0)</f>
        <v>0</v>
      </c>
      <c r="AP14" s="20">
        <f ca="1">IFERROR(ROUND(((SUMIF('$ NOCHE_PESC'!$B$4:$C$11,AL14,'$ NOCHE_PESC'!$C$4:$C$11))*AM14)+((SUMIF('$ NOCHE_PESC'!$B$4:$C$11,AN14,'$ NOCHE_PESC'!$C$4:$C$11))*AO14),2),"")</f>
        <v>0</v>
      </c>
      <c r="AQ14" s="22"/>
      <c r="AS14" s="148" t="str">
        <f>IFERROR(IF(AT14=C14,AT14,VLOOKUP(C14,Dato_Pesc!B:K,5)),"")</f>
        <v/>
      </c>
      <c r="AT14" s="148" t="str">
        <f>IFERROR(VLOOKUP(C14,Dato_Pesc!B:K,8),"")</f>
        <v/>
      </c>
    </row>
    <row r="15" spans="2:46" ht="16.5" customHeight="1" x14ac:dyDescent="0.25">
      <c r="B15" s="27">
        <f t="shared" si="5"/>
        <v>5</v>
      </c>
      <c r="C15" s="10" t="str">
        <f>IFERROR(VLOOKUP('Reporte Asistencia Laboral'!D15,EMPLEADO!C:Q,15,0),"")</f>
        <v>GOMEZ ESPINOZA GASTON SANTOS</v>
      </c>
      <c r="D15" s="11" t="s">
        <v>53</v>
      </c>
      <c r="E15" s="10" t="str">
        <f>IFERROR(VLOOKUP(D15,EMPLEADO!C:E,2,FALSE),"")</f>
        <v>CARPINTERO</v>
      </c>
      <c r="F15" s="12">
        <f>IFERROR(ROUND(VLOOKUP('Reporte Asistencia Laboral'!D15,EMPLEADO!C:AE,3,FALSE)/30*AD15,2),"")</f>
        <v>122.86</v>
      </c>
      <c r="G15" s="204">
        <v>8</v>
      </c>
      <c r="H15" s="204">
        <v>8</v>
      </c>
      <c r="I15" s="246">
        <v>8</v>
      </c>
      <c r="J15" s="247">
        <v>0</v>
      </c>
      <c r="K15" s="247">
        <v>0</v>
      </c>
      <c r="L15" s="247">
        <v>0</v>
      </c>
      <c r="M15" s="248"/>
      <c r="N15" s="204">
        <v>0</v>
      </c>
      <c r="O15" s="204">
        <v>0</v>
      </c>
      <c r="P15" s="246">
        <v>8</v>
      </c>
      <c r="Q15" s="229"/>
      <c r="R15" s="229"/>
      <c r="S15" s="229"/>
      <c r="T15" s="229"/>
      <c r="U15" s="204"/>
      <c r="V15" s="40"/>
      <c r="W15" s="92">
        <f t="shared" si="1"/>
        <v>16</v>
      </c>
      <c r="X15" s="92">
        <f t="shared" ref="X15:X20" si="9">IF($G$6="F",G15,0)+IF($H$6="F",+H15,0)+IF($I$6="F",+I15,0)+IF($J$6="F",+J15,0)+IF($K$6="F",+K15,0)+IF($L$6="F",+L15,0)+IF($M$6="F",+M15,0)+IF($N$6="F",+N15,0)+IF($O$6="F",+O15,0)+IF($P$6="F",+P15,0)+IF($Q$6="F",+Q15,0)+IF($R$6="F",+R15,0)+IF($S$6="F",+S15,0)+IF($T$6="F",+T15,0)+IF($U$6="F",+U15,0)+IF($V$6="F",+V15,0)</f>
        <v>0</v>
      </c>
      <c r="Y15" s="117">
        <f t="shared" si="3"/>
        <v>0</v>
      </c>
      <c r="Z15" s="130"/>
      <c r="AA15" s="202"/>
      <c r="AB15" s="4"/>
      <c r="AC15" s="13">
        <f t="shared" si="4"/>
        <v>32</v>
      </c>
      <c r="AD15" s="92">
        <f t="shared" si="6"/>
        <v>9</v>
      </c>
      <c r="AE15" s="13">
        <f t="shared" ref="AE15:AE20" si="10">IF(Z15="N",0,Y15)</f>
        <v>0</v>
      </c>
      <c r="AF15" s="65">
        <f t="shared" si="8"/>
        <v>16</v>
      </c>
      <c r="AG15" s="115">
        <f>'CONTROL H.E.'!BJ14</f>
        <v>0</v>
      </c>
      <c r="AH15" s="115">
        <f>'CONTROL H.E.'!BK14</f>
        <v>0</v>
      </c>
      <c r="AI15" s="115">
        <f>'CONTROL H.E. Transf.'!BJ14</f>
        <v>0</v>
      </c>
      <c r="AJ15" s="115">
        <f>'CONTROL H.E. Transf.'!BK14</f>
        <v>0</v>
      </c>
      <c r="AK15" s="20">
        <f>IFERROR(ROUND((VLOOKUP(D15,EMPLEADO!C:F,3,FALSE)/240*1.5*(AE15+AG15+AI15)+(VLOOKUP(D15,EMPLEADO!C:F,3,FALSE)/240*2*(AF15+AH15+AJ15))),2),"")</f>
        <v>54.6</v>
      </c>
      <c r="AL15" s="148" t="str">
        <f>IFERROR(IF(C15=AS15,VLOOKUP(C15,Dato_Pesc!F:H,2,FALSE)," ")," ")</f>
        <v xml:space="preserve"> </v>
      </c>
      <c r="AM15" s="7">
        <f>IFERROR(IF(C15=AS15,VLOOKUP(C15,Dato_Pesc!F:H,3,FALSE),0),0)</f>
        <v>0</v>
      </c>
      <c r="AN15" s="6" t="str">
        <f>IFERROR(IF(C15=AT15,VLOOKUP(C15,Dato_Pesc!I:K,2,FALSE)," ")," ")</f>
        <v xml:space="preserve"> </v>
      </c>
      <c r="AO15" s="7">
        <f>IFERROR(IF(C15=AT15,VLOOKUP(C15,Dato_Pesc!I:K,3,FALSE),0),0)</f>
        <v>0</v>
      </c>
      <c r="AP15" s="20">
        <f ca="1">IFERROR(ROUND(((SUMIF('$ NOCHE_PESC'!$B$4:$C$11,AL15,'$ NOCHE_PESC'!$C$4:$C$11))*AM15)+((SUMIF('$ NOCHE_PESC'!$B$4:$C$11,AN15,'$ NOCHE_PESC'!$C$4:$C$11))*AO15),2),"")</f>
        <v>0</v>
      </c>
      <c r="AQ15" s="22"/>
      <c r="AS15" s="148" t="str">
        <f>IFERROR(IF(AT15=C15,AT15,VLOOKUP(C15,Dato_Pesc!B:K,5)),"")</f>
        <v/>
      </c>
      <c r="AT15" s="148" t="str">
        <f>IFERROR(VLOOKUP(C15,Dato_Pesc!B:K,8),"")</f>
        <v/>
      </c>
    </row>
    <row r="16" spans="2:46" ht="16.5" customHeight="1" x14ac:dyDescent="0.25">
      <c r="B16" s="27">
        <f t="shared" si="5"/>
        <v>6</v>
      </c>
      <c r="C16" s="10" t="str">
        <f>IFERROR(VLOOKUP('Reporte Asistencia Laboral'!D16,EMPLEADO!C:Q,15,0),"")</f>
        <v>BRAVO QUINTO JORGE DANIEL</v>
      </c>
      <c r="D16" s="28" t="s">
        <v>57</v>
      </c>
      <c r="E16" s="10" t="str">
        <f>IFERROR(VLOOKUP(D16,EMPLEADO!C:E,2,FALSE),"")</f>
        <v>DIARIO</v>
      </c>
      <c r="F16" s="12">
        <f>IFERROR(ROUND(VLOOKUP('Reporte Asistencia Laboral'!D16,EMPLEADO!C:AE,3,FALSE)/30*AD16,2),"")</f>
        <v>0</v>
      </c>
      <c r="G16" s="204"/>
      <c r="H16" s="204"/>
      <c r="I16" s="229"/>
      <c r="J16" s="229"/>
      <c r="K16" s="229"/>
      <c r="L16" s="229"/>
      <c r="M16" s="204"/>
      <c r="N16" s="204"/>
      <c r="O16" s="204"/>
      <c r="P16" s="229"/>
      <c r="Q16" s="229"/>
      <c r="R16" s="229"/>
      <c r="S16" s="229"/>
      <c r="T16" s="229"/>
      <c r="U16" s="204"/>
      <c r="V16" s="40"/>
      <c r="W16" s="92">
        <f t="shared" si="1"/>
        <v>0</v>
      </c>
      <c r="X16" s="92">
        <f t="shared" si="9"/>
        <v>0</v>
      </c>
      <c r="Y16" s="117">
        <f t="shared" si="3"/>
        <v>0</v>
      </c>
      <c r="Z16" s="130"/>
      <c r="AA16" s="202"/>
      <c r="AB16" s="4"/>
      <c r="AC16" s="13">
        <f t="shared" si="4"/>
        <v>0</v>
      </c>
      <c r="AD16" s="92">
        <f t="shared" si="6"/>
        <v>0</v>
      </c>
      <c r="AE16" s="13">
        <f t="shared" si="10"/>
        <v>0</v>
      </c>
      <c r="AF16" s="65">
        <f t="shared" si="8"/>
        <v>0</v>
      </c>
      <c r="AG16" s="115">
        <f>'CONTROL H.E.'!BJ15</f>
        <v>0</v>
      </c>
      <c r="AH16" s="115">
        <f>'CONTROL H.E.'!BK15</f>
        <v>0</v>
      </c>
      <c r="AI16" s="115">
        <f>'CONTROL H.E. Transf.'!BJ15</f>
        <v>0</v>
      </c>
      <c r="AJ16" s="115">
        <f>'CONTROL H.E. Transf.'!BK15</f>
        <v>0</v>
      </c>
      <c r="AK16" s="20">
        <f>IFERROR(ROUND((VLOOKUP(D16,EMPLEADO!C:F,3,FALSE)/240*1.5*(AE16+AG16+AI16)+(VLOOKUP(D16,EMPLEADO!C:F,3,FALSE)/240*2*(AF16+AH16+AJ16))),2),"")</f>
        <v>0</v>
      </c>
      <c r="AL16" s="148" t="str">
        <f>IFERROR(IF(C16=AS16,VLOOKUP(C16,Dato_Pesc!F:H,2,FALSE)," ")," ")</f>
        <v xml:space="preserve"> </v>
      </c>
      <c r="AM16" s="7">
        <f>IFERROR(IF(C16=AS16,VLOOKUP(C16,Dato_Pesc!F:H,3,FALSE),0),0)</f>
        <v>0</v>
      </c>
      <c r="AN16" s="6" t="str">
        <f>IFERROR(IF(C16=AT16,VLOOKUP(C16,Dato_Pesc!I:K,2,FALSE)," ")," ")</f>
        <v xml:space="preserve"> </v>
      </c>
      <c r="AO16" s="7">
        <f>IFERROR(IF(C16=AT16,VLOOKUP(C16,Dato_Pesc!I:K,3,FALSE),0),0)</f>
        <v>0</v>
      </c>
      <c r="AP16" s="20">
        <f ca="1">IFERROR(ROUND(((SUMIF('$ NOCHE_PESC'!$B$4:$C$11,AL16,'$ NOCHE_PESC'!$C$4:$C$11))*AM16)+((SUMIF('$ NOCHE_PESC'!$B$4:$C$11,AN16,'$ NOCHE_PESC'!$C$4:$C$11))*AO16),2),"")</f>
        <v>0</v>
      </c>
      <c r="AQ16" s="22"/>
      <c r="AS16" s="148" t="str">
        <f>IFERROR(IF(AT16=C16,AT16,VLOOKUP(C16,Dato_Pesc!B:K,5)),"")</f>
        <v/>
      </c>
      <c r="AT16" s="148" t="str">
        <f>IFERROR(VLOOKUP(C16,Dato_Pesc!B:K,8),"")</f>
        <v/>
      </c>
    </row>
    <row r="17" spans="2:47" ht="16.5" customHeight="1" x14ac:dyDescent="0.25">
      <c r="B17" s="27">
        <f t="shared" si="5"/>
        <v>7</v>
      </c>
      <c r="C17" s="10" t="str">
        <f>IFERROR(VLOOKUP('Reporte Asistencia Laboral'!D17,EMPLEADO!C:Q,15,0),"")</f>
        <v>CUEVA LUDEÑA MANUEL DE JESUS</v>
      </c>
      <c r="D17" s="27" t="s">
        <v>86</v>
      </c>
      <c r="E17" s="10" t="str">
        <f>IFERROR(VLOOKUP(D17,EMPLEADO!C:E,2,FALSE),"")</f>
        <v>DIARIO</v>
      </c>
      <c r="F17" s="12">
        <f>IFERROR(ROUND(VLOOKUP('Reporte Asistencia Laboral'!D17,EMPLEADO!C:AE,3,FALSE)/30*AD17,2),"")</f>
        <v>199.76</v>
      </c>
      <c r="G17" s="204">
        <v>0</v>
      </c>
      <c r="H17" s="204">
        <v>0</v>
      </c>
      <c r="I17" s="229">
        <v>8</v>
      </c>
      <c r="J17" s="229">
        <v>8</v>
      </c>
      <c r="K17" s="229">
        <v>8</v>
      </c>
      <c r="L17" s="229">
        <v>8</v>
      </c>
      <c r="M17" s="204">
        <v>0</v>
      </c>
      <c r="N17" s="249">
        <v>6</v>
      </c>
      <c r="O17" s="204">
        <v>8</v>
      </c>
      <c r="P17" s="229">
        <v>8</v>
      </c>
      <c r="Q17" s="229">
        <v>8</v>
      </c>
      <c r="R17" s="229">
        <v>8</v>
      </c>
      <c r="S17" s="229">
        <v>8</v>
      </c>
      <c r="T17" s="229">
        <v>8</v>
      </c>
      <c r="U17" s="204">
        <v>0</v>
      </c>
      <c r="V17" s="40"/>
      <c r="W17" s="92">
        <f t="shared" si="1"/>
        <v>14</v>
      </c>
      <c r="X17" s="92">
        <f t="shared" si="9"/>
        <v>0</v>
      </c>
      <c r="Y17" s="117">
        <f t="shared" si="3"/>
        <v>0</v>
      </c>
      <c r="Z17" s="130"/>
      <c r="AA17" s="202"/>
      <c r="AB17" s="4"/>
      <c r="AC17" s="13">
        <f t="shared" si="4"/>
        <v>86</v>
      </c>
      <c r="AD17" s="92">
        <f t="shared" si="6"/>
        <v>15</v>
      </c>
      <c r="AE17" s="13">
        <f t="shared" si="10"/>
        <v>0</v>
      </c>
      <c r="AF17" s="65">
        <f t="shared" si="8"/>
        <v>14</v>
      </c>
      <c r="AG17" s="115">
        <f>'CONTROL H.E.'!BJ16</f>
        <v>0</v>
      </c>
      <c r="AH17" s="115">
        <f>'CONTROL H.E.'!BK16</f>
        <v>0</v>
      </c>
      <c r="AI17" s="115">
        <f>'CONTROL H.E. Transf.'!BJ16</f>
        <v>0</v>
      </c>
      <c r="AJ17" s="115">
        <f>'CONTROL H.E. Transf.'!BK16</f>
        <v>0</v>
      </c>
      <c r="AK17" s="20">
        <f>IFERROR(ROUND((VLOOKUP(D17,EMPLEADO!C:F,3,FALSE)/240*1.5*(AE17+AG17+AI17)+(VLOOKUP(D17,EMPLEADO!C:F,3,FALSE)/240*2*(AF17+AH17+AJ17))),2),"")</f>
        <v>46.61</v>
      </c>
      <c r="AL17" s="148" t="str">
        <f>IFERROR(IF(C17=AS17,VLOOKUP(C17,Dato_Pesc!F:H,2,FALSE)," ")," ")</f>
        <v xml:space="preserve"> </v>
      </c>
      <c r="AM17" s="7">
        <f>IFERROR(IF(C17=AS17,VLOOKUP(C17,Dato_Pesc!F:H,3,FALSE),0),0)</f>
        <v>0</v>
      </c>
      <c r="AN17" s="6" t="str">
        <f>IFERROR(IF(C17=AT17,VLOOKUP(C17,Dato_Pesc!I:K,2,FALSE)," ")," ")</f>
        <v xml:space="preserve"> </v>
      </c>
      <c r="AO17" s="7">
        <f>IFERROR(IF(C17=AT17,VLOOKUP(C17,Dato_Pesc!I:K,3,FALSE),0),0)</f>
        <v>0</v>
      </c>
      <c r="AP17" s="20">
        <f ca="1">IFERROR(ROUND(((SUMIF('$ NOCHE_PESC'!$B$4:$C$11,AL17,'$ NOCHE_PESC'!$C$4:$C$11))*AM17)+((SUMIF('$ NOCHE_PESC'!$B$4:$C$11,AN17,'$ NOCHE_PESC'!$C$4:$C$11))*AO17),2),"")</f>
        <v>0</v>
      </c>
      <c r="AQ17" s="22"/>
      <c r="AS17" s="148" t="str">
        <f>IFERROR(IF(AT17=C17,AT17,VLOOKUP(C17,Dato_Pesc!B:K,5)),"")</f>
        <v/>
      </c>
      <c r="AT17" s="148" t="str">
        <f>IFERROR(VLOOKUP(C17,Dato_Pesc!B:K,8),"")</f>
        <v/>
      </c>
    </row>
    <row r="18" spans="2:47" ht="16.5" customHeight="1" x14ac:dyDescent="0.25">
      <c r="B18" s="27">
        <f t="shared" si="5"/>
        <v>8</v>
      </c>
      <c r="C18" s="10" t="str">
        <f>IFERROR(VLOOKUP('Reporte Asistencia Laboral'!D18,EMPLEADO!C:Q,15,0),"")</f>
        <v>JARA ARMIJOS CESAR HOMERO</v>
      </c>
      <c r="D18" s="27" t="s">
        <v>87</v>
      </c>
      <c r="E18" s="10" t="str">
        <f>IFERROR(VLOOKUP(D18,EMPLEADO!C:E,2,FALSE),"")</f>
        <v>DIARIO</v>
      </c>
      <c r="F18" s="12">
        <f>IFERROR(ROUND(VLOOKUP('Reporte Asistencia Laboral'!D18,EMPLEADO!C:AE,3,FALSE)/30*AD18,2),"")</f>
        <v>0</v>
      </c>
      <c r="G18" s="204"/>
      <c r="H18" s="204"/>
      <c r="I18" s="229"/>
      <c r="J18" s="229"/>
      <c r="K18" s="229"/>
      <c r="L18" s="229"/>
      <c r="M18" s="204"/>
      <c r="N18" s="204"/>
      <c r="O18" s="204"/>
      <c r="P18" s="229"/>
      <c r="Q18" s="229"/>
      <c r="R18" s="229"/>
      <c r="S18" s="229"/>
      <c r="T18" s="229"/>
      <c r="U18" s="204"/>
      <c r="V18" s="40"/>
      <c r="W18" s="92">
        <f t="shared" si="1"/>
        <v>0</v>
      </c>
      <c r="X18" s="92">
        <f t="shared" si="9"/>
        <v>0</v>
      </c>
      <c r="Y18" s="117">
        <f t="shared" si="3"/>
        <v>0</v>
      </c>
      <c r="Z18" s="131"/>
      <c r="AA18" s="202"/>
      <c r="AB18" s="4"/>
      <c r="AC18" s="13">
        <f t="shared" si="4"/>
        <v>0</v>
      </c>
      <c r="AD18" s="92">
        <f t="shared" si="6"/>
        <v>0</v>
      </c>
      <c r="AE18" s="13">
        <f t="shared" si="10"/>
        <v>0</v>
      </c>
      <c r="AF18" s="65">
        <f t="shared" si="8"/>
        <v>0</v>
      </c>
      <c r="AG18" s="115">
        <f>'CONTROL H.E.'!BJ17</f>
        <v>0</v>
      </c>
      <c r="AH18" s="115">
        <f>'CONTROL H.E.'!BK17</f>
        <v>0</v>
      </c>
      <c r="AI18" s="115">
        <f>'CONTROL H.E. Transf.'!BJ17</f>
        <v>0</v>
      </c>
      <c r="AJ18" s="115">
        <f>'CONTROL H.E. Transf.'!BK17</f>
        <v>0</v>
      </c>
      <c r="AK18" s="20">
        <f>IFERROR(ROUND((VLOOKUP(D18,EMPLEADO!C:F,3,FALSE)/240*1.5*(AE18+AG18+AI18)+(VLOOKUP(D18,EMPLEADO!C:F,3,FALSE)/240*2*(AF18+AH18+AJ18))),2),"")</f>
        <v>0</v>
      </c>
      <c r="AL18" s="148" t="str">
        <f>IFERROR(IF(C18=AS18,VLOOKUP(C18,Dato_Pesc!F:H,2,FALSE)," ")," ")</f>
        <v xml:space="preserve"> </v>
      </c>
      <c r="AM18" s="7">
        <f>IFERROR(IF(C18=AS18,VLOOKUP(C18,Dato_Pesc!F:H,3,FALSE),0),0)</f>
        <v>0</v>
      </c>
      <c r="AN18" s="6" t="str">
        <f>IFERROR(IF(C18=AT18,VLOOKUP(C18,Dato_Pesc!I:K,2,FALSE)," ")," ")</f>
        <v xml:space="preserve"> </v>
      </c>
      <c r="AO18" s="7">
        <f>IFERROR(IF(C18=AT18,VLOOKUP(C18,Dato_Pesc!I:K,3,FALSE),0),0)</f>
        <v>0</v>
      </c>
      <c r="AP18" s="20">
        <f ca="1">IFERROR(ROUND(((SUMIF('$ NOCHE_PESC'!$B$4:$C$11,AL18,'$ NOCHE_PESC'!$C$4:$C$11))*AM18)+((SUMIF('$ NOCHE_PESC'!$B$4:$C$11,AN18,'$ NOCHE_PESC'!$C$4:$C$11))*AO18),2),"")</f>
        <v>0</v>
      </c>
      <c r="AQ18" s="22"/>
      <c r="AS18" s="148" t="str">
        <f>IFERROR(IF(AT18=C18,AT18,VLOOKUP(C18,Dato_Pesc!B:K,5)),"")</f>
        <v/>
      </c>
      <c r="AT18" s="148" t="str">
        <f>IFERROR(VLOOKUP(C18,Dato_Pesc!B:K,8),"")</f>
        <v/>
      </c>
    </row>
    <row r="19" spans="2:47" ht="16.5" customHeight="1" x14ac:dyDescent="0.25">
      <c r="B19" s="27">
        <f t="shared" si="5"/>
        <v>9</v>
      </c>
      <c r="C19" s="10" t="str">
        <f>IFERROR(VLOOKUP('Reporte Asistencia Laboral'!D19,EMPLEADO!C:Q,15,0),"")</f>
        <v>CASTILLO OCHOA HERIBERTO GUILLERMO</v>
      </c>
      <c r="D19" s="27" t="s">
        <v>92</v>
      </c>
      <c r="E19" s="10" t="str">
        <f>IFERROR(VLOOKUP(D19,EMPLEADO!C:E,2,FALSE),"")</f>
        <v>DIARIO</v>
      </c>
      <c r="F19" s="12">
        <f>IFERROR(ROUND(VLOOKUP('Reporte Asistencia Laboral'!D19,EMPLEADO!C:AE,3,FALSE)/30*AD19,2),"")</f>
        <v>199.76</v>
      </c>
      <c r="G19" s="249">
        <v>6</v>
      </c>
      <c r="H19" s="204">
        <v>8</v>
      </c>
      <c r="I19" s="366">
        <v>8</v>
      </c>
      <c r="J19" s="229">
        <v>8</v>
      </c>
      <c r="K19" s="229">
        <v>8</v>
      </c>
      <c r="L19" s="229">
        <v>8</v>
      </c>
      <c r="M19" s="204">
        <v>0</v>
      </c>
      <c r="N19" s="204">
        <v>0</v>
      </c>
      <c r="O19" s="204">
        <v>0</v>
      </c>
      <c r="P19" s="229">
        <v>8</v>
      </c>
      <c r="Q19" s="229">
        <v>8</v>
      </c>
      <c r="R19" s="229">
        <v>8</v>
      </c>
      <c r="S19" s="229">
        <v>8</v>
      </c>
      <c r="T19" s="229">
        <v>8</v>
      </c>
      <c r="U19" s="249">
        <v>6</v>
      </c>
      <c r="V19" s="40"/>
      <c r="W19" s="92">
        <f t="shared" si="1"/>
        <v>20</v>
      </c>
      <c r="X19" s="92">
        <f t="shared" si="9"/>
        <v>0</v>
      </c>
      <c r="Y19" s="117">
        <f t="shared" si="3"/>
        <v>0</v>
      </c>
      <c r="Z19" s="131"/>
      <c r="AA19" s="202"/>
      <c r="AB19" s="4"/>
      <c r="AC19" s="13">
        <f t="shared" si="4"/>
        <v>92</v>
      </c>
      <c r="AD19" s="92">
        <f t="shared" si="6"/>
        <v>15</v>
      </c>
      <c r="AE19" s="13">
        <f t="shared" si="10"/>
        <v>0</v>
      </c>
      <c r="AF19" s="65">
        <f t="shared" si="8"/>
        <v>20</v>
      </c>
      <c r="AG19" s="115">
        <f>'CONTROL H.E.'!BJ18</f>
        <v>0</v>
      </c>
      <c r="AH19" s="115">
        <f>'CONTROL H.E.'!BK18</f>
        <v>0</v>
      </c>
      <c r="AI19" s="115">
        <f>'CONTROL H.E. Transf.'!BJ18</f>
        <v>0</v>
      </c>
      <c r="AJ19" s="115">
        <f>'CONTROL H.E. Transf.'!BK18</f>
        <v>0</v>
      </c>
      <c r="AK19" s="20">
        <f>IFERROR(ROUND((VLOOKUP(D19,EMPLEADO!C:F,3,FALSE)/240*1.5*(AE19+AG19+AI19)+(VLOOKUP(D19,EMPLEADO!C:F,3,FALSE)/240*2*(AF19+AH19+AJ19))),2),"")</f>
        <v>66.59</v>
      </c>
      <c r="AL19" s="148" t="str">
        <f>IFERROR(IF(C19=AS19,VLOOKUP(C19,Dato_Pesc!F:H,2,FALSE)," ")," ")</f>
        <v xml:space="preserve"> </v>
      </c>
      <c r="AM19" s="7">
        <f>IFERROR(IF(C19=AS19,VLOOKUP(C19,Dato_Pesc!F:H,3,FALSE),0),0)</f>
        <v>0</v>
      </c>
      <c r="AN19" s="6" t="str">
        <f>IFERROR(IF(C19=AT19,VLOOKUP(C19,Dato_Pesc!I:K,2,FALSE)," ")," ")</f>
        <v xml:space="preserve"> </v>
      </c>
      <c r="AO19" s="7">
        <f>IFERROR(IF(C19=AT19,VLOOKUP(C19,Dato_Pesc!I:K,3,FALSE),0),0)</f>
        <v>0</v>
      </c>
      <c r="AP19" s="20">
        <f ca="1">IFERROR(ROUND(((SUMIF('$ NOCHE_PESC'!$B$4:$C$11,AL19,'$ NOCHE_PESC'!$C$4:$C$11))*AM19)+((SUMIF('$ NOCHE_PESC'!$B$4:$C$11,AN19,'$ NOCHE_PESC'!$C$4:$C$11))*AO19),2),"")</f>
        <v>0</v>
      </c>
      <c r="AQ19" s="22"/>
      <c r="AS19" s="148" t="str">
        <f>IFERROR(IF(AT19=C19,AT19,VLOOKUP(C19,Dato_Pesc!B:K,5)),"")</f>
        <v/>
      </c>
      <c r="AT19" s="148" t="str">
        <f>IFERROR(VLOOKUP(C19,Dato_Pesc!B:K,8),"")</f>
        <v/>
      </c>
    </row>
    <row r="20" spans="2:47" ht="16.5" customHeight="1" x14ac:dyDescent="0.25">
      <c r="B20" s="27">
        <f t="shared" si="5"/>
        <v>10</v>
      </c>
      <c r="C20" s="10" t="str">
        <f>IFERROR(VLOOKUP('Reporte Asistencia Laboral'!D20,EMPLEADO!C:Q,15,0),"")</f>
        <v>PINTA PINTA WILMER ROLANDO</v>
      </c>
      <c r="D20" s="27" t="s">
        <v>99</v>
      </c>
      <c r="E20" s="10" t="str">
        <f>IFERROR(VLOOKUP(D20,EMPLEADO!C:E,2,FALSE),"")</f>
        <v>DIARIO</v>
      </c>
      <c r="F20" s="12">
        <f>IFERROR(ROUND(VLOOKUP('Reporte Asistencia Laboral'!D20,EMPLEADO!C:AE,3,FALSE)/30*AD20,2),"")</f>
        <v>0</v>
      </c>
      <c r="G20" s="204"/>
      <c r="H20" s="204"/>
      <c r="I20" s="229"/>
      <c r="J20" s="229"/>
      <c r="K20" s="229"/>
      <c r="L20" s="229"/>
      <c r="M20" s="204"/>
      <c r="N20" s="204"/>
      <c r="O20" s="204"/>
      <c r="P20" s="229"/>
      <c r="Q20" s="229"/>
      <c r="R20" s="229"/>
      <c r="S20" s="229"/>
      <c r="T20" s="229"/>
      <c r="U20" s="204"/>
      <c r="V20" s="40"/>
      <c r="W20" s="92">
        <f t="shared" si="1"/>
        <v>0</v>
      </c>
      <c r="X20" s="92">
        <f t="shared" si="9"/>
        <v>0</v>
      </c>
      <c r="Y20" s="117">
        <f t="shared" si="3"/>
        <v>0</v>
      </c>
      <c r="Z20" s="131"/>
      <c r="AA20" s="202"/>
      <c r="AB20" s="4"/>
      <c r="AC20" s="13">
        <f t="shared" si="4"/>
        <v>0</v>
      </c>
      <c r="AD20" s="92">
        <f t="shared" si="6"/>
        <v>0</v>
      </c>
      <c r="AE20" s="13">
        <f t="shared" si="10"/>
        <v>0</v>
      </c>
      <c r="AF20" s="65">
        <f t="shared" si="8"/>
        <v>0</v>
      </c>
      <c r="AG20" s="115">
        <f>'CONTROL H.E.'!BJ19</f>
        <v>0</v>
      </c>
      <c r="AH20" s="115">
        <f>'CONTROL H.E.'!BK19</f>
        <v>0</v>
      </c>
      <c r="AI20" s="115">
        <f>'CONTROL H.E. Transf.'!BJ19</f>
        <v>0</v>
      </c>
      <c r="AJ20" s="115">
        <f>'CONTROL H.E. Transf.'!BK19</f>
        <v>0</v>
      </c>
      <c r="AK20" s="20">
        <f>IFERROR(ROUND((VLOOKUP(D20,EMPLEADO!C:F,3,FALSE)/240*1.5*(AE20+AG20+AI20)+(VLOOKUP(D20,EMPLEADO!C:F,3,FALSE)/240*2*(AF20+AH20+AJ20))),2),"")</f>
        <v>0</v>
      </c>
      <c r="AL20" s="148" t="str">
        <f>IFERROR(IF(C20=AS20,VLOOKUP(C20,Dato_Pesc!F:H,2,FALSE)," ")," ")</f>
        <v xml:space="preserve"> </v>
      </c>
      <c r="AM20" s="7">
        <f>IFERROR(IF(C20=AS20,VLOOKUP(C20,Dato_Pesc!F:H,3,FALSE),0),0)</f>
        <v>0</v>
      </c>
      <c r="AN20" s="6" t="str">
        <f>IFERROR(IF(C20=AT20,VLOOKUP(C20,Dato_Pesc!I:K,2,FALSE)," ")," ")</f>
        <v xml:space="preserve"> </v>
      </c>
      <c r="AO20" s="7">
        <f>IFERROR(IF(C20=AT20,VLOOKUP(C20,Dato_Pesc!I:K,3,FALSE),0),0)</f>
        <v>0</v>
      </c>
      <c r="AP20" s="20">
        <f ca="1">IFERROR(ROUND(((SUMIF('$ NOCHE_PESC'!$B$4:$C$11,AL20,'$ NOCHE_PESC'!$C$4:$C$11))*AM20)+((SUMIF('$ NOCHE_PESC'!$B$4:$C$11,AN20,'$ NOCHE_PESC'!$C$4:$C$11))*AO20),2),"")</f>
        <v>0</v>
      </c>
      <c r="AQ20" s="22"/>
      <c r="AS20" s="148" t="str">
        <f>IFERROR(IF(AT20=C20,AT20,VLOOKUP(C20,Dato_Pesc!B:K,5)),"")</f>
        <v/>
      </c>
      <c r="AT20" s="148" t="str">
        <f>IFERROR(VLOOKUP(C20,Dato_Pesc!B:K,8),"")</f>
        <v/>
      </c>
    </row>
    <row r="21" spans="2:47" ht="16.5" customHeight="1" x14ac:dyDescent="0.25">
      <c r="B21" s="27">
        <f t="shared" si="5"/>
        <v>11</v>
      </c>
      <c r="C21" s="10" t="str">
        <f>IFERROR(VLOOKUP('Reporte Asistencia Laboral'!D21,EMPLEADO!C:Q,15,0),"")</f>
        <v>SIMANCAS AGUILAR DAVID MOISES</v>
      </c>
      <c r="D21" s="27" t="s">
        <v>173</v>
      </c>
      <c r="E21" s="10" t="str">
        <f>IFERROR(VLOOKUP(D21,EMPLEADO!C:E,2,FALSE),"")</f>
        <v>DIARIO</v>
      </c>
      <c r="F21" s="12">
        <f>IFERROR(ROUND(VLOOKUP('Reporte Asistencia Laboral'!D21,EMPLEADO!C:AE,3,FALSE)/30*AD21,2),"")</f>
        <v>39.950000000000003</v>
      </c>
      <c r="G21" s="204">
        <v>0</v>
      </c>
      <c r="H21" s="204">
        <v>0</v>
      </c>
      <c r="I21" s="246">
        <v>8</v>
      </c>
      <c r="J21" s="258"/>
      <c r="K21" s="258"/>
      <c r="L21" s="258"/>
      <c r="M21" s="259"/>
      <c r="N21" s="259"/>
      <c r="O21" s="259"/>
      <c r="P21" s="258"/>
      <c r="Q21" s="258"/>
      <c r="R21" s="258"/>
      <c r="S21" s="258"/>
      <c r="T21" s="258"/>
      <c r="U21" s="259"/>
      <c r="V21" s="40"/>
      <c r="W21" s="92">
        <f t="shared" si="1"/>
        <v>0</v>
      </c>
      <c r="X21" s="92">
        <f t="shared" ref="X21" si="11">IF($G$6="F",G21,0)+IF($H$6="F",+H21,0)+IF($I$6="F",+I21,0)+IF($J$6="F",+J21,0)+IF($K$6="F",+K21,0)+IF($L$6="F",+L21,0)+IF($M$6="F",+M21,0)+IF($N$6="F",+N21,0)+IF($O$6="F",+O21,0)+IF($P$6="F",+P21,0)+IF($Q$6="F",+Q21,0)+IF($R$6="F",+R21,0)+IF($S$6="F",+S21,0)+IF($T$6="F",+T21,0)+IF($U$6="F",+U21,0)+IF($V$6="F",+V21,0)</f>
        <v>0</v>
      </c>
      <c r="Y21" s="117">
        <f t="shared" ref="Y21" si="12">IF($G$2="F",0,IF(G21&gt;8,G21-8,0))+IF($H$2="F",0,IF(H21&gt;8,H21-8,0))+IF($I$2="F",0,IF(I21&gt;8,I21-8,0))+IF($J$2="F",0,IF(J21&gt;8,J21-8,0))+IF($K$2="F",0,IF(K21&gt;8,K21-8,0))+IF($L$2="F",0,IF(L21&gt;8,L21-8,0))+IF($M$2="F",0,IF(M21&gt;8,M21-8,0))+IF($N$2="F",0,IF(N21&gt;8,N21-8,0))+IF($O$2="F",0,IF(O21&gt;8,O21-8,0))+IF($P$2="F",0,IF(P21&gt;8,P21-8,0))+IF($Q$2="F",0,IF(Q21&gt;8,Q21-8,0))+IF($R$2="F",0,IF(R21&gt;8,R21-8,0))+IF($S$2="F",0,IF(S21&gt;8,S21-8,0))+IF($T$2="F",0,IF(T21&gt;8,T21-8,0))+IF($U$2="F",0,IF(U21&gt;8,U21-8,0))+IF($V$2="F",0,IF(V21&gt;8,V21-8,0))</f>
        <v>0</v>
      </c>
      <c r="Z21" s="131"/>
      <c r="AA21" s="202"/>
      <c r="AB21" s="4"/>
      <c r="AC21" s="13">
        <f t="shared" ref="AC21" si="13">+SUM(G21:V21)</f>
        <v>8</v>
      </c>
      <c r="AD21" s="92">
        <f t="shared" ref="AD21" si="14">IF(COUNT(G21:V21)&gt;15,COUNT(G21:V21)-1,COUNT(G21:U21))+AA21</f>
        <v>3</v>
      </c>
      <c r="AE21" s="13">
        <f t="shared" ref="AE21" si="15">IF(Z21="N",0,Y21)</f>
        <v>0</v>
      </c>
      <c r="AF21" s="65">
        <f t="shared" ref="AF21" si="16">IF(Z21="N",W21+X21+Y21,W21+X21)</f>
        <v>0</v>
      </c>
      <c r="AG21" s="115">
        <f>'CONTROL H.E.'!BJ20</f>
        <v>0</v>
      </c>
      <c r="AH21" s="115">
        <f>'CONTROL H.E.'!BK20</f>
        <v>0</v>
      </c>
      <c r="AI21" s="115">
        <f>'CONTROL H.E. Transf.'!BJ20</f>
        <v>0</v>
      </c>
      <c r="AJ21" s="115">
        <f>'CONTROL H.E. Transf.'!BK20</f>
        <v>0</v>
      </c>
      <c r="AK21" s="20">
        <f>IFERROR(ROUND((VLOOKUP(D21,EMPLEADO!C:F,3,FALSE)/240*1.5*(AE21+AG21+AI21)+(VLOOKUP(D21,EMPLEADO!C:F,3,FALSE)/240*2*(AF21+AH21+AJ21))),2),"")</f>
        <v>0</v>
      </c>
      <c r="AL21" s="148" t="str">
        <f>IFERROR(IF(C21=AS21,VLOOKUP(C21,Dato_Pesc!F:H,2,FALSE)," ")," ")</f>
        <v xml:space="preserve"> </v>
      </c>
      <c r="AM21" s="7">
        <f>IFERROR(IF(C21=AS21,VLOOKUP(C21,Dato_Pesc!F:H,3,FALSE),0),0)</f>
        <v>0</v>
      </c>
      <c r="AN21" s="6" t="str">
        <f>IFERROR(IF(C21=AT21,VLOOKUP(C21,Dato_Pesc!I:K,2,FALSE)," ")," ")</f>
        <v xml:space="preserve"> </v>
      </c>
      <c r="AO21" s="7">
        <f>IFERROR(IF(C21=AT21,VLOOKUP(C21,Dato_Pesc!I:K,3,FALSE),0),0)</f>
        <v>0</v>
      </c>
      <c r="AP21" s="20">
        <f ca="1">IFERROR(ROUND(((SUMIF('$ NOCHE_PESC'!$B$4:$C$11,AL21,'$ NOCHE_PESC'!$C$4:$C$11))*AM21)+((SUMIF('$ NOCHE_PESC'!$B$4:$C$11,AN21,'$ NOCHE_PESC'!$C$4:$C$11))*AO21),2),"")</f>
        <v>0</v>
      </c>
      <c r="AQ21" s="22"/>
      <c r="AS21" s="148" t="str">
        <f>IFERROR(IF(AT21=C21,AT21,VLOOKUP(C21,Dato_Pesc!B:K,5)),"")</f>
        <v/>
      </c>
      <c r="AT21" s="148" t="str">
        <f>IFERROR(VLOOKUP(C21,Dato_Pesc!B:K,8),"")</f>
        <v/>
      </c>
    </row>
    <row r="22" spans="2:47" ht="16.5" customHeight="1" x14ac:dyDescent="0.25">
      <c r="B22" s="27">
        <f t="shared" si="5"/>
        <v>12</v>
      </c>
      <c r="C22" s="10" t="str">
        <f>IFERROR(VLOOKUP('Reporte Asistencia Laboral'!D22,EMPLEADO!C:Q,15,0),"")</f>
        <v>CANGO CUEVA FRANCISCO ARMANDO</v>
      </c>
      <c r="D22" s="27" t="s">
        <v>174</v>
      </c>
      <c r="E22" s="10" t="str">
        <f>IFERROR(VLOOKUP(D22,EMPLEADO!C:E,2,FALSE),"")</f>
        <v>DIARIO</v>
      </c>
      <c r="F22" s="12">
        <f>IFERROR(ROUND(VLOOKUP('Reporte Asistencia Laboral'!D22,EMPLEADO!C:AE,3,FALSE)/30*AD22,2),"")</f>
        <v>0</v>
      </c>
      <c r="G22" s="204"/>
      <c r="H22" s="204"/>
      <c r="I22" s="229"/>
      <c r="J22" s="229"/>
      <c r="K22" s="229"/>
      <c r="L22" s="229"/>
      <c r="M22" s="204"/>
      <c r="N22" s="204"/>
      <c r="O22" s="204"/>
      <c r="P22" s="229"/>
      <c r="Q22" s="229"/>
      <c r="R22" s="229"/>
      <c r="S22" s="229"/>
      <c r="T22" s="229"/>
      <c r="U22" s="204"/>
      <c r="V22" s="40"/>
      <c r="W22" s="92">
        <f t="shared" si="1"/>
        <v>0</v>
      </c>
      <c r="X22" s="92">
        <f t="shared" ref="X22" si="17">IF($G$6="F",G22,0)+IF($H$6="F",+H22,0)+IF($I$6="F",+I22,0)+IF($J$6="F",+J22,0)+IF($K$6="F",+K22,0)+IF($L$6="F",+L22,0)+IF($M$6="F",+M22,0)+IF($N$6="F",+N22,0)+IF($O$6="F",+O22,0)+IF($P$6="F",+P22,0)+IF($Q$6="F",+Q22,0)+IF($R$6="F",+R22,0)+IF($S$6="F",+S22,0)+IF($T$6="F",+T22,0)+IF($U$6="F",+U22,0)+IF($V$6="F",+V22,0)</f>
        <v>0</v>
      </c>
      <c r="Y22" s="117">
        <f t="shared" ref="Y22" si="18">IF($G$2="F",0,IF(G22&gt;8,G22-8,0))+IF($H$2="F",0,IF(H22&gt;8,H22-8,0))+IF($I$2="F",0,IF(I22&gt;8,I22-8,0))+IF($J$2="F",0,IF(J22&gt;8,J22-8,0))+IF($K$2="F",0,IF(K22&gt;8,K22-8,0))+IF($L$2="F",0,IF(L22&gt;8,L22-8,0))+IF($M$2="F",0,IF(M22&gt;8,M22-8,0))+IF($N$2="F",0,IF(N22&gt;8,N22-8,0))+IF($O$2="F",0,IF(O22&gt;8,O22-8,0))+IF($P$2="F",0,IF(P22&gt;8,P22-8,0))+IF($Q$2="F",0,IF(Q22&gt;8,Q22-8,0))+IF($R$2="F",0,IF(R22&gt;8,R22-8,0))+IF($S$2="F",0,IF(S22&gt;8,S22-8,0))+IF($T$2="F",0,IF(T22&gt;8,T22-8,0))+IF($U$2="F",0,IF(U22&gt;8,U22-8,0))+IF($V$2="F",0,IF(V22&gt;8,V22-8,0))</f>
        <v>0</v>
      </c>
      <c r="Z22" s="131"/>
      <c r="AA22" s="202"/>
      <c r="AB22" s="4"/>
      <c r="AC22" s="13">
        <f t="shared" ref="AC22" si="19">+SUM(G22:V22)</f>
        <v>0</v>
      </c>
      <c r="AD22" s="92">
        <f t="shared" ref="AD22" si="20">IF(COUNT(G22:V22)&gt;15,COUNT(G22:V22)-1,COUNT(G22:U22))+AA22</f>
        <v>0</v>
      </c>
      <c r="AE22" s="13">
        <f t="shared" ref="AE22" si="21">IF(Z22="N",0,Y22)</f>
        <v>0</v>
      </c>
      <c r="AF22" s="65">
        <f t="shared" ref="AF22" si="22">IF(Z22="N",W22+X22+Y22,W22+X22)</f>
        <v>0</v>
      </c>
      <c r="AG22" s="115">
        <f>'CONTROL H.E.'!BJ21</f>
        <v>0</v>
      </c>
      <c r="AH22" s="115">
        <f>'CONTROL H.E.'!BK21</f>
        <v>0</v>
      </c>
      <c r="AI22" s="115">
        <f>'CONTROL H.E. Transf.'!BJ21</f>
        <v>0</v>
      </c>
      <c r="AJ22" s="115">
        <f>'CONTROL H.E. Transf.'!BK21</f>
        <v>0</v>
      </c>
      <c r="AK22" s="20">
        <f>IFERROR(ROUND((VLOOKUP(D22,EMPLEADO!C:F,3,FALSE)/240*1.5*(AE22+AG22+AI22)+(VLOOKUP(D22,EMPLEADO!C:F,3,FALSE)/240*2*(AF22+AH22+AJ22))),2),"")</f>
        <v>0</v>
      </c>
      <c r="AL22" s="148" t="str">
        <f>IFERROR(IF(C22=AS22,VLOOKUP(C22,Dato_Pesc!F:H,2,FALSE)," ")," ")</f>
        <v xml:space="preserve"> </v>
      </c>
      <c r="AM22" s="7">
        <f>IFERROR(IF(C22=AS22,VLOOKUP(C22,Dato_Pesc!F:H,3,FALSE),0),0)</f>
        <v>0</v>
      </c>
      <c r="AN22" s="6" t="str">
        <f>IFERROR(IF(C22=AT22,VLOOKUP(C22,Dato_Pesc!I:K,2,FALSE)," ")," ")</f>
        <v xml:space="preserve"> </v>
      </c>
      <c r="AO22" s="7">
        <f>IFERROR(IF(C22=AT22,VLOOKUP(C22,Dato_Pesc!I:K,3,FALSE),0),0)</f>
        <v>0</v>
      </c>
      <c r="AP22" s="20">
        <f ca="1">IFERROR(ROUND(((SUMIF('$ NOCHE_PESC'!$B$4:$C$11,AL22,'$ NOCHE_PESC'!$C$4:$C$11))*AM22)+((SUMIF('$ NOCHE_PESC'!$B$4:$C$11,AN22,'$ NOCHE_PESC'!$C$4:$C$11))*AO22),2),"")</f>
        <v>0</v>
      </c>
      <c r="AQ22" s="22"/>
      <c r="AS22" s="148" t="str">
        <f>IFERROR(IF(AT22=C22,AT22,VLOOKUP(C22,Dato_Pesc!B:K,5)),"")</f>
        <v/>
      </c>
      <c r="AT22" s="148" t="str">
        <f>IFERROR(VLOOKUP(C22,Dato_Pesc!B:K,8),"")</f>
        <v/>
      </c>
    </row>
    <row r="23" spans="2:47" ht="16.5" customHeight="1" x14ac:dyDescent="0.25">
      <c r="B23" s="27">
        <f t="shared" si="5"/>
        <v>13</v>
      </c>
      <c r="C23" s="10" t="str">
        <f>IFERROR(VLOOKUP('Reporte Asistencia Laboral'!D23,EMPLEADO!C:Q,15,0),"")</f>
        <v>CHILA QUIÑONEZ KLEBER FELIPE</v>
      </c>
      <c r="D23" s="27" t="s">
        <v>185</v>
      </c>
      <c r="E23" s="10" t="str">
        <f>IFERROR(VLOOKUP(D23,EMPLEADO!C:E,2,FALSE),"")</f>
        <v>DIARIO</v>
      </c>
      <c r="F23" s="12">
        <f>IFERROR(ROUND(VLOOKUP('Reporte Asistencia Laboral'!D23,EMPLEADO!C:AE,3,FALSE)/30*AD23,2),"")</f>
        <v>119.86</v>
      </c>
      <c r="G23" s="260"/>
      <c r="H23" s="260"/>
      <c r="I23" s="261"/>
      <c r="J23" s="261"/>
      <c r="K23" s="261"/>
      <c r="L23" s="261"/>
      <c r="M23" s="249">
        <v>8</v>
      </c>
      <c r="N23" s="204">
        <v>8</v>
      </c>
      <c r="O23" s="204">
        <v>8</v>
      </c>
      <c r="P23" s="229">
        <v>8</v>
      </c>
      <c r="Q23" s="229">
        <v>8</v>
      </c>
      <c r="R23" s="229">
        <v>8</v>
      </c>
      <c r="S23" s="229">
        <v>8</v>
      </c>
      <c r="T23" s="229">
        <v>8</v>
      </c>
      <c r="U23" s="204">
        <v>0</v>
      </c>
      <c r="V23" s="40"/>
      <c r="W23" s="92">
        <f t="shared" si="1"/>
        <v>16</v>
      </c>
      <c r="X23" s="92">
        <f t="shared" ref="X23" si="23">IF($G$6="F",G23,0)+IF($H$6="F",+H23,0)+IF($I$6="F",+I23,0)+IF($J$6="F",+J23,0)+IF($K$6="F",+K23,0)+IF($L$6="F",+L23,0)+IF($M$6="F",+M23,0)+IF($N$6="F",+N23,0)+IF($O$6="F",+O23,0)+IF($P$6="F",+P23,0)+IF($Q$6="F",+Q23,0)+IF($R$6="F",+R23,0)+IF($S$6="F",+S23,0)+IF($T$6="F",+T23,0)+IF($U$6="F",+U23,0)+IF($V$6="F",+V23,0)</f>
        <v>8</v>
      </c>
      <c r="Y23" s="117">
        <f t="shared" ref="Y23" si="24">IF($G$2="F",0,IF(G23&gt;8,G23-8,0))+IF($H$2="F",0,IF(H23&gt;8,H23-8,0))+IF($I$2="F",0,IF(I23&gt;8,I23-8,0))+IF($J$2="F",0,IF(J23&gt;8,J23-8,0))+IF($K$2="F",0,IF(K23&gt;8,K23-8,0))+IF($L$2="F",0,IF(L23&gt;8,L23-8,0))+IF($M$2="F",0,IF(M23&gt;8,M23-8,0))+IF($N$2="F",0,IF(N23&gt;8,N23-8,0))+IF($O$2="F",0,IF(O23&gt;8,O23-8,0))+IF($P$2="F",0,IF(P23&gt;8,P23-8,0))+IF($Q$2="F",0,IF(Q23&gt;8,Q23-8,0))+IF($R$2="F",0,IF(R23&gt;8,R23-8,0))+IF($S$2="F",0,IF(S23&gt;8,S23-8,0))+IF($T$2="F",0,IF(T23&gt;8,T23-8,0))+IF($U$2="F",0,IF(U23&gt;8,U23-8,0))+IF($V$2="F",0,IF(V23&gt;8,V23-8,0))</f>
        <v>0</v>
      </c>
      <c r="Z23" s="131"/>
      <c r="AA23" s="202"/>
      <c r="AB23" s="4"/>
      <c r="AC23" s="13">
        <f t="shared" ref="AC23" si="25">+SUM(G23:V23)</f>
        <v>64</v>
      </c>
      <c r="AD23" s="92">
        <f t="shared" ref="AD23" si="26">IF(COUNT(G23:V23)&gt;15,COUNT(G23:V23)-1,COUNT(G23:U23))+AA23</f>
        <v>9</v>
      </c>
      <c r="AE23" s="13">
        <f t="shared" ref="AE23" si="27">IF(Z23="N",0,Y23)</f>
        <v>0</v>
      </c>
      <c r="AF23" s="65">
        <f t="shared" ref="AF23" si="28">IF(Z23="N",W23+X23+Y23,W23+X23)</f>
        <v>24</v>
      </c>
      <c r="AG23" s="115">
        <f>'CONTROL H.E.'!BJ30</f>
        <v>0</v>
      </c>
      <c r="AH23" s="115">
        <f>'CONTROL H.E.'!BK30</f>
        <v>0</v>
      </c>
      <c r="AI23" s="115">
        <f>'CONTROL H.E. Transf.'!BJ22</f>
        <v>0</v>
      </c>
      <c r="AJ23" s="115">
        <f>'CONTROL H.E. Transf.'!BK22</f>
        <v>0</v>
      </c>
      <c r="AK23" s="20">
        <f>IFERROR(ROUND((VLOOKUP(D23,EMPLEADO!C:F,3,FALSE)/240*1.5*(AE23+AG23+AI23)+(VLOOKUP(D23,EMPLEADO!C:F,3,FALSE)/240*2*(AF23+AH23+AJ23))),2),"")</f>
        <v>79.900000000000006</v>
      </c>
      <c r="AL23" s="148" t="str">
        <f>IFERROR(IF(C23=AS23,VLOOKUP(C23,Dato_Pesc!F:H,2,FALSE)," ")," ")</f>
        <v xml:space="preserve"> </v>
      </c>
      <c r="AM23" s="7">
        <f>IFERROR(IF(C23=AS23,VLOOKUP(C23,Dato_Pesc!F:H,3,FALSE),0),0)</f>
        <v>0</v>
      </c>
      <c r="AN23" s="6" t="str">
        <f>IFERROR(IF(C23=AT23,VLOOKUP(C23,Dato_Pesc!I:K,2,FALSE)," ")," ")</f>
        <v xml:space="preserve"> </v>
      </c>
      <c r="AO23" s="7">
        <f>IFERROR(IF(C23=AT23,VLOOKUP(C23,Dato_Pesc!I:K,3,FALSE),0),0)</f>
        <v>0</v>
      </c>
      <c r="AP23" s="20">
        <f ca="1">IFERROR(ROUND(((SUMIF('$ NOCHE_PESC'!$B$4:$C$11,AL23,'$ NOCHE_PESC'!$C$4:$C$11))*AM23)+((SUMIF('$ NOCHE_PESC'!$B$4:$C$11,AN23,'$ NOCHE_PESC'!$C$4:$C$11))*AO23),2),"")</f>
        <v>0</v>
      </c>
      <c r="AQ23" s="22"/>
      <c r="AS23" s="148" t="str">
        <f>IFERROR(IF(AT23=C23,AT23,VLOOKUP(C23,Dato_Pesc!B:K,5)),"")</f>
        <v/>
      </c>
      <c r="AT23" s="148" t="str">
        <f>IFERROR(VLOOKUP(C23,Dato_Pesc!B:K,8),"")</f>
        <v/>
      </c>
    </row>
    <row r="24" spans="2:47" ht="16.5" customHeight="1" x14ac:dyDescent="0.25">
      <c r="B24" s="27">
        <f t="shared" si="5"/>
        <v>14</v>
      </c>
      <c r="C24" s="10" t="str">
        <f>IFERROR(VLOOKUP('Reporte Asistencia Laboral'!D24,EMPLEADO!C:Q,15,0),"")</f>
        <v>SIMANCAS QUEZADA ORLANDO BAUDILIO</v>
      </c>
      <c r="D24" s="27" t="s">
        <v>188</v>
      </c>
      <c r="E24" s="10" t="str">
        <f>IFERROR(VLOOKUP(D24,EMPLEADO!C:E,2,FALSE),"")</f>
        <v>DIARIO</v>
      </c>
      <c r="F24" s="12">
        <f>IFERROR(ROUND(VLOOKUP('Reporte Asistencia Laboral'!D24,EMPLEADO!C:AE,3,FALSE)/30*AD24,2),"")</f>
        <v>0</v>
      </c>
      <c r="G24" s="204"/>
      <c r="H24" s="204"/>
      <c r="I24" s="229"/>
      <c r="J24" s="229"/>
      <c r="K24" s="229"/>
      <c r="L24" s="229"/>
      <c r="M24" s="204"/>
      <c r="N24" s="204"/>
      <c r="O24" s="204"/>
      <c r="P24" s="229"/>
      <c r="Q24" s="229"/>
      <c r="R24" s="229"/>
      <c r="S24" s="229"/>
      <c r="T24" s="229"/>
      <c r="U24" s="204"/>
      <c r="V24" s="40"/>
      <c r="W24" s="92">
        <f t="shared" si="1"/>
        <v>0</v>
      </c>
      <c r="X24" s="92">
        <f t="shared" ref="X24" si="29">IF($G$6="F",G24,0)+IF($H$6="F",+H24,0)+IF($I$6="F",+I24,0)+IF($J$6="F",+J24,0)+IF($K$6="F",+K24,0)+IF($L$6="F",+L24,0)+IF($M$6="F",+M24,0)+IF($N$6="F",+N24,0)+IF($O$6="F",+O24,0)+IF($P$6="F",+P24,0)+IF($Q$6="F",+Q24,0)+IF($R$6="F",+R24,0)+IF($S$6="F",+S24,0)+IF($T$6="F",+T24,0)+IF($U$6="F",+U24,0)+IF($V$6="F",+V24,0)</f>
        <v>0</v>
      </c>
      <c r="Y24" s="117">
        <f t="shared" ref="Y24" si="30">IF($G$2="F",0,IF(G24&gt;8,G24-8,0))+IF($H$2="F",0,IF(H24&gt;8,H24-8,0))+IF($I$2="F",0,IF(I24&gt;8,I24-8,0))+IF($J$2="F",0,IF(J24&gt;8,J24-8,0))+IF($K$2="F",0,IF(K24&gt;8,K24-8,0))+IF($L$2="F",0,IF(L24&gt;8,L24-8,0))+IF($M$2="F",0,IF(M24&gt;8,M24-8,0))+IF($N$2="F",0,IF(N24&gt;8,N24-8,0))+IF($O$2="F",0,IF(O24&gt;8,O24-8,0))+IF($P$2="F",0,IF(P24&gt;8,P24-8,0))+IF($Q$2="F",0,IF(Q24&gt;8,Q24-8,0))+IF($R$2="F",0,IF(R24&gt;8,R24-8,0))+IF($S$2="F",0,IF(S24&gt;8,S24-8,0))+IF($T$2="F",0,IF(T24&gt;8,T24-8,0))+IF($U$2="F",0,IF(U24&gt;8,U24-8,0))+IF($V$2="F",0,IF(V24&gt;8,V24-8,0))</f>
        <v>0</v>
      </c>
      <c r="Z24" s="131"/>
      <c r="AA24" s="202"/>
      <c r="AB24" s="4"/>
      <c r="AC24" s="13">
        <f t="shared" ref="AC24" si="31">+SUM(G24:V24)</f>
        <v>0</v>
      </c>
      <c r="AD24" s="92">
        <f t="shared" ref="AD24" si="32">IF(COUNT(G24:V24)&gt;15,COUNT(G24:V24)-1,COUNT(G24:U24))+AA24</f>
        <v>0</v>
      </c>
      <c r="AE24" s="13">
        <f t="shared" ref="AE24" si="33">IF(Z24="N",0,Y24)</f>
        <v>0</v>
      </c>
      <c r="AF24" s="65">
        <f t="shared" ref="AF24" si="34">IF(Z24="N",W24+X24+Y24,W24+X24)</f>
        <v>0</v>
      </c>
      <c r="AG24" s="115">
        <f>'CONTROL H.E.'!BJ32</f>
        <v>0</v>
      </c>
      <c r="AH24" s="115">
        <f>'CONTROL H.E.'!BK32</f>
        <v>0</v>
      </c>
      <c r="AI24" s="115">
        <f>'CONTROL H.E. Transf.'!BJ23</f>
        <v>0</v>
      </c>
      <c r="AJ24" s="115">
        <f>'CONTROL H.E. Transf.'!BK23</f>
        <v>0</v>
      </c>
      <c r="AK24" s="20">
        <f>IFERROR(ROUND((VLOOKUP(D24,EMPLEADO!C:F,3,FALSE)/240*1.5*(AE24+AG24+AI24)+(VLOOKUP(D24,EMPLEADO!C:F,3,FALSE)/240*2*(AF24+AH24+AJ24))),2),"")</f>
        <v>0</v>
      </c>
      <c r="AL24" s="148" t="str">
        <f>IFERROR(IF(C24=AS24,VLOOKUP(C24,Dato_Pesc!F:H,2,FALSE)," ")," ")</f>
        <v xml:space="preserve"> </v>
      </c>
      <c r="AM24" s="7">
        <f>IFERROR(IF(C24=AS24,VLOOKUP(C24,Dato_Pesc!F:H,3,FALSE),0),0)</f>
        <v>0</v>
      </c>
      <c r="AN24" s="6" t="str">
        <f>IFERROR(IF(C24=AT24,VLOOKUP(C24,Dato_Pesc!I:K,2,FALSE)," ")," ")</f>
        <v xml:space="preserve"> </v>
      </c>
      <c r="AO24" s="7">
        <f>IFERROR(IF(C24=AT24,VLOOKUP(C24,Dato_Pesc!I:K,3,FALSE),0),0)</f>
        <v>0</v>
      </c>
      <c r="AP24" s="20">
        <f ca="1">IFERROR(ROUND(((SUMIF('$ NOCHE_PESC'!$B$4:$C$11,AL24,'$ NOCHE_PESC'!$C$4:$C$11))*AM24)+((SUMIF('$ NOCHE_PESC'!$B$4:$C$11,AN24,'$ NOCHE_PESC'!$C$4:$C$11))*AO24),2),"")</f>
        <v>0</v>
      </c>
      <c r="AQ24" s="22"/>
      <c r="AS24" s="148" t="str">
        <f>IFERROR(IF(AT24=C24,AT24,VLOOKUP(C24,Dato_Pesc!B:K,5)),"")</f>
        <v/>
      </c>
      <c r="AT24" s="148" t="str">
        <f>IFERROR(VLOOKUP(C24,Dato_Pesc!B:K,8),"")</f>
        <v/>
      </c>
    </row>
    <row r="25" spans="2:47" ht="15.75" x14ac:dyDescent="0.25">
      <c r="B25" s="27">
        <f t="shared" si="5"/>
        <v>15</v>
      </c>
      <c r="C25" s="276" t="str">
        <f>IFERROR(VLOOKUP('Reporte Asistencia Laboral'!D25,EMPLEADO!C:Q,15,0),"")</f>
        <v>CHAMBA CANGO DARIO JAVIER</v>
      </c>
      <c r="D25" s="371" t="s">
        <v>195</v>
      </c>
      <c r="E25" s="276" t="str">
        <f>IFERROR(VLOOKUP(D25,EMPLEADO!C:E,2,FALSE),"")</f>
        <v>DIARIO</v>
      </c>
      <c r="F25" s="277">
        <f>IFERROR(ROUND(VLOOKUP('Reporte Asistencia Laboral'!D25,EMPLEADO!C:AE,3,FALSE)/30*AD25,2),"")</f>
        <v>186.44</v>
      </c>
      <c r="G25" s="204">
        <v>8</v>
      </c>
      <c r="H25" s="204">
        <v>8</v>
      </c>
      <c r="I25" s="229">
        <v>8</v>
      </c>
      <c r="J25" s="229">
        <v>8</v>
      </c>
      <c r="K25" s="229">
        <v>8</v>
      </c>
      <c r="L25" s="229">
        <v>8</v>
      </c>
      <c r="M25" s="204">
        <v>0</v>
      </c>
      <c r="N25" s="204">
        <v>0</v>
      </c>
      <c r="O25" s="204">
        <v>0</v>
      </c>
      <c r="P25" s="229">
        <v>8</v>
      </c>
      <c r="Q25" s="229">
        <v>8</v>
      </c>
      <c r="R25" s="229">
        <v>8</v>
      </c>
      <c r="S25" s="229">
        <v>8</v>
      </c>
      <c r="T25" s="246">
        <v>8</v>
      </c>
      <c r="U25" s="260"/>
      <c r="V25" s="40"/>
      <c r="W25" s="92">
        <f t="shared" si="1"/>
        <v>16</v>
      </c>
      <c r="X25" s="92">
        <f t="shared" ref="X25:X26" si="35">IF($G$6="F",G25,0)+IF($H$6="F",+H25,0)+IF($I$6="F",+I25,0)+IF($J$6="F",+J25,0)+IF($K$6="F",+K25,0)+IF($L$6="F",+L25,0)+IF($M$6="F",+M25,0)+IF($N$6="F",+N25,0)+IF($O$6="F",+O25,0)+IF($P$6="F",+P25,0)+IF($Q$6="F",+Q25,0)+IF($R$6="F",+R25,0)+IF($S$6="F",+S25,0)+IF($T$6="F",+T25,0)+IF($U$6="F",+U25,0)+IF($V$6="F",+V25,0)</f>
        <v>0</v>
      </c>
      <c r="Y25" s="117">
        <f t="shared" ref="Y25:Y26" si="36">IF($G$2="F",0,IF(G25&gt;8,G25-8,0))+IF($H$2="F",0,IF(H25&gt;8,H25-8,0))+IF($I$2="F",0,IF(I25&gt;8,I25-8,0))+IF($J$2="F",0,IF(J25&gt;8,J25-8,0))+IF($K$2="F",0,IF(K25&gt;8,K25-8,0))+IF($L$2="F",0,IF(L25&gt;8,L25-8,0))+IF($M$2="F",0,IF(M25&gt;8,M25-8,0))+IF($N$2="F",0,IF(N25&gt;8,N25-8,0))+IF($O$2="F",0,IF(O25&gt;8,O25-8,0))+IF($P$2="F",0,IF(P25&gt;8,P25-8,0))+IF($Q$2="F",0,IF(Q25&gt;8,Q25-8,0))+IF($R$2="F",0,IF(R25&gt;8,R25-8,0))+IF($S$2="F",0,IF(S25&gt;8,S25-8,0))+IF($T$2="F",0,IF(T25&gt;8,T25-8,0))+IF($U$2="F",0,IF(U25&gt;8,U25-8,0))+IF($V$2="F",0,IF(V25&gt;8,V25-8,0))</f>
        <v>0</v>
      </c>
      <c r="Z25" s="131"/>
      <c r="AA25" s="202"/>
      <c r="AB25" s="4"/>
      <c r="AC25" s="13">
        <f t="shared" ref="AC25:AC26" si="37">+SUM(G25:V25)</f>
        <v>88</v>
      </c>
      <c r="AD25" s="92">
        <f t="shared" ref="AD25:AD26" si="38">IF(COUNT(G25:V25)&gt;15,COUNT(G25:V25)-1,COUNT(G25:U25))+AA25</f>
        <v>14</v>
      </c>
      <c r="AE25" s="13">
        <f t="shared" ref="AE25:AE26" si="39">IF(Z25="N",0,Y25)</f>
        <v>0</v>
      </c>
      <c r="AF25" s="65">
        <f t="shared" ref="AF25:AF26" si="40">IF(Z25="N",W25+X25+Y25,W25+X25)</f>
        <v>16</v>
      </c>
      <c r="AG25" s="115">
        <f>'CONTROL H.E.'!BJ34</f>
        <v>0</v>
      </c>
      <c r="AH25" s="115">
        <f>'CONTROL H.E.'!BK34</f>
        <v>0</v>
      </c>
      <c r="AI25" s="115">
        <f>'CONTROL H.E. Transf.'!BJ29</f>
        <v>0</v>
      </c>
      <c r="AJ25" s="115">
        <f>'CONTROL H.E. Transf.'!BK29</f>
        <v>0</v>
      </c>
      <c r="AK25" s="20">
        <f>IFERROR(ROUND((VLOOKUP(D25,EMPLEADO!C:F,3,FALSE)/240*1.5*(AE25+AG25+AI25)+(VLOOKUP(D25,EMPLEADO!C:F,3,FALSE)/240*2*(AF25+AH25+AJ25))),2),"")</f>
        <v>53.27</v>
      </c>
      <c r="AL25" s="148" t="str">
        <f>IFERROR(IF(C25=AS25,VLOOKUP(C25,Dato_Pesc!F:H,2,FALSE)," ")," ")</f>
        <v xml:space="preserve"> </v>
      </c>
      <c r="AM25" s="7">
        <f>IFERROR(IF(C25=AS25,VLOOKUP(C25,Dato_Pesc!F:H,3,FALSE),0),0)</f>
        <v>0</v>
      </c>
      <c r="AN25" s="6" t="str">
        <f>IFERROR(IF(C25=AT25,VLOOKUP(C25,Dato_Pesc!I:K,2,FALSE)," ")," ")</f>
        <v xml:space="preserve"> </v>
      </c>
      <c r="AO25" s="7">
        <f>IFERROR(IF(C25=AT25,VLOOKUP(C25,Dato_Pesc!I:K,3,FALSE),0),0)</f>
        <v>0</v>
      </c>
      <c r="AP25" s="20">
        <f ca="1">IFERROR(ROUND(((SUMIF('$ NOCHE_PESC'!$B$4:$C$11,AL25,'$ NOCHE_PESC'!$C$4:$C$11))*AM25)+((SUMIF('$ NOCHE_PESC'!$B$4:$C$11,AN25,'$ NOCHE_PESC'!$C$4:$C$11))*AO25),2),"")</f>
        <v>0</v>
      </c>
      <c r="AQ25" s="22"/>
      <c r="AS25" s="148" t="str">
        <f>IFERROR(IF(AT25=C25,AT25,VLOOKUP(C25,Dato_Pesc!B:K,5)),"")</f>
        <v/>
      </c>
      <c r="AT25" s="148" t="str">
        <f>IFERROR(VLOOKUP(C25,Dato_Pesc!B:K,8),"")</f>
        <v/>
      </c>
    </row>
    <row r="26" spans="2:47" ht="15.75" x14ac:dyDescent="0.25">
      <c r="B26" s="27">
        <f t="shared" si="5"/>
        <v>16</v>
      </c>
      <c r="C26" s="10" t="str">
        <f>IFERROR(VLOOKUP('Reporte Asistencia Laboral'!D26,EMPLEADO!C:Q,15,0),"")</f>
        <v>PINTA PINTA OMAR PATRICIO</v>
      </c>
      <c r="D26" s="208" t="s">
        <v>199</v>
      </c>
      <c r="E26" s="10" t="str">
        <f>IFERROR(VLOOKUP(D26,EMPLEADO!C:E,2,FALSE),"")</f>
        <v>DIARIO</v>
      </c>
      <c r="F26" s="12">
        <f>IFERROR(ROUND(VLOOKUP('Reporte Asistencia Laboral'!D26,EMPLEADO!C:AE,3,FALSE)/30*AD26,2),"")</f>
        <v>0</v>
      </c>
      <c r="G26" s="204"/>
      <c r="H26" s="204"/>
      <c r="I26" s="229"/>
      <c r="J26" s="229"/>
      <c r="K26" s="229"/>
      <c r="L26" s="229"/>
      <c r="M26" s="204"/>
      <c r="N26" s="204"/>
      <c r="O26" s="204"/>
      <c r="P26" s="229"/>
      <c r="Q26" s="229"/>
      <c r="R26" s="229"/>
      <c r="S26" s="229"/>
      <c r="T26" s="229"/>
      <c r="U26" s="204"/>
      <c r="V26" s="40"/>
      <c r="W26" s="92">
        <f t="shared" si="1"/>
        <v>0</v>
      </c>
      <c r="X26" s="92">
        <f t="shared" si="35"/>
        <v>0</v>
      </c>
      <c r="Y26" s="117">
        <f t="shared" si="36"/>
        <v>0</v>
      </c>
      <c r="Z26" s="131"/>
      <c r="AA26" s="202"/>
      <c r="AB26" s="4"/>
      <c r="AC26" s="13">
        <f t="shared" si="37"/>
        <v>0</v>
      </c>
      <c r="AD26" s="92">
        <f t="shared" si="38"/>
        <v>0</v>
      </c>
      <c r="AE26" s="13">
        <f t="shared" si="39"/>
        <v>0</v>
      </c>
      <c r="AF26" s="65">
        <f t="shared" si="40"/>
        <v>0</v>
      </c>
      <c r="AG26" s="115">
        <f>'CONTROL H.E.'!BJ35</f>
        <v>0</v>
      </c>
      <c r="AH26" s="115">
        <f>'CONTROL H.E.'!BK35</f>
        <v>0</v>
      </c>
      <c r="AI26" s="115">
        <f>'CONTROL H.E. Transf.'!BJ30</f>
        <v>0</v>
      </c>
      <c r="AJ26" s="115">
        <f>'CONTROL H.E. Transf.'!BK30</f>
        <v>0</v>
      </c>
      <c r="AK26" s="20">
        <f>IFERROR(ROUND((VLOOKUP(D26,EMPLEADO!C:F,3,FALSE)/240*1.5*(AE26+AG26+AI26)+(VLOOKUP(D26,EMPLEADO!C:F,3,FALSE)/240*2*(AF26+AH26+AJ26))),2),"")</f>
        <v>0</v>
      </c>
      <c r="AL26" s="148" t="str">
        <f>IFERROR(IF(C26=AS26,VLOOKUP(C26,Dato_Pesc!F:H,2,FALSE)," ")," ")</f>
        <v xml:space="preserve"> </v>
      </c>
      <c r="AM26" s="7">
        <f>IFERROR(IF(C26=AS26,VLOOKUP(C26,Dato_Pesc!F:H,3,FALSE),0),0)</f>
        <v>0</v>
      </c>
      <c r="AN26" s="6" t="str">
        <f>IFERROR(IF(C26=AT26,VLOOKUP(C26,Dato_Pesc!I:K,2,FALSE)," ")," ")</f>
        <v xml:space="preserve"> </v>
      </c>
      <c r="AO26" s="7">
        <f>IFERROR(IF(C26=AT26,VLOOKUP(C26,Dato_Pesc!I:K,3,FALSE),0),0)</f>
        <v>0</v>
      </c>
      <c r="AP26" s="20">
        <f ca="1">IFERROR(ROUND(((SUMIF('$ NOCHE_PESC'!$B$4:$C$11,AL26,'$ NOCHE_PESC'!$C$4:$C$11))*AM26)+((SUMIF('$ NOCHE_PESC'!$B$4:$C$11,AN26,'$ NOCHE_PESC'!$C$4:$C$11))*AO26),2),"")</f>
        <v>0</v>
      </c>
      <c r="AQ26" s="22"/>
      <c r="AS26" s="148" t="str">
        <f>IFERROR(IF(AT26=C26,AT26,VLOOKUP(C26,Dato_Pesc!B:K,5)),"")</f>
        <v/>
      </c>
      <c r="AT26" s="148" t="str">
        <f>IFERROR(VLOOKUP(C26,Dato_Pesc!B:K,8),"")</f>
        <v/>
      </c>
    </row>
    <row r="27" spans="2:47" ht="15.75" x14ac:dyDescent="0.25">
      <c r="B27" s="27">
        <f t="shared" si="5"/>
        <v>17</v>
      </c>
      <c r="C27" s="10" t="str">
        <f>IFERROR(VLOOKUP('Reporte Asistencia Laboral'!D27,EMPLEADO!C:Q,15,0),"")</f>
        <v>LUNA PINTA JUAN DIEGO</v>
      </c>
      <c r="D27" s="208" t="s">
        <v>201</v>
      </c>
      <c r="E27" s="10" t="str">
        <f>IFERROR(VLOOKUP(D27,EMPLEADO!C:E,2,FALSE),"")</f>
        <v>DIARIO</v>
      </c>
      <c r="F27" s="12">
        <f>IFERROR(ROUND(VLOOKUP('Reporte Asistencia Laboral'!D27,EMPLEADO!C:AE,3,FALSE)/30*AD27,2),"")</f>
        <v>0</v>
      </c>
      <c r="G27" s="204"/>
      <c r="H27" s="204"/>
      <c r="I27" s="229"/>
      <c r="J27" s="229"/>
      <c r="K27" s="229"/>
      <c r="L27" s="229"/>
      <c r="M27" s="204"/>
      <c r="N27" s="204"/>
      <c r="O27" s="204"/>
      <c r="P27" s="229"/>
      <c r="Q27" s="229"/>
      <c r="R27" s="229"/>
      <c r="S27" s="229"/>
      <c r="T27" s="229"/>
      <c r="U27" s="204"/>
      <c r="V27" s="40"/>
      <c r="W27" s="92">
        <f t="shared" ref="W27:W28" si="41">IF($G$10="S",+G27,IF($G$10="D",+G27,0))+IF($H$10="S",+H27,IF($H$10="D",+H27,0))+IF($I$10="S",+I27,IF($I$10="D",+I27,0))+IF($J$10="S",+J27,IF($J$10="D",+J27,0))+IF($K$10="S",+K27,IF($K$10="D",+K27,0))+IF($L$10="S",+L27,IF($L$10="D",+L27,0))+IF($M$10="S",+M27,IF($M$10="D",+M27,0))+IF($N$10="S",+N27,IF($N$10="D",+N27,0))+IF($O$10="S",+O27,IF($O$10="D",+O27,0))+IF($P$10="S",+P27,IF($P$10="D",+P27,0))+IF($Q$10="S",+Q27,IF($Q$10="D",+Q27,0))+IF($R$10="S",+R27,IF($R$10="D",+R27,0))+IF($S$10="S",+S27,IF($S$10="D",+S27,0))+IF($T$10="S",+T27,IF($T$10="D",+T27,0))+IF($U$10="S",+U27,IF($U$10="D",+U27,0))+IF($V$10="S",+V27,IF($V$10="D",+V27,0))</f>
        <v>0</v>
      </c>
      <c r="X27" s="92">
        <f t="shared" ref="X27:X28" si="42">IF($G$6="F",G27,0)+IF($H$6="F",+H27,0)+IF($I$6="F",+I27,0)+IF($J$6="F",+J27,0)+IF($K$6="F",+K27,0)+IF($L$6="F",+L27,0)+IF($M$6="F",+M27,0)+IF($N$6="F",+N27,0)+IF($O$6="F",+O27,0)+IF($P$6="F",+P27,0)+IF($Q$6="F",+Q27,0)+IF($R$6="F",+R27,0)+IF($S$6="F",+S27,0)+IF($T$6="F",+T27,0)+IF($U$6="F",+U27,0)+IF($V$6="F",+V27,0)</f>
        <v>0</v>
      </c>
      <c r="Y27" s="117">
        <f t="shared" ref="Y27:Y28" si="43">IF($G$2="F",0,IF(G27&gt;8,G27-8,0))+IF($H$2="F",0,IF(H27&gt;8,H27-8,0))+IF($I$2="F",0,IF(I27&gt;8,I27-8,0))+IF($J$2="F",0,IF(J27&gt;8,J27-8,0))+IF($K$2="F",0,IF(K27&gt;8,K27-8,0))+IF($L$2="F",0,IF(L27&gt;8,L27-8,0))+IF($M$2="F",0,IF(M27&gt;8,M27-8,0))+IF($N$2="F",0,IF(N27&gt;8,N27-8,0))+IF($O$2="F",0,IF(O27&gt;8,O27-8,0))+IF($P$2="F",0,IF(P27&gt;8,P27-8,0))+IF($Q$2="F",0,IF(Q27&gt;8,Q27-8,0))+IF($R$2="F",0,IF(R27&gt;8,R27-8,0))+IF($S$2="F",0,IF(S27&gt;8,S27-8,0))+IF($T$2="F",0,IF(T27&gt;8,T27-8,0))+IF($U$2="F",0,IF(U27&gt;8,U27-8,0))+IF($V$2="F",0,IF(V27&gt;8,V27-8,0))</f>
        <v>0</v>
      </c>
      <c r="Z27" s="131"/>
      <c r="AA27" s="202"/>
      <c r="AB27" s="4"/>
      <c r="AC27" s="13">
        <f t="shared" ref="AC27:AC28" si="44">+SUM(G27:V27)</f>
        <v>0</v>
      </c>
      <c r="AD27" s="92">
        <f t="shared" ref="AD27:AD28" si="45">IF(COUNT(G27:V27)&gt;15,COUNT(G27:V27)-1,COUNT(G27:U27))+AA27</f>
        <v>0</v>
      </c>
      <c r="AE27" s="13">
        <f t="shared" ref="AE27:AE28" si="46">IF(Z27="N",0,Y27)</f>
        <v>0</v>
      </c>
      <c r="AF27" s="65">
        <f t="shared" ref="AF27:AF28" si="47">IF(Z27="N",W27+X27+Y27,W27+X27)</f>
        <v>0</v>
      </c>
      <c r="AG27" s="115">
        <f>'CONTROL H.E.'!BJ36</f>
        <v>0</v>
      </c>
      <c r="AH27" s="115">
        <f>'CONTROL H.E.'!BK36</f>
        <v>0</v>
      </c>
      <c r="AI27" s="115">
        <f>'CONTROL H.E. Transf.'!BJ31</f>
        <v>0</v>
      </c>
      <c r="AJ27" s="115">
        <f>'CONTROL H.E. Transf.'!BK31</f>
        <v>0</v>
      </c>
      <c r="AK27" s="20">
        <f>IFERROR(ROUND((VLOOKUP(D27,EMPLEADO!C:F,3,FALSE)/240*1.5*(AE27+AG27+AI27)+(VLOOKUP(D27,EMPLEADO!C:F,3,FALSE)/240*2*(AF27+AH27+AJ27))),2),"")</f>
        <v>0</v>
      </c>
      <c r="AL27" s="148" t="str">
        <f>IFERROR(IF(C27=AS27,VLOOKUP(C27,Dato_Pesc!F:H,2,FALSE)," ")," ")</f>
        <v xml:space="preserve"> </v>
      </c>
      <c r="AM27" s="7">
        <f>IFERROR(IF(C27=AS27,VLOOKUP(C27,Dato_Pesc!F:H,3,FALSE),0),0)</f>
        <v>0</v>
      </c>
      <c r="AN27" s="6" t="str">
        <f>IFERROR(IF(C27=AT27,VLOOKUP(C27,Dato_Pesc!I:K,2,FALSE)," ")," ")</f>
        <v xml:space="preserve"> </v>
      </c>
      <c r="AO27" s="7">
        <f>IFERROR(IF(C27=AT27,VLOOKUP(C27,Dato_Pesc!I:K,3,FALSE),0),0)</f>
        <v>0</v>
      </c>
      <c r="AP27" s="20">
        <f ca="1">IFERROR(ROUND(((SUMIF('$ NOCHE_PESC'!$B$4:$C$11,AL27,'$ NOCHE_PESC'!$C$4:$C$11))*AM27)+((SUMIF('$ NOCHE_PESC'!$B$4:$C$11,AN27,'$ NOCHE_PESC'!$C$4:$C$11))*AO27),2),"")</f>
        <v>0</v>
      </c>
      <c r="AQ27" s="22"/>
      <c r="AS27" s="148" t="str">
        <f>IFERROR(IF(AT27=C27,AT27,VLOOKUP(C27,Dato_Pesc!B:K,5)),"")</f>
        <v/>
      </c>
      <c r="AT27" s="148" t="str">
        <f>IFERROR(VLOOKUP(C27,Dato_Pesc!B:K,8),"")</f>
        <v/>
      </c>
    </row>
    <row r="28" spans="2:47" ht="15.75" x14ac:dyDescent="0.25">
      <c r="B28" s="27">
        <f t="shared" si="5"/>
        <v>18</v>
      </c>
      <c r="C28" s="10" t="str">
        <f>IFERROR(VLOOKUP('Reporte Asistencia Laboral'!D28,EMPLEADO!C:Q,15,0),"")</f>
        <v>GONZAGA ALVARADO LUIS FERNANDO</v>
      </c>
      <c r="D28" s="208" t="s">
        <v>203</v>
      </c>
      <c r="E28" s="10" t="str">
        <f>IFERROR(VLOOKUP(D28,EMPLEADO!C:E,2,FALSE),"")</f>
        <v>DIARIO</v>
      </c>
      <c r="F28" s="12">
        <f>IFERROR(ROUND(VLOOKUP('Reporte Asistencia Laboral'!D28,EMPLEADO!C:AE,3,FALSE)/30*AD28,2),"")</f>
        <v>0</v>
      </c>
      <c r="G28" s="204"/>
      <c r="H28" s="204"/>
      <c r="I28" s="229"/>
      <c r="J28" s="229"/>
      <c r="K28" s="229"/>
      <c r="L28" s="229"/>
      <c r="M28" s="204"/>
      <c r="N28" s="204"/>
      <c r="O28" s="204"/>
      <c r="P28" s="229"/>
      <c r="Q28" s="229"/>
      <c r="R28" s="229"/>
      <c r="S28" s="229"/>
      <c r="T28" s="229"/>
      <c r="U28" s="204"/>
      <c r="V28" s="40"/>
      <c r="W28" s="92">
        <f t="shared" si="41"/>
        <v>0</v>
      </c>
      <c r="X28" s="92">
        <f t="shared" si="42"/>
        <v>0</v>
      </c>
      <c r="Y28" s="117">
        <f t="shared" si="43"/>
        <v>0</v>
      </c>
      <c r="Z28" s="131"/>
      <c r="AA28" s="202"/>
      <c r="AB28" s="4"/>
      <c r="AC28" s="13">
        <f t="shared" si="44"/>
        <v>0</v>
      </c>
      <c r="AD28" s="92">
        <f t="shared" si="45"/>
        <v>0</v>
      </c>
      <c r="AE28" s="13">
        <f t="shared" si="46"/>
        <v>0</v>
      </c>
      <c r="AF28" s="65">
        <f t="shared" si="47"/>
        <v>0</v>
      </c>
      <c r="AG28" s="115">
        <f>'CONTROL H.E.'!BJ37</f>
        <v>0</v>
      </c>
      <c r="AH28" s="115">
        <f>'CONTROL H.E.'!BK37</f>
        <v>0</v>
      </c>
      <c r="AI28" s="115">
        <f>'CONTROL H.E. Transf.'!BJ32</f>
        <v>0</v>
      </c>
      <c r="AJ28" s="115">
        <f>'CONTROL H.E. Transf.'!BK32</f>
        <v>0</v>
      </c>
      <c r="AK28" s="20">
        <f>IFERROR(ROUND((VLOOKUP(D28,EMPLEADO!C:F,3,FALSE)/240*1.5*(AE28+AG28+AI28)+(VLOOKUP(D28,EMPLEADO!C:F,3,FALSE)/240*2*(AF28+AH28+AJ28))),2),"")</f>
        <v>0</v>
      </c>
      <c r="AL28" s="148" t="str">
        <f>IFERROR(IF(C28=AS28,VLOOKUP(C28,Dato_Pesc!F:H,2,FALSE)," ")," ")</f>
        <v xml:space="preserve"> </v>
      </c>
      <c r="AM28" s="7">
        <f>IFERROR(IF(C28=AS28,VLOOKUP(C28,Dato_Pesc!F:H,3,FALSE),0),0)</f>
        <v>0</v>
      </c>
      <c r="AN28" s="6" t="str">
        <f>IFERROR(IF(C28=AT28,VLOOKUP(C28,Dato_Pesc!I:K,2,FALSE)," ")," ")</f>
        <v xml:space="preserve"> </v>
      </c>
      <c r="AO28" s="7">
        <f>IFERROR(IF(C28=AT28,VLOOKUP(C28,Dato_Pesc!I:K,3,FALSE),0),0)</f>
        <v>0</v>
      </c>
      <c r="AP28" s="20">
        <f ca="1">IFERROR(ROUND(((SUMIF('$ NOCHE_PESC'!$B$4:$C$11,AL28,'$ NOCHE_PESC'!$C$4:$C$11))*AM28)+((SUMIF('$ NOCHE_PESC'!$B$4:$C$11,AN28,'$ NOCHE_PESC'!$C$4:$C$11))*AO28),2),"")</f>
        <v>0</v>
      </c>
      <c r="AQ28" s="22"/>
      <c r="AS28" s="148" t="str">
        <f>IFERROR(IF(AT28=C28,AT28,VLOOKUP(C28,Dato_Pesc!B:K,5)),"")</f>
        <v/>
      </c>
      <c r="AT28" s="148" t="str">
        <f>IFERROR(VLOOKUP(C28,Dato_Pesc!B:K,8),"")</f>
        <v/>
      </c>
    </row>
    <row r="29" spans="2:47" ht="15.75" x14ac:dyDescent="0.25">
      <c r="B29" s="27">
        <f t="shared" si="5"/>
        <v>19</v>
      </c>
      <c r="C29" s="10" t="str">
        <f>IFERROR(VLOOKUP('Reporte Asistencia Laboral'!D29,EMPLEADO!C:Q,15,0),"")</f>
        <v>SIMANCAS CANGO EDISON JOVANY</v>
      </c>
      <c r="D29" s="208" t="s">
        <v>205</v>
      </c>
      <c r="E29" s="10" t="str">
        <f>IFERROR(VLOOKUP(D29,EMPLEADO!C:E,2,FALSE),"")</f>
        <v>DIARIO</v>
      </c>
      <c r="F29" s="12">
        <f>IFERROR(ROUND(VLOOKUP('Reporte Asistencia Laboral'!D29,EMPLEADO!C:AE,3,FALSE)/30*AD29,2),"")</f>
        <v>0</v>
      </c>
      <c r="G29" s="204"/>
      <c r="H29" s="204"/>
      <c r="I29" s="229"/>
      <c r="J29" s="229"/>
      <c r="K29" s="229"/>
      <c r="L29" s="229"/>
      <c r="M29" s="204"/>
      <c r="N29" s="204"/>
      <c r="O29" s="204"/>
      <c r="P29" s="229"/>
      <c r="Q29" s="229"/>
      <c r="R29" s="229"/>
      <c r="S29" s="229"/>
      <c r="T29" s="229"/>
      <c r="U29" s="204"/>
      <c r="V29" s="40"/>
      <c r="W29" s="92">
        <f t="shared" ref="W29:W30" si="48">IF($G$10="S",+G29,IF($G$10="D",+G29,0))+IF($H$10="S",+H29,IF($H$10="D",+H29,0))+IF($I$10="S",+I29,IF($I$10="D",+I29,0))+IF($J$10="S",+J29,IF($J$10="D",+J29,0))+IF($K$10="S",+K29,IF($K$10="D",+K29,0))+IF($L$10="S",+L29,IF($L$10="D",+L29,0))+IF($M$10="S",+M29,IF($M$10="D",+M29,0))+IF($N$10="S",+N29,IF($N$10="D",+N29,0))+IF($O$10="S",+O29,IF($O$10="D",+O29,0))+IF($P$10="S",+P29,IF($P$10="D",+P29,0))+IF($Q$10="S",+Q29,IF($Q$10="D",+Q29,0))+IF($R$10="S",+R29,IF($R$10="D",+R29,0))+IF($S$10="S",+S29,IF($S$10="D",+S29,0))+IF($T$10="S",+T29,IF($T$10="D",+T29,0))+IF($U$10="S",+U29,IF($U$10="D",+U29,0))+IF($V$10="S",+V29,IF($V$10="D",+V29,0))</f>
        <v>0</v>
      </c>
      <c r="X29" s="92">
        <f t="shared" ref="X29:X30" si="49">IF($G$6="F",G29,0)+IF($H$6="F",+H29,0)+IF($I$6="F",+I29,0)+IF($J$6="F",+J29,0)+IF($K$6="F",+K29,0)+IF($L$6="F",+L29,0)+IF($M$6="F",+M29,0)+IF($N$6="F",+N29,0)+IF($O$6="F",+O29,0)+IF($P$6="F",+P29,0)+IF($Q$6="F",+Q29,0)+IF($R$6="F",+R29,0)+IF($S$6="F",+S29,0)+IF($T$6="F",+T29,0)+IF($U$6="F",+U29,0)+IF($V$6="F",+V29,0)</f>
        <v>0</v>
      </c>
      <c r="Y29" s="117">
        <f t="shared" ref="Y29:Y30" si="50">IF($G$2="F",0,IF(G29&gt;8,G29-8,0))+IF($H$2="F",0,IF(H29&gt;8,H29-8,0))+IF($I$2="F",0,IF(I29&gt;8,I29-8,0))+IF($J$2="F",0,IF(J29&gt;8,J29-8,0))+IF($K$2="F",0,IF(K29&gt;8,K29-8,0))+IF($L$2="F",0,IF(L29&gt;8,L29-8,0))+IF($M$2="F",0,IF(M29&gt;8,M29-8,0))+IF($N$2="F",0,IF(N29&gt;8,N29-8,0))+IF($O$2="F",0,IF(O29&gt;8,O29-8,0))+IF($P$2="F",0,IF(P29&gt;8,P29-8,0))+IF($Q$2="F",0,IF(Q29&gt;8,Q29-8,0))+IF($R$2="F",0,IF(R29&gt;8,R29-8,0))+IF($S$2="F",0,IF(S29&gt;8,S29-8,0))+IF($T$2="F",0,IF(T29&gt;8,T29-8,0))+IF($U$2="F",0,IF(U29&gt;8,U29-8,0))+IF($V$2="F",0,IF(V29&gt;8,V29-8,0))</f>
        <v>0</v>
      </c>
      <c r="Z29" s="131"/>
      <c r="AA29" s="202"/>
      <c r="AB29" s="4"/>
      <c r="AC29" s="13">
        <f t="shared" ref="AC29:AC30" si="51">+SUM(G29:V29)</f>
        <v>0</v>
      </c>
      <c r="AD29" s="92">
        <f t="shared" ref="AD29:AD30" si="52">IF(COUNT(G29:V29)&gt;15,COUNT(G29:V29)-1,COUNT(G29:U29))+AA29</f>
        <v>0</v>
      </c>
      <c r="AE29" s="13">
        <f t="shared" ref="AE29:AE30" si="53">IF(Z29="N",0,Y29)</f>
        <v>0</v>
      </c>
      <c r="AF29" s="65">
        <f t="shared" ref="AF29:AF30" si="54">IF(Z29="N",W29+X29+Y29,W29+X29)</f>
        <v>0</v>
      </c>
      <c r="AG29" s="115">
        <f>'CONTROL H.E.'!BJ38</f>
        <v>0</v>
      </c>
      <c r="AH29" s="115">
        <f>'CONTROL H.E.'!BK38</f>
        <v>0</v>
      </c>
      <c r="AI29" s="115">
        <f>'CONTROL H.E. Transf.'!BJ33</f>
        <v>0</v>
      </c>
      <c r="AJ29" s="115">
        <f>'CONTROL H.E. Transf.'!BK33</f>
        <v>0</v>
      </c>
      <c r="AK29" s="20">
        <f>IFERROR(ROUND((VLOOKUP(D29,EMPLEADO!C:F,3,FALSE)/240*1.5*(AE29+AG29+AI29)+(VLOOKUP(D29,EMPLEADO!C:F,3,FALSE)/240*2*(AF29+AH29+AJ29))),2),"")</f>
        <v>0</v>
      </c>
      <c r="AL29" s="148" t="str">
        <f>IFERROR(IF(C29=AS29,VLOOKUP(C29,Dato_Pesc!F:H,2,FALSE)," ")," ")</f>
        <v xml:space="preserve"> </v>
      </c>
      <c r="AM29" s="7">
        <f>IFERROR(IF(C29=AS29,VLOOKUP(C29,Dato_Pesc!F:H,3,FALSE),0),0)</f>
        <v>0</v>
      </c>
      <c r="AN29" s="6" t="str">
        <f>IFERROR(IF(C29=AT29,VLOOKUP(C29,Dato_Pesc!I:K,2,FALSE)," ")," ")</f>
        <v xml:space="preserve"> </v>
      </c>
      <c r="AO29" s="7">
        <f>IFERROR(IF(C29=AT29,VLOOKUP(C29,Dato_Pesc!I:K,3,FALSE),0),0)</f>
        <v>0</v>
      </c>
      <c r="AP29" s="20">
        <f ca="1">IFERROR(ROUND(((SUMIF('$ NOCHE_PESC'!$B$4:$C$11,AL29,'$ NOCHE_PESC'!$C$4:$C$11))*AM29)+((SUMIF('$ NOCHE_PESC'!$B$4:$C$11,AN29,'$ NOCHE_PESC'!$C$4:$C$11))*AO29),2),"")</f>
        <v>0</v>
      </c>
      <c r="AQ29" s="22"/>
      <c r="AS29" s="148" t="str">
        <f>IFERROR(IF(AT29=C29,AT29,VLOOKUP(C29,Dato_Pesc!B:K,5)),"")</f>
        <v/>
      </c>
      <c r="AT29" s="148" t="str">
        <f>IFERROR(VLOOKUP(C29,Dato_Pesc!B:K,8),"")</f>
        <v/>
      </c>
    </row>
    <row r="30" spans="2:47" ht="15.75" x14ac:dyDescent="0.25">
      <c r="B30" s="27">
        <f t="shared" si="5"/>
        <v>20</v>
      </c>
      <c r="C30" s="10" t="str">
        <f>IFERROR(VLOOKUP('Reporte Asistencia Laboral'!D30,EMPLEADO!C:Q,15,0),"")</f>
        <v/>
      </c>
      <c r="D30" s="208"/>
      <c r="E30" s="10" t="str">
        <f>IFERROR(VLOOKUP(D30,EMPLEADO!C:E,2,FALSE),"")</f>
        <v/>
      </c>
      <c r="F30" s="12" t="str">
        <f>IFERROR(ROUND(VLOOKUP('Reporte Asistencia Laboral'!D30,EMPLEADO!C:AE,3,FALSE)/30*AD30,2),"")</f>
        <v/>
      </c>
      <c r="G30" s="204"/>
      <c r="H30" s="204"/>
      <c r="I30" s="229"/>
      <c r="J30" s="229"/>
      <c r="K30" s="229"/>
      <c r="L30" s="229"/>
      <c r="M30" s="204"/>
      <c r="N30" s="204"/>
      <c r="O30" s="204"/>
      <c r="P30" s="229"/>
      <c r="Q30" s="229"/>
      <c r="R30" s="229"/>
      <c r="S30" s="229"/>
      <c r="T30" s="229"/>
      <c r="U30" s="204"/>
      <c r="V30" s="40"/>
      <c r="W30" s="92">
        <f t="shared" si="48"/>
        <v>0</v>
      </c>
      <c r="X30" s="92">
        <f t="shared" si="49"/>
        <v>0</v>
      </c>
      <c r="Y30" s="117">
        <f t="shared" si="50"/>
        <v>0</v>
      </c>
      <c r="Z30" s="131"/>
      <c r="AA30" s="202"/>
      <c r="AB30" s="4"/>
      <c r="AC30" s="13">
        <f t="shared" si="51"/>
        <v>0</v>
      </c>
      <c r="AD30" s="92">
        <f t="shared" si="52"/>
        <v>0</v>
      </c>
      <c r="AE30" s="13">
        <f t="shared" si="53"/>
        <v>0</v>
      </c>
      <c r="AF30" s="65">
        <f t="shared" si="54"/>
        <v>0</v>
      </c>
      <c r="AG30" s="115">
        <f>'CONTROL H.E.'!BJ39</f>
        <v>0</v>
      </c>
      <c r="AH30" s="115">
        <f>'CONTROL H.E.'!BK39</f>
        <v>0</v>
      </c>
      <c r="AI30" s="115">
        <f>'CONTROL H.E. Transf.'!BJ34</f>
        <v>0</v>
      </c>
      <c r="AJ30" s="115">
        <f>'CONTROL H.E. Transf.'!BK34</f>
        <v>0</v>
      </c>
      <c r="AK30" s="20" t="str">
        <f>IFERROR(ROUND((VLOOKUP(D30,EMPLEADO!C:F,3,FALSE)/240*1.5*(AE30+AG30+AI30)+(VLOOKUP(D30,EMPLEADO!C:F,3,FALSE)/240*2*(AF30+AH30+AJ30))),2),"")</f>
        <v/>
      </c>
      <c r="AL30" s="148" t="str">
        <f>IFERROR(IF(C30=AS30,VLOOKUP(C30,Dato_Pesc!F:H,2,FALSE)," ")," ")</f>
        <v xml:space="preserve"> </v>
      </c>
      <c r="AM30" s="7">
        <f>IFERROR(IF(C30=AS30,VLOOKUP(C30,Dato_Pesc!F:H,3,FALSE),0),0)</f>
        <v>0</v>
      </c>
      <c r="AN30" s="6" t="str">
        <f>IFERROR(IF(C30=AT30,VLOOKUP(C30,Dato_Pesc!I:K,2,FALSE)," ")," ")</f>
        <v xml:space="preserve"> </v>
      </c>
      <c r="AO30" s="7">
        <f>IFERROR(IF(C30=AT30,VLOOKUP(C30,Dato_Pesc!I:K,3,FALSE),0),0)</f>
        <v>0</v>
      </c>
      <c r="AP30" s="20">
        <f ca="1">IFERROR(ROUND(((SUMIF('$ NOCHE_PESC'!$B$4:$C$11,AL30,'$ NOCHE_PESC'!$C$4:$C$11))*AM30)+((SUMIF('$ NOCHE_PESC'!$B$4:$C$11,AN30,'$ NOCHE_PESC'!$C$4:$C$11))*AO30),2),"")</f>
        <v>0</v>
      </c>
      <c r="AQ30" s="237"/>
      <c r="AS30" s="148" t="str">
        <f>IFERROR(IF(AT30=C30,AT30,VLOOKUP(C30,Dato_Pesc!B:K,5)),"")</f>
        <v/>
      </c>
      <c r="AT30" s="148" t="str">
        <f>IFERROR(VLOOKUP(C30,Dato_Pesc!B:K,8),"")</f>
        <v/>
      </c>
    </row>
    <row r="31" spans="2:47" x14ac:dyDescent="0.25">
      <c r="B31" s="54"/>
      <c r="C31" s="53"/>
      <c r="D31" s="53"/>
      <c r="E31" s="54"/>
      <c r="F31" s="207">
        <f>SUM(F11:F30)</f>
        <v>1108.4100000000001</v>
      </c>
      <c r="G31" s="90"/>
      <c r="H31" s="90"/>
      <c r="I31" s="54"/>
      <c r="J31" s="90"/>
      <c r="K31" s="90"/>
      <c r="L31" s="90"/>
      <c r="M31" s="90"/>
      <c r="N31" s="90"/>
      <c r="O31" s="54"/>
      <c r="P31" s="54"/>
      <c r="Q31" s="90"/>
      <c r="R31" s="90"/>
      <c r="S31" s="90"/>
      <c r="T31" s="90"/>
      <c r="U31" s="54"/>
      <c r="V31" s="54"/>
      <c r="W31" s="224">
        <f>SUM(W11:W30)</f>
        <v>106</v>
      </c>
      <c r="X31" s="224">
        <f>SUM(X11:X30)</f>
        <v>8</v>
      </c>
      <c r="Y31" s="224">
        <f>SUM(Y11:Y30)</f>
        <v>0</v>
      </c>
      <c r="Z31" s="90"/>
      <c r="AA31" s="90"/>
      <c r="AB31" s="54"/>
      <c r="AC31" s="224">
        <f t="shared" ref="AC31:AK31" si="55">SUM(AC11:AC30)</f>
        <v>466</v>
      </c>
      <c r="AD31" s="224">
        <f t="shared" si="55"/>
        <v>83</v>
      </c>
      <c r="AE31" s="224">
        <f t="shared" si="55"/>
        <v>0</v>
      </c>
      <c r="AF31" s="224">
        <f t="shared" si="55"/>
        <v>114</v>
      </c>
      <c r="AG31" s="221">
        <f t="shared" si="55"/>
        <v>0</v>
      </c>
      <c r="AH31" s="221">
        <f t="shared" si="55"/>
        <v>0</v>
      </c>
      <c r="AI31" s="221">
        <f t="shared" si="55"/>
        <v>0</v>
      </c>
      <c r="AJ31" s="221">
        <f t="shared" si="55"/>
        <v>0</v>
      </c>
      <c r="AK31" s="222">
        <f t="shared" si="55"/>
        <v>380.9</v>
      </c>
      <c r="AL31" s="54"/>
      <c r="AM31" s="54">
        <f>SUM(AM11:AM30)</f>
        <v>0</v>
      </c>
      <c r="AN31" s="54"/>
      <c r="AO31" s="54">
        <f>SUM(AO11:AO30)</f>
        <v>0</v>
      </c>
      <c r="AP31" s="275"/>
      <c r="AQ31" s="159"/>
      <c r="AR31" s="54"/>
      <c r="AS31" s="207"/>
      <c r="AT31" s="207"/>
      <c r="AU31" s="54"/>
    </row>
    <row r="32" spans="2:47" ht="20.25" customHeight="1" x14ac:dyDescent="0.25">
      <c r="C32" s="251" t="s">
        <v>209</v>
      </c>
      <c r="D32" s="252"/>
      <c r="E32" s="253"/>
      <c r="F32" s="254"/>
      <c r="G32" s="255"/>
      <c r="H32" s="255"/>
      <c r="I32" s="253"/>
      <c r="J32" s="255"/>
      <c r="K32" s="255"/>
      <c r="L32" s="255"/>
      <c r="M32" s="255"/>
      <c r="N32" s="255"/>
      <c r="O32" s="253"/>
      <c r="P32" s="253"/>
      <c r="Q32" s="255"/>
      <c r="R32" s="255"/>
      <c r="S32" s="255"/>
      <c r="T32" s="255"/>
      <c r="U32" s="253"/>
      <c r="V32" s="253"/>
      <c r="W32" s="256"/>
      <c r="X32" s="257"/>
    </row>
    <row r="33" spans="3:4" x14ac:dyDescent="0.25">
      <c r="C33" s="21"/>
      <c r="D33" s="19"/>
    </row>
  </sheetData>
  <sheetProtection selectLockedCells="1"/>
  <dataConsolidate/>
  <mergeCells count="6">
    <mergeCell ref="AL9:AP9"/>
    <mergeCell ref="C3:E3"/>
    <mergeCell ref="C4:E4"/>
    <mergeCell ref="AG9:AH9"/>
    <mergeCell ref="G9:V9"/>
    <mergeCell ref="AI9:AK9"/>
  </mergeCells>
  <conditionalFormatting sqref="AM11:AM30 AO11:AO30">
    <cfRule type="cellIs" dxfId="18" priority="5" operator="equal">
      <formula>0</formula>
    </cfRule>
  </conditionalFormatting>
  <conditionalFormatting sqref="G10:U10">
    <cfRule type="containsText" dxfId="17" priority="2" operator="containsText" text="D">
      <formula>NOT(ISERROR(SEARCH("D",G10)))</formula>
    </cfRule>
    <cfRule type="containsText" dxfId="16" priority="3" operator="containsText" text="S">
      <formula>NOT(ISERROR(SEARCH("S",G10)))</formula>
    </cfRule>
  </conditionalFormatting>
  <conditionalFormatting sqref="G6:U6">
    <cfRule type="containsText" dxfId="15" priority="1" operator="containsText" text="F">
      <formula>NOT(ISERROR(SEARCH("F",G6)))</formula>
    </cfRule>
  </conditionalFormatting>
  <pageMargins left="0.15748031496062992" right="0" top="1.1023622047244095" bottom="0.74803149606299213" header="0" footer="0"/>
  <pageSetup paperSize="9" scale="65" orientation="landscape" horizontalDpi="4294967293" verticalDpi="72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6" tint="-0.249977111117893"/>
  </sheetPr>
  <dimension ref="A1:BV41"/>
  <sheetViews>
    <sheetView topLeftCell="B1" zoomScale="60" zoomScaleNormal="60" workbookViewId="0">
      <pane xSplit="4" ySplit="9" topLeftCell="F10" activePane="bottomRight" state="frozen"/>
      <selection activeCell="B1" sqref="B1"/>
      <selection pane="topRight" activeCell="F1" sqref="F1"/>
      <selection pane="bottomLeft" activeCell="B10" sqref="B10"/>
      <selection pane="bottomRight" activeCell="C5" sqref="C5"/>
    </sheetView>
  </sheetViews>
  <sheetFormatPr baseColWidth="10" defaultRowHeight="15" x14ac:dyDescent="0.25"/>
  <cols>
    <col min="1" max="1" width="2.85546875" style="3" hidden="1" customWidth="1"/>
    <col min="2" max="2" width="7.85546875" style="3" customWidth="1"/>
    <col min="3" max="3" width="42.7109375" style="3" customWidth="1"/>
    <col min="4" max="4" width="14.7109375" style="3" customWidth="1"/>
    <col min="5" max="5" width="10.42578125" style="3" hidden="1" customWidth="1"/>
    <col min="6" max="7" width="7.7109375" style="3" customWidth="1"/>
    <col min="8" max="8" width="6.7109375" style="3" customWidth="1"/>
    <col min="9" max="9" width="9.7109375" style="3" customWidth="1"/>
    <col min="10" max="11" width="7.7109375" style="3" customWidth="1"/>
    <col min="12" max="13" width="9.7109375" style="3" customWidth="1"/>
    <col min="14" max="15" width="7.7109375" style="3" customWidth="1"/>
    <col min="16" max="16" width="6.7109375" style="3" customWidth="1"/>
    <col min="17" max="17" width="10" style="3" bestFit="1" customWidth="1"/>
    <col min="18" max="19" width="7.7109375" style="3" customWidth="1"/>
    <col min="20" max="20" width="6.7109375" style="3" customWidth="1"/>
    <col min="21" max="21" width="9.7109375" style="3" customWidth="1"/>
    <col min="22" max="23" width="7.7109375" style="3" customWidth="1"/>
    <col min="24" max="24" width="6.7109375" style="3" customWidth="1"/>
    <col min="25" max="25" width="10.7109375" style="3" customWidth="1"/>
    <col min="26" max="27" width="7.7109375" style="3" customWidth="1"/>
    <col min="28" max="28" width="6.7109375" style="3" customWidth="1"/>
    <col min="29" max="29" width="9.7109375" style="3" customWidth="1"/>
    <col min="30" max="31" width="7.7109375" style="3" customWidth="1"/>
    <col min="32" max="32" width="6.7109375" style="3" customWidth="1"/>
    <col min="33" max="33" width="10.7109375" style="3" customWidth="1"/>
    <col min="34" max="35" width="7.7109375" style="3" customWidth="1"/>
    <col min="36" max="36" width="6.7109375" style="3" customWidth="1"/>
    <col min="37" max="37" width="9.7109375" style="3" customWidth="1"/>
    <col min="38" max="39" width="7.7109375" style="3" customWidth="1"/>
    <col min="40" max="40" width="6.7109375" style="3" customWidth="1"/>
    <col min="41" max="41" width="10.7109375" style="3" customWidth="1"/>
    <col min="42" max="43" width="7.7109375" style="3" customWidth="1"/>
    <col min="44" max="44" width="6.7109375" style="3" customWidth="1"/>
    <col min="45" max="45" width="9.7109375" style="3" customWidth="1"/>
    <col min="46" max="47" width="7.7109375" style="3" customWidth="1"/>
    <col min="48" max="48" width="6.7109375" style="3" customWidth="1"/>
    <col min="49" max="49" width="10.7109375" style="3" customWidth="1"/>
    <col min="50" max="51" width="7.7109375" style="3" customWidth="1"/>
    <col min="52" max="52" width="6.7109375" style="3" customWidth="1"/>
    <col min="53" max="53" width="9.7109375" style="3" customWidth="1"/>
    <col min="54" max="55" width="7.7109375" style="3" customWidth="1"/>
    <col min="56" max="56" width="6.7109375" style="3" customWidth="1"/>
    <col min="57" max="57" width="10.7109375" style="3" customWidth="1"/>
    <col min="58" max="59" width="7.7109375" style="3" customWidth="1"/>
    <col min="60" max="60" width="6.7109375" style="3" customWidth="1"/>
    <col min="61" max="61" width="9.7109375" style="3" customWidth="1"/>
    <col min="62" max="62" width="15.42578125" style="14" bestFit="1" customWidth="1"/>
    <col min="63" max="63" width="11.5703125" style="14" bestFit="1" customWidth="1"/>
    <col min="64" max="64" width="4.7109375" style="14" customWidth="1"/>
    <col min="68" max="69" width="11.42578125" style="3"/>
    <col min="74" max="74" width="4.7109375" style="14" customWidth="1"/>
    <col min="75" max="16384" width="11.42578125" style="3"/>
  </cols>
  <sheetData>
    <row r="1" spans="2:74" ht="79.5" customHeight="1" x14ac:dyDescent="0.25">
      <c r="F1" s="245" t="s">
        <v>140</v>
      </c>
      <c r="G1" s="243"/>
      <c r="H1" s="307" t="s">
        <v>141</v>
      </c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</row>
    <row r="2" spans="2:74" ht="22.5" x14ac:dyDescent="0.4">
      <c r="C2" s="308" t="s">
        <v>48</v>
      </c>
      <c r="D2" s="308"/>
      <c r="E2" s="30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</row>
    <row r="3" spans="2:74" ht="23.25" thickBot="1" x14ac:dyDescent="0.45">
      <c r="C3" s="309" t="s">
        <v>112</v>
      </c>
      <c r="D3" s="309"/>
      <c r="E3" s="309"/>
      <c r="AG3" s="250"/>
    </row>
    <row r="4" spans="2:74" ht="25.5" customHeight="1" thickBot="1" x14ac:dyDescent="0.3">
      <c r="C4" s="54" t="str">
        <f>IF(VARIOS!B4&gt;=14,IF(C5=0," ",+VARIOS!B11)," ")</f>
        <v>PRIMERA QUINCENA DE JUNIO DEL 2019</v>
      </c>
      <c r="F4" s="244"/>
      <c r="N4" s="123"/>
      <c r="V4" s="123"/>
      <c r="AD4" s="123"/>
      <c r="AL4" s="123"/>
      <c r="AT4" s="123"/>
      <c r="BB4" s="123"/>
    </row>
    <row r="5" spans="2:74" ht="24" thickBot="1" x14ac:dyDescent="0.4">
      <c r="B5" s="86" t="s">
        <v>110</v>
      </c>
      <c r="C5" s="240">
        <v>43617</v>
      </c>
      <c r="D5" s="89" t="s">
        <v>113</v>
      </c>
      <c r="F5" s="310"/>
      <c r="G5" s="297"/>
      <c r="H5" s="297"/>
      <c r="I5" s="297"/>
      <c r="J5" s="297"/>
      <c r="K5" s="297"/>
      <c r="L5" s="297"/>
      <c r="M5" s="298"/>
      <c r="N5" s="297"/>
      <c r="O5" s="297"/>
      <c r="P5" s="297"/>
      <c r="Q5" s="297"/>
      <c r="R5" s="297"/>
      <c r="S5" s="297"/>
      <c r="T5" s="297"/>
      <c r="U5" s="298"/>
      <c r="V5" s="297"/>
      <c r="W5" s="297"/>
      <c r="X5" s="297"/>
      <c r="Y5" s="297"/>
      <c r="Z5" s="297"/>
      <c r="AA5" s="297"/>
      <c r="AB5" s="297"/>
      <c r="AC5" s="298"/>
      <c r="AD5" s="297"/>
      <c r="AE5" s="297"/>
      <c r="AF5" s="297"/>
      <c r="AG5" s="297"/>
      <c r="AH5" s="297"/>
      <c r="AI5" s="297"/>
      <c r="AJ5" s="297"/>
      <c r="AK5" s="298"/>
      <c r="AL5" s="297"/>
      <c r="AM5" s="297"/>
      <c r="AN5" s="297"/>
      <c r="AO5" s="297"/>
      <c r="AP5" s="297"/>
      <c r="AQ5" s="297"/>
      <c r="AR5" s="297"/>
      <c r="AS5" s="298"/>
      <c r="AT5" s="297"/>
      <c r="AU5" s="297"/>
      <c r="AV5" s="297"/>
      <c r="AW5" s="297"/>
      <c r="AX5" s="297"/>
      <c r="AY5" s="297"/>
      <c r="AZ5" s="297"/>
      <c r="BA5" s="298"/>
      <c r="BB5" s="297"/>
      <c r="BC5" s="297"/>
      <c r="BD5" s="297"/>
      <c r="BE5" s="297"/>
      <c r="BF5" s="297"/>
      <c r="BG5" s="297"/>
      <c r="BH5" s="297"/>
      <c r="BI5" s="298"/>
    </row>
    <row r="6" spans="2:74" s="8" customFormat="1" ht="24" thickBot="1" x14ac:dyDescent="0.4">
      <c r="B6" s="118" t="s">
        <v>111</v>
      </c>
      <c r="C6" s="241">
        <v>43631</v>
      </c>
      <c r="D6" s="100"/>
      <c r="F6" s="299" t="str">
        <f>IF(F5=0,"INGRESE DIA POR FAVOR",IF(WEEKDAY(F5)=7,"OJO H.E. AL 100%",IF(WEEKDAY(F5)=1,"OJO H.E. AL 100%",IF(F4="F","OJO H.E. AL 100%","INGRESAR HORAS EXTRAS"))))</f>
        <v>INGRESE DIA POR FAVOR</v>
      </c>
      <c r="G6" s="300"/>
      <c r="H6" s="300"/>
      <c r="I6" s="300"/>
      <c r="J6" s="300"/>
      <c r="K6" s="300"/>
      <c r="L6" s="300"/>
      <c r="M6" s="301"/>
      <c r="N6" s="299" t="str">
        <f>IF(N5=0,"INGRESE DIA POR FAVOR",IF(WEEKDAY(N5)=7,"OJO H.E. AL 100%",IF(WEEKDAY(N5)=1,"OJO H.E. AL 100%",IF(N4="F","OJO H.E. AL 100%","INGRESAR HORAS EXTRAS"))))</f>
        <v>INGRESE DIA POR FAVOR</v>
      </c>
      <c r="O6" s="300"/>
      <c r="P6" s="300"/>
      <c r="Q6" s="300"/>
      <c r="R6" s="300"/>
      <c r="S6" s="300"/>
      <c r="T6" s="300"/>
      <c r="U6" s="301"/>
      <c r="V6" s="299" t="str">
        <f>IF(V5=0,"INGRESE DIA POR FAVOR",IF(WEEKDAY(V5)=7,"OJO H.E. AL 100%",IF(WEEKDAY(V5)=1,"OJO H.E. AL 100%",IF(V4="F","OJO H.E. AL 100%","INGRESAR HORAS EXTRAS"))))</f>
        <v>INGRESE DIA POR FAVOR</v>
      </c>
      <c r="W6" s="300"/>
      <c r="X6" s="300"/>
      <c r="Y6" s="300"/>
      <c r="Z6" s="300"/>
      <c r="AA6" s="300"/>
      <c r="AB6" s="300"/>
      <c r="AC6" s="301"/>
      <c r="AD6" s="299" t="str">
        <f>IF(AD5=0,"INGRESE DIA POR FAVOR",IF(WEEKDAY(AD5)=7,"OJO H.E. AL 100%",IF(WEEKDAY(AD5)=1,"OJO H.E. AL 100%",IF(AD4="F","OJO H.E. AL 100%","INGRESAR HORAS EXTRAS"))))</f>
        <v>INGRESE DIA POR FAVOR</v>
      </c>
      <c r="AE6" s="300"/>
      <c r="AF6" s="300"/>
      <c r="AG6" s="300"/>
      <c r="AH6" s="300"/>
      <c r="AI6" s="300"/>
      <c r="AJ6" s="300"/>
      <c r="AK6" s="301"/>
      <c r="AL6" s="299" t="str">
        <f>IF(AL5=0,"INGRESE DIA POR FAVOR",IF(WEEKDAY(AL5)=7,"OJO H.E. AL 100%",IF(WEEKDAY(AL5)=1,"OJO H.E. AL 100%",IF(AL4="F","OJO H.E. AL 100%","INGRESAR HORAS EXTRAS"))))</f>
        <v>INGRESE DIA POR FAVOR</v>
      </c>
      <c r="AM6" s="300"/>
      <c r="AN6" s="300"/>
      <c r="AO6" s="300"/>
      <c r="AP6" s="300"/>
      <c r="AQ6" s="300"/>
      <c r="AR6" s="300"/>
      <c r="AS6" s="301"/>
      <c r="AT6" s="299" t="str">
        <f>IF(AT5=0,"INGRESE DIA POR FAVOR",IF(WEEKDAY(AT5)=7,"OJO H.E. AL 100%",IF(WEEKDAY(AT5)=1,"OJO H.E. AL 100%",IF(AT4="F","OJO H.E. AL 100%","INGRESAR HORAS EXTRAS"))))</f>
        <v>INGRESE DIA POR FAVOR</v>
      </c>
      <c r="AU6" s="300"/>
      <c r="AV6" s="300"/>
      <c r="AW6" s="300"/>
      <c r="AX6" s="300"/>
      <c r="AY6" s="300"/>
      <c r="AZ6" s="300"/>
      <c r="BA6" s="301"/>
      <c r="BB6" s="299" t="str">
        <f>IF(BB5=0,"INGRESE DIA POR FAVOR",IF(WEEKDAY(BB5)=7,"OJO H.E. AL 100%",IF(WEEKDAY(BB5)=1,"OJO H.E. AL 100%",IF(BB4="F","OJO H.E. AL 100%","INGRESAR HORAS EXTRAS"))))</f>
        <v>INGRESE DIA POR FAVOR</v>
      </c>
      <c r="BC6" s="300"/>
      <c r="BD6" s="300"/>
      <c r="BE6" s="300"/>
      <c r="BF6" s="300"/>
      <c r="BG6" s="300"/>
      <c r="BH6" s="300"/>
      <c r="BI6" s="301"/>
      <c r="BJ6" s="14"/>
      <c r="BK6" s="14"/>
      <c r="BL6" s="14"/>
      <c r="BV6" s="14"/>
    </row>
    <row r="7" spans="2:74" ht="19.5" thickBot="1" x14ac:dyDescent="0.3">
      <c r="B7" s="63" t="s">
        <v>100</v>
      </c>
      <c r="C7" s="103">
        <v>5</v>
      </c>
      <c r="F7" s="295" t="s">
        <v>33</v>
      </c>
      <c r="G7" s="295"/>
      <c r="H7" s="295"/>
      <c r="I7" s="295"/>
      <c r="J7" s="295"/>
      <c r="K7" s="295"/>
      <c r="L7" s="295"/>
      <c r="M7" s="296"/>
      <c r="N7" s="295" t="s">
        <v>33</v>
      </c>
      <c r="O7" s="295"/>
      <c r="P7" s="295"/>
      <c r="Q7" s="295"/>
      <c r="R7" s="295"/>
      <c r="S7" s="295"/>
      <c r="T7" s="295"/>
      <c r="U7" s="296"/>
      <c r="V7" s="295" t="s">
        <v>33</v>
      </c>
      <c r="W7" s="295"/>
      <c r="X7" s="295"/>
      <c r="Y7" s="295"/>
      <c r="Z7" s="295"/>
      <c r="AA7" s="295"/>
      <c r="AB7" s="295"/>
      <c r="AC7" s="296"/>
      <c r="AD7" s="295" t="s">
        <v>33</v>
      </c>
      <c r="AE7" s="295"/>
      <c r="AF7" s="295"/>
      <c r="AG7" s="295"/>
      <c r="AH7" s="295"/>
      <c r="AI7" s="295"/>
      <c r="AJ7" s="295"/>
      <c r="AK7" s="296"/>
      <c r="AL7" s="295" t="s">
        <v>33</v>
      </c>
      <c r="AM7" s="295"/>
      <c r="AN7" s="295"/>
      <c r="AO7" s="295"/>
      <c r="AP7" s="295"/>
      <c r="AQ7" s="295"/>
      <c r="AR7" s="295"/>
      <c r="AS7" s="296"/>
      <c r="AT7" s="295" t="s">
        <v>33</v>
      </c>
      <c r="AU7" s="295"/>
      <c r="AV7" s="295"/>
      <c r="AW7" s="295"/>
      <c r="AX7" s="295"/>
      <c r="AY7" s="295"/>
      <c r="AZ7" s="295"/>
      <c r="BA7" s="296"/>
      <c r="BB7" s="295" t="s">
        <v>33</v>
      </c>
      <c r="BC7" s="295"/>
      <c r="BD7" s="295"/>
      <c r="BE7" s="295"/>
      <c r="BF7" s="295"/>
      <c r="BG7" s="295"/>
      <c r="BH7" s="295"/>
      <c r="BI7" s="296"/>
      <c r="BJ7" s="302" t="s">
        <v>12</v>
      </c>
      <c r="BK7" s="303"/>
    </row>
    <row r="8" spans="2:74" s="225" customFormat="1" ht="69.75" customHeight="1" thickBot="1" x14ac:dyDescent="0.3">
      <c r="F8" s="292" t="s">
        <v>106</v>
      </c>
      <c r="G8" s="293"/>
      <c r="H8" s="293"/>
      <c r="I8" s="294"/>
      <c r="J8" s="304" t="s">
        <v>132</v>
      </c>
      <c r="K8" s="305"/>
      <c r="L8" s="305"/>
      <c r="M8" s="306"/>
      <c r="N8" s="292" t="s">
        <v>106</v>
      </c>
      <c r="O8" s="293"/>
      <c r="P8" s="293"/>
      <c r="Q8" s="294"/>
      <c r="R8" s="292" t="s">
        <v>107</v>
      </c>
      <c r="S8" s="293"/>
      <c r="T8" s="293"/>
      <c r="U8" s="294"/>
      <c r="V8" s="292" t="s">
        <v>106</v>
      </c>
      <c r="W8" s="293"/>
      <c r="X8" s="293"/>
      <c r="Y8" s="294"/>
      <c r="Z8" s="292" t="s">
        <v>107</v>
      </c>
      <c r="AA8" s="293"/>
      <c r="AB8" s="293"/>
      <c r="AC8" s="294"/>
      <c r="AD8" s="292" t="s">
        <v>106</v>
      </c>
      <c r="AE8" s="293"/>
      <c r="AF8" s="293"/>
      <c r="AG8" s="294"/>
      <c r="AH8" s="292" t="s">
        <v>107</v>
      </c>
      <c r="AI8" s="293"/>
      <c r="AJ8" s="293"/>
      <c r="AK8" s="294"/>
      <c r="AL8" s="292" t="s">
        <v>106</v>
      </c>
      <c r="AM8" s="293"/>
      <c r="AN8" s="293"/>
      <c r="AO8" s="294"/>
      <c r="AP8" s="292" t="s">
        <v>107</v>
      </c>
      <c r="AQ8" s="293"/>
      <c r="AR8" s="293"/>
      <c r="AS8" s="294"/>
      <c r="AT8" s="292" t="s">
        <v>106</v>
      </c>
      <c r="AU8" s="293"/>
      <c r="AV8" s="293"/>
      <c r="AW8" s="294"/>
      <c r="AX8" s="292" t="s">
        <v>107</v>
      </c>
      <c r="AY8" s="293"/>
      <c r="AZ8" s="293"/>
      <c r="BA8" s="294"/>
      <c r="BB8" s="292" t="s">
        <v>106</v>
      </c>
      <c r="BC8" s="293"/>
      <c r="BD8" s="293"/>
      <c r="BE8" s="294"/>
      <c r="BF8" s="292" t="s">
        <v>107</v>
      </c>
      <c r="BG8" s="293"/>
      <c r="BH8" s="293"/>
      <c r="BI8" s="294"/>
      <c r="BJ8" s="273"/>
      <c r="BK8" s="274"/>
      <c r="BL8" s="226"/>
      <c r="BM8" s="227"/>
      <c r="BN8" s="227"/>
      <c r="BO8" s="227"/>
      <c r="BR8" s="227"/>
      <c r="BS8" s="227"/>
      <c r="BT8" s="227"/>
      <c r="BU8" s="227"/>
      <c r="BV8" s="226"/>
    </row>
    <row r="9" spans="2:74" ht="54.95" customHeight="1" x14ac:dyDescent="0.25">
      <c r="B9" s="15" t="s">
        <v>14</v>
      </c>
      <c r="C9" s="99" t="s">
        <v>0</v>
      </c>
      <c r="D9" s="98" t="s">
        <v>37</v>
      </c>
      <c r="E9" s="56" t="s">
        <v>1</v>
      </c>
      <c r="F9" s="269" t="s">
        <v>104</v>
      </c>
      <c r="G9" s="270" t="s">
        <v>105</v>
      </c>
      <c r="H9" s="271" t="s">
        <v>108</v>
      </c>
      <c r="I9" s="272" t="s">
        <v>103</v>
      </c>
      <c r="J9" s="269" t="s">
        <v>104</v>
      </c>
      <c r="K9" s="270" t="s">
        <v>105</v>
      </c>
      <c r="L9" s="271" t="s">
        <v>109</v>
      </c>
      <c r="M9" s="272" t="s">
        <v>103</v>
      </c>
      <c r="N9" s="269" t="s">
        <v>104</v>
      </c>
      <c r="O9" s="270" t="s">
        <v>105</v>
      </c>
      <c r="P9" s="271" t="s">
        <v>108</v>
      </c>
      <c r="Q9" s="272" t="s">
        <v>103</v>
      </c>
      <c r="R9" s="269" t="s">
        <v>104</v>
      </c>
      <c r="S9" s="270" t="s">
        <v>105</v>
      </c>
      <c r="T9" s="271" t="s">
        <v>109</v>
      </c>
      <c r="U9" s="272" t="s">
        <v>103</v>
      </c>
      <c r="V9" s="269" t="s">
        <v>104</v>
      </c>
      <c r="W9" s="270" t="s">
        <v>105</v>
      </c>
      <c r="X9" s="271" t="s">
        <v>108</v>
      </c>
      <c r="Y9" s="272" t="s">
        <v>103</v>
      </c>
      <c r="Z9" s="269" t="s">
        <v>104</v>
      </c>
      <c r="AA9" s="270" t="s">
        <v>105</v>
      </c>
      <c r="AB9" s="271" t="s">
        <v>109</v>
      </c>
      <c r="AC9" s="272" t="s">
        <v>103</v>
      </c>
      <c r="AD9" s="269" t="s">
        <v>104</v>
      </c>
      <c r="AE9" s="270" t="s">
        <v>105</v>
      </c>
      <c r="AF9" s="271" t="s">
        <v>108</v>
      </c>
      <c r="AG9" s="272" t="s">
        <v>103</v>
      </c>
      <c r="AH9" s="269" t="s">
        <v>104</v>
      </c>
      <c r="AI9" s="270" t="s">
        <v>105</v>
      </c>
      <c r="AJ9" s="271" t="s">
        <v>109</v>
      </c>
      <c r="AK9" s="272" t="s">
        <v>103</v>
      </c>
      <c r="AL9" s="269" t="s">
        <v>104</v>
      </c>
      <c r="AM9" s="270" t="s">
        <v>105</v>
      </c>
      <c r="AN9" s="271" t="s">
        <v>108</v>
      </c>
      <c r="AO9" s="272" t="s">
        <v>103</v>
      </c>
      <c r="AP9" s="269" t="s">
        <v>104</v>
      </c>
      <c r="AQ9" s="270" t="s">
        <v>105</v>
      </c>
      <c r="AR9" s="271" t="s">
        <v>109</v>
      </c>
      <c r="AS9" s="272" t="s">
        <v>103</v>
      </c>
      <c r="AT9" s="269" t="s">
        <v>104</v>
      </c>
      <c r="AU9" s="270" t="s">
        <v>105</v>
      </c>
      <c r="AV9" s="271" t="s">
        <v>108</v>
      </c>
      <c r="AW9" s="272" t="s">
        <v>103</v>
      </c>
      <c r="AX9" s="269" t="s">
        <v>104</v>
      </c>
      <c r="AY9" s="270" t="s">
        <v>105</v>
      </c>
      <c r="AZ9" s="271" t="s">
        <v>109</v>
      </c>
      <c r="BA9" s="272" t="s">
        <v>103</v>
      </c>
      <c r="BB9" s="269" t="s">
        <v>104</v>
      </c>
      <c r="BC9" s="270" t="s">
        <v>105</v>
      </c>
      <c r="BD9" s="271" t="s">
        <v>108</v>
      </c>
      <c r="BE9" s="272" t="s">
        <v>103</v>
      </c>
      <c r="BF9" s="269" t="s">
        <v>104</v>
      </c>
      <c r="BG9" s="270" t="s">
        <v>105</v>
      </c>
      <c r="BH9" s="271" t="s">
        <v>109</v>
      </c>
      <c r="BI9" s="272" t="s">
        <v>103</v>
      </c>
      <c r="BJ9" s="18" t="s">
        <v>50</v>
      </c>
      <c r="BK9" s="56" t="s">
        <v>51</v>
      </c>
      <c r="BL9" s="8"/>
      <c r="BV9" s="8"/>
    </row>
    <row r="10" spans="2:74" ht="30" customHeight="1" x14ac:dyDescent="0.3">
      <c r="B10" s="39">
        <v>1</v>
      </c>
      <c r="C10" s="96" t="str">
        <f>VLOOKUP(D10,EMPLEADO!C:Q,15,FALSE)</f>
        <v>HERNANDEZ VALENCIA CARLOS ALBERTO</v>
      </c>
      <c r="D10" s="11" t="s">
        <v>39</v>
      </c>
      <c r="E10" s="57" t="s">
        <v>63</v>
      </c>
      <c r="F10" s="127"/>
      <c r="G10" s="128"/>
      <c r="H10" s="121">
        <f t="shared" ref="H10:H20" si="0">IF($F$6="OJO H.E. AL 100%",0,(G10-F10)*24)</f>
        <v>0</v>
      </c>
      <c r="I10" s="66"/>
      <c r="J10" s="127"/>
      <c r="K10" s="128"/>
      <c r="L10" s="121">
        <f t="shared" ref="L10:L20" si="1">(+K10-J10)*24</f>
        <v>0</v>
      </c>
      <c r="M10" s="66"/>
      <c r="N10" s="122"/>
      <c r="O10" s="72"/>
      <c r="P10" s="121">
        <f t="shared" ref="P10:P20" si="2">IF($N$6="OJO H.E. AL 100%",0,(O10-N10)*24)</f>
        <v>0</v>
      </c>
      <c r="Q10" s="66"/>
      <c r="R10" s="72"/>
      <c r="S10" s="72"/>
      <c r="T10" s="121">
        <f>(+S10-R10)*24</f>
        <v>0</v>
      </c>
      <c r="U10" s="66"/>
      <c r="V10" s="71"/>
      <c r="W10" s="72"/>
      <c r="X10" s="121">
        <f t="shared" ref="X10:X20" si="3">IF($V$6="OJO H.E. AL 100%",0,(W10-V10)*24)</f>
        <v>0</v>
      </c>
      <c r="Y10" s="66"/>
      <c r="Z10" s="71"/>
      <c r="AA10" s="72"/>
      <c r="AB10" s="121">
        <f t="shared" ref="AB10:AB20" si="4">(+AA10-Z10)*24</f>
        <v>0</v>
      </c>
      <c r="AC10" s="66"/>
      <c r="AD10" s="71"/>
      <c r="AE10" s="72"/>
      <c r="AF10" s="121">
        <f t="shared" ref="AF10:AF20" si="5">IF($AD$6="OJO H.E. AL 100%",0,(AE10-AD10)*24)</f>
        <v>0</v>
      </c>
      <c r="AG10" s="66"/>
      <c r="AH10" s="71"/>
      <c r="AI10" s="72"/>
      <c r="AJ10" s="121">
        <f t="shared" ref="AJ10:AJ20" si="6">(+AI10-AH10)*24</f>
        <v>0</v>
      </c>
      <c r="AK10" s="66"/>
      <c r="AL10" s="71"/>
      <c r="AM10" s="72"/>
      <c r="AN10" s="121">
        <f t="shared" ref="AN10:AN20" si="7">IF($AL$6="OJO H.E. AL 100%",0,(AM10-AL10)*24)</f>
        <v>0</v>
      </c>
      <c r="AO10" s="66"/>
      <c r="AP10" s="71"/>
      <c r="AQ10" s="72"/>
      <c r="AR10" s="121">
        <f t="shared" ref="AR10:AR20" si="8">(+AQ10-AP10)*24</f>
        <v>0</v>
      </c>
      <c r="AS10" s="66"/>
      <c r="AT10" s="71"/>
      <c r="AU10" s="72"/>
      <c r="AV10" s="121">
        <f t="shared" ref="AV10:AV20" si="9">IF($AT$6="OJO H.E. AL 100%",0,(AU10-AT10)*24)</f>
        <v>0</v>
      </c>
      <c r="AW10" s="66"/>
      <c r="AX10" s="71"/>
      <c r="AY10" s="72"/>
      <c r="AZ10" s="121">
        <f t="shared" ref="AZ10:AZ20" si="10">(+AY10-AX10)*24</f>
        <v>0</v>
      </c>
      <c r="BA10" s="66"/>
      <c r="BB10" s="71"/>
      <c r="BC10" s="72"/>
      <c r="BD10" s="121">
        <f t="shared" ref="BD10:BD20" si="11">IF($BB$6="OJO H.E. AL 100%",0,(BC10-BB10)*24)</f>
        <v>0</v>
      </c>
      <c r="BE10" s="66"/>
      <c r="BF10" s="71"/>
      <c r="BG10" s="72"/>
      <c r="BH10" s="121">
        <f t="shared" ref="BH10:BH20" si="12">(+BG10-BF10)*24</f>
        <v>0</v>
      </c>
      <c r="BI10" s="66"/>
      <c r="BJ10" s="119">
        <f>H10+P10+X10+AF10+AN10+AV10+BD10</f>
        <v>0</v>
      </c>
      <c r="BK10" s="120">
        <f>L10+T10+AB10+AJ10+AR10+AZ10+BH10</f>
        <v>0</v>
      </c>
      <c r="BL10" s="55"/>
      <c r="BV10" s="55"/>
    </row>
    <row r="11" spans="2:74" ht="30" customHeight="1" x14ac:dyDescent="0.3">
      <c r="B11" s="39">
        <v>2</v>
      </c>
      <c r="C11" s="96" t="str">
        <f>VLOOKUP(D11,EMPLEADO!C:Q,15,FALSE)</f>
        <v>ARMIJOS MIÑAN ANGEL</v>
      </c>
      <c r="D11" s="11" t="s">
        <v>38</v>
      </c>
      <c r="E11" s="57" t="s">
        <v>24</v>
      </c>
      <c r="F11" s="127"/>
      <c r="G11" s="128"/>
      <c r="H11" s="121">
        <f t="shared" si="0"/>
        <v>0</v>
      </c>
      <c r="I11" s="66"/>
      <c r="J11" s="127"/>
      <c r="K11" s="128"/>
      <c r="L11" s="121">
        <f t="shared" si="1"/>
        <v>0</v>
      </c>
      <c r="M11" s="66"/>
      <c r="N11" s="69"/>
      <c r="O11" s="70"/>
      <c r="P11" s="121">
        <f t="shared" si="2"/>
        <v>0</v>
      </c>
      <c r="Q11" s="66"/>
      <c r="R11" s="72"/>
      <c r="S11" s="72"/>
      <c r="T11" s="121">
        <f t="shared" ref="T11:T20" si="13">(+S11-R11)*24</f>
        <v>0</v>
      </c>
      <c r="U11" s="66"/>
      <c r="V11" s="69"/>
      <c r="W11" s="70"/>
      <c r="X11" s="121">
        <f t="shared" si="3"/>
        <v>0</v>
      </c>
      <c r="Y11" s="66"/>
      <c r="Z11" s="69"/>
      <c r="AA11" s="70"/>
      <c r="AB11" s="121">
        <f t="shared" si="4"/>
        <v>0</v>
      </c>
      <c r="AC11" s="66"/>
      <c r="AD11" s="69"/>
      <c r="AE11" s="70"/>
      <c r="AF11" s="121">
        <f t="shared" si="5"/>
        <v>0</v>
      </c>
      <c r="AG11" s="66"/>
      <c r="AH11" s="69"/>
      <c r="AI11" s="70"/>
      <c r="AJ11" s="121">
        <f t="shared" si="6"/>
        <v>0</v>
      </c>
      <c r="AK11" s="66"/>
      <c r="AL11" s="69"/>
      <c r="AM11" s="70"/>
      <c r="AN11" s="121">
        <f t="shared" si="7"/>
        <v>0</v>
      </c>
      <c r="AO11" s="66"/>
      <c r="AP11" s="69"/>
      <c r="AQ11" s="70"/>
      <c r="AR11" s="121">
        <f t="shared" si="8"/>
        <v>0</v>
      </c>
      <c r="AS11" s="66"/>
      <c r="AT11" s="69"/>
      <c r="AU11" s="70"/>
      <c r="AV11" s="121">
        <f t="shared" si="9"/>
        <v>0</v>
      </c>
      <c r="AW11" s="66"/>
      <c r="AX11" s="69"/>
      <c r="AY11" s="70"/>
      <c r="AZ11" s="121">
        <f t="shared" si="10"/>
        <v>0</v>
      </c>
      <c r="BA11" s="66"/>
      <c r="BB11" s="69"/>
      <c r="BC11" s="70"/>
      <c r="BD11" s="121">
        <f t="shared" si="11"/>
        <v>0</v>
      </c>
      <c r="BE11" s="66"/>
      <c r="BF11" s="69"/>
      <c r="BG11" s="70"/>
      <c r="BH11" s="121">
        <f t="shared" si="12"/>
        <v>0</v>
      </c>
      <c r="BI11" s="66"/>
      <c r="BJ11" s="119">
        <f t="shared" ref="BJ11:BJ20" si="14">H11+P11+X11+AF11+AN11+AV11+BD11</f>
        <v>0</v>
      </c>
      <c r="BK11" s="120">
        <f t="shared" ref="BK11:BK20" si="15">L11+T11+AB11+AJ11+AR11+AZ11+BH11</f>
        <v>0</v>
      </c>
      <c r="BL11" s="55"/>
      <c r="BV11" s="55"/>
    </row>
    <row r="12" spans="2:74" ht="30" customHeight="1" x14ac:dyDescent="0.3">
      <c r="B12" s="39">
        <v>3</v>
      </c>
      <c r="C12" s="96" t="str">
        <f>VLOOKUP(D12,EMPLEADO!C:Q,15,FALSE)</f>
        <v>SOTO CANGO ROBER CORNELIO</v>
      </c>
      <c r="D12" s="11" t="s">
        <v>41</v>
      </c>
      <c r="E12" s="57" t="s">
        <v>18</v>
      </c>
      <c r="F12" s="127"/>
      <c r="G12" s="128"/>
      <c r="H12" s="121">
        <f t="shared" si="0"/>
        <v>0</v>
      </c>
      <c r="I12" s="66"/>
      <c r="J12" s="127"/>
      <c r="K12" s="128"/>
      <c r="L12" s="121">
        <f t="shared" si="1"/>
        <v>0</v>
      </c>
      <c r="M12" s="66"/>
      <c r="N12" s="69"/>
      <c r="O12" s="70"/>
      <c r="P12" s="121">
        <f t="shared" si="2"/>
        <v>0</v>
      </c>
      <c r="Q12" s="66"/>
      <c r="R12" s="72"/>
      <c r="S12" s="72"/>
      <c r="T12" s="121">
        <f t="shared" si="13"/>
        <v>0</v>
      </c>
      <c r="U12" s="66"/>
      <c r="V12" s="69"/>
      <c r="W12" s="70"/>
      <c r="X12" s="121">
        <f t="shared" si="3"/>
        <v>0</v>
      </c>
      <c r="Y12" s="66"/>
      <c r="Z12" s="69"/>
      <c r="AA12" s="70"/>
      <c r="AB12" s="121">
        <f t="shared" si="4"/>
        <v>0</v>
      </c>
      <c r="AC12" s="66"/>
      <c r="AD12" s="69"/>
      <c r="AE12" s="70"/>
      <c r="AF12" s="121">
        <f t="shared" si="5"/>
        <v>0</v>
      </c>
      <c r="AG12" s="66"/>
      <c r="AH12" s="69"/>
      <c r="AI12" s="70"/>
      <c r="AJ12" s="121">
        <f t="shared" si="6"/>
        <v>0</v>
      </c>
      <c r="AK12" s="66"/>
      <c r="AL12" s="69"/>
      <c r="AM12" s="70"/>
      <c r="AN12" s="121">
        <f t="shared" si="7"/>
        <v>0</v>
      </c>
      <c r="AO12" s="66"/>
      <c r="AP12" s="69"/>
      <c r="AQ12" s="70"/>
      <c r="AR12" s="121">
        <f t="shared" si="8"/>
        <v>0</v>
      </c>
      <c r="AS12" s="66"/>
      <c r="AT12" s="69"/>
      <c r="AU12" s="70"/>
      <c r="AV12" s="121">
        <f t="shared" si="9"/>
        <v>0</v>
      </c>
      <c r="AW12" s="66"/>
      <c r="AX12" s="69"/>
      <c r="AY12" s="70"/>
      <c r="AZ12" s="121">
        <f t="shared" si="10"/>
        <v>0</v>
      </c>
      <c r="BA12" s="66"/>
      <c r="BB12" s="69"/>
      <c r="BC12" s="70"/>
      <c r="BD12" s="121">
        <f t="shared" si="11"/>
        <v>0</v>
      </c>
      <c r="BE12" s="66"/>
      <c r="BF12" s="69"/>
      <c r="BG12" s="70"/>
      <c r="BH12" s="121">
        <f t="shared" si="12"/>
        <v>0</v>
      </c>
      <c r="BI12" s="66"/>
      <c r="BJ12" s="119">
        <f t="shared" si="14"/>
        <v>0</v>
      </c>
      <c r="BK12" s="120">
        <f t="shared" si="15"/>
        <v>0</v>
      </c>
      <c r="BL12" s="55"/>
      <c r="BV12" s="55"/>
    </row>
    <row r="13" spans="2:74" ht="30" customHeight="1" x14ac:dyDescent="0.3">
      <c r="B13" s="39">
        <v>4</v>
      </c>
      <c r="C13" s="96" t="str">
        <f>VLOOKUP(D13,EMPLEADO!C:Q,15,FALSE)</f>
        <v>CANGO QUITO JOSE LEOVARDO</v>
      </c>
      <c r="D13" s="11" t="s">
        <v>42</v>
      </c>
      <c r="E13" s="57" t="s">
        <v>18</v>
      </c>
      <c r="F13" s="127"/>
      <c r="G13" s="128"/>
      <c r="H13" s="121">
        <f t="shared" si="0"/>
        <v>0</v>
      </c>
      <c r="I13" s="66"/>
      <c r="J13" s="127"/>
      <c r="K13" s="128"/>
      <c r="L13" s="121">
        <f t="shared" si="1"/>
        <v>0</v>
      </c>
      <c r="M13" s="66"/>
      <c r="N13" s="69"/>
      <c r="O13" s="70"/>
      <c r="P13" s="121">
        <f t="shared" si="2"/>
        <v>0</v>
      </c>
      <c r="Q13" s="66"/>
      <c r="R13" s="72"/>
      <c r="S13" s="72"/>
      <c r="T13" s="121">
        <f t="shared" si="13"/>
        <v>0</v>
      </c>
      <c r="U13" s="66"/>
      <c r="V13" s="69"/>
      <c r="W13" s="70"/>
      <c r="X13" s="121">
        <f t="shared" si="3"/>
        <v>0</v>
      </c>
      <c r="Y13" s="66"/>
      <c r="Z13" s="69"/>
      <c r="AA13" s="70"/>
      <c r="AB13" s="121">
        <f t="shared" si="4"/>
        <v>0</v>
      </c>
      <c r="AC13" s="66"/>
      <c r="AD13" s="69"/>
      <c r="AE13" s="70"/>
      <c r="AF13" s="121">
        <f t="shared" si="5"/>
        <v>0</v>
      </c>
      <c r="AG13" s="66"/>
      <c r="AH13" s="69"/>
      <c r="AI13" s="70"/>
      <c r="AJ13" s="121">
        <f t="shared" si="6"/>
        <v>0</v>
      </c>
      <c r="AK13" s="66"/>
      <c r="AL13" s="69"/>
      <c r="AM13" s="70"/>
      <c r="AN13" s="121">
        <f t="shared" si="7"/>
        <v>0</v>
      </c>
      <c r="AO13" s="66"/>
      <c r="AP13" s="69"/>
      <c r="AQ13" s="70"/>
      <c r="AR13" s="121">
        <f t="shared" si="8"/>
        <v>0</v>
      </c>
      <c r="AS13" s="66"/>
      <c r="AT13" s="69"/>
      <c r="AU13" s="70"/>
      <c r="AV13" s="121">
        <f t="shared" si="9"/>
        <v>0</v>
      </c>
      <c r="AW13" s="66"/>
      <c r="AX13" s="69"/>
      <c r="AY13" s="70"/>
      <c r="AZ13" s="121">
        <f t="shared" si="10"/>
        <v>0</v>
      </c>
      <c r="BA13" s="66"/>
      <c r="BB13" s="69"/>
      <c r="BC13" s="70"/>
      <c r="BD13" s="121">
        <f t="shared" si="11"/>
        <v>0</v>
      </c>
      <c r="BE13" s="66"/>
      <c r="BF13" s="69"/>
      <c r="BG13" s="70"/>
      <c r="BH13" s="121">
        <f t="shared" si="12"/>
        <v>0</v>
      </c>
      <c r="BI13" s="66"/>
      <c r="BJ13" s="119">
        <f t="shared" si="14"/>
        <v>0</v>
      </c>
      <c r="BK13" s="120">
        <f t="shared" si="15"/>
        <v>0</v>
      </c>
      <c r="BL13" s="55"/>
      <c r="BV13" s="55"/>
    </row>
    <row r="14" spans="2:74" ht="30" customHeight="1" x14ac:dyDescent="0.3">
      <c r="B14" s="39">
        <v>5</v>
      </c>
      <c r="C14" s="96" t="str">
        <f>VLOOKUP(D14,EMPLEADO!C:Q,15,FALSE)</f>
        <v>GOMEZ ESPINOZA GASTON SANTOS</v>
      </c>
      <c r="D14" s="11" t="s">
        <v>53</v>
      </c>
      <c r="E14" s="57" t="s">
        <v>21</v>
      </c>
      <c r="F14" s="127"/>
      <c r="G14" s="128"/>
      <c r="H14" s="121">
        <f t="shared" si="0"/>
        <v>0</v>
      </c>
      <c r="I14" s="66"/>
      <c r="J14" s="127"/>
      <c r="K14" s="128"/>
      <c r="L14" s="121">
        <f t="shared" si="1"/>
        <v>0</v>
      </c>
      <c r="M14" s="66"/>
      <c r="N14" s="69"/>
      <c r="O14" s="70"/>
      <c r="P14" s="121">
        <f t="shared" si="2"/>
        <v>0</v>
      </c>
      <c r="Q14" s="66"/>
      <c r="R14" s="72"/>
      <c r="S14" s="72"/>
      <c r="T14" s="121">
        <f t="shared" si="13"/>
        <v>0</v>
      </c>
      <c r="U14" s="66"/>
      <c r="V14" s="69"/>
      <c r="W14" s="70"/>
      <c r="X14" s="121">
        <f t="shared" si="3"/>
        <v>0</v>
      </c>
      <c r="Y14" s="66"/>
      <c r="Z14" s="69"/>
      <c r="AA14" s="70"/>
      <c r="AB14" s="121">
        <f t="shared" si="4"/>
        <v>0</v>
      </c>
      <c r="AC14" s="66"/>
      <c r="AD14" s="69"/>
      <c r="AE14" s="70"/>
      <c r="AF14" s="121">
        <f t="shared" si="5"/>
        <v>0</v>
      </c>
      <c r="AG14" s="66"/>
      <c r="AH14" s="69"/>
      <c r="AI14" s="70"/>
      <c r="AJ14" s="121">
        <f t="shared" si="6"/>
        <v>0</v>
      </c>
      <c r="AK14" s="66"/>
      <c r="AL14" s="69"/>
      <c r="AM14" s="70"/>
      <c r="AN14" s="121">
        <f t="shared" si="7"/>
        <v>0</v>
      </c>
      <c r="AO14" s="66"/>
      <c r="AP14" s="69"/>
      <c r="AQ14" s="70"/>
      <c r="AR14" s="121">
        <f t="shared" si="8"/>
        <v>0</v>
      </c>
      <c r="AS14" s="66"/>
      <c r="AT14" s="69"/>
      <c r="AU14" s="70"/>
      <c r="AV14" s="121">
        <f t="shared" si="9"/>
        <v>0</v>
      </c>
      <c r="AW14" s="66"/>
      <c r="AX14" s="69"/>
      <c r="AY14" s="70"/>
      <c r="AZ14" s="121">
        <f t="shared" si="10"/>
        <v>0</v>
      </c>
      <c r="BA14" s="66"/>
      <c r="BB14" s="69"/>
      <c r="BC14" s="70"/>
      <c r="BD14" s="121">
        <f t="shared" si="11"/>
        <v>0</v>
      </c>
      <c r="BE14" s="66"/>
      <c r="BF14" s="69"/>
      <c r="BG14" s="70"/>
      <c r="BH14" s="121">
        <f t="shared" si="12"/>
        <v>0</v>
      </c>
      <c r="BI14" s="66"/>
      <c r="BJ14" s="119">
        <f t="shared" si="14"/>
        <v>0</v>
      </c>
      <c r="BK14" s="120">
        <f t="shared" si="15"/>
        <v>0</v>
      </c>
      <c r="BL14" s="55"/>
      <c r="BV14" s="55"/>
    </row>
    <row r="15" spans="2:74" ht="30" customHeight="1" x14ac:dyDescent="0.3">
      <c r="B15" s="39">
        <v>6</v>
      </c>
      <c r="C15" s="96" t="str">
        <f>VLOOKUP(D15,EMPLEADO!C:Q,15,FALSE)</f>
        <v>BRAVO QUINTO JORGE DANIEL</v>
      </c>
      <c r="D15" s="28" t="s">
        <v>57</v>
      </c>
      <c r="E15" s="58" t="s">
        <v>18</v>
      </c>
      <c r="F15" s="127"/>
      <c r="G15" s="128"/>
      <c r="H15" s="121">
        <f t="shared" si="0"/>
        <v>0</v>
      </c>
      <c r="I15" s="66"/>
      <c r="J15" s="127"/>
      <c r="K15" s="128"/>
      <c r="L15" s="121">
        <f t="shared" si="1"/>
        <v>0</v>
      </c>
      <c r="M15" s="66"/>
      <c r="N15" s="69"/>
      <c r="O15" s="70"/>
      <c r="P15" s="121">
        <f t="shared" si="2"/>
        <v>0</v>
      </c>
      <c r="Q15" s="66"/>
      <c r="R15" s="72"/>
      <c r="S15" s="72"/>
      <c r="T15" s="121">
        <f t="shared" si="13"/>
        <v>0</v>
      </c>
      <c r="U15" s="66"/>
      <c r="V15" s="69"/>
      <c r="W15" s="70"/>
      <c r="X15" s="121">
        <f t="shared" si="3"/>
        <v>0</v>
      </c>
      <c r="Y15" s="66"/>
      <c r="Z15" s="69"/>
      <c r="AA15" s="70"/>
      <c r="AB15" s="121">
        <f t="shared" si="4"/>
        <v>0</v>
      </c>
      <c r="AC15" s="66"/>
      <c r="AD15" s="69"/>
      <c r="AE15" s="70"/>
      <c r="AF15" s="121">
        <f t="shared" si="5"/>
        <v>0</v>
      </c>
      <c r="AG15" s="66"/>
      <c r="AH15" s="69"/>
      <c r="AI15" s="70"/>
      <c r="AJ15" s="121">
        <f t="shared" si="6"/>
        <v>0</v>
      </c>
      <c r="AK15" s="66"/>
      <c r="AL15" s="69"/>
      <c r="AM15" s="70"/>
      <c r="AN15" s="121">
        <f t="shared" si="7"/>
        <v>0</v>
      </c>
      <c r="AO15" s="66"/>
      <c r="AP15" s="69"/>
      <c r="AQ15" s="70"/>
      <c r="AR15" s="121">
        <f t="shared" si="8"/>
        <v>0</v>
      </c>
      <c r="AS15" s="66"/>
      <c r="AT15" s="69"/>
      <c r="AU15" s="70"/>
      <c r="AV15" s="121">
        <f t="shared" si="9"/>
        <v>0</v>
      </c>
      <c r="AW15" s="66"/>
      <c r="AX15" s="69"/>
      <c r="AY15" s="70"/>
      <c r="AZ15" s="121">
        <f t="shared" si="10"/>
        <v>0</v>
      </c>
      <c r="BA15" s="66"/>
      <c r="BB15" s="69"/>
      <c r="BC15" s="70"/>
      <c r="BD15" s="121">
        <f t="shared" si="11"/>
        <v>0</v>
      </c>
      <c r="BE15" s="66"/>
      <c r="BF15" s="69"/>
      <c r="BG15" s="70"/>
      <c r="BH15" s="121">
        <f t="shared" si="12"/>
        <v>0</v>
      </c>
      <c r="BI15" s="66"/>
      <c r="BJ15" s="119">
        <f t="shared" si="14"/>
        <v>0</v>
      </c>
      <c r="BK15" s="120">
        <f t="shared" si="15"/>
        <v>0</v>
      </c>
      <c r="BL15" s="55"/>
      <c r="BV15" s="55"/>
    </row>
    <row r="16" spans="2:74" ht="30" customHeight="1" x14ac:dyDescent="0.3">
      <c r="B16" s="39">
        <v>7</v>
      </c>
      <c r="C16" s="96" t="str">
        <f>VLOOKUP(D16,EMPLEADO!C:Q,15,FALSE)</f>
        <v>CUEVA LUDEÑA MANUEL DE JESUS</v>
      </c>
      <c r="D16" s="27" t="s">
        <v>86</v>
      </c>
      <c r="E16" s="58" t="s">
        <v>18</v>
      </c>
      <c r="F16" s="127"/>
      <c r="G16" s="128"/>
      <c r="H16" s="121">
        <f t="shared" si="0"/>
        <v>0</v>
      </c>
      <c r="I16" s="66"/>
      <c r="J16" s="127"/>
      <c r="K16" s="128"/>
      <c r="L16" s="121">
        <f t="shared" si="1"/>
        <v>0</v>
      </c>
      <c r="M16" s="66"/>
      <c r="N16" s="69"/>
      <c r="O16" s="70"/>
      <c r="P16" s="121">
        <f t="shared" si="2"/>
        <v>0</v>
      </c>
      <c r="Q16" s="66"/>
      <c r="R16" s="72"/>
      <c r="S16" s="72"/>
      <c r="T16" s="121">
        <f t="shared" si="13"/>
        <v>0</v>
      </c>
      <c r="U16" s="66"/>
      <c r="V16" s="69"/>
      <c r="W16" s="70"/>
      <c r="X16" s="121">
        <f t="shared" si="3"/>
        <v>0</v>
      </c>
      <c r="Y16" s="66"/>
      <c r="Z16" s="69"/>
      <c r="AA16" s="70"/>
      <c r="AB16" s="121">
        <f t="shared" si="4"/>
        <v>0</v>
      </c>
      <c r="AC16" s="66"/>
      <c r="AD16" s="69"/>
      <c r="AE16" s="70"/>
      <c r="AF16" s="121">
        <f t="shared" si="5"/>
        <v>0</v>
      </c>
      <c r="AG16" s="66"/>
      <c r="AH16" s="69"/>
      <c r="AI16" s="70"/>
      <c r="AJ16" s="121">
        <f t="shared" si="6"/>
        <v>0</v>
      </c>
      <c r="AK16" s="66"/>
      <c r="AL16" s="69"/>
      <c r="AM16" s="70"/>
      <c r="AN16" s="121">
        <f t="shared" si="7"/>
        <v>0</v>
      </c>
      <c r="AO16" s="66"/>
      <c r="AP16" s="69"/>
      <c r="AQ16" s="70"/>
      <c r="AR16" s="121">
        <f t="shared" si="8"/>
        <v>0</v>
      </c>
      <c r="AS16" s="66"/>
      <c r="AT16" s="69"/>
      <c r="AU16" s="70"/>
      <c r="AV16" s="121">
        <f t="shared" si="9"/>
        <v>0</v>
      </c>
      <c r="AW16" s="66"/>
      <c r="AX16" s="69"/>
      <c r="AY16" s="70"/>
      <c r="AZ16" s="121">
        <f t="shared" si="10"/>
        <v>0</v>
      </c>
      <c r="BA16" s="66"/>
      <c r="BB16" s="69"/>
      <c r="BC16" s="70"/>
      <c r="BD16" s="121">
        <f t="shared" si="11"/>
        <v>0</v>
      </c>
      <c r="BE16" s="66"/>
      <c r="BF16" s="69"/>
      <c r="BG16" s="70"/>
      <c r="BH16" s="121">
        <f t="shared" si="12"/>
        <v>0</v>
      </c>
      <c r="BI16" s="66"/>
      <c r="BJ16" s="119">
        <f t="shared" si="14"/>
        <v>0</v>
      </c>
      <c r="BK16" s="120">
        <f t="shared" si="15"/>
        <v>0</v>
      </c>
      <c r="BL16" s="55"/>
      <c r="BV16" s="55"/>
    </row>
    <row r="17" spans="2:74" ht="30" customHeight="1" x14ac:dyDescent="0.3">
      <c r="B17" s="39">
        <v>8</v>
      </c>
      <c r="C17" s="96" t="str">
        <f>VLOOKUP(D17,EMPLEADO!C:Q,15,FALSE)</f>
        <v>JARA ARMIJOS CESAR HOMERO</v>
      </c>
      <c r="D17" s="27" t="s">
        <v>87</v>
      </c>
      <c r="E17" s="59" t="s">
        <v>18</v>
      </c>
      <c r="F17" s="127"/>
      <c r="G17" s="128"/>
      <c r="H17" s="121">
        <f t="shared" si="0"/>
        <v>0</v>
      </c>
      <c r="I17" s="66"/>
      <c r="J17" s="127"/>
      <c r="K17" s="128"/>
      <c r="L17" s="121">
        <f t="shared" si="1"/>
        <v>0</v>
      </c>
      <c r="M17" s="66"/>
      <c r="N17" s="69"/>
      <c r="O17" s="70"/>
      <c r="P17" s="121">
        <f t="shared" si="2"/>
        <v>0</v>
      </c>
      <c r="Q17" s="66"/>
      <c r="R17" s="72"/>
      <c r="S17" s="72"/>
      <c r="T17" s="121">
        <f t="shared" si="13"/>
        <v>0</v>
      </c>
      <c r="U17" s="66"/>
      <c r="V17" s="69"/>
      <c r="W17" s="70"/>
      <c r="X17" s="121">
        <f t="shared" si="3"/>
        <v>0</v>
      </c>
      <c r="Y17" s="66"/>
      <c r="Z17" s="69"/>
      <c r="AA17" s="70"/>
      <c r="AB17" s="121">
        <f t="shared" si="4"/>
        <v>0</v>
      </c>
      <c r="AC17" s="66"/>
      <c r="AD17" s="69"/>
      <c r="AE17" s="70"/>
      <c r="AF17" s="121">
        <f t="shared" si="5"/>
        <v>0</v>
      </c>
      <c r="AG17" s="66"/>
      <c r="AH17" s="69"/>
      <c r="AI17" s="70"/>
      <c r="AJ17" s="121">
        <f t="shared" si="6"/>
        <v>0</v>
      </c>
      <c r="AK17" s="66"/>
      <c r="AL17" s="69"/>
      <c r="AM17" s="70"/>
      <c r="AN17" s="121">
        <f t="shared" si="7"/>
        <v>0</v>
      </c>
      <c r="AO17" s="66"/>
      <c r="AP17" s="69"/>
      <c r="AQ17" s="70"/>
      <c r="AR17" s="121">
        <f t="shared" si="8"/>
        <v>0</v>
      </c>
      <c r="AS17" s="66"/>
      <c r="AT17" s="69"/>
      <c r="AU17" s="70"/>
      <c r="AV17" s="121">
        <f t="shared" si="9"/>
        <v>0</v>
      </c>
      <c r="AW17" s="66"/>
      <c r="AX17" s="69"/>
      <c r="AY17" s="70"/>
      <c r="AZ17" s="121">
        <f t="shared" si="10"/>
        <v>0</v>
      </c>
      <c r="BA17" s="66"/>
      <c r="BB17" s="69"/>
      <c r="BC17" s="70"/>
      <c r="BD17" s="121">
        <f t="shared" si="11"/>
        <v>0</v>
      </c>
      <c r="BE17" s="66"/>
      <c r="BF17" s="69"/>
      <c r="BG17" s="70"/>
      <c r="BH17" s="121">
        <f t="shared" si="12"/>
        <v>0</v>
      </c>
      <c r="BI17" s="66"/>
      <c r="BJ17" s="119">
        <f t="shared" si="14"/>
        <v>0</v>
      </c>
      <c r="BK17" s="120">
        <f t="shared" si="15"/>
        <v>0</v>
      </c>
      <c r="BL17" s="55"/>
      <c r="BV17" s="55"/>
    </row>
    <row r="18" spans="2:74" ht="30" customHeight="1" x14ac:dyDescent="0.3">
      <c r="B18" s="39">
        <v>9</v>
      </c>
      <c r="C18" s="96" t="str">
        <f>VLOOKUP(D18,EMPLEADO!C:Q,15,FALSE)</f>
        <v>CASTILLO OCHOA HERIBERTO GUILLERMO</v>
      </c>
      <c r="D18" s="27" t="s">
        <v>92</v>
      </c>
      <c r="E18" s="59" t="s">
        <v>18</v>
      </c>
      <c r="F18" s="127"/>
      <c r="G18" s="128"/>
      <c r="H18" s="121">
        <f t="shared" si="0"/>
        <v>0</v>
      </c>
      <c r="I18" s="66"/>
      <c r="J18" s="127"/>
      <c r="K18" s="128"/>
      <c r="L18" s="121">
        <f t="shared" si="1"/>
        <v>0</v>
      </c>
      <c r="M18" s="66"/>
      <c r="N18" s="69"/>
      <c r="O18" s="70"/>
      <c r="P18" s="121">
        <f t="shared" si="2"/>
        <v>0</v>
      </c>
      <c r="Q18" s="66"/>
      <c r="R18" s="72"/>
      <c r="S18" s="72"/>
      <c r="T18" s="121">
        <f t="shared" si="13"/>
        <v>0</v>
      </c>
      <c r="U18" s="66"/>
      <c r="V18" s="69"/>
      <c r="W18" s="70"/>
      <c r="X18" s="121">
        <f t="shared" si="3"/>
        <v>0</v>
      </c>
      <c r="Y18" s="66"/>
      <c r="Z18" s="69"/>
      <c r="AA18" s="70"/>
      <c r="AB18" s="121">
        <f t="shared" si="4"/>
        <v>0</v>
      </c>
      <c r="AC18" s="66"/>
      <c r="AD18" s="69"/>
      <c r="AE18" s="70"/>
      <c r="AF18" s="121">
        <f t="shared" si="5"/>
        <v>0</v>
      </c>
      <c r="AG18" s="66"/>
      <c r="AH18" s="69"/>
      <c r="AI18" s="70"/>
      <c r="AJ18" s="121">
        <f t="shared" si="6"/>
        <v>0</v>
      </c>
      <c r="AK18" s="66"/>
      <c r="AL18" s="69"/>
      <c r="AM18" s="70"/>
      <c r="AN18" s="121">
        <f t="shared" si="7"/>
        <v>0</v>
      </c>
      <c r="AO18" s="66"/>
      <c r="AP18" s="69"/>
      <c r="AQ18" s="70"/>
      <c r="AR18" s="121">
        <f t="shared" si="8"/>
        <v>0</v>
      </c>
      <c r="AS18" s="66"/>
      <c r="AT18" s="69"/>
      <c r="AU18" s="70"/>
      <c r="AV18" s="121">
        <f t="shared" si="9"/>
        <v>0</v>
      </c>
      <c r="AW18" s="66"/>
      <c r="AX18" s="69"/>
      <c r="AY18" s="70"/>
      <c r="AZ18" s="121">
        <f t="shared" si="10"/>
        <v>0</v>
      </c>
      <c r="BA18" s="66"/>
      <c r="BB18" s="69"/>
      <c r="BC18" s="70"/>
      <c r="BD18" s="121">
        <f t="shared" si="11"/>
        <v>0</v>
      </c>
      <c r="BE18" s="66"/>
      <c r="BF18" s="69"/>
      <c r="BG18" s="70"/>
      <c r="BH18" s="121">
        <f t="shared" si="12"/>
        <v>0</v>
      </c>
      <c r="BI18" s="66"/>
      <c r="BJ18" s="119">
        <f t="shared" si="14"/>
        <v>0</v>
      </c>
      <c r="BK18" s="120">
        <f t="shared" si="15"/>
        <v>0</v>
      </c>
      <c r="BL18" s="55"/>
      <c r="BV18" s="55"/>
    </row>
    <row r="19" spans="2:74" ht="30" customHeight="1" x14ac:dyDescent="0.3">
      <c r="B19" s="39">
        <v>10</v>
      </c>
      <c r="C19" s="96" t="str">
        <f>VLOOKUP(D19,EMPLEADO!C:Q,15,FALSE)</f>
        <v>PINTA PINTA WILMER ROLANDO</v>
      </c>
      <c r="D19" s="27" t="s">
        <v>99</v>
      </c>
      <c r="E19" s="59" t="s">
        <v>18</v>
      </c>
      <c r="F19" s="127"/>
      <c r="G19" s="128"/>
      <c r="H19" s="121">
        <f t="shared" si="0"/>
        <v>0</v>
      </c>
      <c r="I19" s="66"/>
      <c r="J19" s="127"/>
      <c r="K19" s="128"/>
      <c r="L19" s="121">
        <f t="shared" si="1"/>
        <v>0</v>
      </c>
      <c r="M19" s="66"/>
      <c r="N19" s="69"/>
      <c r="O19" s="70"/>
      <c r="P19" s="121">
        <f t="shared" si="2"/>
        <v>0</v>
      </c>
      <c r="Q19" s="66"/>
      <c r="R19" s="72"/>
      <c r="S19" s="72"/>
      <c r="T19" s="121">
        <f t="shared" si="13"/>
        <v>0</v>
      </c>
      <c r="U19" s="66"/>
      <c r="V19" s="69"/>
      <c r="W19" s="70"/>
      <c r="X19" s="121">
        <f t="shared" si="3"/>
        <v>0</v>
      </c>
      <c r="Y19" s="66"/>
      <c r="Z19" s="69"/>
      <c r="AA19" s="70"/>
      <c r="AB19" s="121">
        <f t="shared" si="4"/>
        <v>0</v>
      </c>
      <c r="AC19" s="66"/>
      <c r="AD19" s="69"/>
      <c r="AE19" s="70"/>
      <c r="AF19" s="121">
        <f t="shared" si="5"/>
        <v>0</v>
      </c>
      <c r="AG19" s="66"/>
      <c r="AH19" s="69"/>
      <c r="AI19" s="70"/>
      <c r="AJ19" s="121">
        <f t="shared" si="6"/>
        <v>0</v>
      </c>
      <c r="AK19" s="66"/>
      <c r="AL19" s="69"/>
      <c r="AM19" s="70"/>
      <c r="AN19" s="121">
        <f t="shared" si="7"/>
        <v>0</v>
      </c>
      <c r="AO19" s="66"/>
      <c r="AP19" s="69"/>
      <c r="AQ19" s="70"/>
      <c r="AR19" s="121">
        <f t="shared" si="8"/>
        <v>0</v>
      </c>
      <c r="AS19" s="66"/>
      <c r="AT19" s="69"/>
      <c r="AU19" s="70"/>
      <c r="AV19" s="121">
        <f t="shared" si="9"/>
        <v>0</v>
      </c>
      <c r="AW19" s="66"/>
      <c r="AX19" s="69"/>
      <c r="AY19" s="70"/>
      <c r="AZ19" s="121">
        <f t="shared" si="10"/>
        <v>0</v>
      </c>
      <c r="BA19" s="66"/>
      <c r="BB19" s="69"/>
      <c r="BC19" s="70"/>
      <c r="BD19" s="121">
        <f t="shared" si="11"/>
        <v>0</v>
      </c>
      <c r="BE19" s="66"/>
      <c r="BF19" s="69"/>
      <c r="BG19" s="70"/>
      <c r="BH19" s="121">
        <f t="shared" si="12"/>
        <v>0</v>
      </c>
      <c r="BI19" s="66"/>
      <c r="BJ19" s="119">
        <f t="shared" si="14"/>
        <v>0</v>
      </c>
      <c r="BK19" s="120">
        <f t="shared" si="15"/>
        <v>0</v>
      </c>
      <c r="BL19" s="55"/>
      <c r="BV19" s="55"/>
    </row>
    <row r="20" spans="2:74" ht="30" customHeight="1" x14ac:dyDescent="0.3">
      <c r="B20" s="39">
        <v>11</v>
      </c>
      <c r="C20" s="96" t="str">
        <f>VLOOKUP(D20,EMPLEADO!C:Q,15,FALSE)</f>
        <v>SIMANCAS AGUILAR DAVID MOISES</v>
      </c>
      <c r="D20" s="27" t="s">
        <v>173</v>
      </c>
      <c r="E20" s="59" t="s">
        <v>18</v>
      </c>
      <c r="F20" s="127"/>
      <c r="G20" s="128"/>
      <c r="H20" s="121">
        <f t="shared" si="0"/>
        <v>0</v>
      </c>
      <c r="I20" s="66"/>
      <c r="J20" s="127"/>
      <c r="K20" s="128"/>
      <c r="L20" s="121">
        <f t="shared" si="1"/>
        <v>0</v>
      </c>
      <c r="M20" s="66"/>
      <c r="N20" s="69"/>
      <c r="O20" s="70"/>
      <c r="P20" s="121">
        <f t="shared" si="2"/>
        <v>0</v>
      </c>
      <c r="Q20" s="66"/>
      <c r="R20" s="72"/>
      <c r="S20" s="72"/>
      <c r="T20" s="121">
        <f t="shared" si="13"/>
        <v>0</v>
      </c>
      <c r="U20" s="66"/>
      <c r="V20" s="69"/>
      <c r="W20" s="70"/>
      <c r="X20" s="121">
        <f t="shared" si="3"/>
        <v>0</v>
      </c>
      <c r="Y20" s="66"/>
      <c r="Z20" s="69"/>
      <c r="AA20" s="70"/>
      <c r="AB20" s="121">
        <f t="shared" si="4"/>
        <v>0</v>
      </c>
      <c r="AC20" s="66"/>
      <c r="AD20" s="69"/>
      <c r="AE20" s="70"/>
      <c r="AF20" s="121">
        <f t="shared" si="5"/>
        <v>0</v>
      </c>
      <c r="AG20" s="66"/>
      <c r="AH20" s="69"/>
      <c r="AI20" s="70"/>
      <c r="AJ20" s="121">
        <f t="shared" si="6"/>
        <v>0</v>
      </c>
      <c r="AK20" s="66"/>
      <c r="AL20" s="69"/>
      <c r="AM20" s="70"/>
      <c r="AN20" s="121">
        <f t="shared" si="7"/>
        <v>0</v>
      </c>
      <c r="AO20" s="66"/>
      <c r="AP20" s="69"/>
      <c r="AQ20" s="70"/>
      <c r="AR20" s="121">
        <f t="shared" si="8"/>
        <v>0</v>
      </c>
      <c r="AS20" s="66"/>
      <c r="AT20" s="69"/>
      <c r="AU20" s="70"/>
      <c r="AV20" s="121">
        <f t="shared" si="9"/>
        <v>0</v>
      </c>
      <c r="AW20" s="66"/>
      <c r="AX20" s="69"/>
      <c r="AY20" s="70"/>
      <c r="AZ20" s="121">
        <f t="shared" si="10"/>
        <v>0</v>
      </c>
      <c r="BA20" s="66"/>
      <c r="BB20" s="69"/>
      <c r="BC20" s="70"/>
      <c r="BD20" s="121">
        <f t="shared" si="11"/>
        <v>0</v>
      </c>
      <c r="BE20" s="66"/>
      <c r="BF20" s="69"/>
      <c r="BG20" s="70"/>
      <c r="BH20" s="121">
        <f t="shared" si="12"/>
        <v>0</v>
      </c>
      <c r="BI20" s="66"/>
      <c r="BJ20" s="119">
        <f t="shared" si="14"/>
        <v>0</v>
      </c>
      <c r="BK20" s="120">
        <f t="shared" si="15"/>
        <v>0</v>
      </c>
      <c r="BL20" s="55"/>
      <c r="BV20" s="55"/>
    </row>
    <row r="21" spans="2:74" ht="30" customHeight="1" x14ac:dyDescent="0.3">
      <c r="B21" s="39">
        <v>12</v>
      </c>
      <c r="C21" s="96" t="str">
        <f>VLOOKUP(D21,EMPLEADO!C:Q,15,FALSE)</f>
        <v>CANGO CUEVA FRANCISCO ARMANDO</v>
      </c>
      <c r="D21" s="27" t="s">
        <v>174</v>
      </c>
      <c r="E21" s="59" t="s">
        <v>18</v>
      </c>
      <c r="F21" s="127"/>
      <c r="G21" s="128"/>
      <c r="H21" s="121">
        <f t="shared" ref="H21" si="16">IF($F$6="OJO H.E. AL 100%",0,(G21-F21)*24)</f>
        <v>0</v>
      </c>
      <c r="I21" s="66"/>
      <c r="J21" s="127"/>
      <c r="K21" s="128"/>
      <c r="L21" s="121">
        <f t="shared" ref="L21" si="17">(+K21-J21)*24</f>
        <v>0</v>
      </c>
      <c r="M21" s="66"/>
      <c r="N21" s="69"/>
      <c r="O21" s="70"/>
      <c r="P21" s="121">
        <f t="shared" ref="P21" si="18">IF($N$6="OJO H.E. AL 100%",0,(O21-N21)*24)</f>
        <v>0</v>
      </c>
      <c r="Q21" s="66"/>
      <c r="R21" s="72"/>
      <c r="S21" s="72"/>
      <c r="T21" s="121">
        <f t="shared" ref="T21" si="19">(+S21-R21)*24</f>
        <v>0</v>
      </c>
      <c r="U21" s="66"/>
      <c r="V21" s="69"/>
      <c r="W21" s="70"/>
      <c r="X21" s="121">
        <f t="shared" ref="X21" si="20">IF($V$6="OJO H.E. AL 100%",0,(W21-V21)*24)</f>
        <v>0</v>
      </c>
      <c r="Y21" s="66"/>
      <c r="Z21" s="69"/>
      <c r="AA21" s="70"/>
      <c r="AB21" s="121">
        <f t="shared" ref="AB21" si="21">(+AA21-Z21)*24</f>
        <v>0</v>
      </c>
      <c r="AC21" s="66"/>
      <c r="AD21" s="69"/>
      <c r="AE21" s="70"/>
      <c r="AF21" s="121">
        <f t="shared" ref="AF21" si="22">IF($AD$6="OJO H.E. AL 100%",0,(AE21-AD21)*24)</f>
        <v>0</v>
      </c>
      <c r="AG21" s="66"/>
      <c r="AH21" s="69"/>
      <c r="AI21" s="70"/>
      <c r="AJ21" s="121">
        <f t="shared" ref="AJ21" si="23">(+AI21-AH21)*24</f>
        <v>0</v>
      </c>
      <c r="AK21" s="66"/>
      <c r="AL21" s="69"/>
      <c r="AM21" s="70"/>
      <c r="AN21" s="121">
        <f t="shared" ref="AN21" si="24">IF($AL$6="OJO H.E. AL 100%",0,(AM21-AL21)*24)</f>
        <v>0</v>
      </c>
      <c r="AO21" s="66"/>
      <c r="AP21" s="69"/>
      <c r="AQ21" s="70"/>
      <c r="AR21" s="121">
        <f t="shared" ref="AR21" si="25">(+AQ21-AP21)*24</f>
        <v>0</v>
      </c>
      <c r="AS21" s="66"/>
      <c r="AT21" s="69"/>
      <c r="AU21" s="70"/>
      <c r="AV21" s="121">
        <f t="shared" ref="AV21" si="26">IF($AT$6="OJO H.E. AL 100%",0,(AU21-AT21)*24)</f>
        <v>0</v>
      </c>
      <c r="AW21" s="66"/>
      <c r="AX21" s="69"/>
      <c r="AY21" s="70"/>
      <c r="AZ21" s="121">
        <f t="shared" ref="AZ21" si="27">(+AY21-AX21)*24</f>
        <v>0</v>
      </c>
      <c r="BA21" s="66"/>
      <c r="BB21" s="69"/>
      <c r="BC21" s="70"/>
      <c r="BD21" s="121">
        <f t="shared" ref="BD21" si="28">IF($BB$6="OJO H.E. AL 100%",0,(BC21-BB21)*24)</f>
        <v>0</v>
      </c>
      <c r="BE21" s="66"/>
      <c r="BF21" s="69"/>
      <c r="BG21" s="70"/>
      <c r="BH21" s="121">
        <f t="shared" ref="BH21" si="29">(+BG21-BF21)*24</f>
        <v>0</v>
      </c>
      <c r="BI21" s="66"/>
      <c r="BJ21" s="119">
        <f t="shared" ref="BJ21" si="30">H21+P21+X21+AF21+AN21+AV21+BD21</f>
        <v>0</v>
      </c>
      <c r="BK21" s="120">
        <f t="shared" ref="BK21" si="31">L21+T21+AB21+AJ21+AR21+AZ21+BH21</f>
        <v>0</v>
      </c>
      <c r="BL21" s="55"/>
      <c r="BV21" s="55"/>
    </row>
    <row r="22" spans="2:74" ht="30" customHeight="1" x14ac:dyDescent="0.3">
      <c r="B22" s="39">
        <v>13</v>
      </c>
      <c r="C22" s="96" t="str">
        <f>VLOOKUP(D22,EMPLEADO!C:Q,15,FALSE)</f>
        <v>CHILA QUIÑONEZ KLEBER FELIPE</v>
      </c>
      <c r="D22" s="27" t="s">
        <v>185</v>
      </c>
      <c r="E22" s="59"/>
      <c r="F22" s="169"/>
      <c r="G22" s="170"/>
      <c r="H22" s="121">
        <f t="shared" ref="H22" si="32">IF($F$6="OJO H.E. AL 100%",0,(G22-F22)*24)</f>
        <v>0</v>
      </c>
      <c r="I22" s="165"/>
      <c r="J22" s="169"/>
      <c r="K22" s="170"/>
      <c r="L22" s="121">
        <f t="shared" ref="L22" si="33">(+K22-J22)*24</f>
        <v>0</v>
      </c>
      <c r="M22" s="165"/>
      <c r="N22" s="171"/>
      <c r="O22" s="172"/>
      <c r="P22" s="121">
        <f t="shared" ref="P22" si="34">IF($N$6="OJO H.E. AL 100%",0,(O22-N22)*24)</f>
        <v>0</v>
      </c>
      <c r="Q22" s="165"/>
      <c r="R22" s="166"/>
      <c r="S22" s="166"/>
      <c r="T22" s="121">
        <f t="shared" ref="T22" si="35">(+S22-R22)*24</f>
        <v>0</v>
      </c>
      <c r="U22" s="165"/>
      <c r="V22" s="171"/>
      <c r="W22" s="172"/>
      <c r="X22" s="121">
        <f t="shared" ref="X22" si="36">IF($V$6="OJO H.E. AL 100%",0,(W22-V22)*24)</f>
        <v>0</v>
      </c>
      <c r="Y22" s="165"/>
      <c r="Z22" s="171"/>
      <c r="AA22" s="172"/>
      <c r="AB22" s="121">
        <f t="shared" ref="AB22" si="37">(+AA22-Z22)*24</f>
        <v>0</v>
      </c>
      <c r="AC22" s="165"/>
      <c r="AD22" s="171"/>
      <c r="AE22" s="172"/>
      <c r="AF22" s="121">
        <f t="shared" ref="AF22" si="38">IF($AD$6="OJO H.E. AL 100%",0,(AE22-AD22)*24)</f>
        <v>0</v>
      </c>
      <c r="AG22" s="165"/>
      <c r="AH22" s="171"/>
      <c r="AI22" s="172"/>
      <c r="AJ22" s="121">
        <f t="shared" ref="AJ22" si="39">(+AI22-AH22)*24</f>
        <v>0</v>
      </c>
      <c r="AK22" s="165"/>
      <c r="AL22" s="171"/>
      <c r="AM22" s="172"/>
      <c r="AN22" s="121">
        <f t="shared" ref="AN22" si="40">IF($AL$6="OJO H.E. AL 100%",0,(AM22-AL22)*24)</f>
        <v>0</v>
      </c>
      <c r="AO22" s="165"/>
      <c r="AP22" s="171"/>
      <c r="AQ22" s="172"/>
      <c r="AR22" s="121">
        <f t="shared" ref="AR22" si="41">(+AQ22-AP22)*24</f>
        <v>0</v>
      </c>
      <c r="AS22" s="165"/>
      <c r="AT22" s="171"/>
      <c r="AU22" s="172"/>
      <c r="AV22" s="121">
        <f t="shared" ref="AV22" si="42">IF($AT$6="OJO H.E. AL 100%",0,(AU22-AT22)*24)</f>
        <v>0</v>
      </c>
      <c r="AW22" s="165"/>
      <c r="AX22" s="171"/>
      <c r="AY22" s="172"/>
      <c r="AZ22" s="121">
        <f t="shared" ref="AZ22" si="43">(+AY22-AX22)*24</f>
        <v>0</v>
      </c>
      <c r="BA22" s="165"/>
      <c r="BB22" s="171"/>
      <c r="BC22" s="172"/>
      <c r="BD22" s="121">
        <f t="shared" ref="BD22" si="44">IF($BB$6="OJO H.E. AL 100%",0,(BC22-BB22)*24)</f>
        <v>0</v>
      </c>
      <c r="BE22" s="165"/>
      <c r="BF22" s="171"/>
      <c r="BG22" s="172"/>
      <c r="BH22" s="121">
        <f t="shared" ref="BH22" si="45">(+BG22-BF22)*24</f>
        <v>0</v>
      </c>
      <c r="BI22" s="165"/>
      <c r="BJ22" s="119">
        <f t="shared" ref="BJ22" si="46">H22+P22+X22+AF22+AN22+AV22+BD22</f>
        <v>0</v>
      </c>
      <c r="BK22" s="120">
        <f t="shared" ref="BK22" si="47">L22+T22+AB22+AJ22+AR22+AZ22+BH22</f>
        <v>0</v>
      </c>
      <c r="BL22" s="55"/>
      <c r="BM22" s="116"/>
      <c r="BN22" s="116"/>
      <c r="BO22" s="116"/>
      <c r="BR22" s="116"/>
      <c r="BS22" s="116"/>
      <c r="BT22" s="116"/>
      <c r="BU22" s="116"/>
      <c r="BV22" s="55"/>
    </row>
    <row r="23" spans="2:74" ht="30" customHeight="1" x14ac:dyDescent="0.3">
      <c r="B23" s="39">
        <v>14</v>
      </c>
      <c r="C23" s="96" t="str">
        <f>VLOOKUP(D23,EMPLEADO!C:Q,15,FALSE)</f>
        <v>SIMANCAS QUEZADA ORLANDO BAUDILIO</v>
      </c>
      <c r="D23" s="27" t="s">
        <v>188</v>
      </c>
      <c r="E23" s="59"/>
      <c r="F23" s="169"/>
      <c r="G23" s="170"/>
      <c r="H23" s="121">
        <f t="shared" ref="H23" si="48">IF($F$6="OJO H.E. AL 100%",0,(G23-F23)*24)</f>
        <v>0</v>
      </c>
      <c r="I23" s="165"/>
      <c r="J23" s="169"/>
      <c r="K23" s="170"/>
      <c r="L23" s="121">
        <f t="shared" ref="L23" si="49">(+K23-J23)*24</f>
        <v>0</v>
      </c>
      <c r="M23" s="165"/>
      <c r="N23" s="171"/>
      <c r="O23" s="172"/>
      <c r="P23" s="121">
        <f t="shared" ref="P23" si="50">IF($N$6="OJO H.E. AL 100%",0,(O23-N23)*24)</f>
        <v>0</v>
      </c>
      <c r="Q23" s="165"/>
      <c r="R23" s="166"/>
      <c r="S23" s="166"/>
      <c r="T23" s="121">
        <f t="shared" ref="T23" si="51">(+S23-R23)*24</f>
        <v>0</v>
      </c>
      <c r="U23" s="165"/>
      <c r="V23" s="171"/>
      <c r="W23" s="172"/>
      <c r="X23" s="121">
        <f t="shared" ref="X23" si="52">IF($V$6="OJO H.E. AL 100%",0,(W23-V23)*24)</f>
        <v>0</v>
      </c>
      <c r="Y23" s="165"/>
      <c r="Z23" s="171"/>
      <c r="AA23" s="172"/>
      <c r="AB23" s="121">
        <f t="shared" ref="AB23" si="53">(+AA23-Z23)*24</f>
        <v>0</v>
      </c>
      <c r="AC23" s="165"/>
      <c r="AD23" s="171"/>
      <c r="AE23" s="172"/>
      <c r="AF23" s="121">
        <f t="shared" ref="AF23" si="54">IF($AD$6="OJO H.E. AL 100%",0,(AE23-AD23)*24)</f>
        <v>0</v>
      </c>
      <c r="AG23" s="165"/>
      <c r="AH23" s="171"/>
      <c r="AI23" s="172"/>
      <c r="AJ23" s="121">
        <f t="shared" ref="AJ23" si="55">(+AI23-AH23)*24</f>
        <v>0</v>
      </c>
      <c r="AK23" s="165"/>
      <c r="AL23" s="171"/>
      <c r="AM23" s="172"/>
      <c r="AN23" s="121">
        <f t="shared" ref="AN23" si="56">IF($AL$6="OJO H.E. AL 100%",0,(AM23-AL23)*24)</f>
        <v>0</v>
      </c>
      <c r="AO23" s="165"/>
      <c r="AP23" s="171"/>
      <c r="AQ23" s="172"/>
      <c r="AR23" s="121">
        <f t="shared" ref="AR23" si="57">(+AQ23-AP23)*24</f>
        <v>0</v>
      </c>
      <c r="AS23" s="165"/>
      <c r="AT23" s="171"/>
      <c r="AU23" s="172"/>
      <c r="AV23" s="121">
        <f t="shared" ref="AV23" si="58">IF($AT$6="OJO H.E. AL 100%",0,(AU23-AT23)*24)</f>
        <v>0</v>
      </c>
      <c r="AW23" s="165"/>
      <c r="AX23" s="171"/>
      <c r="AY23" s="172"/>
      <c r="AZ23" s="121">
        <f t="shared" ref="AZ23" si="59">(+AY23-AX23)*24</f>
        <v>0</v>
      </c>
      <c r="BA23" s="165"/>
      <c r="BB23" s="171"/>
      <c r="BC23" s="172"/>
      <c r="BD23" s="121">
        <f t="shared" ref="BD23" si="60">IF($BB$6="OJO H.E. AL 100%",0,(BC23-BB23)*24)</f>
        <v>0</v>
      </c>
      <c r="BE23" s="165"/>
      <c r="BF23" s="171"/>
      <c r="BG23" s="172"/>
      <c r="BH23" s="121">
        <f t="shared" ref="BH23" si="61">(+BG23-BF23)*24</f>
        <v>0</v>
      </c>
      <c r="BI23" s="165"/>
      <c r="BJ23" s="119">
        <f t="shared" ref="BJ23" si="62">H23+P23+X23+AF23+AN23+AV23+BD23</f>
        <v>0</v>
      </c>
      <c r="BK23" s="120">
        <f t="shared" ref="BK23" si="63">L23+T23+AB23+AJ23+AR23+AZ23+BH23</f>
        <v>0</v>
      </c>
      <c r="BV23" s="55"/>
    </row>
    <row r="24" spans="2:74" ht="30" customHeight="1" x14ac:dyDescent="0.3">
      <c r="B24" s="39">
        <v>15</v>
      </c>
      <c r="C24" s="96" t="str">
        <f>VLOOKUP(D24,EMPLEADO!C:Q,15,FALSE)</f>
        <v>CHAMBA CANGO DARIO JAVIER</v>
      </c>
      <c r="D24" s="208" t="s">
        <v>195</v>
      </c>
      <c r="E24" s="201"/>
      <c r="F24" s="169"/>
      <c r="G24" s="170"/>
      <c r="H24" s="121">
        <f t="shared" ref="H24:H25" si="64">IF($F$6="OJO H.E. AL 100%",0,(G24-F24)*24)</f>
        <v>0</v>
      </c>
      <c r="I24" s="165"/>
      <c r="J24" s="169"/>
      <c r="K24" s="170"/>
      <c r="L24" s="121">
        <f t="shared" ref="L24:L25" si="65">(+K24-J24)*24</f>
        <v>0</v>
      </c>
      <c r="M24" s="165"/>
      <c r="N24" s="171"/>
      <c r="O24" s="172"/>
      <c r="P24" s="121">
        <f t="shared" ref="P24:P25" si="66">IF($N$6="OJO H.E. AL 100%",0,(O24-N24)*24)</f>
        <v>0</v>
      </c>
      <c r="Q24" s="165"/>
      <c r="R24" s="166"/>
      <c r="S24" s="166"/>
      <c r="T24" s="121">
        <f t="shared" ref="T24:T25" si="67">(+S24-R24)*24</f>
        <v>0</v>
      </c>
      <c r="U24" s="165"/>
      <c r="V24" s="171"/>
      <c r="W24" s="172"/>
      <c r="X24" s="121">
        <f t="shared" ref="X24:X25" si="68">IF($V$6="OJO H.E. AL 100%",0,(W24-V24)*24)</f>
        <v>0</v>
      </c>
      <c r="Y24" s="165"/>
      <c r="Z24" s="171"/>
      <c r="AA24" s="172"/>
      <c r="AB24" s="121">
        <f t="shared" ref="AB24:AB25" si="69">(+AA24-Z24)*24</f>
        <v>0</v>
      </c>
      <c r="AC24" s="165"/>
      <c r="AD24" s="171"/>
      <c r="AE24" s="172"/>
      <c r="AF24" s="121">
        <f t="shared" ref="AF24:AF25" si="70">IF($AD$6="OJO H.E. AL 100%",0,(AE24-AD24)*24)</f>
        <v>0</v>
      </c>
      <c r="AG24" s="165"/>
      <c r="AH24" s="171"/>
      <c r="AI24" s="172"/>
      <c r="AJ24" s="121">
        <f t="shared" ref="AJ24:AJ25" si="71">(+AI24-AH24)*24</f>
        <v>0</v>
      </c>
      <c r="AK24" s="165"/>
      <c r="AL24" s="171"/>
      <c r="AM24" s="172"/>
      <c r="AN24" s="121">
        <f t="shared" ref="AN24:AN25" si="72">IF($AL$6="OJO H.E. AL 100%",0,(AM24-AL24)*24)</f>
        <v>0</v>
      </c>
      <c r="AO24" s="165"/>
      <c r="AP24" s="171"/>
      <c r="AQ24" s="172"/>
      <c r="AR24" s="121">
        <f t="shared" ref="AR24:AR25" si="73">(+AQ24-AP24)*24</f>
        <v>0</v>
      </c>
      <c r="AS24" s="165"/>
      <c r="AT24" s="171"/>
      <c r="AU24" s="172"/>
      <c r="AV24" s="121">
        <f t="shared" ref="AV24:AV25" si="74">IF($AT$6="OJO H.E. AL 100%",0,(AU24-AT24)*24)</f>
        <v>0</v>
      </c>
      <c r="AW24" s="165"/>
      <c r="AX24" s="171"/>
      <c r="AY24" s="172"/>
      <c r="AZ24" s="121">
        <f t="shared" ref="AZ24:AZ25" si="75">(+AY24-AX24)*24</f>
        <v>0</v>
      </c>
      <c r="BA24" s="165"/>
      <c r="BB24" s="171"/>
      <c r="BC24" s="172"/>
      <c r="BD24" s="121">
        <f t="shared" ref="BD24:BD25" si="76">IF($BB$6="OJO H.E. AL 100%",0,(BC24-BB24)*24)</f>
        <v>0</v>
      </c>
      <c r="BE24" s="165"/>
      <c r="BF24" s="171"/>
      <c r="BG24" s="172"/>
      <c r="BH24" s="121">
        <f t="shared" ref="BH24:BH25" si="77">(+BG24-BF24)*24</f>
        <v>0</v>
      </c>
      <c r="BI24" s="165"/>
      <c r="BJ24" s="119">
        <f t="shared" ref="BJ24:BJ25" si="78">H24+P24+X24+AF24+AN24+AV24+BD24</f>
        <v>0</v>
      </c>
      <c r="BK24" s="120">
        <f t="shared" ref="BK24:BK25" si="79">L24+T24+AB24+AJ24+AR24+AZ24+BH24</f>
        <v>0</v>
      </c>
      <c r="BV24" s="55"/>
    </row>
    <row r="25" spans="2:74" ht="30" customHeight="1" x14ac:dyDescent="0.3">
      <c r="B25" s="39">
        <v>16</v>
      </c>
      <c r="C25" s="96" t="str">
        <f>VLOOKUP(D25,EMPLEADO!C:Q,15,FALSE)</f>
        <v>PINTA PINTA OMAR PATRICIO</v>
      </c>
      <c r="D25" s="208" t="s">
        <v>199</v>
      </c>
      <c r="E25" s="201"/>
      <c r="F25" s="169"/>
      <c r="G25" s="170"/>
      <c r="H25" s="121">
        <f t="shared" si="64"/>
        <v>0</v>
      </c>
      <c r="I25" s="165"/>
      <c r="J25" s="169"/>
      <c r="K25" s="170"/>
      <c r="L25" s="121">
        <f t="shared" si="65"/>
        <v>0</v>
      </c>
      <c r="M25" s="165"/>
      <c r="N25" s="171"/>
      <c r="O25" s="172"/>
      <c r="P25" s="121">
        <f t="shared" si="66"/>
        <v>0</v>
      </c>
      <c r="Q25" s="165"/>
      <c r="R25" s="166"/>
      <c r="S25" s="166"/>
      <c r="T25" s="121">
        <f t="shared" si="67"/>
        <v>0</v>
      </c>
      <c r="U25" s="165"/>
      <c r="V25" s="171"/>
      <c r="W25" s="172"/>
      <c r="X25" s="121">
        <f t="shared" si="68"/>
        <v>0</v>
      </c>
      <c r="Y25" s="165"/>
      <c r="Z25" s="171"/>
      <c r="AA25" s="172"/>
      <c r="AB25" s="121">
        <f t="shared" si="69"/>
        <v>0</v>
      </c>
      <c r="AC25" s="165"/>
      <c r="AD25" s="171"/>
      <c r="AE25" s="172"/>
      <c r="AF25" s="121">
        <f t="shared" si="70"/>
        <v>0</v>
      </c>
      <c r="AG25" s="165"/>
      <c r="AH25" s="171"/>
      <c r="AI25" s="172"/>
      <c r="AJ25" s="121">
        <f t="shared" si="71"/>
        <v>0</v>
      </c>
      <c r="AK25" s="165"/>
      <c r="AL25" s="171"/>
      <c r="AM25" s="172"/>
      <c r="AN25" s="121">
        <f t="shared" si="72"/>
        <v>0</v>
      </c>
      <c r="AO25" s="165"/>
      <c r="AP25" s="171"/>
      <c r="AQ25" s="172"/>
      <c r="AR25" s="121">
        <f t="shared" si="73"/>
        <v>0</v>
      </c>
      <c r="AS25" s="165"/>
      <c r="AT25" s="171"/>
      <c r="AU25" s="172"/>
      <c r="AV25" s="121">
        <f t="shared" si="74"/>
        <v>0</v>
      </c>
      <c r="AW25" s="165"/>
      <c r="AX25" s="171"/>
      <c r="AY25" s="172"/>
      <c r="AZ25" s="121">
        <f t="shared" si="75"/>
        <v>0</v>
      </c>
      <c r="BA25" s="165"/>
      <c r="BB25" s="171"/>
      <c r="BC25" s="172"/>
      <c r="BD25" s="121">
        <f t="shared" si="76"/>
        <v>0</v>
      </c>
      <c r="BE25" s="165"/>
      <c r="BF25" s="171"/>
      <c r="BG25" s="172"/>
      <c r="BH25" s="121">
        <f t="shared" si="77"/>
        <v>0</v>
      </c>
      <c r="BI25" s="165"/>
      <c r="BJ25" s="119">
        <f t="shared" si="78"/>
        <v>0</v>
      </c>
      <c r="BK25" s="120">
        <f t="shared" si="79"/>
        <v>0</v>
      </c>
      <c r="BV25" s="55"/>
    </row>
    <row r="26" spans="2:74" ht="30" customHeight="1" x14ac:dyDescent="0.3">
      <c r="B26" s="39">
        <v>17</v>
      </c>
      <c r="C26" s="96" t="str">
        <f>VLOOKUP(D26,EMPLEADO!C:Q,15,FALSE)</f>
        <v>LUNA PINTA JUAN DIEGO</v>
      </c>
      <c r="D26" s="208" t="s">
        <v>201</v>
      </c>
      <c r="E26" s="201"/>
      <c r="F26" s="169"/>
      <c r="G26" s="170"/>
      <c r="H26" s="121">
        <f t="shared" ref="H26:H28" si="80">IF($F$6="OJO H.E. AL 100%",0,(G26-F26)*24)</f>
        <v>0</v>
      </c>
      <c r="I26" s="165"/>
      <c r="J26" s="169"/>
      <c r="K26" s="170"/>
      <c r="L26" s="121">
        <f t="shared" ref="L26:L28" si="81">(+K26-J26)*24</f>
        <v>0</v>
      </c>
      <c r="M26" s="165"/>
      <c r="N26" s="171"/>
      <c r="O26" s="172"/>
      <c r="P26" s="121">
        <f t="shared" ref="P26:P28" si="82">IF($N$6="OJO H.E. AL 100%",0,(O26-N26)*24)</f>
        <v>0</v>
      </c>
      <c r="Q26" s="165"/>
      <c r="R26" s="166"/>
      <c r="S26" s="166"/>
      <c r="T26" s="121">
        <f t="shared" ref="T26:T28" si="83">(+S26-R26)*24</f>
        <v>0</v>
      </c>
      <c r="U26" s="165"/>
      <c r="V26" s="171"/>
      <c r="W26" s="172"/>
      <c r="X26" s="121">
        <f t="shared" ref="X26:X28" si="84">IF($V$6="OJO H.E. AL 100%",0,(W26-V26)*24)</f>
        <v>0</v>
      </c>
      <c r="Y26" s="165"/>
      <c r="Z26" s="171"/>
      <c r="AA26" s="172"/>
      <c r="AB26" s="121">
        <f t="shared" ref="AB26:AB28" si="85">(+AA26-Z26)*24</f>
        <v>0</v>
      </c>
      <c r="AC26" s="165"/>
      <c r="AD26" s="171"/>
      <c r="AE26" s="172"/>
      <c r="AF26" s="121">
        <f t="shared" ref="AF26:AF28" si="86">IF($AD$6="OJO H.E. AL 100%",0,(AE26-AD26)*24)</f>
        <v>0</v>
      </c>
      <c r="AG26" s="165"/>
      <c r="AH26" s="171"/>
      <c r="AI26" s="172"/>
      <c r="AJ26" s="121">
        <f t="shared" ref="AJ26:AJ28" si="87">(+AI26-AH26)*24</f>
        <v>0</v>
      </c>
      <c r="AK26" s="165"/>
      <c r="AL26" s="171"/>
      <c r="AM26" s="172"/>
      <c r="AN26" s="121">
        <f t="shared" ref="AN26:AN28" si="88">IF($AL$6="OJO H.E. AL 100%",0,(AM26-AL26)*24)</f>
        <v>0</v>
      </c>
      <c r="AO26" s="165"/>
      <c r="AP26" s="171"/>
      <c r="AQ26" s="172"/>
      <c r="AR26" s="121">
        <f t="shared" ref="AR26:AR28" si="89">(+AQ26-AP26)*24</f>
        <v>0</v>
      </c>
      <c r="AS26" s="165"/>
      <c r="AT26" s="171"/>
      <c r="AU26" s="172"/>
      <c r="AV26" s="121">
        <f t="shared" ref="AV26:AV28" si="90">IF($AT$6="OJO H.E. AL 100%",0,(AU26-AT26)*24)</f>
        <v>0</v>
      </c>
      <c r="AW26" s="165"/>
      <c r="AX26" s="171"/>
      <c r="AY26" s="172"/>
      <c r="AZ26" s="121">
        <f t="shared" ref="AZ26:AZ28" si="91">(+AY26-AX26)*24</f>
        <v>0</v>
      </c>
      <c r="BA26" s="165"/>
      <c r="BB26" s="171"/>
      <c r="BC26" s="172"/>
      <c r="BD26" s="121">
        <f t="shared" ref="BD26:BD28" si="92">IF($BB$6="OJO H.E. AL 100%",0,(BC26-BB26)*24)</f>
        <v>0</v>
      </c>
      <c r="BE26" s="165"/>
      <c r="BF26" s="171"/>
      <c r="BG26" s="172"/>
      <c r="BH26" s="121">
        <f t="shared" ref="BH26:BH28" si="93">(+BG26-BF26)*24</f>
        <v>0</v>
      </c>
      <c r="BI26" s="165"/>
      <c r="BJ26" s="119">
        <f t="shared" ref="BJ26:BJ28" si="94">H26+P26+X26+AF26+AN26+AV26+BD26</f>
        <v>0</v>
      </c>
      <c r="BK26" s="120">
        <f t="shared" ref="BK26:BK28" si="95">L26+T26+AB26+AJ26+AR26+AZ26+BH26</f>
        <v>0</v>
      </c>
      <c r="BV26" s="55"/>
    </row>
    <row r="27" spans="2:74" ht="30" customHeight="1" x14ac:dyDescent="0.3">
      <c r="B27" s="39">
        <v>18</v>
      </c>
      <c r="C27" s="96" t="str">
        <f>VLOOKUP(D27,EMPLEADO!C:Q,15,FALSE)</f>
        <v>GONZAGA ALVARADO LUIS FERNANDO</v>
      </c>
      <c r="D27" s="208" t="s">
        <v>203</v>
      </c>
      <c r="E27" s="201"/>
      <c r="F27" s="169"/>
      <c r="G27" s="170"/>
      <c r="H27" s="121">
        <f t="shared" si="80"/>
        <v>0</v>
      </c>
      <c r="I27" s="165"/>
      <c r="J27" s="169"/>
      <c r="K27" s="170"/>
      <c r="L27" s="121">
        <f t="shared" si="81"/>
        <v>0</v>
      </c>
      <c r="M27" s="165"/>
      <c r="N27" s="171"/>
      <c r="O27" s="172"/>
      <c r="P27" s="121">
        <f t="shared" si="82"/>
        <v>0</v>
      </c>
      <c r="Q27" s="165"/>
      <c r="R27" s="166"/>
      <c r="S27" s="166"/>
      <c r="T27" s="121">
        <f t="shared" si="83"/>
        <v>0</v>
      </c>
      <c r="U27" s="165"/>
      <c r="V27" s="171"/>
      <c r="W27" s="172"/>
      <c r="X27" s="121">
        <f t="shared" si="84"/>
        <v>0</v>
      </c>
      <c r="Y27" s="165"/>
      <c r="Z27" s="171"/>
      <c r="AA27" s="172"/>
      <c r="AB27" s="121">
        <f t="shared" si="85"/>
        <v>0</v>
      </c>
      <c r="AC27" s="165"/>
      <c r="AD27" s="171"/>
      <c r="AE27" s="172"/>
      <c r="AF27" s="121">
        <f t="shared" si="86"/>
        <v>0</v>
      </c>
      <c r="AG27" s="165"/>
      <c r="AH27" s="171"/>
      <c r="AI27" s="172"/>
      <c r="AJ27" s="121">
        <f t="shared" si="87"/>
        <v>0</v>
      </c>
      <c r="AK27" s="165"/>
      <c r="AL27" s="171"/>
      <c r="AM27" s="172"/>
      <c r="AN27" s="121">
        <f t="shared" si="88"/>
        <v>0</v>
      </c>
      <c r="AO27" s="165"/>
      <c r="AP27" s="171"/>
      <c r="AQ27" s="172"/>
      <c r="AR27" s="121">
        <f t="shared" si="89"/>
        <v>0</v>
      </c>
      <c r="AS27" s="165"/>
      <c r="AT27" s="171"/>
      <c r="AU27" s="172"/>
      <c r="AV27" s="121">
        <f t="shared" si="90"/>
        <v>0</v>
      </c>
      <c r="AW27" s="165"/>
      <c r="AX27" s="171"/>
      <c r="AY27" s="172"/>
      <c r="AZ27" s="121">
        <f t="shared" si="91"/>
        <v>0</v>
      </c>
      <c r="BA27" s="165"/>
      <c r="BB27" s="171"/>
      <c r="BC27" s="172"/>
      <c r="BD27" s="121">
        <f t="shared" si="92"/>
        <v>0</v>
      </c>
      <c r="BE27" s="165"/>
      <c r="BF27" s="171"/>
      <c r="BG27" s="172"/>
      <c r="BH27" s="121">
        <f t="shared" si="93"/>
        <v>0</v>
      </c>
      <c r="BI27" s="165"/>
      <c r="BJ27" s="119">
        <f t="shared" si="94"/>
        <v>0</v>
      </c>
      <c r="BK27" s="120">
        <f t="shared" si="95"/>
        <v>0</v>
      </c>
      <c r="BV27" s="55"/>
    </row>
    <row r="28" spans="2:74" ht="30" customHeight="1" x14ac:dyDescent="0.3">
      <c r="B28" s="39">
        <v>19</v>
      </c>
      <c r="C28" s="96" t="str">
        <f>VLOOKUP(D28,EMPLEADO!C:Q,15,FALSE)</f>
        <v>SIMANCAS CANGO EDISON JOVANY</v>
      </c>
      <c r="D28" s="208" t="s">
        <v>205</v>
      </c>
      <c r="E28" s="201"/>
      <c r="F28" s="169"/>
      <c r="G28" s="170"/>
      <c r="H28" s="121">
        <f t="shared" si="80"/>
        <v>0</v>
      </c>
      <c r="I28" s="165"/>
      <c r="J28" s="169"/>
      <c r="K28" s="170"/>
      <c r="L28" s="121">
        <f t="shared" si="81"/>
        <v>0</v>
      </c>
      <c r="M28" s="165"/>
      <c r="N28" s="171"/>
      <c r="O28" s="172"/>
      <c r="P28" s="121">
        <f t="shared" si="82"/>
        <v>0</v>
      </c>
      <c r="Q28" s="165"/>
      <c r="R28" s="166"/>
      <c r="S28" s="166"/>
      <c r="T28" s="121">
        <f t="shared" si="83"/>
        <v>0</v>
      </c>
      <c r="U28" s="165"/>
      <c r="V28" s="171"/>
      <c r="W28" s="172"/>
      <c r="X28" s="121">
        <f t="shared" si="84"/>
        <v>0</v>
      </c>
      <c r="Y28" s="165"/>
      <c r="Z28" s="171"/>
      <c r="AA28" s="172"/>
      <c r="AB28" s="121">
        <f t="shared" si="85"/>
        <v>0</v>
      </c>
      <c r="AC28" s="165"/>
      <c r="AD28" s="171"/>
      <c r="AE28" s="172"/>
      <c r="AF28" s="121">
        <f t="shared" si="86"/>
        <v>0</v>
      </c>
      <c r="AG28" s="165"/>
      <c r="AH28" s="171"/>
      <c r="AI28" s="172"/>
      <c r="AJ28" s="121">
        <f t="shared" si="87"/>
        <v>0</v>
      </c>
      <c r="AK28" s="165"/>
      <c r="AL28" s="171"/>
      <c r="AM28" s="172"/>
      <c r="AN28" s="121">
        <f t="shared" si="88"/>
        <v>0</v>
      </c>
      <c r="AO28" s="165"/>
      <c r="AP28" s="171"/>
      <c r="AQ28" s="172"/>
      <c r="AR28" s="121">
        <f t="shared" si="89"/>
        <v>0</v>
      </c>
      <c r="AS28" s="165"/>
      <c r="AT28" s="171"/>
      <c r="AU28" s="172"/>
      <c r="AV28" s="121">
        <f t="shared" si="90"/>
        <v>0</v>
      </c>
      <c r="AW28" s="165"/>
      <c r="AX28" s="171"/>
      <c r="AY28" s="172"/>
      <c r="AZ28" s="121">
        <f t="shared" si="91"/>
        <v>0</v>
      </c>
      <c r="BA28" s="165"/>
      <c r="BB28" s="171"/>
      <c r="BC28" s="172"/>
      <c r="BD28" s="121">
        <f t="shared" si="92"/>
        <v>0</v>
      </c>
      <c r="BE28" s="165"/>
      <c r="BF28" s="171"/>
      <c r="BG28" s="172"/>
      <c r="BH28" s="121">
        <f t="shared" si="93"/>
        <v>0</v>
      </c>
      <c r="BI28" s="165"/>
      <c r="BJ28" s="119">
        <f t="shared" si="94"/>
        <v>0</v>
      </c>
      <c r="BK28" s="120">
        <f t="shared" si="95"/>
        <v>0</v>
      </c>
      <c r="BV28" s="55"/>
    </row>
    <row r="29" spans="2:74" ht="15.75" thickBot="1" x14ac:dyDescent="0.3"/>
    <row r="30" spans="2:74" ht="15" customHeight="1" x14ac:dyDescent="0.3">
      <c r="C30" s="89" t="s">
        <v>133</v>
      </c>
      <c r="D30" s="48"/>
      <c r="F30" s="289"/>
      <c r="G30" s="289"/>
      <c r="H30" s="289"/>
      <c r="I30" s="289"/>
      <c r="J30" s="289"/>
      <c r="K30" s="289"/>
      <c r="L30" s="289"/>
      <c r="M30" s="289"/>
      <c r="N30" s="289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289"/>
      <c r="AC30" s="289"/>
      <c r="AD30" s="289"/>
      <c r="AE30" s="289"/>
      <c r="AF30" s="289"/>
      <c r="AG30" s="289"/>
      <c r="AH30" s="289"/>
      <c r="AI30" s="289"/>
      <c r="AJ30" s="289"/>
      <c r="AK30" s="289"/>
      <c r="AL30" s="289"/>
      <c r="AM30" s="289"/>
      <c r="AN30" s="289"/>
      <c r="AO30" s="289"/>
      <c r="AP30" s="289"/>
      <c r="AQ30" s="289"/>
      <c r="AR30" s="289"/>
      <c r="AS30" s="289"/>
      <c r="AT30" s="289"/>
      <c r="AU30" s="289"/>
      <c r="AV30" s="289"/>
      <c r="AW30" s="289"/>
      <c r="AX30" s="289"/>
      <c r="AY30" s="289"/>
      <c r="AZ30" s="289"/>
      <c r="BA30" s="289"/>
      <c r="BB30" s="289"/>
      <c r="BC30" s="289"/>
      <c r="BD30" s="289"/>
      <c r="BE30" s="289"/>
      <c r="BF30" s="289"/>
      <c r="BG30" s="289"/>
      <c r="BH30" s="289"/>
      <c r="BI30" s="289"/>
      <c r="BM30" s="116"/>
      <c r="BN30" s="116"/>
      <c r="BO30" s="116"/>
      <c r="BR30" s="116"/>
      <c r="BS30" s="116"/>
      <c r="BT30" s="116"/>
      <c r="BU30" s="116"/>
    </row>
    <row r="31" spans="2:74" x14ac:dyDescent="0.25">
      <c r="B31" s="54" t="s">
        <v>190</v>
      </c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290"/>
      <c r="R31" s="290"/>
      <c r="S31" s="290"/>
      <c r="T31" s="290"/>
      <c r="U31" s="290"/>
      <c r="V31" s="290"/>
      <c r="W31" s="290"/>
      <c r="X31" s="290"/>
      <c r="Y31" s="290"/>
      <c r="Z31" s="290"/>
      <c r="AA31" s="290"/>
      <c r="AB31" s="290"/>
      <c r="AC31" s="290"/>
      <c r="AD31" s="290"/>
      <c r="AE31" s="290"/>
      <c r="AF31" s="290"/>
      <c r="AG31" s="290"/>
      <c r="AH31" s="290"/>
      <c r="AI31" s="290"/>
      <c r="AJ31" s="290"/>
      <c r="AK31" s="290"/>
      <c r="AL31" s="290"/>
      <c r="AM31" s="290"/>
      <c r="AN31" s="290"/>
      <c r="AO31" s="290"/>
      <c r="AP31" s="290"/>
      <c r="AQ31" s="290"/>
      <c r="AR31" s="290"/>
      <c r="AS31" s="290"/>
      <c r="AT31" s="290"/>
      <c r="AU31" s="290"/>
      <c r="AV31" s="290"/>
      <c r="AW31" s="290"/>
      <c r="AX31" s="290"/>
      <c r="AY31" s="290"/>
      <c r="AZ31" s="290"/>
      <c r="BA31" s="290"/>
      <c r="BB31" s="290"/>
      <c r="BC31" s="290"/>
      <c r="BD31" s="290"/>
      <c r="BE31" s="290"/>
      <c r="BF31" s="290"/>
      <c r="BG31" s="290"/>
      <c r="BH31" s="290"/>
      <c r="BI31" s="290"/>
      <c r="BM31" s="116"/>
      <c r="BN31" s="116"/>
      <c r="BO31" s="116"/>
      <c r="BR31" s="116"/>
      <c r="BS31" s="116"/>
      <c r="BT31" s="116"/>
      <c r="BU31" s="116"/>
    </row>
    <row r="32" spans="2:74" x14ac:dyDescent="0.25"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0"/>
      <c r="U32" s="290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90"/>
      <c r="AG32" s="290"/>
      <c r="AH32" s="290"/>
      <c r="AI32" s="290"/>
      <c r="AJ32" s="290"/>
      <c r="AK32" s="290"/>
      <c r="AL32" s="290"/>
      <c r="AM32" s="290"/>
      <c r="AN32" s="290"/>
      <c r="AO32" s="290"/>
      <c r="AP32" s="290"/>
      <c r="AQ32" s="290"/>
      <c r="AR32" s="290"/>
      <c r="AS32" s="290"/>
      <c r="AT32" s="290"/>
      <c r="AU32" s="290"/>
      <c r="AV32" s="290"/>
      <c r="AW32" s="290"/>
      <c r="AX32" s="290"/>
      <c r="AY32" s="290"/>
      <c r="AZ32" s="290"/>
      <c r="BA32" s="290"/>
      <c r="BB32" s="290"/>
      <c r="BC32" s="290"/>
      <c r="BD32" s="290"/>
      <c r="BE32" s="290"/>
      <c r="BF32" s="290"/>
      <c r="BG32" s="290"/>
      <c r="BH32" s="290"/>
      <c r="BI32" s="290"/>
      <c r="BM32" s="116"/>
      <c r="BN32" s="116"/>
      <c r="BO32" s="116"/>
      <c r="BR32" s="116"/>
      <c r="BS32" s="116"/>
      <c r="BT32" s="116"/>
      <c r="BU32" s="116"/>
    </row>
    <row r="33" spans="2:73" x14ac:dyDescent="0.25"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290"/>
      <c r="R33" s="290"/>
      <c r="S33" s="290"/>
      <c r="T33" s="290"/>
      <c r="U33" s="290"/>
      <c r="V33" s="290"/>
      <c r="W33" s="290"/>
      <c r="X33" s="290"/>
      <c r="Y33" s="290"/>
      <c r="Z33" s="290"/>
      <c r="AA33" s="290"/>
      <c r="AB33" s="290"/>
      <c r="AC33" s="290"/>
      <c r="AD33" s="290"/>
      <c r="AE33" s="290"/>
      <c r="AF33" s="290"/>
      <c r="AG33" s="290"/>
      <c r="AH33" s="290"/>
      <c r="AI33" s="290"/>
      <c r="AJ33" s="290"/>
      <c r="AK33" s="290"/>
      <c r="AL33" s="290"/>
      <c r="AM33" s="290"/>
      <c r="AN33" s="290"/>
      <c r="AO33" s="290"/>
      <c r="AP33" s="290"/>
      <c r="AQ33" s="290"/>
      <c r="AR33" s="290"/>
      <c r="AS33" s="290"/>
      <c r="AT33" s="290"/>
      <c r="AU33" s="290"/>
      <c r="AV33" s="290"/>
      <c r="AW33" s="290"/>
      <c r="AX33" s="290"/>
      <c r="AY33" s="290"/>
      <c r="AZ33" s="290"/>
      <c r="BA33" s="290"/>
      <c r="BB33" s="290"/>
      <c r="BC33" s="290"/>
      <c r="BD33" s="290"/>
      <c r="BE33" s="290"/>
      <c r="BF33" s="290"/>
      <c r="BG33" s="290"/>
      <c r="BH33" s="290"/>
      <c r="BI33" s="290"/>
      <c r="BM33" s="116"/>
      <c r="BN33" s="116"/>
      <c r="BO33" s="116"/>
      <c r="BR33" s="116"/>
      <c r="BS33" s="116"/>
      <c r="BT33" s="116"/>
      <c r="BU33" s="116"/>
    </row>
    <row r="34" spans="2:73" ht="15.75" thickBot="1" x14ac:dyDescent="0.3">
      <c r="B34" s="54" t="s">
        <v>138</v>
      </c>
      <c r="D34" s="48" t="s">
        <v>139</v>
      </c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M34" s="116"/>
      <c r="BN34" s="116"/>
      <c r="BO34" s="116"/>
      <c r="BR34" s="116"/>
      <c r="BS34" s="116"/>
      <c r="BT34" s="116"/>
      <c r="BU34" s="116"/>
    </row>
    <row r="35" spans="2:73" x14ac:dyDescent="0.25">
      <c r="BM35" s="116"/>
      <c r="BN35" s="116"/>
      <c r="BO35" s="116"/>
      <c r="BR35" s="116"/>
      <c r="BS35" s="116"/>
      <c r="BT35" s="116"/>
      <c r="BU35" s="116"/>
    </row>
    <row r="36" spans="2:73" x14ac:dyDescent="0.25">
      <c r="BM36" s="116"/>
      <c r="BN36" s="116"/>
      <c r="BO36" s="116"/>
      <c r="BR36" s="116"/>
      <c r="BS36" s="116"/>
      <c r="BT36" s="116"/>
      <c r="BU36" s="116"/>
    </row>
    <row r="37" spans="2:73" x14ac:dyDescent="0.25">
      <c r="BM37" s="116"/>
      <c r="BN37" s="116"/>
      <c r="BO37" s="116"/>
      <c r="BR37" s="116"/>
      <c r="BS37" s="116"/>
      <c r="BT37" s="116"/>
      <c r="BU37" s="116"/>
    </row>
    <row r="38" spans="2:73" x14ac:dyDescent="0.25">
      <c r="BM38" s="116"/>
      <c r="BN38" s="116"/>
      <c r="BO38" s="116"/>
      <c r="BR38" s="116"/>
      <c r="BS38" s="116"/>
      <c r="BT38" s="116"/>
      <c r="BU38" s="116"/>
    </row>
    <row r="39" spans="2:73" x14ac:dyDescent="0.25">
      <c r="BM39" s="116"/>
      <c r="BN39" s="116"/>
      <c r="BO39" s="116"/>
      <c r="BR39" s="116"/>
      <c r="BS39" s="116"/>
      <c r="BT39" s="116"/>
      <c r="BU39" s="116"/>
    </row>
    <row r="40" spans="2:73" x14ac:dyDescent="0.25">
      <c r="BM40" s="116"/>
      <c r="BN40" s="116"/>
      <c r="BO40" s="116"/>
      <c r="BR40" s="116"/>
      <c r="BS40" s="116"/>
      <c r="BT40" s="116"/>
      <c r="BU40" s="116"/>
    </row>
    <row r="41" spans="2:73" x14ac:dyDescent="0.25">
      <c r="BM41" s="116"/>
      <c r="BN41" s="116"/>
      <c r="BO41" s="116"/>
      <c r="BR41" s="116"/>
      <c r="BS41" s="116"/>
      <c r="BT41" s="116"/>
      <c r="BU41" s="116"/>
    </row>
  </sheetData>
  <mergeCells count="53">
    <mergeCell ref="H1:AG1"/>
    <mergeCell ref="AT6:BA6"/>
    <mergeCell ref="BB6:BI6"/>
    <mergeCell ref="AD5:AK5"/>
    <mergeCell ref="C2:E2"/>
    <mergeCell ref="C3:E3"/>
    <mergeCell ref="F5:M5"/>
    <mergeCell ref="N5:U5"/>
    <mergeCell ref="V5:AC5"/>
    <mergeCell ref="F2:M2"/>
    <mergeCell ref="N2:U2"/>
    <mergeCell ref="V2:AC2"/>
    <mergeCell ref="F6:M6"/>
    <mergeCell ref="N6:U6"/>
    <mergeCell ref="V6:AC6"/>
    <mergeCell ref="AD6:AK6"/>
    <mergeCell ref="AL6:AS6"/>
    <mergeCell ref="BJ7:BK7"/>
    <mergeCell ref="F8:I8"/>
    <mergeCell ref="J8:M8"/>
    <mergeCell ref="N8:Q8"/>
    <mergeCell ref="R8:U8"/>
    <mergeCell ref="V8:Y8"/>
    <mergeCell ref="Z8:AC8"/>
    <mergeCell ref="AD8:AG8"/>
    <mergeCell ref="AH8:AK8"/>
    <mergeCell ref="F7:M7"/>
    <mergeCell ref="N7:U7"/>
    <mergeCell ref="V7:AC7"/>
    <mergeCell ref="AD7:AK7"/>
    <mergeCell ref="AL7:AS7"/>
    <mergeCell ref="AT7:BA7"/>
    <mergeCell ref="F30:M34"/>
    <mergeCell ref="N30:U34"/>
    <mergeCell ref="V30:AC34"/>
    <mergeCell ref="AD30:AK34"/>
    <mergeCell ref="AL30:AS34"/>
    <mergeCell ref="AD2:AK2"/>
    <mergeCell ref="AL2:AS2"/>
    <mergeCell ref="AT2:BA2"/>
    <mergeCell ref="BB2:BI2"/>
    <mergeCell ref="BB30:BI34"/>
    <mergeCell ref="AT30:BA34"/>
    <mergeCell ref="AL8:AO8"/>
    <mergeCell ref="AP8:AS8"/>
    <mergeCell ref="AT8:AW8"/>
    <mergeCell ref="AX8:BA8"/>
    <mergeCell ref="BB8:BE8"/>
    <mergeCell ref="BF8:BI8"/>
    <mergeCell ref="BB7:BI7"/>
    <mergeCell ref="AL5:AS5"/>
    <mergeCell ref="AT5:BA5"/>
    <mergeCell ref="BB5:BI5"/>
  </mergeCells>
  <conditionalFormatting sqref="F6:BI6">
    <cfRule type="cellIs" dxfId="14" priority="22" operator="equal">
      <formula>"OJO H.E. AL 100%"</formula>
    </cfRule>
    <cfRule type="cellIs" dxfId="13" priority="23" operator="equal">
      <formula>"""OJO H.E. AL 100%"""</formula>
    </cfRule>
  </conditionalFormatting>
  <conditionalFormatting sqref="AT4 BB4 AL4 AD4 V4 N4 F4">
    <cfRule type="cellIs" dxfId="12" priority="21" operator="equal">
      <formula>"F"</formula>
    </cfRule>
  </conditionalFormatting>
  <conditionalFormatting sqref="C5">
    <cfRule type="containsBlanks" dxfId="11" priority="2">
      <formula>LEN(TRIM(C5))=0</formula>
    </cfRule>
  </conditionalFormatting>
  <conditionalFormatting sqref="C6">
    <cfRule type="containsBlanks" dxfId="10" priority="1">
      <formula>LEN(TRIM(C6))=0</formula>
    </cfRule>
  </conditionalFormatting>
  <pageMargins left="0.51181102362204722" right="0.11811023622047245" top="0.15748031496062992" bottom="0.15748031496062992" header="0.31496062992125984" footer="0.31496062992125984"/>
  <pageSetup scale="75" orientation="portrait" horizontalDpi="120" verticalDpi="72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6" tint="-0.249977111117893"/>
  </sheetPr>
  <dimension ref="A1:BV41"/>
  <sheetViews>
    <sheetView topLeftCell="B1" zoomScale="60" zoomScaleNormal="60" workbookViewId="0">
      <pane xSplit="4" ySplit="9" topLeftCell="F10" activePane="bottomRight" state="frozen"/>
      <selection activeCell="B1" sqref="B1"/>
      <selection pane="topRight" activeCell="F1" sqref="F1"/>
      <selection pane="bottomLeft" activeCell="B10" sqref="B10"/>
      <selection pane="bottomRight" activeCell="AZ16" sqref="AZ16"/>
    </sheetView>
  </sheetViews>
  <sheetFormatPr baseColWidth="10" defaultRowHeight="15" x14ac:dyDescent="0.25"/>
  <cols>
    <col min="1" max="1" width="2.85546875" style="3" hidden="1" customWidth="1"/>
    <col min="2" max="2" width="7.85546875" style="3" customWidth="1"/>
    <col min="3" max="3" width="42.7109375" style="3" customWidth="1"/>
    <col min="4" max="4" width="14.7109375" style="3" customWidth="1"/>
    <col min="5" max="5" width="19" style="3" hidden="1" customWidth="1"/>
    <col min="6" max="7" width="7.7109375" style="3" customWidth="1"/>
    <col min="8" max="8" width="7.85546875" style="3" customWidth="1"/>
    <col min="9" max="9" width="9.7109375" style="3" customWidth="1"/>
    <col min="10" max="11" width="7.7109375" style="3" customWidth="1"/>
    <col min="12" max="12" width="6.7109375" style="3" customWidth="1"/>
    <col min="13" max="13" width="9.7109375" style="3" customWidth="1"/>
    <col min="14" max="14" width="7.7109375" style="3" customWidth="1"/>
    <col min="15" max="15" width="8.7109375" style="3" customWidth="1"/>
    <col min="16" max="16" width="6.7109375" style="3" customWidth="1"/>
    <col min="17" max="17" width="10" style="3" bestFit="1" customWidth="1"/>
    <col min="18" max="18" width="7.7109375" style="3" customWidth="1"/>
    <col min="19" max="19" width="8.140625" style="3" customWidth="1"/>
    <col min="20" max="20" width="6.7109375" style="3" customWidth="1"/>
    <col min="21" max="21" width="9.7109375" style="3" customWidth="1"/>
    <col min="22" max="23" width="7.7109375" style="3" customWidth="1"/>
    <col min="24" max="24" width="6.7109375" style="3" customWidth="1"/>
    <col min="25" max="25" width="10.7109375" style="3" customWidth="1"/>
    <col min="26" max="27" width="7.7109375" style="3" customWidth="1"/>
    <col min="28" max="28" width="6.7109375" style="3" customWidth="1"/>
    <col min="29" max="29" width="9.7109375" style="3" customWidth="1"/>
    <col min="30" max="31" width="7.7109375" style="3" customWidth="1"/>
    <col min="32" max="32" width="6.7109375" style="3" customWidth="1"/>
    <col min="33" max="33" width="10.7109375" style="3" customWidth="1"/>
    <col min="34" max="35" width="7.7109375" style="3" customWidth="1"/>
    <col min="36" max="36" width="6.7109375" style="3" customWidth="1"/>
    <col min="37" max="37" width="9.7109375" style="3" customWidth="1"/>
    <col min="38" max="39" width="7.7109375" style="3" customWidth="1"/>
    <col min="40" max="40" width="6.7109375" style="3" customWidth="1"/>
    <col min="41" max="41" width="10.7109375" style="3" customWidth="1"/>
    <col min="42" max="43" width="7.7109375" style="3" customWidth="1"/>
    <col min="44" max="44" width="6.7109375" style="3" customWidth="1"/>
    <col min="45" max="45" width="9.7109375" style="3" customWidth="1"/>
    <col min="46" max="47" width="7.7109375" style="3" customWidth="1"/>
    <col min="48" max="48" width="6.7109375" style="3" customWidth="1"/>
    <col min="49" max="49" width="10.7109375" style="3" customWidth="1"/>
    <col min="50" max="51" width="7.7109375" style="3" customWidth="1"/>
    <col min="52" max="52" width="6.7109375" style="3" customWidth="1"/>
    <col min="53" max="53" width="9.7109375" style="3" customWidth="1"/>
    <col min="54" max="55" width="7.7109375" style="3" customWidth="1"/>
    <col min="56" max="56" width="6.7109375" style="3" customWidth="1"/>
    <col min="57" max="57" width="10.7109375" style="3" customWidth="1"/>
    <col min="58" max="59" width="7.7109375" style="3" customWidth="1"/>
    <col min="60" max="60" width="6.7109375" style="3" customWidth="1"/>
    <col min="61" max="61" width="9.7109375" style="3" customWidth="1"/>
    <col min="62" max="62" width="15.42578125" style="14" bestFit="1" customWidth="1"/>
    <col min="63" max="63" width="11.5703125" style="14" bestFit="1" customWidth="1"/>
    <col min="64" max="64" width="4.7109375" style="14" customWidth="1"/>
    <col min="68" max="69" width="11.42578125" style="3"/>
    <col min="74" max="74" width="4.7109375" style="14" customWidth="1"/>
    <col min="75" max="16384" width="11.42578125" style="3"/>
  </cols>
  <sheetData>
    <row r="1" spans="2:74" ht="57.75" customHeight="1" x14ac:dyDescent="0.4">
      <c r="C1" s="311" t="s">
        <v>208</v>
      </c>
      <c r="D1" s="311"/>
      <c r="F1" s="242" t="s">
        <v>140</v>
      </c>
      <c r="G1" s="243"/>
      <c r="H1" s="312" t="s">
        <v>141</v>
      </c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2"/>
      <c r="AF1" s="312"/>
      <c r="AG1" s="312"/>
    </row>
    <row r="2" spans="2:74" ht="22.5" x14ac:dyDescent="0.4">
      <c r="C2" s="308" t="s">
        <v>48</v>
      </c>
      <c r="D2" s="308"/>
      <c r="E2" s="30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</row>
    <row r="3" spans="2:74" ht="23.25" thickBot="1" x14ac:dyDescent="0.45">
      <c r="C3" s="309" t="s">
        <v>112</v>
      </c>
      <c r="D3" s="309"/>
      <c r="E3" s="309"/>
    </row>
    <row r="4" spans="2:74" ht="25.5" customHeight="1" thickBot="1" x14ac:dyDescent="0.3">
      <c r="C4" s="54" t="str">
        <f>IF(VARIOS!B4&gt;=14,IF(C5=0," ",+VARIOS!B11)," ")</f>
        <v>PRIMERA QUINCENA DE JUNIO DEL 2019</v>
      </c>
      <c r="F4" s="123"/>
      <c r="H4" s="153"/>
      <c r="N4" s="123"/>
      <c r="V4" s="123"/>
      <c r="AD4" s="123"/>
      <c r="AL4" s="123"/>
      <c r="AT4" s="123"/>
      <c r="BB4" s="123"/>
    </row>
    <row r="5" spans="2:74" ht="21.95" customHeight="1" thickBot="1" x14ac:dyDescent="0.4">
      <c r="B5" s="86" t="s">
        <v>110</v>
      </c>
      <c r="C5" s="262">
        <f>+'CONTROL H.E.'!C5</f>
        <v>43617</v>
      </c>
      <c r="D5" s="89"/>
      <c r="F5" s="310">
        <f>Dato_Transf!B2</f>
        <v>0</v>
      </c>
      <c r="G5" s="297"/>
      <c r="H5" s="297"/>
      <c r="I5" s="297"/>
      <c r="J5" s="297"/>
      <c r="K5" s="297"/>
      <c r="L5" s="297"/>
      <c r="M5" s="298"/>
      <c r="N5" s="310">
        <f>Dato_Transf!I2</f>
        <v>0</v>
      </c>
      <c r="O5" s="297"/>
      <c r="P5" s="297"/>
      <c r="Q5" s="297"/>
      <c r="R5" s="297"/>
      <c r="S5" s="297"/>
      <c r="T5" s="297"/>
      <c r="U5" s="298"/>
      <c r="V5" s="310">
        <f>Dato_Transf!P2</f>
        <v>0</v>
      </c>
      <c r="W5" s="297"/>
      <c r="X5" s="297"/>
      <c r="Y5" s="297"/>
      <c r="Z5" s="297"/>
      <c r="AA5" s="297"/>
      <c r="AB5" s="297"/>
      <c r="AC5" s="298"/>
      <c r="AD5" s="310">
        <f>Dato_Transf!W2</f>
        <v>0</v>
      </c>
      <c r="AE5" s="297"/>
      <c r="AF5" s="297"/>
      <c r="AG5" s="297"/>
      <c r="AH5" s="297"/>
      <c r="AI5" s="297"/>
      <c r="AJ5" s="297"/>
      <c r="AK5" s="298"/>
      <c r="AL5" s="310">
        <f>Dato_Transf!AD2</f>
        <v>0</v>
      </c>
      <c r="AM5" s="297"/>
      <c r="AN5" s="297"/>
      <c r="AO5" s="297"/>
      <c r="AP5" s="297"/>
      <c r="AQ5" s="297"/>
      <c r="AR5" s="297"/>
      <c r="AS5" s="298"/>
      <c r="AT5" s="310">
        <f>Dato_Transf!AK2</f>
        <v>0</v>
      </c>
      <c r="AU5" s="297"/>
      <c r="AV5" s="297"/>
      <c r="AW5" s="297"/>
      <c r="AX5" s="297"/>
      <c r="AY5" s="297"/>
      <c r="AZ5" s="297"/>
      <c r="BA5" s="298"/>
      <c r="BB5" s="310">
        <f>Dato_Transf!AR2</f>
        <v>0</v>
      </c>
      <c r="BC5" s="297"/>
      <c r="BD5" s="297"/>
      <c r="BE5" s="297"/>
      <c r="BF5" s="297"/>
      <c r="BG5" s="297"/>
      <c r="BH5" s="297"/>
      <c r="BI5" s="298"/>
    </row>
    <row r="6" spans="2:74" s="8" customFormat="1" ht="21.95" customHeight="1" thickBot="1" x14ac:dyDescent="0.35">
      <c r="B6" s="118" t="s">
        <v>111</v>
      </c>
      <c r="C6" s="262">
        <f>+'CONTROL H.E.'!C6</f>
        <v>43631</v>
      </c>
      <c r="D6" s="100" t="s">
        <v>191</v>
      </c>
      <c r="F6" s="299" t="str">
        <f>IF(F5=0,"INGRESE DIA POR FAVOR",IF(WEEKDAY(F5)=7,"OJO H.E. AL 100%",IF(WEEKDAY(F5)=1,"OJO H.E. AL 100%",IF(F4="F","OJO H.E. AL 100%","INGRESAR HORAS EXTRAS"))))</f>
        <v>INGRESE DIA POR FAVOR</v>
      </c>
      <c r="G6" s="300"/>
      <c r="H6" s="300"/>
      <c r="I6" s="300"/>
      <c r="J6" s="300"/>
      <c r="K6" s="300"/>
      <c r="L6" s="300"/>
      <c r="M6" s="301"/>
      <c r="N6" s="299" t="str">
        <f>IF(N5=0,"INGRESE DIA POR FAVOR",IF(WEEKDAY(N5)=7,"OJO H.E. AL 100%",IF(WEEKDAY(N5)=1,"OJO H.E. AL 100%",IF(N4="F","OJO H.E. AL 100%","INGRESAR HORAS EXTRAS"))))</f>
        <v>INGRESE DIA POR FAVOR</v>
      </c>
      <c r="O6" s="300"/>
      <c r="P6" s="300"/>
      <c r="Q6" s="300"/>
      <c r="R6" s="300"/>
      <c r="S6" s="300"/>
      <c r="T6" s="300"/>
      <c r="U6" s="301"/>
      <c r="V6" s="299" t="str">
        <f>IF(V5=0,"INGRESE DIA POR FAVOR",IF(WEEKDAY(V5)=7,"OJO H.E. AL 100%",IF(WEEKDAY(V5)=1,"OJO H.E. AL 100%",IF(V4="F","OJO H.E. AL 100%","INGRESAR HORAS EXTRAS"))))</f>
        <v>INGRESE DIA POR FAVOR</v>
      </c>
      <c r="W6" s="300"/>
      <c r="X6" s="300"/>
      <c r="Y6" s="300"/>
      <c r="Z6" s="300"/>
      <c r="AA6" s="300"/>
      <c r="AB6" s="300"/>
      <c r="AC6" s="301"/>
      <c r="AD6" s="299" t="str">
        <f>IF(AD5=0,"INGRESE DIA POR FAVOR",IF(WEEKDAY(AD5)=7,"OJO H.E. AL 100%",IF(WEEKDAY(AD5)=1,"OJO H.E. AL 100%",IF(AD4="F","OJO H.E. AL 100%","INGRESAR HORAS EXTRAS"))))</f>
        <v>INGRESE DIA POR FAVOR</v>
      </c>
      <c r="AE6" s="300"/>
      <c r="AF6" s="300"/>
      <c r="AG6" s="300"/>
      <c r="AH6" s="300"/>
      <c r="AI6" s="300"/>
      <c r="AJ6" s="300"/>
      <c r="AK6" s="301"/>
      <c r="AL6" s="299" t="str">
        <f>IF(AL5=0,"INGRESE DIA POR FAVOR",IF(WEEKDAY(AL5)=7,"OJO H.E. AL 100%",IF(WEEKDAY(AL5)=1,"OJO H.E. AL 100%",IF(AL4="F","OJO H.E. AL 100%","INGRESAR HORAS EXTRAS"))))</f>
        <v>INGRESE DIA POR FAVOR</v>
      </c>
      <c r="AM6" s="300"/>
      <c r="AN6" s="300"/>
      <c r="AO6" s="300"/>
      <c r="AP6" s="300"/>
      <c r="AQ6" s="300"/>
      <c r="AR6" s="300"/>
      <c r="AS6" s="301"/>
      <c r="AT6" s="299" t="str">
        <f>IF(AT5=0,"INGRESE DIA POR FAVOR",IF(WEEKDAY(AT5)=7,"OJO H.E. AL 100%",IF(WEEKDAY(AT5)=1,"OJO H.E. AL 100%",IF(AT4="F","OJO H.E. AL 100%","INGRESAR HORAS EXTRAS"))))</f>
        <v>INGRESE DIA POR FAVOR</v>
      </c>
      <c r="AU6" s="300"/>
      <c r="AV6" s="300"/>
      <c r="AW6" s="300"/>
      <c r="AX6" s="300"/>
      <c r="AY6" s="300"/>
      <c r="AZ6" s="300"/>
      <c r="BA6" s="301"/>
      <c r="BB6" s="299" t="str">
        <f>IF(BB5=0,"INGRESE DIA POR FAVOR",IF(WEEKDAY(BB5)=7,"OJO H.E. AL 100%",IF(WEEKDAY(BB5)=1,"OJO H.E. AL 100%",IF(BB4="F","OJO H.E. AL 100%","INGRESAR HORAS EXTRAS"))))</f>
        <v>INGRESE DIA POR FAVOR</v>
      </c>
      <c r="BC6" s="300"/>
      <c r="BD6" s="300"/>
      <c r="BE6" s="300"/>
      <c r="BF6" s="300"/>
      <c r="BG6" s="300"/>
      <c r="BH6" s="300"/>
      <c r="BI6" s="301"/>
      <c r="BJ6" s="14"/>
      <c r="BK6" s="14"/>
      <c r="BL6" s="14"/>
      <c r="BV6" s="14"/>
    </row>
    <row r="7" spans="2:74" ht="19.5" thickBot="1" x14ac:dyDescent="0.3">
      <c r="B7" s="63" t="s">
        <v>100</v>
      </c>
      <c r="C7" s="103">
        <v>3</v>
      </c>
      <c r="F7" s="322" t="s">
        <v>12</v>
      </c>
      <c r="G7" s="322"/>
      <c r="H7" s="322"/>
      <c r="I7" s="322"/>
      <c r="J7" s="322"/>
      <c r="K7" s="322"/>
      <c r="L7" s="322"/>
      <c r="M7" s="323"/>
      <c r="N7" s="321" t="s">
        <v>12</v>
      </c>
      <c r="O7" s="322"/>
      <c r="P7" s="322"/>
      <c r="Q7" s="322"/>
      <c r="R7" s="322"/>
      <c r="S7" s="322"/>
      <c r="T7" s="322"/>
      <c r="U7" s="323"/>
      <c r="V7" s="321" t="s">
        <v>12</v>
      </c>
      <c r="W7" s="322"/>
      <c r="X7" s="322"/>
      <c r="Y7" s="322"/>
      <c r="Z7" s="322"/>
      <c r="AA7" s="322"/>
      <c r="AB7" s="322"/>
      <c r="AC7" s="323"/>
      <c r="AD7" s="321" t="s">
        <v>12</v>
      </c>
      <c r="AE7" s="322"/>
      <c r="AF7" s="322"/>
      <c r="AG7" s="322"/>
      <c r="AH7" s="322"/>
      <c r="AI7" s="322"/>
      <c r="AJ7" s="322"/>
      <c r="AK7" s="323"/>
      <c r="AL7" s="321" t="s">
        <v>12</v>
      </c>
      <c r="AM7" s="322"/>
      <c r="AN7" s="322"/>
      <c r="AO7" s="322"/>
      <c r="AP7" s="322"/>
      <c r="AQ7" s="322"/>
      <c r="AR7" s="322"/>
      <c r="AS7" s="323"/>
      <c r="AT7" s="321" t="s">
        <v>12</v>
      </c>
      <c r="AU7" s="322"/>
      <c r="AV7" s="322"/>
      <c r="AW7" s="322"/>
      <c r="AX7" s="322"/>
      <c r="AY7" s="322"/>
      <c r="AZ7" s="322"/>
      <c r="BA7" s="323"/>
      <c r="BB7" s="321" t="s">
        <v>12</v>
      </c>
      <c r="BC7" s="322"/>
      <c r="BD7" s="322"/>
      <c r="BE7" s="322"/>
      <c r="BF7" s="322"/>
      <c r="BG7" s="322"/>
      <c r="BH7" s="322"/>
      <c r="BI7" s="323"/>
      <c r="BJ7" s="316" t="s">
        <v>12</v>
      </c>
      <c r="BK7" s="317"/>
    </row>
    <row r="8" spans="2:74" ht="39.75" customHeight="1" thickBot="1" x14ac:dyDescent="0.3">
      <c r="F8" s="313" t="s">
        <v>106</v>
      </c>
      <c r="G8" s="314"/>
      <c r="H8" s="314"/>
      <c r="I8" s="315"/>
      <c r="J8" s="318" t="s">
        <v>132</v>
      </c>
      <c r="K8" s="319"/>
      <c r="L8" s="319"/>
      <c r="M8" s="320"/>
      <c r="N8" s="313" t="s">
        <v>106</v>
      </c>
      <c r="O8" s="314"/>
      <c r="P8" s="314"/>
      <c r="Q8" s="315"/>
      <c r="R8" s="313" t="s">
        <v>107</v>
      </c>
      <c r="S8" s="314"/>
      <c r="T8" s="314"/>
      <c r="U8" s="315"/>
      <c r="V8" s="313" t="s">
        <v>106</v>
      </c>
      <c r="W8" s="314"/>
      <c r="X8" s="314"/>
      <c r="Y8" s="315"/>
      <c r="Z8" s="313" t="s">
        <v>107</v>
      </c>
      <c r="AA8" s="314"/>
      <c r="AB8" s="314"/>
      <c r="AC8" s="315"/>
      <c r="AD8" s="313" t="s">
        <v>106</v>
      </c>
      <c r="AE8" s="314"/>
      <c r="AF8" s="314"/>
      <c r="AG8" s="315"/>
      <c r="AH8" s="313" t="s">
        <v>107</v>
      </c>
      <c r="AI8" s="314"/>
      <c r="AJ8" s="314"/>
      <c r="AK8" s="315"/>
      <c r="AL8" s="313" t="s">
        <v>106</v>
      </c>
      <c r="AM8" s="314"/>
      <c r="AN8" s="314"/>
      <c r="AO8" s="315"/>
      <c r="AP8" s="313" t="s">
        <v>107</v>
      </c>
      <c r="AQ8" s="314"/>
      <c r="AR8" s="314"/>
      <c r="AS8" s="315"/>
      <c r="AT8" s="313" t="s">
        <v>106</v>
      </c>
      <c r="AU8" s="314"/>
      <c r="AV8" s="314"/>
      <c r="AW8" s="315"/>
      <c r="AX8" s="313" t="s">
        <v>107</v>
      </c>
      <c r="AY8" s="314"/>
      <c r="AZ8" s="314"/>
      <c r="BA8" s="315"/>
      <c r="BB8" s="313" t="s">
        <v>106</v>
      </c>
      <c r="BC8" s="314"/>
      <c r="BD8" s="314"/>
      <c r="BE8" s="315"/>
      <c r="BF8" s="313" t="s">
        <v>107</v>
      </c>
      <c r="BG8" s="314"/>
      <c r="BH8" s="314"/>
      <c r="BI8" s="315"/>
      <c r="BJ8" s="267"/>
      <c r="BK8" s="268"/>
    </row>
    <row r="9" spans="2:74" ht="54.95" customHeight="1" x14ac:dyDescent="0.25">
      <c r="B9" s="15" t="s">
        <v>14</v>
      </c>
      <c r="C9" s="99" t="s">
        <v>0</v>
      </c>
      <c r="D9" s="98" t="s">
        <v>37</v>
      </c>
      <c r="E9" s="56" t="s">
        <v>1</v>
      </c>
      <c r="F9" s="263" t="s">
        <v>104</v>
      </c>
      <c r="G9" s="264" t="s">
        <v>105</v>
      </c>
      <c r="H9" s="265" t="s">
        <v>108</v>
      </c>
      <c r="I9" s="266" t="s">
        <v>103</v>
      </c>
      <c r="J9" s="263" t="s">
        <v>104</v>
      </c>
      <c r="K9" s="264" t="s">
        <v>105</v>
      </c>
      <c r="L9" s="265" t="s">
        <v>109</v>
      </c>
      <c r="M9" s="266" t="s">
        <v>103</v>
      </c>
      <c r="N9" s="263" t="s">
        <v>104</v>
      </c>
      <c r="O9" s="264" t="s">
        <v>105</v>
      </c>
      <c r="P9" s="265" t="s">
        <v>108</v>
      </c>
      <c r="Q9" s="266" t="s">
        <v>103</v>
      </c>
      <c r="R9" s="263" t="s">
        <v>104</v>
      </c>
      <c r="S9" s="264" t="s">
        <v>105</v>
      </c>
      <c r="T9" s="265" t="s">
        <v>109</v>
      </c>
      <c r="U9" s="266" t="s">
        <v>103</v>
      </c>
      <c r="V9" s="263" t="s">
        <v>104</v>
      </c>
      <c r="W9" s="264" t="s">
        <v>105</v>
      </c>
      <c r="X9" s="265" t="s">
        <v>108</v>
      </c>
      <c r="Y9" s="266" t="s">
        <v>103</v>
      </c>
      <c r="Z9" s="263" t="s">
        <v>104</v>
      </c>
      <c r="AA9" s="264" t="s">
        <v>105</v>
      </c>
      <c r="AB9" s="265" t="s">
        <v>109</v>
      </c>
      <c r="AC9" s="266" t="s">
        <v>103</v>
      </c>
      <c r="AD9" s="263" t="s">
        <v>104</v>
      </c>
      <c r="AE9" s="264" t="s">
        <v>105</v>
      </c>
      <c r="AF9" s="265" t="s">
        <v>108</v>
      </c>
      <c r="AG9" s="266" t="s">
        <v>103</v>
      </c>
      <c r="AH9" s="263" t="s">
        <v>104</v>
      </c>
      <c r="AI9" s="264" t="s">
        <v>105</v>
      </c>
      <c r="AJ9" s="265" t="s">
        <v>109</v>
      </c>
      <c r="AK9" s="266" t="s">
        <v>103</v>
      </c>
      <c r="AL9" s="263" t="s">
        <v>104</v>
      </c>
      <c r="AM9" s="264" t="s">
        <v>105</v>
      </c>
      <c r="AN9" s="265" t="s">
        <v>108</v>
      </c>
      <c r="AO9" s="266" t="s">
        <v>103</v>
      </c>
      <c r="AP9" s="263" t="s">
        <v>104</v>
      </c>
      <c r="AQ9" s="264" t="s">
        <v>105</v>
      </c>
      <c r="AR9" s="265" t="s">
        <v>109</v>
      </c>
      <c r="AS9" s="266" t="s">
        <v>103</v>
      </c>
      <c r="AT9" s="263" t="s">
        <v>104</v>
      </c>
      <c r="AU9" s="264" t="s">
        <v>105</v>
      </c>
      <c r="AV9" s="265" t="s">
        <v>108</v>
      </c>
      <c r="AW9" s="266" t="s">
        <v>103</v>
      </c>
      <c r="AX9" s="263" t="s">
        <v>104</v>
      </c>
      <c r="AY9" s="264" t="s">
        <v>105</v>
      </c>
      <c r="AZ9" s="265" t="s">
        <v>109</v>
      </c>
      <c r="BA9" s="266" t="s">
        <v>103</v>
      </c>
      <c r="BB9" s="263" t="s">
        <v>104</v>
      </c>
      <c r="BC9" s="264" t="s">
        <v>105</v>
      </c>
      <c r="BD9" s="265" t="s">
        <v>108</v>
      </c>
      <c r="BE9" s="266" t="s">
        <v>103</v>
      </c>
      <c r="BF9" s="263" t="s">
        <v>104</v>
      </c>
      <c r="BG9" s="264" t="s">
        <v>105</v>
      </c>
      <c r="BH9" s="265" t="s">
        <v>109</v>
      </c>
      <c r="BI9" s="266" t="s">
        <v>103</v>
      </c>
      <c r="BJ9" s="18" t="s">
        <v>50</v>
      </c>
      <c r="BK9" s="56" t="s">
        <v>51</v>
      </c>
      <c r="BL9" s="8"/>
      <c r="BV9" s="8"/>
    </row>
    <row r="10" spans="2:74" ht="30" customHeight="1" x14ac:dyDescent="0.3">
      <c r="B10" s="39">
        <v>1</v>
      </c>
      <c r="C10" s="96" t="str">
        <f>VLOOKUP(D10,EMPLEADO!C:Q,15,FALSE)</f>
        <v>HERNANDEZ VALENCIA CARLOS ALBERTO</v>
      </c>
      <c r="D10" s="11" t="s">
        <v>39</v>
      </c>
      <c r="E10" s="57" t="s">
        <v>63</v>
      </c>
      <c r="F10" s="72">
        <f>IFERROR(VLOOKUP($C10,Dato_Transf!$A:$G,3,FALSE()),0)</f>
        <v>0</v>
      </c>
      <c r="G10" s="72">
        <f>IFERROR(VLOOKUP($C10,Dato_Transf!$A:$G,4,FALSE()),0)</f>
        <v>0</v>
      </c>
      <c r="H10" s="121">
        <f t="shared" ref="H10" si="0">IF($F$6="OJO H.E. AL 100%",0,(G10-F10)*24)</f>
        <v>0</v>
      </c>
      <c r="I10" s="66" t="str">
        <f>IF(H10=0," ",VLOOKUP($C10,Dato_Transf!$A:$G,7,FALSE()))</f>
        <v xml:space="preserve"> </v>
      </c>
      <c r="J10" s="72">
        <f>IFERROR(VLOOKUP($C10,Dato_Transf!$A:$G,5,FALSE()),0)</f>
        <v>0</v>
      </c>
      <c r="K10" s="72">
        <f>IFERROR(VLOOKUP($C10,Dato_Transf!$A:$G,6,FALSE()),0)</f>
        <v>0</v>
      </c>
      <c r="L10" s="121">
        <f t="shared" ref="L10" si="1">(+K10-J10)*24</f>
        <v>0</v>
      </c>
      <c r="M10" s="66" t="str">
        <f>IF(L10=0," ",VLOOKUP($C10,Dato_Transf!$A:$G,7,FALSE()))</f>
        <v xml:space="preserve"> </v>
      </c>
      <c r="N10" s="72">
        <f>IFERROR(VLOOKUP($C10,Dato_Transf!$H:$N,3,FALSE()),0)</f>
        <v>0</v>
      </c>
      <c r="O10" s="72">
        <f>IFERROR(VLOOKUP($C10,Dato_Transf!$H:$N,4,FALSE()),0)</f>
        <v>0</v>
      </c>
      <c r="P10" s="121">
        <f t="shared" ref="P10" si="2">IF($F$6="OJO H.E. AL 100%",0,(O10-N10)*24)</f>
        <v>0</v>
      </c>
      <c r="Q10" s="66" t="str">
        <f>IF(P10=0," ",VLOOKUP($C10,Dato_Transf!$H:$N,7,FALSE()))</f>
        <v xml:space="preserve"> </v>
      </c>
      <c r="R10" s="72">
        <f>IFERROR(VLOOKUP($C10,Dato_Transf!$H:$N,5,FALSE()),0)</f>
        <v>0</v>
      </c>
      <c r="S10" s="72">
        <f>IFERROR(VLOOKUP($C10,Dato_Transf!$H:$N,6,FALSE()),0)</f>
        <v>0</v>
      </c>
      <c r="T10" s="121">
        <f t="shared" ref="T10" si="3">(+S10-R10)*24</f>
        <v>0</v>
      </c>
      <c r="U10" s="66" t="str">
        <f>IF(T10=0," ",VLOOKUP($C10,Dato_Transf!$H:$N,7,FALSE()))</f>
        <v xml:space="preserve"> </v>
      </c>
      <c r="V10" s="72">
        <f>IFERROR(VLOOKUP($C10,Dato_Transf!$O:$U,3,FALSE()),0)</f>
        <v>0</v>
      </c>
      <c r="W10" s="72">
        <f>IFERROR(VLOOKUP($C10,Dato_Transf!$O:$U,4,FALSE()),0)</f>
        <v>0</v>
      </c>
      <c r="X10" s="121">
        <f t="shared" ref="X10" si="4">IF($F$6="OJO H.E. AL 100%",0,(W10-V10)*24)</f>
        <v>0</v>
      </c>
      <c r="Y10" s="66" t="str">
        <f>IF(X10=0," ",VLOOKUP($C10,Dato_Transf!$O:$U,7,FALSE()))</f>
        <v xml:space="preserve"> </v>
      </c>
      <c r="Z10" s="72">
        <f>IFERROR(VLOOKUP($C10,Dato_Transf!$O:$U,5,FALSE()),0)</f>
        <v>0</v>
      </c>
      <c r="AA10" s="72">
        <f>IFERROR(VLOOKUP($C10,Dato_Transf!$O:$U,6,FALSE()),0)</f>
        <v>0</v>
      </c>
      <c r="AB10" s="121">
        <f t="shared" ref="AB10" si="5">(+AA10-Z10)*24</f>
        <v>0</v>
      </c>
      <c r="AC10" s="66" t="str">
        <f>IF(AB10=0," ",VLOOKUP($C10,Dato_Transf!$O:$U,7,FALSE()))</f>
        <v xml:space="preserve"> </v>
      </c>
      <c r="AD10" s="72">
        <f>IFERROR(VLOOKUP($C10,Dato_Transf!$V:$AB,3,FALSE()),0)</f>
        <v>0</v>
      </c>
      <c r="AE10" s="72">
        <f>IFERROR(VLOOKUP($C10,Dato_Transf!$V:$AB,4,FALSE()),0)</f>
        <v>0</v>
      </c>
      <c r="AF10" s="121">
        <f t="shared" ref="AF10" si="6">IF($F$6="OJO H.E. AL 100%",0,(AE10-AD10)*24)</f>
        <v>0</v>
      </c>
      <c r="AG10" s="66" t="str">
        <f>IF(AF10=0," ",VLOOKUP($C10,Dato_Transf!$V:$AB,7,FALSE()))</f>
        <v xml:space="preserve"> </v>
      </c>
      <c r="AH10" s="72">
        <f>IFERROR(VLOOKUP($C10,Dato_Transf!$V:$AB,5,FALSE()),0)</f>
        <v>0</v>
      </c>
      <c r="AI10" s="72">
        <f>IFERROR(VLOOKUP($C10,Dato_Transf!$V:$AB,6,FALSE()),0)</f>
        <v>0</v>
      </c>
      <c r="AJ10" s="121">
        <f t="shared" ref="AJ10" si="7">(+AI10-AH10)*24</f>
        <v>0</v>
      </c>
      <c r="AK10" s="66" t="str">
        <f>IF(AJ10=0," ",VLOOKUP($C10,Dato_Transf!$V:$AB,7,FALSE()))</f>
        <v xml:space="preserve"> </v>
      </c>
      <c r="AL10" s="72">
        <f>IFERROR(VLOOKUP($C10,Dato_Transf!$AC:$AI,3,FALSE()),0)</f>
        <v>0</v>
      </c>
      <c r="AM10" s="72">
        <f>IFERROR(VLOOKUP($C10,Dato_Transf!$AC:$AI,4,FALSE()),0)</f>
        <v>0</v>
      </c>
      <c r="AN10" s="121">
        <f t="shared" ref="AN10" si="8">IF($F$6="OJO H.E. AL 100%",0,(AM10-AL10)*24)</f>
        <v>0</v>
      </c>
      <c r="AO10" s="66" t="str">
        <f>IF(AN10=0," ",VLOOKUP($C10,Dato_Transf!$AC:$AI,7,FALSE()))</f>
        <v xml:space="preserve"> </v>
      </c>
      <c r="AP10" s="72">
        <f>IFERROR(VLOOKUP($C10,Dato_Transf!$AC:$AI,5,FALSE()),0)</f>
        <v>0</v>
      </c>
      <c r="AQ10" s="72">
        <f>IFERROR(VLOOKUP($C10,Dato_Transf!$AC:$AI,6,FALSE()),0)</f>
        <v>0</v>
      </c>
      <c r="AR10" s="121">
        <f t="shared" ref="AR10" si="9">(+AQ10-AP10)*24</f>
        <v>0</v>
      </c>
      <c r="AS10" s="66" t="str">
        <f>IF(AR10=0," ",VLOOKUP($C10,Dato_Transf!$AC:$AI,7,FALSE()))</f>
        <v xml:space="preserve"> </v>
      </c>
      <c r="AT10" s="72">
        <f>IFERROR(VLOOKUP($C10,Dato_Transf!$AJ:$AP,3,FALSE()),0)</f>
        <v>0</v>
      </c>
      <c r="AU10" s="72">
        <f>IFERROR(VLOOKUP($C10,Dato_Transf!$AJ:$AP,4,FALSE()),0)</f>
        <v>0</v>
      </c>
      <c r="AV10" s="121">
        <f t="shared" ref="AV10" si="10">IF($F$6="OJO H.E. AL 100%",0,(AU10-AT10)*24)</f>
        <v>0</v>
      </c>
      <c r="AW10" s="66" t="str">
        <f>IF(AV10=0," ",VLOOKUP($C10,Dato_Transf!$AJ:$AP,7,FALSE()))</f>
        <v xml:space="preserve"> </v>
      </c>
      <c r="AX10" s="72">
        <f>IFERROR(VLOOKUP($C10,Dato_Transf!$AJ:$AP,5,FALSE()),0)</f>
        <v>0</v>
      </c>
      <c r="AY10" s="72">
        <f>IFERROR(VLOOKUP($C10,Dato_Transf!$AJ:$AP,6,FALSE()),0)</f>
        <v>0</v>
      </c>
      <c r="AZ10" s="121">
        <f t="shared" ref="AZ10" si="11">(+AY10-AX10)*24</f>
        <v>0</v>
      </c>
      <c r="BA10" s="66" t="str">
        <f>IF(AZ10=0," ",VLOOKUP($C10,Dato_Transf!$AJ:$AP,7,FALSE()))</f>
        <v xml:space="preserve"> </v>
      </c>
      <c r="BB10" s="72">
        <f>IFERROR(VLOOKUP($C10,Dato_Transf!$AQ:$AW,3,FALSE()),0)</f>
        <v>0</v>
      </c>
      <c r="BC10" s="72">
        <f>IFERROR(VLOOKUP($C10,Dato_Transf!$AQ:$AW,4,FALSE()),0)</f>
        <v>0</v>
      </c>
      <c r="BD10" s="121">
        <f t="shared" ref="BD10" si="12">IF($F$6="OJO H.E. AL 100%",0,(BC10-BB10)*24)</f>
        <v>0</v>
      </c>
      <c r="BE10" s="66" t="str">
        <f>IF(BD10=0," ",VLOOKUP($C10,Dato_Transf!$AQ:$AW,7,FALSE()))</f>
        <v xml:space="preserve"> </v>
      </c>
      <c r="BF10" s="72">
        <f>IFERROR(VLOOKUP($C10,Dato_Transf!$AQ:$AW,5,FALSE()),0)</f>
        <v>0</v>
      </c>
      <c r="BG10" s="72">
        <f>IFERROR(VLOOKUP($C10,Dato_Transf!$AQ:$AW,6,FALSE()),0)</f>
        <v>0</v>
      </c>
      <c r="BH10" s="121">
        <f t="shared" ref="BH10" si="13">(+BG10-BF10)*24</f>
        <v>0</v>
      </c>
      <c r="BI10" s="66" t="str">
        <f>IF(BH10=0," ",VLOOKUP($C10,Dato_Transf!$AQ:$AW,7,FALSE()))</f>
        <v xml:space="preserve"> </v>
      </c>
      <c r="BJ10" s="119">
        <f>H10+P10+X10+AF10+AN10+AV10+BD10</f>
        <v>0</v>
      </c>
      <c r="BK10" s="120">
        <f>L10+T10+AB10+AJ10+AR10+AZ10+BH10</f>
        <v>0</v>
      </c>
      <c r="BL10" s="55"/>
      <c r="BV10" s="55"/>
    </row>
    <row r="11" spans="2:74" ht="30" customHeight="1" x14ac:dyDescent="0.3">
      <c r="B11" s="39">
        <v>2</v>
      </c>
      <c r="C11" s="96" t="str">
        <f>VLOOKUP(D11,EMPLEADO!C:Q,15,FALSE)</f>
        <v>ARMIJOS MIÑAN ANGEL</v>
      </c>
      <c r="D11" s="11" t="s">
        <v>38</v>
      </c>
      <c r="E11" s="57" t="s">
        <v>24</v>
      </c>
      <c r="F11" s="72">
        <f>IFERROR(VLOOKUP($C11,Dato_Transf!$A:$G,3,FALSE()),0)</f>
        <v>0</v>
      </c>
      <c r="G11" s="72">
        <f>IFERROR(VLOOKUP($C11,Dato_Transf!$A:$G,4,FALSE()),0)</f>
        <v>0</v>
      </c>
      <c r="H11" s="121">
        <f t="shared" ref="H11" si="14">IF($F$6="OJO H.E. AL 100%",0,(G11-F11)*24)</f>
        <v>0</v>
      </c>
      <c r="I11" s="66" t="str">
        <f>IF(H11=0," ",VLOOKUP($C11,Dato_Transf!$A:$G,7,FALSE()))</f>
        <v xml:space="preserve"> </v>
      </c>
      <c r="J11" s="72">
        <f>IFERROR(VLOOKUP($C11,Dato_Transf!$A:$G,5,FALSE()),0)</f>
        <v>0</v>
      </c>
      <c r="K11" s="72">
        <f>IFERROR(VLOOKUP($C11,Dato_Transf!$A:$G,6,FALSE()),0)</f>
        <v>0</v>
      </c>
      <c r="L11" s="121">
        <f t="shared" ref="L11" si="15">(+K11-J11)*24</f>
        <v>0</v>
      </c>
      <c r="M11" s="66" t="str">
        <f>IF(L11=0," ",VLOOKUP($C11,Dato_Transf!$A:$G,7,FALSE()))</f>
        <v xml:space="preserve"> </v>
      </c>
      <c r="N11" s="72">
        <f>IFERROR(VLOOKUP($C11,Dato_Transf!$H:$N,3,FALSE()),0)</f>
        <v>0</v>
      </c>
      <c r="O11" s="72">
        <f>IFERROR(VLOOKUP($C11,Dato_Transf!$H:$N,4,FALSE()),0)</f>
        <v>0</v>
      </c>
      <c r="P11" s="121">
        <f t="shared" ref="P11:P21" si="16">IF($F$6="OJO H.E. AL 100%",0,(O11-N11)*24)</f>
        <v>0</v>
      </c>
      <c r="Q11" s="66" t="str">
        <f>IF(P11=0," ",VLOOKUP($C11,Dato_Transf!$H:$N,7,FALSE()))</f>
        <v xml:space="preserve"> </v>
      </c>
      <c r="R11" s="72">
        <f>IFERROR(VLOOKUP($C11,Dato_Transf!$H:$N,5,FALSE()),0)</f>
        <v>0</v>
      </c>
      <c r="S11" s="72">
        <f>IFERROR(VLOOKUP($C11,Dato_Transf!$H:$N,6,FALSE()),0)</f>
        <v>0</v>
      </c>
      <c r="T11" s="121">
        <f t="shared" ref="T11:T21" si="17">(+S11-R11)*24</f>
        <v>0</v>
      </c>
      <c r="U11" s="66" t="str">
        <f>IF(T11=0," ",VLOOKUP($C11,Dato_Transf!$H:$N,7,FALSE()))</f>
        <v xml:space="preserve"> </v>
      </c>
      <c r="V11" s="72">
        <f>IFERROR(VLOOKUP($C11,Dato_Transf!$O:$U,3,FALSE()),0)</f>
        <v>0</v>
      </c>
      <c r="W11" s="72">
        <f>IFERROR(VLOOKUP($C11,Dato_Transf!$O:$U,4,FALSE()),0)</f>
        <v>0</v>
      </c>
      <c r="X11" s="121">
        <f t="shared" ref="X11:X21" si="18">IF($F$6="OJO H.E. AL 100%",0,(W11-V11)*24)</f>
        <v>0</v>
      </c>
      <c r="Y11" s="66" t="str">
        <f>IF(X11=0," ",VLOOKUP($C11,Dato_Transf!$O:$U,7,FALSE()))</f>
        <v xml:space="preserve"> </v>
      </c>
      <c r="Z11" s="72">
        <f>IFERROR(VLOOKUP($C11,Dato_Transf!$O:$U,5,FALSE()),0)</f>
        <v>0</v>
      </c>
      <c r="AA11" s="72">
        <f>IFERROR(VLOOKUP($C11,Dato_Transf!$O:$U,6,FALSE()),0)</f>
        <v>0</v>
      </c>
      <c r="AB11" s="121">
        <f t="shared" ref="AB11:AB21" si="19">(+AA11-Z11)*24</f>
        <v>0</v>
      </c>
      <c r="AC11" s="66" t="str">
        <f>IF(AB11=0," ",VLOOKUP($C11,Dato_Transf!$O:$U,7,FALSE()))</f>
        <v xml:space="preserve"> </v>
      </c>
      <c r="AD11" s="72">
        <f>IFERROR(VLOOKUP($C11,Dato_Transf!$V:$AB,3,FALSE()),0)</f>
        <v>0</v>
      </c>
      <c r="AE11" s="72">
        <f>IFERROR(VLOOKUP($C11,Dato_Transf!$V:$AB,4,FALSE()),0)</f>
        <v>0</v>
      </c>
      <c r="AF11" s="121">
        <f t="shared" ref="AF11:AF21" si="20">IF($F$6="OJO H.E. AL 100%",0,(AE11-AD11)*24)</f>
        <v>0</v>
      </c>
      <c r="AG11" s="66" t="str">
        <f>IF(AF11=0," ",VLOOKUP($C11,Dato_Transf!$V:$AB,7,FALSE()))</f>
        <v xml:space="preserve"> </v>
      </c>
      <c r="AH11" s="72">
        <f>IFERROR(VLOOKUP($C11,Dato_Transf!$V:$AB,5,FALSE()),0)</f>
        <v>0</v>
      </c>
      <c r="AI11" s="72">
        <f>IFERROR(VLOOKUP($C11,Dato_Transf!$V:$AB,6,FALSE()),0)</f>
        <v>0</v>
      </c>
      <c r="AJ11" s="121">
        <f t="shared" ref="AJ11:AJ21" si="21">(+AI11-AH11)*24</f>
        <v>0</v>
      </c>
      <c r="AK11" s="66" t="str">
        <f>IF(AJ11=0," ",VLOOKUP($C11,Dato_Transf!$V:$AB,7,FALSE()))</f>
        <v xml:space="preserve"> </v>
      </c>
      <c r="AL11" s="72">
        <f>IFERROR(VLOOKUP($C11,Dato_Transf!$AC:$AI,3,FALSE()),0)</f>
        <v>0</v>
      </c>
      <c r="AM11" s="72">
        <f>IFERROR(VLOOKUP($C11,Dato_Transf!$AC:$AI,4,FALSE()),0)</f>
        <v>0</v>
      </c>
      <c r="AN11" s="121">
        <f t="shared" ref="AN11:AN21" si="22">IF($F$6="OJO H.E. AL 100%",0,(AM11-AL11)*24)</f>
        <v>0</v>
      </c>
      <c r="AO11" s="66" t="str">
        <f>IF(AN11=0," ",VLOOKUP($C11,Dato_Transf!$AC:$AI,7,FALSE()))</f>
        <v xml:space="preserve"> </v>
      </c>
      <c r="AP11" s="72">
        <f>IFERROR(VLOOKUP($C11,Dato_Transf!$AC:$AI,5,FALSE()),0)</f>
        <v>0</v>
      </c>
      <c r="AQ11" s="72">
        <f>IFERROR(VLOOKUP($C11,Dato_Transf!$AC:$AI,6,FALSE()),0)</f>
        <v>0</v>
      </c>
      <c r="AR11" s="121">
        <f t="shared" ref="AR11:AR21" si="23">(+AQ11-AP11)*24</f>
        <v>0</v>
      </c>
      <c r="AS11" s="66" t="str">
        <f>IF(AR11=0," ",VLOOKUP($C11,Dato_Transf!$AC:$AI,7,FALSE()))</f>
        <v xml:space="preserve"> </v>
      </c>
      <c r="AT11" s="72">
        <f>IFERROR(VLOOKUP($C11,Dato_Transf!$AJ:$AP,3,FALSE()),0)</f>
        <v>0</v>
      </c>
      <c r="AU11" s="72">
        <f>IFERROR(VLOOKUP($C11,Dato_Transf!$AJ:$AP,4,FALSE()),0)</f>
        <v>0</v>
      </c>
      <c r="AV11" s="121">
        <f t="shared" ref="AV11:AV21" si="24">IF($F$6="OJO H.E. AL 100%",0,(AU11-AT11)*24)</f>
        <v>0</v>
      </c>
      <c r="AW11" s="66" t="str">
        <f>IF(AV11=0," ",VLOOKUP($C11,Dato_Transf!$AJ:$AP,7,FALSE()))</f>
        <v xml:space="preserve"> </v>
      </c>
      <c r="AX11" s="72">
        <f>IFERROR(VLOOKUP($C11,Dato_Transf!$AJ:$AP,5,FALSE()),0)</f>
        <v>0</v>
      </c>
      <c r="AY11" s="72">
        <f>IFERROR(VLOOKUP($C11,Dato_Transf!$AJ:$AP,6,FALSE()),0)</f>
        <v>0</v>
      </c>
      <c r="AZ11" s="121">
        <f t="shared" ref="AZ11:AZ21" si="25">(+AY11-AX11)*24</f>
        <v>0</v>
      </c>
      <c r="BA11" s="66" t="str">
        <f>IF(AZ11=0," ",VLOOKUP($C11,Dato_Transf!$AJ:$AP,7,FALSE()))</f>
        <v xml:space="preserve"> </v>
      </c>
      <c r="BB11" s="72">
        <f>IFERROR(VLOOKUP($C11,Dato_Transf!$AQ:$AW,3,FALSE()),0)</f>
        <v>0</v>
      </c>
      <c r="BC11" s="72">
        <f>IFERROR(VLOOKUP($C11,Dato_Transf!$AQ:$AW,4,FALSE()),0)</f>
        <v>0</v>
      </c>
      <c r="BD11" s="121">
        <f t="shared" ref="BD11:BD21" si="26">IF($F$6="OJO H.E. AL 100%",0,(BC11-BB11)*24)</f>
        <v>0</v>
      </c>
      <c r="BE11" s="66" t="str">
        <f>IF(BD11=0," ",VLOOKUP($C11,Dato_Transf!$AQ:$AW,7,FALSE()))</f>
        <v xml:space="preserve"> </v>
      </c>
      <c r="BF11" s="72">
        <f>IFERROR(VLOOKUP($C11,Dato_Transf!$AQ:$AW,5,FALSE()),0)</f>
        <v>0</v>
      </c>
      <c r="BG11" s="72">
        <f>IFERROR(VLOOKUP($C11,Dato_Transf!$AQ:$AW,6,FALSE()),0)</f>
        <v>0</v>
      </c>
      <c r="BH11" s="121">
        <f t="shared" ref="BH11:BH21" si="27">(+BG11-BF11)*24</f>
        <v>0</v>
      </c>
      <c r="BI11" s="66" t="str">
        <f>IF(BH11=0," ",VLOOKUP($C11,Dato_Transf!$AQ:$AW,7,FALSE()))</f>
        <v xml:space="preserve"> </v>
      </c>
      <c r="BJ11" s="119">
        <f t="shared" ref="BJ11:BJ20" si="28">H11+P11+X11+AF11+AN11+AV11+BD11</f>
        <v>0</v>
      </c>
      <c r="BK11" s="120">
        <f t="shared" ref="BK11:BK20" si="29">L11+T11+AB11+AJ11+AR11+AZ11+BH11</f>
        <v>0</v>
      </c>
      <c r="BL11" s="55"/>
      <c r="BV11" s="55"/>
    </row>
    <row r="12" spans="2:74" ht="30" customHeight="1" x14ac:dyDescent="0.3">
      <c r="B12" s="39">
        <v>3</v>
      </c>
      <c r="C12" s="96" t="str">
        <f>VLOOKUP(D12,EMPLEADO!C:Q,15,FALSE)</f>
        <v>SOTO CANGO ROBER CORNELIO</v>
      </c>
      <c r="D12" s="11" t="s">
        <v>41</v>
      </c>
      <c r="E12" s="57" t="s">
        <v>18</v>
      </c>
      <c r="F12" s="72">
        <f>IFERROR(VLOOKUP($C12,Dato_Transf!$A:$G,3,FALSE()),0)</f>
        <v>0</v>
      </c>
      <c r="G12" s="72">
        <f>IFERROR(VLOOKUP($C12,Dato_Transf!$A:$G,4,FALSE()),0)</f>
        <v>0</v>
      </c>
      <c r="H12" s="121">
        <f t="shared" ref="H12:H21" si="30">IF($F$6="OJO H.E. AL 100%",0,(G12-F12)*24)</f>
        <v>0</v>
      </c>
      <c r="I12" s="66" t="str">
        <f>IF(H12=0," ",VLOOKUP($C12,Dato_Transf!$A:$G,7,FALSE))</f>
        <v xml:space="preserve"> </v>
      </c>
      <c r="J12" s="72">
        <f>IFERROR(VLOOKUP($C12,Dato_Transf!$A:$G,5,FALSE()),0)</f>
        <v>0</v>
      </c>
      <c r="K12" s="72">
        <f>IFERROR(VLOOKUP($C12,Dato_Transf!$A:$G,6,FALSE()),0)</f>
        <v>0</v>
      </c>
      <c r="L12" s="121">
        <f t="shared" ref="L12:L21" si="31">(+K12-J12)*24</f>
        <v>0</v>
      </c>
      <c r="M12" s="66" t="str">
        <f>IF(L12=0," ",VLOOKUP($C12,Dato_Transf!$A:$G,7,FALSE))</f>
        <v xml:space="preserve"> </v>
      </c>
      <c r="N12" s="72">
        <f>IFERROR(VLOOKUP($C12,Dato_Transf!$H:$N,3,FALSE()),0)</f>
        <v>0</v>
      </c>
      <c r="O12" s="72">
        <f>IFERROR(VLOOKUP($C12,Dato_Transf!$H:$N,4,FALSE()),0)</f>
        <v>0</v>
      </c>
      <c r="P12" s="121">
        <f t="shared" si="16"/>
        <v>0</v>
      </c>
      <c r="Q12" s="66" t="str">
        <f>IF(P12=0," ",VLOOKUP($C12,Dato_Transf!$H:$N,7,FALSE()))</f>
        <v xml:space="preserve"> </v>
      </c>
      <c r="R12" s="72">
        <f>IFERROR(VLOOKUP($C12,Dato_Transf!$H:$N,5,FALSE()),0)</f>
        <v>0</v>
      </c>
      <c r="S12" s="72">
        <f>IFERROR(VLOOKUP($C12,Dato_Transf!$H:$N,6,FALSE()),0)</f>
        <v>0</v>
      </c>
      <c r="T12" s="121">
        <f t="shared" si="17"/>
        <v>0</v>
      </c>
      <c r="U12" s="66" t="str">
        <f>IF(T12=0," ",VLOOKUP($C12,Dato_Transf!$H:$N,7,FALSE()))</f>
        <v xml:space="preserve"> </v>
      </c>
      <c r="V12" s="72">
        <f>IFERROR(VLOOKUP($C12,Dato_Transf!$O:$U,3,FALSE()),0)</f>
        <v>0</v>
      </c>
      <c r="W12" s="72">
        <f>IFERROR(VLOOKUP($C12,Dato_Transf!$O:$U,4,FALSE()),0)</f>
        <v>0</v>
      </c>
      <c r="X12" s="121">
        <f t="shared" si="18"/>
        <v>0</v>
      </c>
      <c r="Y12" s="66" t="str">
        <f>IF(X12=0," ",VLOOKUP($C12,Dato_Transf!$O:$U,7,FALSE()))</f>
        <v xml:space="preserve"> </v>
      </c>
      <c r="Z12" s="72">
        <f>IFERROR(VLOOKUP($C12,Dato_Transf!$O:$U,5,FALSE()),0)</f>
        <v>0</v>
      </c>
      <c r="AA12" s="72">
        <f>IFERROR(VLOOKUP($C12,Dato_Transf!$O:$U,6,FALSE()),0)</f>
        <v>0</v>
      </c>
      <c r="AB12" s="121">
        <f t="shared" si="19"/>
        <v>0</v>
      </c>
      <c r="AC12" s="66" t="str">
        <f>IF(AB12=0," ",VLOOKUP($C12,Dato_Transf!$O:$U,7,FALSE()))</f>
        <v xml:space="preserve"> </v>
      </c>
      <c r="AD12" s="72">
        <f>IFERROR(VLOOKUP($C12,Dato_Transf!$V:$AB,3,FALSE()),0)</f>
        <v>0</v>
      </c>
      <c r="AE12" s="72">
        <f>IFERROR(VLOOKUP($C12,Dato_Transf!$V:$AB,4,FALSE()),0)</f>
        <v>0</v>
      </c>
      <c r="AF12" s="121">
        <f t="shared" si="20"/>
        <v>0</v>
      </c>
      <c r="AG12" s="66" t="str">
        <f>IF(AF12=0," ",VLOOKUP($C12,Dato_Transf!$V:$AB,7,FALSE()))</f>
        <v xml:space="preserve"> </v>
      </c>
      <c r="AH12" s="72">
        <f>IFERROR(VLOOKUP($C12,Dato_Transf!$V:$AB,5,FALSE()),0)</f>
        <v>0</v>
      </c>
      <c r="AI12" s="72">
        <f>IFERROR(VLOOKUP($C12,Dato_Transf!$V:$AB,6,FALSE()),0)</f>
        <v>0</v>
      </c>
      <c r="AJ12" s="121">
        <f t="shared" si="21"/>
        <v>0</v>
      </c>
      <c r="AK12" s="66" t="str">
        <f>IF(AJ12=0," ",VLOOKUP($C12,Dato_Transf!$V:$AB,7,FALSE()))</f>
        <v xml:space="preserve"> </v>
      </c>
      <c r="AL12" s="72">
        <f>IFERROR(VLOOKUP($C12,Dato_Transf!$AC:$AI,3,FALSE()),0)</f>
        <v>0</v>
      </c>
      <c r="AM12" s="72">
        <f>IFERROR(VLOOKUP($C12,Dato_Transf!$AC:$AI,4,FALSE()),0)</f>
        <v>0</v>
      </c>
      <c r="AN12" s="121">
        <f t="shared" si="22"/>
        <v>0</v>
      </c>
      <c r="AO12" s="66" t="str">
        <f>IF(AN12=0," ",VLOOKUP($C12,Dato_Transf!$AC:$AI,7,FALSE()))</f>
        <v xml:space="preserve"> </v>
      </c>
      <c r="AP12" s="72">
        <f>IFERROR(VLOOKUP($C12,Dato_Transf!$AC:$AI,5,FALSE()),0)</f>
        <v>0</v>
      </c>
      <c r="AQ12" s="72">
        <f>IFERROR(VLOOKUP($C12,Dato_Transf!$AC:$AI,6,FALSE()),0)</f>
        <v>0</v>
      </c>
      <c r="AR12" s="121">
        <f t="shared" si="23"/>
        <v>0</v>
      </c>
      <c r="AS12" s="66" t="str">
        <f>IF(AR12=0," ",VLOOKUP($C12,Dato_Transf!$AC:$AI,7,FALSE()))</f>
        <v xml:space="preserve"> </v>
      </c>
      <c r="AT12" s="72">
        <f>IFERROR(VLOOKUP($C12,Dato_Transf!$AJ:$AP,3,FALSE()),0)</f>
        <v>0</v>
      </c>
      <c r="AU12" s="72">
        <f>IFERROR(VLOOKUP($C12,Dato_Transf!$AJ:$AP,4,FALSE()),0)</f>
        <v>0</v>
      </c>
      <c r="AV12" s="121">
        <f t="shared" si="24"/>
        <v>0</v>
      </c>
      <c r="AW12" s="66" t="str">
        <f>IF(AV12=0," ",VLOOKUP($C12,Dato_Transf!$AJ:$AP,7,FALSE()))</f>
        <v xml:space="preserve"> </v>
      </c>
      <c r="AX12" s="72">
        <f>IFERROR(VLOOKUP($C12,Dato_Transf!$AJ:$AP,5,FALSE()),0)</f>
        <v>0</v>
      </c>
      <c r="AY12" s="72">
        <f>IFERROR(VLOOKUP($C12,Dato_Transf!$AJ:$AP,6,FALSE()),0)</f>
        <v>0</v>
      </c>
      <c r="AZ12" s="121">
        <f t="shared" si="25"/>
        <v>0</v>
      </c>
      <c r="BA12" s="66" t="str">
        <f>IF(AZ12=0," ",VLOOKUP($C12,Dato_Transf!$AJ:$AP,7,FALSE()))</f>
        <v xml:space="preserve"> </v>
      </c>
      <c r="BB12" s="72">
        <f>IFERROR(VLOOKUP($C12,Dato_Transf!$AQ:$AW,3,FALSE()),0)</f>
        <v>0</v>
      </c>
      <c r="BC12" s="72">
        <f>IFERROR(VLOOKUP($C12,Dato_Transf!$AQ:$AW,4,FALSE()),0)</f>
        <v>0</v>
      </c>
      <c r="BD12" s="121">
        <f t="shared" si="26"/>
        <v>0</v>
      </c>
      <c r="BE12" s="66" t="str">
        <f>IF(BD12=0," ",VLOOKUP($C12,Dato_Transf!$AQ:$AW,7,FALSE()))</f>
        <v xml:space="preserve"> </v>
      </c>
      <c r="BF12" s="72">
        <f>IFERROR(VLOOKUP($C12,Dato_Transf!$AQ:$AW,5,FALSE()),0)</f>
        <v>0</v>
      </c>
      <c r="BG12" s="72">
        <f>IFERROR(VLOOKUP($C12,Dato_Transf!$AQ:$AW,6,FALSE()),0)</f>
        <v>0</v>
      </c>
      <c r="BH12" s="121">
        <f t="shared" si="27"/>
        <v>0</v>
      </c>
      <c r="BI12" s="66" t="str">
        <f>IF(BH12=0," ",VLOOKUP($C12,Dato_Transf!$AQ:$AW,7,FALSE()))</f>
        <v xml:space="preserve"> </v>
      </c>
      <c r="BJ12" s="119">
        <f t="shared" si="28"/>
        <v>0</v>
      </c>
      <c r="BK12" s="120">
        <f t="shared" si="29"/>
        <v>0</v>
      </c>
      <c r="BL12" s="55"/>
      <c r="BV12" s="55"/>
    </row>
    <row r="13" spans="2:74" ht="30" customHeight="1" x14ac:dyDescent="0.3">
      <c r="B13" s="39">
        <v>4</v>
      </c>
      <c r="C13" s="96" t="str">
        <f>VLOOKUP(D13,EMPLEADO!C:Q,15,FALSE)</f>
        <v>CANGO QUITO JOSE LEOVARDO</v>
      </c>
      <c r="D13" s="11" t="s">
        <v>42</v>
      </c>
      <c r="E13" s="57" t="s">
        <v>18</v>
      </c>
      <c r="F13" s="72">
        <f>IFERROR(VLOOKUP($C13,Dato_Transf!$A:$G,3,FALSE()),0)</f>
        <v>0</v>
      </c>
      <c r="G13" s="72">
        <f>IFERROR(VLOOKUP($C13,Dato_Transf!$A:$G,4,FALSE()),0)</f>
        <v>0</v>
      </c>
      <c r="H13" s="121">
        <f t="shared" si="30"/>
        <v>0</v>
      </c>
      <c r="I13" s="66" t="str">
        <f>IF(H13=0," ",VLOOKUP($C13,Dato_Transf!$A:$G,7,FALSE))</f>
        <v xml:space="preserve"> </v>
      </c>
      <c r="J13" s="72">
        <f>IFERROR(VLOOKUP($C13,Dato_Transf!$A:$G,5,FALSE()),0)</f>
        <v>0</v>
      </c>
      <c r="K13" s="72">
        <f>IFERROR(VLOOKUP($C13,Dato_Transf!$A:$G,6,FALSE()),0)</f>
        <v>0</v>
      </c>
      <c r="L13" s="121">
        <f t="shared" si="31"/>
        <v>0</v>
      </c>
      <c r="M13" s="66" t="str">
        <f>IF(L13=0," ",VLOOKUP($C13,Dato_Transf!$A:$G,7,FALSE))</f>
        <v xml:space="preserve"> </v>
      </c>
      <c r="N13" s="72">
        <f>IFERROR(VLOOKUP($C13,Dato_Transf!$H:$N,3,FALSE()),0)</f>
        <v>0</v>
      </c>
      <c r="O13" s="72">
        <f>IFERROR(VLOOKUP($C13,Dato_Transf!$H:$N,4,FALSE()),0)</f>
        <v>0</v>
      </c>
      <c r="P13" s="121">
        <f t="shared" si="16"/>
        <v>0</v>
      </c>
      <c r="Q13" s="66" t="str">
        <f>IF(P13=0," ",VLOOKUP($C13,Dato_Transf!$H:$N,7,FALSE()))</f>
        <v xml:space="preserve"> </v>
      </c>
      <c r="R13" s="72">
        <f>IFERROR(VLOOKUP($C13,Dato_Transf!$H:$N,5,FALSE()),0)</f>
        <v>0</v>
      </c>
      <c r="S13" s="72">
        <f>IFERROR(VLOOKUP($C13,Dato_Transf!$H:$N,6,FALSE()),0)</f>
        <v>0</v>
      </c>
      <c r="T13" s="121">
        <f t="shared" si="17"/>
        <v>0</v>
      </c>
      <c r="U13" s="66" t="str">
        <f>IF(T13=0," ",VLOOKUP($C13,Dato_Transf!$H:$N,7,FALSE()))</f>
        <v xml:space="preserve"> </v>
      </c>
      <c r="V13" s="72">
        <f>IFERROR(VLOOKUP($C13,Dato_Transf!$O:$U,3,FALSE()),0)</f>
        <v>0</v>
      </c>
      <c r="W13" s="72">
        <f>IFERROR(VLOOKUP($C13,Dato_Transf!$O:$U,4,FALSE()),0)</f>
        <v>0</v>
      </c>
      <c r="X13" s="121">
        <f t="shared" si="18"/>
        <v>0</v>
      </c>
      <c r="Y13" s="66" t="str">
        <f>IF(X13=0," ",VLOOKUP($C13,Dato_Transf!$O:$U,7,FALSE()))</f>
        <v xml:space="preserve"> </v>
      </c>
      <c r="Z13" s="72">
        <f>IFERROR(VLOOKUP($C13,Dato_Transf!$O:$U,5,FALSE()),0)</f>
        <v>0</v>
      </c>
      <c r="AA13" s="72">
        <f>IFERROR(VLOOKUP($C13,Dato_Transf!$O:$U,6,FALSE()),0)</f>
        <v>0</v>
      </c>
      <c r="AB13" s="121">
        <f t="shared" si="19"/>
        <v>0</v>
      </c>
      <c r="AC13" s="66" t="str">
        <f>IF(AB13=0," ",VLOOKUP($C13,Dato_Transf!$O:$U,7,FALSE()))</f>
        <v xml:space="preserve"> </v>
      </c>
      <c r="AD13" s="72">
        <f>IFERROR(VLOOKUP($C13,Dato_Transf!$V:$AB,3,FALSE()),0)</f>
        <v>0</v>
      </c>
      <c r="AE13" s="72">
        <f>IFERROR(VLOOKUP($C13,Dato_Transf!$V:$AB,4,FALSE()),0)</f>
        <v>0</v>
      </c>
      <c r="AF13" s="121">
        <f t="shared" si="20"/>
        <v>0</v>
      </c>
      <c r="AG13" s="66" t="str">
        <f>IF(AF13=0," ",VLOOKUP($C13,Dato_Transf!$V:$AB,7,FALSE()))</f>
        <v xml:space="preserve"> </v>
      </c>
      <c r="AH13" s="72">
        <f>IFERROR(VLOOKUP($C13,Dato_Transf!$V:$AB,5,FALSE()),0)</f>
        <v>0</v>
      </c>
      <c r="AI13" s="72">
        <f>IFERROR(VLOOKUP($C13,Dato_Transf!$V:$AB,6,FALSE()),0)</f>
        <v>0</v>
      </c>
      <c r="AJ13" s="121">
        <f t="shared" si="21"/>
        <v>0</v>
      </c>
      <c r="AK13" s="66" t="str">
        <f>IF(AJ13=0," ",VLOOKUP($C13,Dato_Transf!$V:$AB,7,FALSE()))</f>
        <v xml:space="preserve"> </v>
      </c>
      <c r="AL13" s="72">
        <f>IFERROR(VLOOKUP($C13,Dato_Transf!$AC:$AI,3,FALSE()),0)</f>
        <v>0</v>
      </c>
      <c r="AM13" s="72">
        <f>IFERROR(VLOOKUP($C13,Dato_Transf!$AC:$AI,4,FALSE()),0)</f>
        <v>0</v>
      </c>
      <c r="AN13" s="121">
        <f t="shared" si="22"/>
        <v>0</v>
      </c>
      <c r="AO13" s="66" t="str">
        <f>IF(AN13=0," ",VLOOKUP($C13,Dato_Transf!$AC:$AI,7,FALSE()))</f>
        <v xml:space="preserve"> </v>
      </c>
      <c r="AP13" s="72">
        <f>IFERROR(VLOOKUP($C13,Dato_Transf!$AC:$AI,5,FALSE()),0)</f>
        <v>0</v>
      </c>
      <c r="AQ13" s="72">
        <f>IFERROR(VLOOKUP($C13,Dato_Transf!$AC:$AI,6,FALSE()),0)</f>
        <v>0</v>
      </c>
      <c r="AR13" s="121">
        <f t="shared" si="23"/>
        <v>0</v>
      </c>
      <c r="AS13" s="66" t="str">
        <f>IF(AR13=0," ",VLOOKUP($C13,Dato_Transf!$AC:$AI,7,FALSE()))</f>
        <v xml:space="preserve"> </v>
      </c>
      <c r="AT13" s="72">
        <f>IFERROR(VLOOKUP($C13,Dato_Transf!$AJ:$AP,3,FALSE()),0)</f>
        <v>0</v>
      </c>
      <c r="AU13" s="72">
        <f>IFERROR(VLOOKUP($C13,Dato_Transf!$AJ:$AP,4,FALSE()),0)</f>
        <v>0</v>
      </c>
      <c r="AV13" s="121">
        <f t="shared" si="24"/>
        <v>0</v>
      </c>
      <c r="AW13" s="66" t="str">
        <f>IF(AV13=0," ",VLOOKUP($C13,Dato_Transf!$AJ:$AP,7,FALSE()))</f>
        <v xml:space="preserve"> </v>
      </c>
      <c r="AX13" s="72">
        <f>IFERROR(VLOOKUP($C13,Dato_Transf!$AJ:$AP,5,FALSE()),0)</f>
        <v>0</v>
      </c>
      <c r="AY13" s="72">
        <f>IFERROR(VLOOKUP($C13,Dato_Transf!$AJ:$AP,6,FALSE()),0)</f>
        <v>0</v>
      </c>
      <c r="AZ13" s="121">
        <f t="shared" si="25"/>
        <v>0</v>
      </c>
      <c r="BA13" s="66" t="str">
        <f>IF(AZ13=0," ",VLOOKUP($C13,Dato_Transf!$AJ:$AP,7,FALSE()))</f>
        <v xml:space="preserve"> </v>
      </c>
      <c r="BB13" s="72">
        <f>IFERROR(VLOOKUP($C13,Dato_Transf!$AQ:$AW,3,FALSE()),0)</f>
        <v>0</v>
      </c>
      <c r="BC13" s="72">
        <f>IFERROR(VLOOKUP($C13,Dato_Transf!$AQ:$AW,4,FALSE()),0)</f>
        <v>0</v>
      </c>
      <c r="BD13" s="121">
        <f t="shared" si="26"/>
        <v>0</v>
      </c>
      <c r="BE13" s="66" t="str">
        <f>IF(BD13=0," ",VLOOKUP($C13,Dato_Transf!$AQ:$AW,7,FALSE()))</f>
        <v xml:space="preserve"> </v>
      </c>
      <c r="BF13" s="72">
        <f>IFERROR(VLOOKUP($C13,Dato_Transf!$AQ:$AW,5,FALSE()),0)</f>
        <v>0</v>
      </c>
      <c r="BG13" s="72">
        <f>IFERROR(VLOOKUP($C13,Dato_Transf!$AQ:$AW,6,FALSE()),0)</f>
        <v>0</v>
      </c>
      <c r="BH13" s="121">
        <f t="shared" si="27"/>
        <v>0</v>
      </c>
      <c r="BI13" s="66" t="str">
        <f>IF(BH13=0," ",VLOOKUP($C13,Dato_Transf!$AQ:$AW,7,FALSE()))</f>
        <v xml:space="preserve"> </v>
      </c>
      <c r="BJ13" s="119">
        <f t="shared" si="28"/>
        <v>0</v>
      </c>
      <c r="BK13" s="120">
        <f t="shared" si="29"/>
        <v>0</v>
      </c>
      <c r="BL13" s="55"/>
      <c r="BV13" s="55"/>
    </row>
    <row r="14" spans="2:74" ht="30" customHeight="1" x14ac:dyDescent="0.3">
      <c r="B14" s="39">
        <v>5</v>
      </c>
      <c r="C14" s="96" t="str">
        <f>VLOOKUP(D14,EMPLEADO!C:Q,15,FALSE)</f>
        <v>GOMEZ ESPINOZA GASTON SANTOS</v>
      </c>
      <c r="D14" s="11" t="s">
        <v>53</v>
      </c>
      <c r="E14" s="57" t="s">
        <v>21</v>
      </c>
      <c r="F14" s="72">
        <f>IFERROR(VLOOKUP($C14,Dato_Transf!$A:$G,3,FALSE()),0)</f>
        <v>0</v>
      </c>
      <c r="G14" s="72">
        <f>IFERROR(VLOOKUP($C14,Dato_Transf!$A:$G,4,FALSE()),0)</f>
        <v>0</v>
      </c>
      <c r="H14" s="121">
        <f t="shared" si="30"/>
        <v>0</v>
      </c>
      <c r="I14" s="66" t="str">
        <f>IF(H14=0," ",VLOOKUP($C14,Dato_Transf!$A:$G,7,FALSE))</f>
        <v xml:space="preserve"> </v>
      </c>
      <c r="J14" s="72">
        <f>IFERROR(VLOOKUP($C14,Dato_Transf!$A:$G,5,FALSE()),0)</f>
        <v>0</v>
      </c>
      <c r="K14" s="72">
        <f>IFERROR(VLOOKUP($C14,Dato_Transf!$A:$G,6,FALSE()),0)</f>
        <v>0</v>
      </c>
      <c r="L14" s="121">
        <f t="shared" si="31"/>
        <v>0</v>
      </c>
      <c r="M14" s="66" t="str">
        <f>IF(L14=0," ",VLOOKUP($C14,Dato_Transf!$A:$G,7,FALSE))</f>
        <v xml:space="preserve"> </v>
      </c>
      <c r="N14" s="72">
        <f>IFERROR(VLOOKUP($C14,Dato_Transf!$H:$N,3,FALSE()),0)</f>
        <v>0</v>
      </c>
      <c r="O14" s="72">
        <f>IFERROR(VLOOKUP($C14,Dato_Transf!$H:$N,4,FALSE()),0)</f>
        <v>0</v>
      </c>
      <c r="P14" s="121">
        <f t="shared" si="16"/>
        <v>0</v>
      </c>
      <c r="Q14" s="66" t="str">
        <f>IF(P14=0," ",VLOOKUP($C14,Dato_Transf!$H:$N,7,FALSE()))</f>
        <v xml:space="preserve"> </v>
      </c>
      <c r="R14" s="72">
        <f>IFERROR(VLOOKUP($C14,Dato_Transf!$H:$N,5,FALSE()),0)</f>
        <v>0</v>
      </c>
      <c r="S14" s="72">
        <f>IFERROR(VLOOKUP($C14,Dato_Transf!$H:$N,6,FALSE()),0)</f>
        <v>0</v>
      </c>
      <c r="T14" s="121">
        <f t="shared" si="17"/>
        <v>0</v>
      </c>
      <c r="U14" s="66" t="str">
        <f>IF(T14=0," ",VLOOKUP($C14,Dato_Transf!$H:$N,7,FALSE()))</f>
        <v xml:space="preserve"> </v>
      </c>
      <c r="V14" s="72">
        <f>IFERROR(VLOOKUP($C14,Dato_Transf!$O:$U,3,FALSE()),0)</f>
        <v>0</v>
      </c>
      <c r="W14" s="72">
        <f>IFERROR(VLOOKUP($C14,Dato_Transf!$O:$U,4,FALSE()),0)</f>
        <v>0</v>
      </c>
      <c r="X14" s="121">
        <f t="shared" si="18"/>
        <v>0</v>
      </c>
      <c r="Y14" s="66" t="str">
        <f>IF(X14=0," ",VLOOKUP($C14,Dato_Transf!$O:$U,7,FALSE()))</f>
        <v xml:space="preserve"> </v>
      </c>
      <c r="Z14" s="72">
        <f>IFERROR(VLOOKUP($C14,Dato_Transf!$O:$U,5,FALSE()),0)</f>
        <v>0</v>
      </c>
      <c r="AA14" s="72">
        <f>IFERROR(VLOOKUP($C14,Dato_Transf!$O:$U,6,FALSE()),0)</f>
        <v>0</v>
      </c>
      <c r="AB14" s="121">
        <f t="shared" si="19"/>
        <v>0</v>
      </c>
      <c r="AC14" s="66" t="str">
        <f>IF(AB14=0," ",VLOOKUP($C14,Dato_Transf!$O:$U,7,FALSE()))</f>
        <v xml:space="preserve"> </v>
      </c>
      <c r="AD14" s="72">
        <f>IFERROR(VLOOKUP($C14,Dato_Transf!$V:$AB,3,FALSE()),0)</f>
        <v>0</v>
      </c>
      <c r="AE14" s="72">
        <f>IFERROR(VLOOKUP($C14,Dato_Transf!$V:$AB,4,FALSE()),0)</f>
        <v>0</v>
      </c>
      <c r="AF14" s="121">
        <f t="shared" si="20"/>
        <v>0</v>
      </c>
      <c r="AG14" s="66" t="str">
        <f>IF(AF14=0," ",VLOOKUP($C14,Dato_Transf!$V:$AB,7,FALSE()))</f>
        <v xml:space="preserve"> </v>
      </c>
      <c r="AH14" s="72">
        <f>IFERROR(VLOOKUP($C14,Dato_Transf!$V:$AB,5,FALSE()),0)</f>
        <v>0</v>
      </c>
      <c r="AI14" s="72">
        <f>IFERROR(VLOOKUP($C14,Dato_Transf!$V:$AB,6,FALSE()),0)</f>
        <v>0</v>
      </c>
      <c r="AJ14" s="121">
        <f t="shared" si="21"/>
        <v>0</v>
      </c>
      <c r="AK14" s="66" t="str">
        <f>IF(AJ14=0," ",VLOOKUP($C14,Dato_Transf!$V:$AB,7,FALSE()))</f>
        <v xml:space="preserve"> </v>
      </c>
      <c r="AL14" s="72">
        <f>IFERROR(VLOOKUP($C14,Dato_Transf!$AC:$AI,3,FALSE()),0)</f>
        <v>0</v>
      </c>
      <c r="AM14" s="72">
        <f>IFERROR(VLOOKUP($C14,Dato_Transf!$AC:$AI,4,FALSE()),0)</f>
        <v>0</v>
      </c>
      <c r="AN14" s="121">
        <f t="shared" si="22"/>
        <v>0</v>
      </c>
      <c r="AO14" s="66" t="str">
        <f>IF(AN14=0," ",VLOOKUP($C14,Dato_Transf!$AC:$AI,7,FALSE()))</f>
        <v xml:space="preserve"> </v>
      </c>
      <c r="AP14" s="72">
        <f>IFERROR(VLOOKUP($C14,Dato_Transf!$AC:$AI,5,FALSE()),0)</f>
        <v>0</v>
      </c>
      <c r="AQ14" s="72">
        <f>IFERROR(VLOOKUP($C14,Dato_Transf!$AC:$AI,6,FALSE()),0)</f>
        <v>0</v>
      </c>
      <c r="AR14" s="121">
        <f t="shared" si="23"/>
        <v>0</v>
      </c>
      <c r="AS14" s="66" t="str">
        <f>IF(AR14=0," ",VLOOKUP($C14,Dato_Transf!$AC:$AI,7,FALSE()))</f>
        <v xml:space="preserve"> </v>
      </c>
      <c r="AT14" s="72">
        <f>IFERROR(VLOOKUP($C14,Dato_Transf!$AJ:$AP,3,FALSE()),0)</f>
        <v>0</v>
      </c>
      <c r="AU14" s="72">
        <f>IFERROR(VLOOKUP($C14,Dato_Transf!$AJ:$AP,4,FALSE()),0)</f>
        <v>0</v>
      </c>
      <c r="AV14" s="121">
        <f t="shared" si="24"/>
        <v>0</v>
      </c>
      <c r="AW14" s="66" t="str">
        <f>IF(AV14=0," ",VLOOKUP($C14,Dato_Transf!$AJ:$AP,7,FALSE()))</f>
        <v xml:space="preserve"> </v>
      </c>
      <c r="AX14" s="72">
        <f>IFERROR(VLOOKUP($C14,Dato_Transf!$AJ:$AP,5,FALSE()),0)</f>
        <v>0</v>
      </c>
      <c r="AY14" s="72">
        <f>IFERROR(VLOOKUP($C14,Dato_Transf!$AJ:$AP,6,FALSE()),0)</f>
        <v>0</v>
      </c>
      <c r="AZ14" s="121">
        <f t="shared" si="25"/>
        <v>0</v>
      </c>
      <c r="BA14" s="66" t="str">
        <f>IF(AZ14=0," ",VLOOKUP($C14,Dato_Transf!$AJ:$AP,7,FALSE()))</f>
        <v xml:space="preserve"> </v>
      </c>
      <c r="BB14" s="72">
        <f>IFERROR(VLOOKUP($C14,Dato_Transf!$AQ:$AW,3,FALSE()),0)</f>
        <v>0</v>
      </c>
      <c r="BC14" s="72">
        <f>IFERROR(VLOOKUP($C14,Dato_Transf!$AQ:$AW,4,FALSE()),0)</f>
        <v>0</v>
      </c>
      <c r="BD14" s="121">
        <f t="shared" si="26"/>
        <v>0</v>
      </c>
      <c r="BE14" s="66" t="str">
        <f>IF(BD14=0," ",VLOOKUP($C14,Dato_Transf!$AQ:$AW,7,FALSE()))</f>
        <v xml:space="preserve"> </v>
      </c>
      <c r="BF14" s="72">
        <f>IFERROR(VLOOKUP($C14,Dato_Transf!$AQ:$AW,5,FALSE()),0)</f>
        <v>0</v>
      </c>
      <c r="BG14" s="72">
        <f>IFERROR(VLOOKUP($C14,Dato_Transf!$AQ:$AW,6,FALSE()),0)</f>
        <v>0</v>
      </c>
      <c r="BH14" s="121">
        <f t="shared" si="27"/>
        <v>0</v>
      </c>
      <c r="BI14" s="66" t="str">
        <f>IF(BH14=0," ",VLOOKUP($C14,Dato_Transf!$AQ:$AW,7,FALSE()))</f>
        <v xml:space="preserve"> </v>
      </c>
      <c r="BJ14" s="119">
        <f t="shared" si="28"/>
        <v>0</v>
      </c>
      <c r="BK14" s="120">
        <f t="shared" si="29"/>
        <v>0</v>
      </c>
      <c r="BL14" s="55"/>
      <c r="BV14" s="55"/>
    </row>
    <row r="15" spans="2:74" ht="30" customHeight="1" x14ac:dyDescent="0.3">
      <c r="B15" s="39">
        <v>6</v>
      </c>
      <c r="C15" s="96" t="str">
        <f>VLOOKUP(D15,EMPLEADO!C:Q,15,FALSE)</f>
        <v>BRAVO QUINTO JORGE DANIEL</v>
      </c>
      <c r="D15" s="28" t="s">
        <v>57</v>
      </c>
      <c r="E15" s="58" t="s">
        <v>18</v>
      </c>
      <c r="F15" s="72">
        <f>IFERROR(VLOOKUP($C15,Dato_Transf!$A:$G,3,FALSE()),0)</f>
        <v>0</v>
      </c>
      <c r="G15" s="72">
        <f>IFERROR(VLOOKUP($C15,Dato_Transf!$A:$G,4,FALSE()),0)</f>
        <v>0</v>
      </c>
      <c r="H15" s="121">
        <f t="shared" si="30"/>
        <v>0</v>
      </c>
      <c r="I15" s="66" t="str">
        <f>IF(H15=0," ",VLOOKUP($C15,Dato_Transf!$A:$G,7,FALSE))</f>
        <v xml:space="preserve"> </v>
      </c>
      <c r="J15" s="72">
        <f>IFERROR(VLOOKUP($C15,Dato_Transf!$A:$G,5,FALSE()),0)</f>
        <v>0</v>
      </c>
      <c r="K15" s="72">
        <f>IFERROR(VLOOKUP($C15,Dato_Transf!$A:$G,6,FALSE()),0)</f>
        <v>0</v>
      </c>
      <c r="L15" s="121">
        <f t="shared" si="31"/>
        <v>0</v>
      </c>
      <c r="M15" s="66" t="str">
        <f>IF(L15=0," ",VLOOKUP($C15,Dato_Transf!$A:$G,7,FALSE))</f>
        <v xml:space="preserve"> </v>
      </c>
      <c r="N15" s="72">
        <f>IFERROR(VLOOKUP($C15,Dato_Transf!$H:$N,3,FALSE()),0)</f>
        <v>0</v>
      </c>
      <c r="O15" s="72">
        <f>IFERROR(VLOOKUP($C15,Dato_Transf!$H:$N,4,FALSE()),0)</f>
        <v>0</v>
      </c>
      <c r="P15" s="121">
        <f t="shared" si="16"/>
        <v>0</v>
      </c>
      <c r="Q15" s="66" t="str">
        <f>IF(P15=0," ",VLOOKUP($C15,Dato_Transf!$H:$N,7,FALSE()))</f>
        <v xml:space="preserve"> </v>
      </c>
      <c r="R15" s="72">
        <f>IFERROR(VLOOKUP($C15,Dato_Transf!$H:$N,5,FALSE()),0)</f>
        <v>0</v>
      </c>
      <c r="S15" s="72">
        <f>IFERROR(VLOOKUP($C15,Dato_Transf!$H:$N,6,FALSE()),0)</f>
        <v>0</v>
      </c>
      <c r="T15" s="121">
        <f t="shared" si="17"/>
        <v>0</v>
      </c>
      <c r="U15" s="66" t="str">
        <f>IF(T15=0," ",VLOOKUP($C15,Dato_Transf!$H:$N,7,FALSE()))</f>
        <v xml:space="preserve"> </v>
      </c>
      <c r="V15" s="72">
        <f>IFERROR(VLOOKUP($C15,Dato_Transf!$O:$U,3,FALSE()),0)</f>
        <v>0</v>
      </c>
      <c r="W15" s="72">
        <f>IFERROR(VLOOKUP($C15,Dato_Transf!$O:$U,4,FALSE()),0)</f>
        <v>0</v>
      </c>
      <c r="X15" s="121">
        <f t="shared" si="18"/>
        <v>0</v>
      </c>
      <c r="Y15" s="66" t="str">
        <f>IF(X15=0," ",VLOOKUP($C15,Dato_Transf!$O:$U,7,FALSE()))</f>
        <v xml:space="preserve"> </v>
      </c>
      <c r="Z15" s="72">
        <f>IFERROR(VLOOKUP($C15,Dato_Transf!$O:$U,5,FALSE()),0)</f>
        <v>0</v>
      </c>
      <c r="AA15" s="72">
        <f>IFERROR(VLOOKUP($C15,Dato_Transf!$O:$U,6,FALSE()),0)</f>
        <v>0</v>
      </c>
      <c r="AB15" s="121">
        <f t="shared" si="19"/>
        <v>0</v>
      </c>
      <c r="AC15" s="66" t="str">
        <f>IF(AB15=0," ",VLOOKUP($C15,Dato_Transf!$O:$U,7,FALSE()))</f>
        <v xml:space="preserve"> </v>
      </c>
      <c r="AD15" s="72">
        <f>IFERROR(VLOOKUP($C15,Dato_Transf!$V:$AB,3,FALSE()),0)</f>
        <v>0</v>
      </c>
      <c r="AE15" s="72">
        <f>IFERROR(VLOOKUP($C15,Dato_Transf!$V:$AB,4,FALSE()),0)</f>
        <v>0</v>
      </c>
      <c r="AF15" s="121">
        <f t="shared" si="20"/>
        <v>0</v>
      </c>
      <c r="AG15" s="66" t="str">
        <f>IF(AF15=0," ",VLOOKUP($C15,Dato_Transf!$V:$AB,7,FALSE()))</f>
        <v xml:space="preserve"> </v>
      </c>
      <c r="AH15" s="72">
        <f>IFERROR(VLOOKUP($C15,Dato_Transf!$V:$AB,5,FALSE()),0)</f>
        <v>0</v>
      </c>
      <c r="AI15" s="72">
        <f>IFERROR(VLOOKUP($C15,Dato_Transf!$V:$AB,6,FALSE()),0)</f>
        <v>0</v>
      </c>
      <c r="AJ15" s="121">
        <f t="shared" si="21"/>
        <v>0</v>
      </c>
      <c r="AK15" s="66" t="str">
        <f>IF(AJ15=0," ",VLOOKUP($C15,Dato_Transf!$V:$AB,7,FALSE()))</f>
        <v xml:space="preserve"> </v>
      </c>
      <c r="AL15" s="72">
        <f>IFERROR(VLOOKUP($C15,Dato_Transf!$AC:$AI,3,FALSE()),0)</f>
        <v>0</v>
      </c>
      <c r="AM15" s="72">
        <f>IFERROR(VLOOKUP($C15,Dato_Transf!$AC:$AI,4,FALSE()),0)</f>
        <v>0</v>
      </c>
      <c r="AN15" s="121">
        <f t="shared" si="22"/>
        <v>0</v>
      </c>
      <c r="AO15" s="66" t="str">
        <f>IF(AN15=0," ",VLOOKUP($C15,Dato_Transf!$AC:$AI,7,FALSE()))</f>
        <v xml:space="preserve"> </v>
      </c>
      <c r="AP15" s="72">
        <f>IFERROR(VLOOKUP($C15,Dato_Transf!$AC:$AI,5,FALSE()),0)</f>
        <v>0</v>
      </c>
      <c r="AQ15" s="72">
        <f>IFERROR(VLOOKUP($C15,Dato_Transf!$AC:$AI,6,FALSE()),0)</f>
        <v>0</v>
      </c>
      <c r="AR15" s="121">
        <f t="shared" si="23"/>
        <v>0</v>
      </c>
      <c r="AS15" s="66" t="str">
        <f>IF(AR15=0," ",VLOOKUP($C15,Dato_Transf!$AC:$AI,7,FALSE()))</f>
        <v xml:space="preserve"> </v>
      </c>
      <c r="AT15" s="72">
        <f>IFERROR(VLOOKUP($C15,Dato_Transf!$AJ:$AP,3,FALSE()),0)</f>
        <v>0</v>
      </c>
      <c r="AU15" s="72">
        <f>IFERROR(VLOOKUP($C15,Dato_Transf!$AJ:$AP,4,FALSE()),0)</f>
        <v>0</v>
      </c>
      <c r="AV15" s="121">
        <f t="shared" si="24"/>
        <v>0</v>
      </c>
      <c r="AW15" s="66" t="str">
        <f>IF(AV15=0," ",VLOOKUP($C15,Dato_Transf!$AJ:$AP,7,FALSE()))</f>
        <v xml:space="preserve"> </v>
      </c>
      <c r="AX15" s="72">
        <f>IFERROR(VLOOKUP($C15,Dato_Transf!$AJ:$AP,5,FALSE()),0)</f>
        <v>0</v>
      </c>
      <c r="AY15" s="72">
        <f>IFERROR(VLOOKUP($C15,Dato_Transf!$AJ:$AP,6,FALSE()),0)</f>
        <v>0</v>
      </c>
      <c r="AZ15" s="121">
        <f t="shared" si="25"/>
        <v>0</v>
      </c>
      <c r="BA15" s="66" t="str">
        <f>IF(AZ15=0," ",VLOOKUP($C15,Dato_Transf!$AJ:$AP,7,FALSE()))</f>
        <v xml:space="preserve"> </v>
      </c>
      <c r="BB15" s="72">
        <f>IFERROR(VLOOKUP($C15,Dato_Transf!$AQ:$AW,3,FALSE()),0)</f>
        <v>0</v>
      </c>
      <c r="BC15" s="72">
        <f>IFERROR(VLOOKUP($C15,Dato_Transf!$AQ:$AW,4,FALSE()),0)</f>
        <v>0</v>
      </c>
      <c r="BD15" s="121">
        <f t="shared" si="26"/>
        <v>0</v>
      </c>
      <c r="BE15" s="66" t="str">
        <f>IF(BD15=0," ",VLOOKUP($C15,Dato_Transf!$AQ:$AW,7,FALSE()))</f>
        <v xml:space="preserve"> </v>
      </c>
      <c r="BF15" s="72">
        <f>IFERROR(VLOOKUP($C15,Dato_Transf!$AQ:$AW,5,FALSE()),0)</f>
        <v>0</v>
      </c>
      <c r="BG15" s="72">
        <f>IFERROR(VLOOKUP($C15,Dato_Transf!$AQ:$AW,6,FALSE()),0)</f>
        <v>0</v>
      </c>
      <c r="BH15" s="121">
        <f t="shared" si="27"/>
        <v>0</v>
      </c>
      <c r="BI15" s="66" t="str">
        <f>IF(BH15=0," ",VLOOKUP($C15,Dato_Transf!$AQ:$AW,7,FALSE()))</f>
        <v xml:space="preserve"> </v>
      </c>
      <c r="BJ15" s="119">
        <f t="shared" si="28"/>
        <v>0</v>
      </c>
      <c r="BK15" s="120">
        <f t="shared" si="29"/>
        <v>0</v>
      </c>
      <c r="BL15" s="55"/>
      <c r="BV15" s="55"/>
    </row>
    <row r="16" spans="2:74" ht="30" customHeight="1" x14ac:dyDescent="0.3">
      <c r="B16" s="39">
        <v>7</v>
      </c>
      <c r="C16" s="96" t="str">
        <f>VLOOKUP(D16,EMPLEADO!C:Q,15,FALSE)</f>
        <v>CUEVA LUDEÑA MANUEL DE JESUS</v>
      </c>
      <c r="D16" s="27" t="s">
        <v>86</v>
      </c>
      <c r="E16" s="58" t="s">
        <v>18</v>
      </c>
      <c r="F16" s="72">
        <f>IFERROR(VLOOKUP($C16,Dato_Transf!$A:$G,3,FALSE()),0)</f>
        <v>0</v>
      </c>
      <c r="G16" s="72">
        <f>IFERROR(VLOOKUP($C16,Dato_Transf!$A:$G,4,FALSE()),0)</f>
        <v>0</v>
      </c>
      <c r="H16" s="121">
        <f t="shared" si="30"/>
        <v>0</v>
      </c>
      <c r="I16" s="66" t="str">
        <f>IF(H16=0," ",VLOOKUP($C16,Dato_Transf!$A:$G,7,FALSE))</f>
        <v xml:space="preserve"> </v>
      </c>
      <c r="J16" s="72">
        <f>IFERROR(VLOOKUP($C16,Dato_Transf!$A:$G,5,FALSE()),0)</f>
        <v>0</v>
      </c>
      <c r="K16" s="72">
        <f>IFERROR(VLOOKUP($C16,Dato_Transf!$A:$G,6,FALSE()),0)</f>
        <v>0</v>
      </c>
      <c r="L16" s="121">
        <f t="shared" si="31"/>
        <v>0</v>
      </c>
      <c r="M16" s="66" t="str">
        <f>IF(L16=0," ",VLOOKUP($C16,Dato_Transf!$A:$G,7,FALSE))</f>
        <v xml:space="preserve"> </v>
      </c>
      <c r="N16" s="72">
        <f>IFERROR(VLOOKUP($C16,Dato_Transf!$H:$N,3,FALSE()),0)</f>
        <v>0</v>
      </c>
      <c r="O16" s="72">
        <f>IFERROR(VLOOKUP($C16,Dato_Transf!$H:$N,4,FALSE()),0)</f>
        <v>0</v>
      </c>
      <c r="P16" s="121">
        <f t="shared" si="16"/>
        <v>0</v>
      </c>
      <c r="Q16" s="66" t="str">
        <f>IF(P16=0," ",VLOOKUP($C16,Dato_Transf!$H:$N,7,FALSE()))</f>
        <v xml:space="preserve"> </v>
      </c>
      <c r="R16" s="72">
        <f>IFERROR(VLOOKUP($C16,Dato_Transf!$H:$N,5,FALSE()),0)</f>
        <v>0</v>
      </c>
      <c r="S16" s="72">
        <f>IFERROR(VLOOKUP($C16,Dato_Transf!$H:$N,6,FALSE()),0)</f>
        <v>0</v>
      </c>
      <c r="T16" s="121">
        <f t="shared" si="17"/>
        <v>0</v>
      </c>
      <c r="U16" s="66" t="str">
        <f>IF(T16=0," ",VLOOKUP($C16,Dato_Transf!$H:$N,7,FALSE()))</f>
        <v xml:space="preserve"> </v>
      </c>
      <c r="V16" s="72">
        <f>IFERROR(VLOOKUP($C16,Dato_Transf!$O:$U,3,FALSE()),0)</f>
        <v>0</v>
      </c>
      <c r="W16" s="72">
        <f>IFERROR(VLOOKUP($C16,Dato_Transf!$O:$U,4,FALSE()),0)</f>
        <v>0</v>
      </c>
      <c r="X16" s="121">
        <f t="shared" si="18"/>
        <v>0</v>
      </c>
      <c r="Y16" s="66" t="str">
        <f>IF(X16=0," ",VLOOKUP($C16,Dato_Transf!$O:$U,7,FALSE()))</f>
        <v xml:space="preserve"> </v>
      </c>
      <c r="Z16" s="72">
        <f>IFERROR(VLOOKUP($C16,Dato_Transf!$O:$U,5,FALSE()),0)</f>
        <v>0</v>
      </c>
      <c r="AA16" s="72">
        <f>IFERROR(VLOOKUP($C16,Dato_Transf!$O:$U,6,FALSE()),0)</f>
        <v>0</v>
      </c>
      <c r="AB16" s="121">
        <f t="shared" si="19"/>
        <v>0</v>
      </c>
      <c r="AC16" s="66" t="str">
        <f>IF(AB16=0," ",VLOOKUP($C16,Dato_Transf!$O:$U,7,FALSE()))</f>
        <v xml:space="preserve"> </v>
      </c>
      <c r="AD16" s="72">
        <f>IFERROR(VLOOKUP($C16,Dato_Transf!$V:$AB,3,FALSE()),0)</f>
        <v>0</v>
      </c>
      <c r="AE16" s="72">
        <f>IFERROR(VLOOKUP($C16,Dato_Transf!$V:$AB,4,FALSE()),0)</f>
        <v>0</v>
      </c>
      <c r="AF16" s="121">
        <f t="shared" si="20"/>
        <v>0</v>
      </c>
      <c r="AG16" s="66" t="str">
        <f>IF(AF16=0," ",VLOOKUP($C16,Dato_Transf!$V:$AB,7,FALSE()))</f>
        <v xml:space="preserve"> </v>
      </c>
      <c r="AH16" s="72">
        <f>IFERROR(VLOOKUP($C16,Dato_Transf!$V:$AB,5,FALSE()),0)</f>
        <v>0</v>
      </c>
      <c r="AI16" s="72">
        <f>IFERROR(VLOOKUP($C16,Dato_Transf!$V:$AB,6,FALSE()),0)</f>
        <v>0</v>
      </c>
      <c r="AJ16" s="121">
        <f t="shared" si="21"/>
        <v>0</v>
      </c>
      <c r="AK16" s="66" t="str">
        <f>IF(AJ16=0," ",VLOOKUP($C16,Dato_Transf!$V:$AB,7,FALSE()))</f>
        <v xml:space="preserve"> </v>
      </c>
      <c r="AL16" s="72">
        <f>IFERROR(VLOOKUP($C16,Dato_Transf!$AC:$AI,3,FALSE()),0)</f>
        <v>0</v>
      </c>
      <c r="AM16" s="72">
        <f>IFERROR(VLOOKUP($C16,Dato_Transf!$AC:$AI,4,FALSE()),0)</f>
        <v>0</v>
      </c>
      <c r="AN16" s="121">
        <f t="shared" si="22"/>
        <v>0</v>
      </c>
      <c r="AO16" s="66" t="str">
        <f>IF(AN16=0," ",VLOOKUP($C16,Dato_Transf!$AC:$AI,7,FALSE()))</f>
        <v xml:space="preserve"> </v>
      </c>
      <c r="AP16" s="72">
        <f>IFERROR(VLOOKUP($C16,Dato_Transf!$AC:$AI,5,FALSE()),0)</f>
        <v>0</v>
      </c>
      <c r="AQ16" s="72">
        <f>IFERROR(VLOOKUP($C16,Dato_Transf!$AC:$AI,6,FALSE()),0)</f>
        <v>0</v>
      </c>
      <c r="AR16" s="121">
        <f t="shared" si="23"/>
        <v>0</v>
      </c>
      <c r="AS16" s="66" t="str">
        <f>IF(AR16=0," ",VLOOKUP($C16,Dato_Transf!$AC:$AI,7,FALSE()))</f>
        <v xml:space="preserve"> </v>
      </c>
      <c r="AT16" s="72">
        <f>IFERROR(VLOOKUP($C16,Dato_Transf!$AJ:$AP,3,FALSE()),0)</f>
        <v>0</v>
      </c>
      <c r="AU16" s="72">
        <f>IFERROR(VLOOKUP($C16,Dato_Transf!$AJ:$AP,4,FALSE()),0)</f>
        <v>0</v>
      </c>
      <c r="AV16" s="121">
        <f t="shared" si="24"/>
        <v>0</v>
      </c>
      <c r="AW16" s="66" t="str">
        <f>IF(AV16=0," ",VLOOKUP($C16,Dato_Transf!$AJ:$AP,7,FALSE()))</f>
        <v xml:space="preserve"> </v>
      </c>
      <c r="AX16" s="72">
        <f>IFERROR(VLOOKUP($C16,Dato_Transf!$AJ:$AP,5,FALSE()),0)</f>
        <v>0</v>
      </c>
      <c r="AY16" s="72">
        <f>IFERROR(VLOOKUP($C16,Dato_Transf!$AJ:$AP,6,FALSE()),0)</f>
        <v>0</v>
      </c>
      <c r="AZ16" s="121">
        <f t="shared" si="25"/>
        <v>0</v>
      </c>
      <c r="BA16" s="66" t="str">
        <f>IF(AZ16=0," ",VLOOKUP($C16,Dato_Transf!$AJ:$AP,7,FALSE()))</f>
        <v xml:space="preserve"> </v>
      </c>
      <c r="BB16" s="72">
        <f>IFERROR(VLOOKUP($C16,Dato_Transf!$AQ:$AW,3,FALSE()),0)</f>
        <v>0</v>
      </c>
      <c r="BC16" s="72">
        <f>IFERROR(VLOOKUP($C16,Dato_Transf!$AQ:$AW,4,FALSE()),0)</f>
        <v>0</v>
      </c>
      <c r="BD16" s="121">
        <f t="shared" si="26"/>
        <v>0</v>
      </c>
      <c r="BE16" s="66" t="str">
        <f>IF(BD16=0," ",VLOOKUP($C16,Dato_Transf!$AQ:$AW,7,FALSE()))</f>
        <v xml:space="preserve"> </v>
      </c>
      <c r="BF16" s="72">
        <f>IFERROR(VLOOKUP($C16,Dato_Transf!$AQ:$AW,5,FALSE()),0)</f>
        <v>0</v>
      </c>
      <c r="BG16" s="72">
        <f>IFERROR(VLOOKUP($C16,Dato_Transf!$AQ:$AW,6,FALSE()),0)</f>
        <v>0</v>
      </c>
      <c r="BH16" s="121">
        <f t="shared" si="27"/>
        <v>0</v>
      </c>
      <c r="BI16" s="66" t="str">
        <f>IF(BH16=0," ",VLOOKUP($C16,Dato_Transf!$AQ:$AW,7,FALSE()))</f>
        <v xml:space="preserve"> </v>
      </c>
      <c r="BJ16" s="119">
        <f t="shared" si="28"/>
        <v>0</v>
      </c>
      <c r="BK16" s="120">
        <f t="shared" si="29"/>
        <v>0</v>
      </c>
      <c r="BL16" s="55"/>
      <c r="BV16" s="55"/>
    </row>
    <row r="17" spans="2:74" ht="30" customHeight="1" x14ac:dyDescent="0.3">
      <c r="B17" s="39">
        <v>8</v>
      </c>
      <c r="C17" s="96" t="str">
        <f>VLOOKUP(D17,EMPLEADO!C:Q,15,FALSE)</f>
        <v>JARA ARMIJOS CESAR HOMERO</v>
      </c>
      <c r="D17" s="27" t="s">
        <v>87</v>
      </c>
      <c r="E17" s="59" t="s">
        <v>18</v>
      </c>
      <c r="F17" s="72">
        <f>IFERROR(VLOOKUP($C17,Dato_Transf!$A:$G,3,FALSE()),0)</f>
        <v>0</v>
      </c>
      <c r="G17" s="72">
        <f>IFERROR(VLOOKUP($C17,Dato_Transf!$A:$G,4,FALSE()),0)</f>
        <v>0</v>
      </c>
      <c r="H17" s="121">
        <f t="shared" si="30"/>
        <v>0</v>
      </c>
      <c r="I17" s="66" t="str">
        <f>IF(H17=0," ",VLOOKUP($C17,Dato_Transf!$A:$G,7,FALSE))</f>
        <v xml:space="preserve"> </v>
      </c>
      <c r="J17" s="72">
        <f>IFERROR(VLOOKUP($C17,Dato_Transf!$A:$G,5,FALSE()),0)</f>
        <v>0</v>
      </c>
      <c r="K17" s="72">
        <f>IFERROR(VLOOKUP($C17,Dato_Transf!$A:$G,6,FALSE()),0)</f>
        <v>0</v>
      </c>
      <c r="L17" s="121">
        <f t="shared" si="31"/>
        <v>0</v>
      </c>
      <c r="M17" s="66" t="str">
        <f>IF(L17=0," ",VLOOKUP($C17,Dato_Transf!$A:$G,7,FALSE))</f>
        <v xml:space="preserve"> </v>
      </c>
      <c r="N17" s="72">
        <f>IFERROR(VLOOKUP($C17,Dato_Transf!$H:$N,3,FALSE()),0)</f>
        <v>0</v>
      </c>
      <c r="O17" s="72">
        <f>IFERROR(VLOOKUP($C17,Dato_Transf!$H:$N,4,FALSE()),0)</f>
        <v>0</v>
      </c>
      <c r="P17" s="121">
        <f t="shared" si="16"/>
        <v>0</v>
      </c>
      <c r="Q17" s="66" t="str">
        <f>IF(P17=0," ",VLOOKUP($C17,Dato_Transf!$H:$N,7,FALSE()))</f>
        <v xml:space="preserve"> </v>
      </c>
      <c r="R17" s="72">
        <f>IFERROR(VLOOKUP($C17,Dato_Transf!$H:$N,5,FALSE()),0)</f>
        <v>0</v>
      </c>
      <c r="S17" s="72">
        <f>IFERROR(VLOOKUP($C17,Dato_Transf!$H:$N,6,FALSE()),0)</f>
        <v>0</v>
      </c>
      <c r="T17" s="121">
        <f t="shared" si="17"/>
        <v>0</v>
      </c>
      <c r="U17" s="66" t="str">
        <f>IF(T17=0," ",VLOOKUP($C17,Dato_Transf!$H:$N,7,FALSE()))</f>
        <v xml:space="preserve"> </v>
      </c>
      <c r="V17" s="72">
        <f>IFERROR(VLOOKUP($C17,Dato_Transf!$O:$U,3,FALSE()),0)</f>
        <v>0</v>
      </c>
      <c r="W17" s="72">
        <f>IFERROR(VLOOKUP($C17,Dato_Transf!$O:$U,4,FALSE()),0)</f>
        <v>0</v>
      </c>
      <c r="X17" s="121">
        <f t="shared" si="18"/>
        <v>0</v>
      </c>
      <c r="Y17" s="66" t="str">
        <f>IF(X17=0," ",VLOOKUP($C17,Dato_Transf!$O:$U,7,FALSE()))</f>
        <v xml:space="preserve"> </v>
      </c>
      <c r="Z17" s="72">
        <f>IFERROR(VLOOKUP($C17,Dato_Transf!$O:$U,5,FALSE()),0)</f>
        <v>0</v>
      </c>
      <c r="AA17" s="72">
        <f>IFERROR(VLOOKUP($C17,Dato_Transf!$O:$U,6,FALSE()),0)</f>
        <v>0</v>
      </c>
      <c r="AB17" s="121">
        <f t="shared" si="19"/>
        <v>0</v>
      </c>
      <c r="AC17" s="66" t="str">
        <f>IF(AB17=0," ",VLOOKUP($C17,Dato_Transf!$O:$U,7,FALSE()))</f>
        <v xml:space="preserve"> </v>
      </c>
      <c r="AD17" s="72">
        <f>IFERROR(VLOOKUP($C17,Dato_Transf!$V:$AB,3,FALSE()),0)</f>
        <v>0</v>
      </c>
      <c r="AE17" s="72">
        <f>IFERROR(VLOOKUP($C17,Dato_Transf!$V:$AB,4,FALSE()),0)</f>
        <v>0</v>
      </c>
      <c r="AF17" s="121">
        <f t="shared" si="20"/>
        <v>0</v>
      </c>
      <c r="AG17" s="66" t="str">
        <f>IF(AF17=0," ",VLOOKUP($C17,Dato_Transf!$V:$AB,7,FALSE()))</f>
        <v xml:space="preserve"> </v>
      </c>
      <c r="AH17" s="72">
        <f>IFERROR(VLOOKUP($C17,Dato_Transf!$V:$AB,5,FALSE()),0)</f>
        <v>0</v>
      </c>
      <c r="AI17" s="72">
        <f>IFERROR(VLOOKUP($C17,Dato_Transf!$V:$AB,6,FALSE()),0)</f>
        <v>0</v>
      </c>
      <c r="AJ17" s="121">
        <f t="shared" si="21"/>
        <v>0</v>
      </c>
      <c r="AK17" s="66" t="str">
        <f>IF(AJ17=0," ",VLOOKUP($C17,Dato_Transf!$V:$AB,7,FALSE()))</f>
        <v xml:space="preserve"> </v>
      </c>
      <c r="AL17" s="72">
        <f>IFERROR(VLOOKUP($C17,Dato_Transf!$AC:$AI,3,FALSE()),0)</f>
        <v>0</v>
      </c>
      <c r="AM17" s="72">
        <f>IFERROR(VLOOKUP($C17,Dato_Transf!$AC:$AI,4,FALSE()),0)</f>
        <v>0</v>
      </c>
      <c r="AN17" s="121">
        <f t="shared" si="22"/>
        <v>0</v>
      </c>
      <c r="AO17" s="66" t="str">
        <f>IF(AN17=0," ",VLOOKUP($C17,Dato_Transf!$AC:$AI,7,FALSE()))</f>
        <v xml:space="preserve"> </v>
      </c>
      <c r="AP17" s="72">
        <f>IFERROR(VLOOKUP($C17,Dato_Transf!$AC:$AI,5,FALSE()),0)</f>
        <v>0</v>
      </c>
      <c r="AQ17" s="72">
        <f>IFERROR(VLOOKUP($C17,Dato_Transf!$AC:$AI,6,FALSE()),0)</f>
        <v>0</v>
      </c>
      <c r="AR17" s="121">
        <f t="shared" si="23"/>
        <v>0</v>
      </c>
      <c r="AS17" s="66" t="str">
        <f>IF(AR17=0," ",VLOOKUP($C17,Dato_Transf!$AC:$AI,7,FALSE()))</f>
        <v xml:space="preserve"> </v>
      </c>
      <c r="AT17" s="72">
        <f>IFERROR(VLOOKUP($C17,Dato_Transf!$AJ:$AP,3,FALSE()),0)</f>
        <v>0</v>
      </c>
      <c r="AU17" s="72">
        <f>IFERROR(VLOOKUP($C17,Dato_Transf!$AJ:$AP,4,FALSE()),0)</f>
        <v>0</v>
      </c>
      <c r="AV17" s="121">
        <f t="shared" si="24"/>
        <v>0</v>
      </c>
      <c r="AW17" s="66" t="str">
        <f>IF(AV17=0," ",VLOOKUP($C17,Dato_Transf!$AJ:$AP,7,FALSE()))</f>
        <v xml:space="preserve"> </v>
      </c>
      <c r="AX17" s="72">
        <f>IFERROR(VLOOKUP($C17,Dato_Transf!$AJ:$AP,5,FALSE()),0)</f>
        <v>0</v>
      </c>
      <c r="AY17" s="72">
        <f>IFERROR(VLOOKUP($C17,Dato_Transf!$AJ:$AP,6,FALSE()),0)</f>
        <v>0</v>
      </c>
      <c r="AZ17" s="121">
        <f t="shared" si="25"/>
        <v>0</v>
      </c>
      <c r="BA17" s="66" t="str">
        <f>IF(AZ17=0," ",VLOOKUP($C17,Dato_Transf!$AJ:$AP,7,FALSE()))</f>
        <v xml:space="preserve"> </v>
      </c>
      <c r="BB17" s="72">
        <f>IFERROR(VLOOKUP($C17,Dato_Transf!$AQ:$AW,3,FALSE()),0)</f>
        <v>0</v>
      </c>
      <c r="BC17" s="72">
        <f>IFERROR(VLOOKUP($C17,Dato_Transf!$AQ:$AW,4,FALSE()),0)</f>
        <v>0</v>
      </c>
      <c r="BD17" s="121">
        <f t="shared" si="26"/>
        <v>0</v>
      </c>
      <c r="BE17" s="66" t="str">
        <f>IF(BD17=0," ",VLOOKUP($C17,Dato_Transf!$AQ:$AW,7,FALSE()))</f>
        <v xml:space="preserve"> </v>
      </c>
      <c r="BF17" s="72">
        <f>IFERROR(VLOOKUP($C17,Dato_Transf!$AQ:$AW,5,FALSE()),0)</f>
        <v>0</v>
      </c>
      <c r="BG17" s="72">
        <f>IFERROR(VLOOKUP($C17,Dato_Transf!$AQ:$AW,6,FALSE()),0)</f>
        <v>0</v>
      </c>
      <c r="BH17" s="121">
        <f>(+BG17-BF17)*24</f>
        <v>0</v>
      </c>
      <c r="BI17" s="66" t="str">
        <f>IF(BH17=0," ",VLOOKUP($C17,Dato_Transf!$AQ:$AW,7,FALSE()))</f>
        <v xml:space="preserve"> </v>
      </c>
      <c r="BJ17" s="119">
        <f t="shared" si="28"/>
        <v>0</v>
      </c>
      <c r="BK17" s="120">
        <f t="shared" si="29"/>
        <v>0</v>
      </c>
      <c r="BL17" s="55"/>
      <c r="BV17" s="55"/>
    </row>
    <row r="18" spans="2:74" ht="30" customHeight="1" x14ac:dyDescent="0.3">
      <c r="B18" s="39">
        <v>9</v>
      </c>
      <c r="C18" s="96" t="str">
        <f>VLOOKUP(D18,EMPLEADO!C:Q,15,FALSE)</f>
        <v>CASTILLO OCHOA HERIBERTO GUILLERMO</v>
      </c>
      <c r="D18" s="27" t="s">
        <v>92</v>
      </c>
      <c r="E18" s="59" t="s">
        <v>18</v>
      </c>
      <c r="F18" s="72">
        <f>IFERROR(VLOOKUP($C18,Dato_Transf!$A:$G,3,FALSE()),0)</f>
        <v>0</v>
      </c>
      <c r="G18" s="72">
        <f>IFERROR(VLOOKUP($C18,Dato_Transf!$A:$G,4,FALSE()),0)</f>
        <v>0</v>
      </c>
      <c r="H18" s="121">
        <f t="shared" si="30"/>
        <v>0</v>
      </c>
      <c r="I18" s="66" t="str">
        <f>IF(H18=0," ",VLOOKUP($C18,Dato_Transf!$A:$G,7,FALSE))</f>
        <v xml:space="preserve"> </v>
      </c>
      <c r="J18" s="72">
        <f>IFERROR(VLOOKUP($C18,Dato_Transf!$A:$G,5,FALSE()),0)</f>
        <v>0</v>
      </c>
      <c r="K18" s="72">
        <f>IFERROR(VLOOKUP($C18,Dato_Transf!$A:$G,6,FALSE()),0)</f>
        <v>0</v>
      </c>
      <c r="L18" s="121">
        <f t="shared" si="31"/>
        <v>0</v>
      </c>
      <c r="M18" s="66" t="str">
        <f>IF(L18=0," ",VLOOKUP($C18,Dato_Transf!$A:$G,7,FALSE))</f>
        <v xml:space="preserve"> </v>
      </c>
      <c r="N18" s="72">
        <f>IFERROR(VLOOKUP($C18,Dato_Transf!$H:$N,3,FALSE()),0)</f>
        <v>0</v>
      </c>
      <c r="O18" s="72">
        <f>IFERROR(VLOOKUP($C18,Dato_Transf!$H:$N,4,FALSE()),0)</f>
        <v>0</v>
      </c>
      <c r="P18" s="121">
        <f t="shared" si="16"/>
        <v>0</v>
      </c>
      <c r="Q18" s="66" t="str">
        <f>IF(P18=0," ",VLOOKUP($C18,Dato_Transf!$H:$N,7,FALSE()))</f>
        <v xml:space="preserve"> </v>
      </c>
      <c r="R18" s="72">
        <f>IFERROR(VLOOKUP($C18,Dato_Transf!$H:$N,5,FALSE()),0)</f>
        <v>0</v>
      </c>
      <c r="S18" s="72">
        <f>IFERROR(VLOOKUP($C18,Dato_Transf!$H:$N,6,FALSE()),0)</f>
        <v>0</v>
      </c>
      <c r="T18" s="121">
        <f t="shared" si="17"/>
        <v>0</v>
      </c>
      <c r="U18" s="66" t="str">
        <f>IF(T18=0," ",VLOOKUP($C18,Dato_Transf!$H:$N,7,FALSE()))</f>
        <v xml:space="preserve"> </v>
      </c>
      <c r="V18" s="72">
        <f>IFERROR(VLOOKUP($C18,Dato_Transf!$O:$U,3,FALSE()),0)</f>
        <v>0</v>
      </c>
      <c r="W18" s="72">
        <f>IFERROR(VLOOKUP($C18,Dato_Transf!$O:$U,4,FALSE()),0)</f>
        <v>0</v>
      </c>
      <c r="X18" s="121">
        <f t="shared" si="18"/>
        <v>0</v>
      </c>
      <c r="Y18" s="66" t="str">
        <f>IF(X18=0," ",VLOOKUP($C18,Dato_Transf!$O:$U,7,FALSE()))</f>
        <v xml:space="preserve"> </v>
      </c>
      <c r="Z18" s="72">
        <f>IFERROR(VLOOKUP($C18,Dato_Transf!$O:$U,5,FALSE()),0)</f>
        <v>0</v>
      </c>
      <c r="AA18" s="72">
        <f>IFERROR(VLOOKUP($C18,Dato_Transf!$O:$U,6,FALSE()),0)</f>
        <v>0</v>
      </c>
      <c r="AB18" s="121">
        <f t="shared" si="19"/>
        <v>0</v>
      </c>
      <c r="AC18" s="66" t="str">
        <f>IF(AB18=0," ",VLOOKUP($C18,Dato_Transf!$O:$U,7,FALSE()))</f>
        <v xml:space="preserve"> </v>
      </c>
      <c r="AD18" s="72">
        <f>IFERROR(VLOOKUP($C18,Dato_Transf!$V:$AB,3,FALSE()),0)</f>
        <v>0</v>
      </c>
      <c r="AE18" s="72">
        <f>IFERROR(VLOOKUP($C18,Dato_Transf!$V:$AB,4,FALSE()),0)</f>
        <v>0</v>
      </c>
      <c r="AF18" s="121">
        <f t="shared" si="20"/>
        <v>0</v>
      </c>
      <c r="AG18" s="66" t="str">
        <f>IF(AF18=0," ",VLOOKUP($C18,Dato_Transf!$V:$AB,7,FALSE()))</f>
        <v xml:space="preserve"> </v>
      </c>
      <c r="AH18" s="72">
        <f>IFERROR(VLOOKUP($C18,Dato_Transf!$V:$AB,5,FALSE()),0)</f>
        <v>0</v>
      </c>
      <c r="AI18" s="72">
        <f>IFERROR(VLOOKUP($C18,Dato_Transf!$V:$AB,6,FALSE()),0)</f>
        <v>0</v>
      </c>
      <c r="AJ18" s="121">
        <f t="shared" si="21"/>
        <v>0</v>
      </c>
      <c r="AK18" s="66" t="str">
        <f>IF(AJ18=0," ",VLOOKUP($C18,Dato_Transf!$V:$AB,7,FALSE()))</f>
        <v xml:space="preserve"> </v>
      </c>
      <c r="AL18" s="72">
        <f>IFERROR(VLOOKUP($C18,Dato_Transf!$AC:$AI,3,FALSE()),0)</f>
        <v>0</v>
      </c>
      <c r="AM18" s="72">
        <f>IFERROR(VLOOKUP($C18,Dato_Transf!$AC:$AI,4,FALSE()),0)</f>
        <v>0</v>
      </c>
      <c r="AN18" s="121">
        <f t="shared" si="22"/>
        <v>0</v>
      </c>
      <c r="AO18" s="66" t="str">
        <f>IF(AN18=0," ",VLOOKUP($C18,Dato_Transf!$AC:$AI,7,FALSE()))</f>
        <v xml:space="preserve"> </v>
      </c>
      <c r="AP18" s="72">
        <f>IFERROR(VLOOKUP($C18,Dato_Transf!$AC:$AI,5,FALSE()),0)</f>
        <v>0</v>
      </c>
      <c r="AQ18" s="72">
        <f>IFERROR(VLOOKUP($C18,Dato_Transf!$AC:$AI,6,FALSE()),0)</f>
        <v>0</v>
      </c>
      <c r="AR18" s="121">
        <f t="shared" si="23"/>
        <v>0</v>
      </c>
      <c r="AS18" s="66" t="str">
        <f>IF(AR18=0," ",VLOOKUP($C18,Dato_Transf!$AC:$AI,7,FALSE()))</f>
        <v xml:space="preserve"> </v>
      </c>
      <c r="AT18" s="72">
        <f>IFERROR(VLOOKUP($C18,Dato_Transf!$AJ:$AP,3,FALSE()),0)</f>
        <v>0</v>
      </c>
      <c r="AU18" s="72">
        <f>IFERROR(VLOOKUP($C18,Dato_Transf!$AJ:$AP,4,FALSE()),0)</f>
        <v>0</v>
      </c>
      <c r="AV18" s="121">
        <f t="shared" si="24"/>
        <v>0</v>
      </c>
      <c r="AW18" s="66" t="str">
        <f>IF(AV18=0," ",VLOOKUP($C18,Dato_Transf!$AJ:$AP,7,FALSE()))</f>
        <v xml:space="preserve"> </v>
      </c>
      <c r="AX18" s="72">
        <f>IFERROR(VLOOKUP($C18,Dato_Transf!$AJ:$AP,5,FALSE()),0)</f>
        <v>0</v>
      </c>
      <c r="AY18" s="72">
        <f>IFERROR(VLOOKUP($C18,Dato_Transf!$AJ:$AP,6,FALSE()),0)</f>
        <v>0</v>
      </c>
      <c r="AZ18" s="121">
        <f t="shared" si="25"/>
        <v>0</v>
      </c>
      <c r="BA18" s="66" t="str">
        <f>IF(AZ18=0," ",VLOOKUP($C18,Dato_Transf!$AJ:$AP,7,FALSE()))</f>
        <v xml:space="preserve"> </v>
      </c>
      <c r="BB18" s="72">
        <f>IFERROR(VLOOKUP($C18,Dato_Transf!$AQ:$AW,3,FALSE()),0)</f>
        <v>0</v>
      </c>
      <c r="BC18" s="72">
        <f>IFERROR(VLOOKUP($C18,Dato_Transf!$AQ:$AW,4,FALSE()),0)</f>
        <v>0</v>
      </c>
      <c r="BD18" s="121">
        <f t="shared" si="26"/>
        <v>0</v>
      </c>
      <c r="BE18" s="66" t="str">
        <f>IF(BD18=0," ",VLOOKUP($C18,Dato_Transf!$AQ:$AW,7,FALSE()))</f>
        <v xml:space="preserve"> </v>
      </c>
      <c r="BF18" s="72">
        <f>IFERROR(VLOOKUP($C18,Dato_Transf!$AQ:$AW,5,FALSE()),0)</f>
        <v>0</v>
      </c>
      <c r="BG18" s="72">
        <f>IFERROR(VLOOKUP($C18,Dato_Transf!$AQ:$AW,6,FALSE()),0)</f>
        <v>0</v>
      </c>
      <c r="BH18" s="121">
        <f t="shared" si="27"/>
        <v>0</v>
      </c>
      <c r="BI18" s="66" t="str">
        <f>IF(BH18=0," ",VLOOKUP($C18,Dato_Transf!$AQ:$AW,7,FALSE()))</f>
        <v xml:space="preserve"> </v>
      </c>
      <c r="BJ18" s="119">
        <f t="shared" si="28"/>
        <v>0</v>
      </c>
      <c r="BK18" s="120">
        <f t="shared" si="29"/>
        <v>0</v>
      </c>
      <c r="BL18" s="55"/>
      <c r="BV18" s="55"/>
    </row>
    <row r="19" spans="2:74" ht="30" customHeight="1" x14ac:dyDescent="0.3">
      <c r="B19" s="39">
        <v>10</v>
      </c>
      <c r="C19" s="96" t="str">
        <f>VLOOKUP(D19,EMPLEADO!C:Q,15,FALSE)</f>
        <v>PINTA PINTA WILMER ROLANDO</v>
      </c>
      <c r="D19" s="27" t="s">
        <v>99</v>
      </c>
      <c r="E19" s="59" t="s">
        <v>18</v>
      </c>
      <c r="F19" s="72">
        <f>IFERROR(VLOOKUP($C19,Dato_Transf!$A:$G,3,FALSE()),0)</f>
        <v>0</v>
      </c>
      <c r="G19" s="72">
        <f>IFERROR(VLOOKUP($C19,Dato_Transf!$A:$G,4,FALSE()),0)</f>
        <v>0</v>
      </c>
      <c r="H19" s="121">
        <f t="shared" si="30"/>
        <v>0</v>
      </c>
      <c r="I19" s="66" t="str">
        <f>IF(H19=0," ",VLOOKUP($C19,Dato_Transf!$A:$G,7,FALSE))</f>
        <v xml:space="preserve"> </v>
      </c>
      <c r="J19" s="72">
        <f>IFERROR(VLOOKUP($C19,Dato_Transf!$A:$G,5,FALSE()),0)</f>
        <v>0</v>
      </c>
      <c r="K19" s="72">
        <f>IFERROR(VLOOKUP($C19,Dato_Transf!$A:$G,6,FALSE()),0)</f>
        <v>0</v>
      </c>
      <c r="L19" s="121">
        <f t="shared" si="31"/>
        <v>0</v>
      </c>
      <c r="M19" s="66" t="str">
        <f>IF(L19=0," ",VLOOKUP($C19,Dato_Transf!$A:$G,7,FALSE))</f>
        <v xml:space="preserve"> </v>
      </c>
      <c r="N19" s="72">
        <f>IFERROR(VLOOKUP($C19,Dato_Transf!$H:$N,3,FALSE()),0)</f>
        <v>0</v>
      </c>
      <c r="O19" s="72">
        <f>IFERROR(VLOOKUP($C19,Dato_Transf!$H:$N,4,FALSE()),0)</f>
        <v>0</v>
      </c>
      <c r="P19" s="121">
        <f t="shared" si="16"/>
        <v>0</v>
      </c>
      <c r="Q19" s="66" t="str">
        <f>IF(P19=0," ",VLOOKUP($C19,Dato_Transf!$H:$N,7,FALSE()))</f>
        <v xml:space="preserve"> </v>
      </c>
      <c r="R19" s="72">
        <f>IFERROR(VLOOKUP($C19,Dato_Transf!$H:$N,5,FALSE()),0)</f>
        <v>0</v>
      </c>
      <c r="S19" s="72">
        <f>IFERROR(VLOOKUP($C19,Dato_Transf!$H:$N,6,FALSE()),0)</f>
        <v>0</v>
      </c>
      <c r="T19" s="121">
        <f t="shared" si="17"/>
        <v>0</v>
      </c>
      <c r="U19" s="66" t="str">
        <f>IF(T19=0," ",VLOOKUP($C19,Dato_Transf!$H:$N,7,FALSE()))</f>
        <v xml:space="preserve"> </v>
      </c>
      <c r="V19" s="72">
        <f>IFERROR(VLOOKUP($C19,Dato_Transf!$O:$U,3,FALSE()),0)</f>
        <v>0</v>
      </c>
      <c r="W19" s="72">
        <f>IFERROR(VLOOKUP($C19,Dato_Transf!$O:$U,4,FALSE()),0)</f>
        <v>0</v>
      </c>
      <c r="X19" s="121">
        <f t="shared" si="18"/>
        <v>0</v>
      </c>
      <c r="Y19" s="66" t="str">
        <f>IF(X19=0," ",VLOOKUP($C19,Dato_Transf!$O:$U,7,FALSE()))</f>
        <v xml:space="preserve"> </v>
      </c>
      <c r="Z19" s="72">
        <f>IFERROR(VLOOKUP($C19,Dato_Transf!$O:$U,5,FALSE()),0)</f>
        <v>0</v>
      </c>
      <c r="AA19" s="72">
        <f>IFERROR(VLOOKUP($C19,Dato_Transf!$O:$U,6,FALSE()),0)</f>
        <v>0</v>
      </c>
      <c r="AB19" s="121">
        <f t="shared" si="19"/>
        <v>0</v>
      </c>
      <c r="AC19" s="66" t="str">
        <f>IF(AB19=0," ",VLOOKUP($C19,Dato_Transf!$O:$U,7,FALSE()))</f>
        <v xml:space="preserve"> </v>
      </c>
      <c r="AD19" s="72">
        <f>IFERROR(VLOOKUP($C19,Dato_Transf!$V:$AB,3,FALSE()),0)</f>
        <v>0</v>
      </c>
      <c r="AE19" s="72">
        <f>IFERROR(VLOOKUP($C19,Dato_Transf!$V:$AB,4,FALSE()),0)</f>
        <v>0</v>
      </c>
      <c r="AF19" s="121">
        <f t="shared" si="20"/>
        <v>0</v>
      </c>
      <c r="AG19" s="66" t="str">
        <f>IF(AF19=0," ",VLOOKUP($C19,Dato_Transf!$V:$AB,7,FALSE()))</f>
        <v xml:space="preserve"> </v>
      </c>
      <c r="AH19" s="72">
        <f>IFERROR(VLOOKUP($C19,Dato_Transf!$V:$AB,5,FALSE()),0)</f>
        <v>0</v>
      </c>
      <c r="AI19" s="72">
        <f>IFERROR(VLOOKUP($C19,Dato_Transf!$V:$AB,6,FALSE()),0)</f>
        <v>0</v>
      </c>
      <c r="AJ19" s="121">
        <f t="shared" si="21"/>
        <v>0</v>
      </c>
      <c r="AK19" s="66" t="str">
        <f>IF(AJ19=0," ",VLOOKUP($C19,Dato_Transf!$V:$AB,7,FALSE()))</f>
        <v xml:space="preserve"> </v>
      </c>
      <c r="AL19" s="72">
        <f>IFERROR(VLOOKUP($C19,Dato_Transf!$AC:$AI,3,FALSE()),0)</f>
        <v>0</v>
      </c>
      <c r="AM19" s="72">
        <f>IFERROR(VLOOKUP($C19,Dato_Transf!$AC:$AI,4,FALSE()),0)</f>
        <v>0</v>
      </c>
      <c r="AN19" s="121">
        <f t="shared" si="22"/>
        <v>0</v>
      </c>
      <c r="AO19" s="66" t="str">
        <f>IF(AN19=0," ",VLOOKUP($C19,Dato_Transf!$AC:$AI,7,FALSE()))</f>
        <v xml:space="preserve"> </v>
      </c>
      <c r="AP19" s="72">
        <f>IFERROR(VLOOKUP($C19,Dato_Transf!$AC:$AI,5,FALSE()),0)</f>
        <v>0</v>
      </c>
      <c r="AQ19" s="72">
        <f>IFERROR(VLOOKUP($C19,Dato_Transf!$AC:$AI,6,FALSE()),0)</f>
        <v>0</v>
      </c>
      <c r="AR19" s="121">
        <f t="shared" si="23"/>
        <v>0</v>
      </c>
      <c r="AS19" s="66" t="str">
        <f>IF(AR19=0," ",VLOOKUP($C19,Dato_Transf!$AC:$AI,7,FALSE()))</f>
        <v xml:space="preserve"> </v>
      </c>
      <c r="AT19" s="72">
        <f>IFERROR(VLOOKUP($C19,Dato_Transf!$AJ:$AP,3,FALSE()),0)</f>
        <v>0</v>
      </c>
      <c r="AU19" s="72">
        <f>IFERROR(VLOOKUP($C19,Dato_Transf!$AJ:$AP,4,FALSE()),0)</f>
        <v>0</v>
      </c>
      <c r="AV19" s="121">
        <f t="shared" si="24"/>
        <v>0</v>
      </c>
      <c r="AW19" s="66" t="str">
        <f>IF(AV19=0," ",VLOOKUP($C19,Dato_Transf!$AJ:$AP,7,FALSE()))</f>
        <v xml:space="preserve"> </v>
      </c>
      <c r="AX19" s="72">
        <f>IFERROR(VLOOKUP($C19,Dato_Transf!$AJ:$AP,5,FALSE()),0)</f>
        <v>0</v>
      </c>
      <c r="AY19" s="72">
        <f>IFERROR(VLOOKUP($C19,Dato_Transf!$AJ:$AP,6,FALSE()),0)</f>
        <v>0</v>
      </c>
      <c r="AZ19" s="121">
        <f t="shared" si="25"/>
        <v>0</v>
      </c>
      <c r="BA19" s="66" t="str">
        <f>IF(AZ19=0," ",VLOOKUP($C19,Dato_Transf!$AJ:$AP,7,FALSE()))</f>
        <v xml:space="preserve"> </v>
      </c>
      <c r="BB19" s="72">
        <f>IFERROR(VLOOKUP($C19,Dato_Transf!$AQ:$AW,3,FALSE()),0)</f>
        <v>0</v>
      </c>
      <c r="BC19" s="72">
        <f>IFERROR(VLOOKUP($C19,Dato_Transf!$AQ:$AW,4,FALSE()),0)</f>
        <v>0</v>
      </c>
      <c r="BD19" s="121">
        <f t="shared" si="26"/>
        <v>0</v>
      </c>
      <c r="BE19" s="66" t="str">
        <f>IF(BD19=0," ",VLOOKUP($C19,Dato_Transf!$AQ:$AW,7,FALSE()))</f>
        <v xml:space="preserve"> </v>
      </c>
      <c r="BF19" s="72">
        <f>IFERROR(VLOOKUP($C19,Dato_Transf!$AQ:$AW,5,FALSE()),0)</f>
        <v>0</v>
      </c>
      <c r="BG19" s="72">
        <f>IFERROR(VLOOKUP($C19,Dato_Transf!$AQ:$AW,6,FALSE()),0)</f>
        <v>0</v>
      </c>
      <c r="BH19" s="121">
        <f t="shared" si="27"/>
        <v>0</v>
      </c>
      <c r="BI19" s="66" t="str">
        <f>IF(BH19=0," ",VLOOKUP($C19,Dato_Transf!$AQ:$AW,7,FALSE()))</f>
        <v xml:space="preserve"> </v>
      </c>
      <c r="BJ19" s="119">
        <f t="shared" si="28"/>
        <v>0</v>
      </c>
      <c r="BK19" s="120">
        <f t="shared" si="29"/>
        <v>0</v>
      </c>
      <c r="BL19" s="55"/>
      <c r="BV19" s="55"/>
    </row>
    <row r="20" spans="2:74" ht="30" customHeight="1" x14ac:dyDescent="0.3">
      <c r="B20" s="39">
        <v>11</v>
      </c>
      <c r="C20" s="96" t="str">
        <f>VLOOKUP(D20,EMPLEADO!C:Q,15,FALSE)</f>
        <v>SIMANCAS AGUILAR DAVID MOISES</v>
      </c>
      <c r="D20" s="27" t="s">
        <v>173</v>
      </c>
      <c r="E20" s="59" t="s">
        <v>18</v>
      </c>
      <c r="F20" s="72">
        <f>IFERROR(VLOOKUP($C20,Dato_Transf!$A:$G,3,FALSE()),0)</f>
        <v>0</v>
      </c>
      <c r="G20" s="72">
        <f>IFERROR(VLOOKUP($C20,Dato_Transf!$A:$G,4,FALSE()),0)</f>
        <v>0</v>
      </c>
      <c r="H20" s="121">
        <f t="shared" si="30"/>
        <v>0</v>
      </c>
      <c r="I20" s="66" t="str">
        <f>IF(H20=0," ",VLOOKUP($C20,Dato_Transf!$A:$G,7,FALSE))</f>
        <v xml:space="preserve"> </v>
      </c>
      <c r="J20" s="72">
        <f>IFERROR(VLOOKUP($C20,Dato_Transf!$A:$G,5,FALSE()),0)</f>
        <v>0</v>
      </c>
      <c r="K20" s="72">
        <f>IFERROR(VLOOKUP($C20,Dato_Transf!$A:$G,6,FALSE()),0)</f>
        <v>0</v>
      </c>
      <c r="L20" s="121">
        <f t="shared" si="31"/>
        <v>0</v>
      </c>
      <c r="M20" s="66" t="str">
        <f>IF(L20=0," ",VLOOKUP($C20,Dato_Transf!$A:$G,7,FALSE))</f>
        <v xml:space="preserve"> </v>
      </c>
      <c r="N20" s="72">
        <f>IFERROR(VLOOKUP($C20,Dato_Transf!$H:$N,3,FALSE()),0)</f>
        <v>0</v>
      </c>
      <c r="O20" s="72">
        <f>IFERROR(VLOOKUP($C20,Dato_Transf!$H:$N,4,FALSE()),0)</f>
        <v>0</v>
      </c>
      <c r="P20" s="121">
        <f t="shared" si="16"/>
        <v>0</v>
      </c>
      <c r="Q20" s="66" t="str">
        <f>IF(P20=0," ",VLOOKUP($C20,Dato_Transf!$H:$N,7,FALSE()))</f>
        <v xml:space="preserve"> </v>
      </c>
      <c r="R20" s="72">
        <f>IFERROR(VLOOKUP($C20,Dato_Transf!$H:$N,5,FALSE()),0)</f>
        <v>0</v>
      </c>
      <c r="S20" s="72">
        <f>IFERROR(VLOOKUP($C20,Dato_Transf!$H:$N,6,FALSE()),0)</f>
        <v>0</v>
      </c>
      <c r="T20" s="121">
        <f t="shared" si="17"/>
        <v>0</v>
      </c>
      <c r="U20" s="66" t="str">
        <f>IF(T20=0," ",VLOOKUP($C20,Dato_Transf!$H:$N,7,FALSE()))</f>
        <v xml:space="preserve"> </v>
      </c>
      <c r="V20" s="72">
        <f>IFERROR(VLOOKUP($C20,Dato_Transf!$O:$U,3,FALSE()),0)</f>
        <v>0</v>
      </c>
      <c r="W20" s="72">
        <f>IFERROR(VLOOKUP($C20,Dato_Transf!$O:$U,4,FALSE()),0)</f>
        <v>0</v>
      </c>
      <c r="X20" s="121">
        <f t="shared" si="18"/>
        <v>0</v>
      </c>
      <c r="Y20" s="66" t="str">
        <f>IF(X20=0," ",VLOOKUP($C20,Dato_Transf!$O:$U,7,FALSE()))</f>
        <v xml:space="preserve"> </v>
      </c>
      <c r="Z20" s="72">
        <f>IFERROR(VLOOKUP($C20,Dato_Transf!$O:$U,5,FALSE()),0)</f>
        <v>0</v>
      </c>
      <c r="AA20" s="72">
        <f>IFERROR(VLOOKUP($C20,Dato_Transf!$O:$U,6,FALSE()),0)</f>
        <v>0</v>
      </c>
      <c r="AB20" s="121">
        <f t="shared" si="19"/>
        <v>0</v>
      </c>
      <c r="AC20" s="66" t="str">
        <f>IF(AB20=0," ",VLOOKUP($C20,Dato_Transf!$O:$U,7,FALSE()))</f>
        <v xml:space="preserve"> </v>
      </c>
      <c r="AD20" s="72">
        <f>IFERROR(VLOOKUP($C20,Dato_Transf!$V:$AB,3,FALSE()),0)</f>
        <v>0</v>
      </c>
      <c r="AE20" s="72">
        <f>IFERROR(VLOOKUP($C20,Dato_Transf!$V:$AB,4,FALSE()),0)</f>
        <v>0</v>
      </c>
      <c r="AF20" s="121">
        <f t="shared" si="20"/>
        <v>0</v>
      </c>
      <c r="AG20" s="66" t="str">
        <f>IF(AF20=0," ",VLOOKUP($C20,Dato_Transf!$V:$AB,7,FALSE()))</f>
        <v xml:space="preserve"> </v>
      </c>
      <c r="AH20" s="72">
        <f>IFERROR(VLOOKUP($C20,Dato_Transf!$V:$AB,5,FALSE()),0)</f>
        <v>0</v>
      </c>
      <c r="AI20" s="72">
        <f>IFERROR(VLOOKUP($C20,Dato_Transf!$V:$AB,6,FALSE()),0)</f>
        <v>0</v>
      </c>
      <c r="AJ20" s="121">
        <f t="shared" si="21"/>
        <v>0</v>
      </c>
      <c r="AK20" s="66" t="str">
        <f>IF(AJ20=0," ",VLOOKUP($C20,Dato_Transf!$V:$AB,7,FALSE()))</f>
        <v xml:space="preserve"> </v>
      </c>
      <c r="AL20" s="72">
        <f>IFERROR(VLOOKUP($C20,Dato_Transf!$AC:$AI,3,FALSE()),0)</f>
        <v>0</v>
      </c>
      <c r="AM20" s="72">
        <f>IFERROR(VLOOKUP($C20,Dato_Transf!$AC:$AI,4,FALSE()),0)</f>
        <v>0</v>
      </c>
      <c r="AN20" s="121">
        <f t="shared" si="22"/>
        <v>0</v>
      </c>
      <c r="AO20" s="66" t="str">
        <f>IF(AN20=0," ",VLOOKUP($C20,Dato_Transf!$AC:$AI,7,FALSE()))</f>
        <v xml:space="preserve"> </v>
      </c>
      <c r="AP20" s="72">
        <f>IFERROR(VLOOKUP($C20,Dato_Transf!$AC:$AI,5,FALSE()),0)</f>
        <v>0</v>
      </c>
      <c r="AQ20" s="72">
        <f>IFERROR(VLOOKUP($C20,Dato_Transf!$AC:$AI,6,FALSE()),0)</f>
        <v>0</v>
      </c>
      <c r="AR20" s="121">
        <f t="shared" si="23"/>
        <v>0</v>
      </c>
      <c r="AS20" s="66" t="str">
        <f>IF(AR20=0," ",VLOOKUP($C20,Dato_Transf!$AC:$AI,7,FALSE()))</f>
        <v xml:space="preserve"> </v>
      </c>
      <c r="AT20" s="72">
        <f>IFERROR(VLOOKUP($C20,Dato_Transf!$AJ:$AP,3,FALSE()),0)</f>
        <v>0</v>
      </c>
      <c r="AU20" s="72">
        <f>IFERROR(VLOOKUP($C20,Dato_Transf!$AJ:$AP,4,FALSE()),0)</f>
        <v>0</v>
      </c>
      <c r="AV20" s="121">
        <f t="shared" si="24"/>
        <v>0</v>
      </c>
      <c r="AW20" s="66" t="str">
        <f>IF(AV20=0," ",VLOOKUP($C20,Dato_Transf!$AJ:$AP,7,FALSE()))</f>
        <v xml:space="preserve"> </v>
      </c>
      <c r="AX20" s="72">
        <f>IFERROR(VLOOKUP($C20,Dato_Transf!$AJ:$AP,5,FALSE()),0)</f>
        <v>0</v>
      </c>
      <c r="AY20" s="72">
        <f>IFERROR(VLOOKUP($C20,Dato_Transf!$AJ:$AP,6,FALSE()),0)</f>
        <v>0</v>
      </c>
      <c r="AZ20" s="121">
        <f t="shared" si="25"/>
        <v>0</v>
      </c>
      <c r="BA20" s="66" t="str">
        <f>IF(AZ20=0," ",VLOOKUP($C20,Dato_Transf!$AJ:$AP,7,FALSE()))</f>
        <v xml:space="preserve"> </v>
      </c>
      <c r="BB20" s="72">
        <f>IFERROR(VLOOKUP($C20,Dato_Transf!$AQ:$AW,3,FALSE()),0)</f>
        <v>0</v>
      </c>
      <c r="BC20" s="72">
        <f>IFERROR(VLOOKUP($C20,Dato_Transf!$AQ:$AW,4,FALSE()),0)</f>
        <v>0</v>
      </c>
      <c r="BD20" s="121">
        <f t="shared" si="26"/>
        <v>0</v>
      </c>
      <c r="BE20" s="66" t="str">
        <f>IF(BD20=0," ",VLOOKUP($C20,Dato_Transf!$AQ:$AW,7,FALSE()))</f>
        <v xml:space="preserve"> </v>
      </c>
      <c r="BF20" s="72">
        <f>IFERROR(VLOOKUP($C20,Dato_Transf!$AQ:$AW,5,FALSE()),0)</f>
        <v>0</v>
      </c>
      <c r="BG20" s="72">
        <f>IFERROR(VLOOKUP($C20,Dato_Transf!$AQ:$AW,6,FALSE()),0)</f>
        <v>0</v>
      </c>
      <c r="BH20" s="121">
        <f t="shared" si="27"/>
        <v>0</v>
      </c>
      <c r="BI20" s="66" t="str">
        <f>IF(BH20=0," ",VLOOKUP($C20,Dato_Transf!$AQ:$AW,7,FALSE()))</f>
        <v xml:space="preserve"> </v>
      </c>
      <c r="BJ20" s="119">
        <f t="shared" si="28"/>
        <v>0</v>
      </c>
      <c r="BK20" s="120">
        <f t="shared" si="29"/>
        <v>0</v>
      </c>
      <c r="BL20" s="55"/>
      <c r="BV20" s="55"/>
    </row>
    <row r="21" spans="2:74" ht="30" customHeight="1" x14ac:dyDescent="0.3">
      <c r="B21" s="39">
        <v>12</v>
      </c>
      <c r="C21" s="96" t="str">
        <f>VLOOKUP(D21,EMPLEADO!C:Q,15,FALSE)</f>
        <v>CANGO CUEVA FRANCISCO ARMANDO</v>
      </c>
      <c r="D21" s="27" t="s">
        <v>174</v>
      </c>
      <c r="E21" s="59" t="s">
        <v>18</v>
      </c>
      <c r="F21" s="72">
        <f>IFERROR(VLOOKUP($C21,Dato_Transf!$A:$G,3,FALSE()),0)</f>
        <v>0</v>
      </c>
      <c r="G21" s="72">
        <f>IFERROR(VLOOKUP($C21,Dato_Transf!$A:$G,4,FALSE()),0)</f>
        <v>0</v>
      </c>
      <c r="H21" s="121">
        <f t="shared" si="30"/>
        <v>0</v>
      </c>
      <c r="I21" s="66" t="str">
        <f>IF(H21=0," ",VLOOKUP($C21,Dato_Transf!$A:$G,7,FALSE))</f>
        <v xml:space="preserve"> </v>
      </c>
      <c r="J21" s="72">
        <f>IFERROR(VLOOKUP($C21,Dato_Transf!$A:$G,5,FALSE()),0)</f>
        <v>0</v>
      </c>
      <c r="K21" s="72">
        <f>IFERROR(VLOOKUP($C21,Dato_Transf!$A:$G,6,FALSE()),0)</f>
        <v>0</v>
      </c>
      <c r="L21" s="121">
        <f t="shared" si="31"/>
        <v>0</v>
      </c>
      <c r="M21" s="66" t="str">
        <f>IF(L21=0," ",VLOOKUP($C21,Dato_Transf!$A:$G,7,FALSE))</f>
        <v xml:space="preserve"> </v>
      </c>
      <c r="N21" s="72">
        <f>IFERROR(VLOOKUP($C21,Dato_Transf!$H:$N,3,FALSE()),0)</f>
        <v>0</v>
      </c>
      <c r="O21" s="72">
        <f>IFERROR(VLOOKUP($C21,Dato_Transf!$H:$N,4,FALSE()),0)</f>
        <v>0</v>
      </c>
      <c r="P21" s="121">
        <f t="shared" si="16"/>
        <v>0</v>
      </c>
      <c r="Q21" s="66" t="str">
        <f>IF(P21=0," ",VLOOKUP($C21,Dato_Transf!$H:$N,7,FALSE()))</f>
        <v xml:space="preserve"> </v>
      </c>
      <c r="R21" s="72">
        <f>IFERROR(VLOOKUP($C21,Dato_Transf!$H:$N,5,FALSE()),0)</f>
        <v>0</v>
      </c>
      <c r="S21" s="72">
        <f>IFERROR(VLOOKUP($C21,Dato_Transf!$H:$N,6,FALSE()),0)</f>
        <v>0</v>
      </c>
      <c r="T21" s="121">
        <f t="shared" si="17"/>
        <v>0</v>
      </c>
      <c r="U21" s="66" t="str">
        <f>IF(T21=0," ",VLOOKUP($C21,Dato_Transf!$H:$N,7,FALSE()))</f>
        <v xml:space="preserve"> </v>
      </c>
      <c r="V21" s="72">
        <f>IFERROR(VLOOKUP($C21,Dato_Transf!$O:$U,3,FALSE()),0)</f>
        <v>0</v>
      </c>
      <c r="W21" s="72">
        <f>IFERROR(VLOOKUP($C21,Dato_Transf!$O:$U,4,FALSE()),0)</f>
        <v>0</v>
      </c>
      <c r="X21" s="121">
        <f t="shared" si="18"/>
        <v>0</v>
      </c>
      <c r="Y21" s="66" t="str">
        <f>IF(X21=0," ",VLOOKUP($C21,Dato_Transf!$O:$U,7,FALSE()))</f>
        <v xml:space="preserve"> </v>
      </c>
      <c r="Z21" s="72">
        <f>IFERROR(VLOOKUP($C21,Dato_Transf!$O:$U,5,FALSE()),0)</f>
        <v>0</v>
      </c>
      <c r="AA21" s="72">
        <f>IFERROR(VLOOKUP($C21,Dato_Transf!$O:$U,6,FALSE()),0)</f>
        <v>0</v>
      </c>
      <c r="AB21" s="121">
        <f t="shared" si="19"/>
        <v>0</v>
      </c>
      <c r="AC21" s="66" t="str">
        <f>IF(AB21=0," ",VLOOKUP($C21,Dato_Transf!$O:$U,7,FALSE()))</f>
        <v xml:space="preserve"> </v>
      </c>
      <c r="AD21" s="72">
        <f>IFERROR(VLOOKUP($C21,Dato_Transf!$V:$AB,3,FALSE()),0)</f>
        <v>0</v>
      </c>
      <c r="AE21" s="72">
        <f>IFERROR(VLOOKUP($C21,Dato_Transf!$V:$AB,4,FALSE()),0)</f>
        <v>0</v>
      </c>
      <c r="AF21" s="121">
        <f t="shared" si="20"/>
        <v>0</v>
      </c>
      <c r="AG21" s="66" t="str">
        <f>IF(AF21=0," ",VLOOKUP($C21,Dato_Transf!$V:$AB,7,FALSE()))</f>
        <v xml:space="preserve"> </v>
      </c>
      <c r="AH21" s="72">
        <f>IFERROR(VLOOKUP($C21,Dato_Transf!$V:$AB,5,FALSE()),0)</f>
        <v>0</v>
      </c>
      <c r="AI21" s="72">
        <f>IFERROR(VLOOKUP($C21,Dato_Transf!$V:$AB,6,FALSE()),0)</f>
        <v>0</v>
      </c>
      <c r="AJ21" s="121">
        <f t="shared" si="21"/>
        <v>0</v>
      </c>
      <c r="AK21" s="66" t="str">
        <f>IF(AJ21=0," ",VLOOKUP($C21,Dato_Transf!$V:$AB,7,FALSE()))</f>
        <v xml:space="preserve"> </v>
      </c>
      <c r="AL21" s="72">
        <f>IFERROR(VLOOKUP($C21,Dato_Transf!$AC:$AI,3,FALSE()),0)</f>
        <v>0</v>
      </c>
      <c r="AM21" s="72">
        <f>IFERROR(VLOOKUP($C21,Dato_Transf!$AC:$AI,4,FALSE()),0)</f>
        <v>0</v>
      </c>
      <c r="AN21" s="121">
        <f t="shared" si="22"/>
        <v>0</v>
      </c>
      <c r="AO21" s="66" t="str">
        <f>IF(AN21=0," ",VLOOKUP($C21,Dato_Transf!$AC:$AI,7,FALSE()))</f>
        <v xml:space="preserve"> </v>
      </c>
      <c r="AP21" s="72">
        <f>IFERROR(VLOOKUP($C21,Dato_Transf!$AC:$AI,5,FALSE()),0)</f>
        <v>0</v>
      </c>
      <c r="AQ21" s="72">
        <f>IFERROR(VLOOKUP($C21,Dato_Transf!$AC:$AI,6,FALSE()),0)</f>
        <v>0</v>
      </c>
      <c r="AR21" s="121">
        <f t="shared" si="23"/>
        <v>0</v>
      </c>
      <c r="AS21" s="66" t="str">
        <f>IF(AR21=0," ",VLOOKUP($C21,Dato_Transf!$AC:$AI,7,FALSE()))</f>
        <v xml:space="preserve"> </v>
      </c>
      <c r="AT21" s="72">
        <f>IFERROR(VLOOKUP($C21,Dato_Transf!$AJ:$AP,3,FALSE()),0)</f>
        <v>0</v>
      </c>
      <c r="AU21" s="72">
        <f>IFERROR(VLOOKUP($C21,Dato_Transf!$AJ:$AP,4,FALSE()),0)</f>
        <v>0</v>
      </c>
      <c r="AV21" s="121">
        <f t="shared" si="24"/>
        <v>0</v>
      </c>
      <c r="AW21" s="66" t="str">
        <f>IF(AV21=0," ",VLOOKUP($C21,Dato_Transf!$AJ:$AP,7,FALSE()))</f>
        <v xml:space="preserve"> </v>
      </c>
      <c r="AX21" s="72">
        <f>IFERROR(VLOOKUP($C21,Dato_Transf!$AJ:$AP,5,FALSE()),0)</f>
        <v>0</v>
      </c>
      <c r="AY21" s="72">
        <f>IFERROR(VLOOKUP($C21,Dato_Transf!$AJ:$AP,6,FALSE()),0)</f>
        <v>0</v>
      </c>
      <c r="AZ21" s="121">
        <f t="shared" si="25"/>
        <v>0</v>
      </c>
      <c r="BA21" s="66" t="str">
        <f>IF(AZ21=0," ",VLOOKUP($C21,Dato_Transf!$AJ:$AP,7,FALSE()))</f>
        <v xml:space="preserve"> </v>
      </c>
      <c r="BB21" s="72">
        <f>IFERROR(VLOOKUP($C21,Dato_Transf!$AQ:$AW,3,FALSE()),0)</f>
        <v>0</v>
      </c>
      <c r="BC21" s="72">
        <f>IFERROR(VLOOKUP($C21,Dato_Transf!$AQ:$AW,4,FALSE()),0)</f>
        <v>0</v>
      </c>
      <c r="BD21" s="121">
        <f t="shared" si="26"/>
        <v>0</v>
      </c>
      <c r="BE21" s="66" t="str">
        <f>IF(BD21=0," ",VLOOKUP($C21,Dato_Transf!$AQ:$AW,7,FALSE()))</f>
        <v xml:space="preserve"> </v>
      </c>
      <c r="BF21" s="72">
        <f>IFERROR(VLOOKUP($C21,Dato_Transf!$AQ:$AW,5,FALSE()),0)</f>
        <v>0</v>
      </c>
      <c r="BG21" s="72">
        <f>IFERROR(VLOOKUP($C21,Dato_Transf!$AQ:$AW,6,FALSE()),0)</f>
        <v>0</v>
      </c>
      <c r="BH21" s="121">
        <f t="shared" si="27"/>
        <v>0</v>
      </c>
      <c r="BI21" s="66" t="str">
        <f>IF(BH21=0," ",VLOOKUP($C21,Dato_Transf!$AQ:$AW,7,FALSE()))</f>
        <v xml:space="preserve"> </v>
      </c>
      <c r="BJ21" s="119">
        <f t="shared" ref="BJ21" si="32">H21+P21+X21+AF21+AN21+AV21+BD21</f>
        <v>0</v>
      </c>
      <c r="BK21" s="120">
        <f t="shared" ref="BK21" si="33">L21+T21+AB21+AJ21+AR21+AZ21+BH21</f>
        <v>0</v>
      </c>
      <c r="BL21" s="55"/>
      <c r="BV21" s="55"/>
    </row>
    <row r="22" spans="2:74" ht="30" customHeight="1" x14ac:dyDescent="0.3">
      <c r="B22" s="39">
        <v>13</v>
      </c>
      <c r="C22" s="96" t="str">
        <f>VLOOKUP(D22,EMPLEADO!C:Q,15,FALSE)</f>
        <v>CHILA QUIÑONEZ KLEBER FELIPE</v>
      </c>
      <c r="D22" s="27" t="s">
        <v>185</v>
      </c>
      <c r="E22" s="59"/>
      <c r="F22" s="72">
        <f>IFERROR(VLOOKUP($C22,Dato_Transf!$A:$G,3,FALSE()),0)</f>
        <v>0</v>
      </c>
      <c r="G22" s="72">
        <f>IFERROR(VLOOKUP($C22,Dato_Transf!$A:$G,4,FALSE()),0)</f>
        <v>0</v>
      </c>
      <c r="H22" s="121">
        <f t="shared" ref="H22" si="34">IF($F$6="OJO H.E. AL 100%",0,(G22-F22)*24)</f>
        <v>0</v>
      </c>
      <c r="I22" s="66" t="str">
        <f>IF(H22=0," ",VLOOKUP($C22,Dato_Transf!$A:$G,7,FALSE))</f>
        <v xml:space="preserve"> </v>
      </c>
      <c r="J22" s="72">
        <f>IFERROR(VLOOKUP($C22,Dato_Transf!$A:$G,5,FALSE()),0)</f>
        <v>0</v>
      </c>
      <c r="K22" s="72">
        <f>IFERROR(VLOOKUP($C22,Dato_Transf!$A:$G,6,FALSE()),0)</f>
        <v>0</v>
      </c>
      <c r="L22" s="121">
        <f t="shared" ref="L22" si="35">(+K22-J22)*24</f>
        <v>0</v>
      </c>
      <c r="M22" s="66" t="str">
        <f>IF(L22=0," ",VLOOKUP($C22,Dato_Transf!$A:$G,7,FALSE))</f>
        <v xml:space="preserve"> </v>
      </c>
      <c r="N22" s="72">
        <f>IFERROR(VLOOKUP($C22,Dato_Transf!$H:$N,3,FALSE()),0)</f>
        <v>0</v>
      </c>
      <c r="O22" s="72">
        <f>IFERROR(VLOOKUP($C22,Dato_Transf!$H:$N,4,FALSE()),0)</f>
        <v>0</v>
      </c>
      <c r="P22" s="121">
        <f t="shared" ref="P22" si="36">IF($F$6="OJO H.E. AL 100%",0,(O22-N22)*24)</f>
        <v>0</v>
      </c>
      <c r="Q22" s="66" t="str">
        <f>IF(P22=0," ",VLOOKUP($C22,Dato_Transf!$H:$N,7,FALSE()))</f>
        <v xml:space="preserve"> </v>
      </c>
      <c r="R22" s="72">
        <f>IFERROR(VLOOKUP($C22,Dato_Transf!$H:$N,5,FALSE()),0)</f>
        <v>0</v>
      </c>
      <c r="S22" s="72">
        <f>IFERROR(VLOOKUP($C22,Dato_Transf!$H:$N,6,FALSE()),0)</f>
        <v>0</v>
      </c>
      <c r="T22" s="121">
        <f t="shared" ref="T22" si="37">(+S22-R22)*24</f>
        <v>0</v>
      </c>
      <c r="U22" s="66" t="str">
        <f>IF(T22=0," ",VLOOKUP($C22,Dato_Transf!$H:$N,7,FALSE()))</f>
        <v xml:space="preserve"> </v>
      </c>
      <c r="V22" s="72">
        <f>IFERROR(VLOOKUP($C22,Dato_Transf!$O:$U,3,FALSE()),0)</f>
        <v>0</v>
      </c>
      <c r="W22" s="72">
        <f>IFERROR(VLOOKUP($C22,Dato_Transf!$O:$U,4,FALSE()),0)</f>
        <v>0</v>
      </c>
      <c r="X22" s="121">
        <f t="shared" ref="X22" si="38">IF($F$6="OJO H.E. AL 100%",0,(W22-V22)*24)</f>
        <v>0</v>
      </c>
      <c r="Y22" s="66" t="str">
        <f>IF(X22=0," ",VLOOKUP($C22,Dato_Transf!$O:$U,7,FALSE()))</f>
        <v xml:space="preserve"> </v>
      </c>
      <c r="Z22" s="72">
        <f>IFERROR(VLOOKUP($C22,Dato_Transf!$O:$U,5,FALSE()),0)</f>
        <v>0</v>
      </c>
      <c r="AA22" s="72">
        <f>IFERROR(VLOOKUP($C22,Dato_Transf!$O:$U,6,FALSE()),0)</f>
        <v>0</v>
      </c>
      <c r="AB22" s="121">
        <f t="shared" ref="AB22" si="39">(+AA22-Z22)*24</f>
        <v>0</v>
      </c>
      <c r="AC22" s="66" t="str">
        <f>IF(AB22=0," ",VLOOKUP($C22,Dato_Transf!$O:$U,7,FALSE()))</f>
        <v xml:space="preserve"> </v>
      </c>
      <c r="AD22" s="72">
        <f>IFERROR(VLOOKUP($C22,Dato_Transf!$V:$AB,3,FALSE()),0)</f>
        <v>0</v>
      </c>
      <c r="AE22" s="72">
        <f>IFERROR(VLOOKUP($C22,Dato_Transf!$V:$AB,4,FALSE()),0)</f>
        <v>0</v>
      </c>
      <c r="AF22" s="121">
        <f t="shared" ref="AF22" si="40">IF($F$6="OJO H.E. AL 100%",0,(AE22-AD22)*24)</f>
        <v>0</v>
      </c>
      <c r="AG22" s="66" t="str">
        <f>IF(AF22=0," ",VLOOKUP($C22,Dato_Transf!$V:$AB,7,FALSE()))</f>
        <v xml:space="preserve"> </v>
      </c>
      <c r="AH22" s="72">
        <f>IFERROR(VLOOKUP($C22,Dato_Transf!$V:$AB,5,FALSE()),0)</f>
        <v>0</v>
      </c>
      <c r="AI22" s="72">
        <f>IFERROR(VLOOKUP($C22,Dato_Transf!$V:$AB,6,FALSE()),0)</f>
        <v>0</v>
      </c>
      <c r="AJ22" s="121">
        <f t="shared" ref="AJ22" si="41">(+AI22-AH22)*24</f>
        <v>0</v>
      </c>
      <c r="AK22" s="66" t="str">
        <f>IF(AJ22=0," ",VLOOKUP($C22,Dato_Transf!$V:$AB,7,FALSE()))</f>
        <v xml:space="preserve"> </v>
      </c>
      <c r="AL22" s="72">
        <f>IFERROR(VLOOKUP($C22,Dato_Transf!$AC:$AI,3,FALSE()),0)</f>
        <v>0</v>
      </c>
      <c r="AM22" s="72">
        <f>IFERROR(VLOOKUP($C22,Dato_Transf!$AC:$AI,4,FALSE()),0)</f>
        <v>0</v>
      </c>
      <c r="AN22" s="121">
        <f t="shared" ref="AN22" si="42">IF($F$6="OJO H.E. AL 100%",0,(AM22-AL22)*24)</f>
        <v>0</v>
      </c>
      <c r="AO22" s="66" t="str">
        <f>IF(AN22=0," ",VLOOKUP($C22,Dato_Transf!$AC:$AI,7,FALSE()))</f>
        <v xml:space="preserve"> </v>
      </c>
      <c r="AP22" s="72">
        <f>IFERROR(VLOOKUP($C22,Dato_Transf!$AC:$AI,5,FALSE()),0)</f>
        <v>0</v>
      </c>
      <c r="AQ22" s="72">
        <f>IFERROR(VLOOKUP($C22,Dato_Transf!$AC:$AI,6,FALSE()),0)</f>
        <v>0</v>
      </c>
      <c r="AR22" s="121">
        <f t="shared" ref="AR22" si="43">(+AQ22-AP22)*24</f>
        <v>0</v>
      </c>
      <c r="AS22" s="66" t="str">
        <f>IF(AR22=0," ",VLOOKUP($C22,Dato_Transf!$AC:$AI,7,FALSE()))</f>
        <v xml:space="preserve"> </v>
      </c>
      <c r="AT22" s="72">
        <f>IFERROR(VLOOKUP($C22,Dato_Transf!$AJ:$AP,3,FALSE()),0)</f>
        <v>0</v>
      </c>
      <c r="AU22" s="72">
        <f>IFERROR(VLOOKUP($C22,Dato_Transf!$AJ:$AP,4,FALSE()),0)</f>
        <v>0</v>
      </c>
      <c r="AV22" s="121">
        <f t="shared" ref="AV22" si="44">IF($F$6="OJO H.E. AL 100%",0,(AU22-AT22)*24)</f>
        <v>0</v>
      </c>
      <c r="AW22" s="66" t="str">
        <f>IF(AV22=0," ",VLOOKUP($C22,Dato_Transf!$AJ:$AP,7,FALSE()))</f>
        <v xml:space="preserve"> </v>
      </c>
      <c r="AX22" s="72">
        <f>IFERROR(VLOOKUP($C22,Dato_Transf!$AJ:$AP,5,FALSE()),0)</f>
        <v>0</v>
      </c>
      <c r="AY22" s="72">
        <f>IFERROR(VLOOKUP($C22,Dato_Transf!$AJ:$AP,6,FALSE()),0)</f>
        <v>0</v>
      </c>
      <c r="AZ22" s="121">
        <f t="shared" ref="AZ22" si="45">(+AY22-AX22)*24</f>
        <v>0</v>
      </c>
      <c r="BA22" s="66" t="str">
        <f>IF(AZ22=0," ",VLOOKUP($C22,Dato_Transf!$AJ:$AP,7,FALSE()))</f>
        <v xml:space="preserve"> </v>
      </c>
      <c r="BB22" s="72">
        <f>IFERROR(VLOOKUP($C22,Dato_Transf!$AQ:$AW,3,FALSE()),0)</f>
        <v>0</v>
      </c>
      <c r="BC22" s="72">
        <f>IFERROR(VLOOKUP($C22,Dato_Transf!$AQ:$AW,4,FALSE()),0)</f>
        <v>0</v>
      </c>
      <c r="BD22" s="121">
        <f t="shared" ref="BD22" si="46">IF($F$6="OJO H.E. AL 100%",0,(BC22-BB22)*24)</f>
        <v>0</v>
      </c>
      <c r="BE22" s="66" t="str">
        <f>IF(BD22=0," ",VLOOKUP($C22,Dato_Transf!$AQ:$AW,7,FALSE()))</f>
        <v xml:space="preserve"> </v>
      </c>
      <c r="BF22" s="72">
        <f>IFERROR(VLOOKUP($C22,Dato_Transf!$AQ:$AW,5,FALSE()),0)</f>
        <v>0</v>
      </c>
      <c r="BG22" s="72">
        <f>IFERROR(VLOOKUP($C22,Dato_Transf!$AQ:$AW,6,FALSE()),0)</f>
        <v>0</v>
      </c>
      <c r="BH22" s="121">
        <f t="shared" ref="BH22" si="47">(+BG22-BF22)*24</f>
        <v>0</v>
      </c>
      <c r="BI22" s="66" t="str">
        <f>IF(BH22=0," ",VLOOKUP($C22,Dato_Transf!$AQ:$AW,7,FALSE()))</f>
        <v xml:space="preserve"> </v>
      </c>
      <c r="BJ22" s="119">
        <f t="shared" ref="BJ22" si="48">H22+P22+X22+AF22+AN22+AV22+BD22</f>
        <v>0</v>
      </c>
      <c r="BK22" s="120">
        <f t="shared" ref="BK22" si="49">L22+T22+AB22+AJ22+AR22+AZ22+BH22</f>
        <v>0</v>
      </c>
      <c r="BL22" s="55"/>
      <c r="BV22" s="55"/>
    </row>
    <row r="23" spans="2:74" ht="30" customHeight="1" x14ac:dyDescent="0.3">
      <c r="B23" s="39">
        <v>14</v>
      </c>
      <c r="C23" s="96" t="str">
        <f>VLOOKUP(D23,EMPLEADO!C:Q,15,FALSE)</f>
        <v>SIMANCAS QUEZADA ORLANDO BAUDILIO</v>
      </c>
      <c r="D23" s="27" t="s">
        <v>188</v>
      </c>
      <c r="E23" s="59"/>
      <c r="F23" s="72">
        <f>IFERROR(VLOOKUP($C23,Dato_Transf!$A:$G,3,FALSE()),0)</f>
        <v>0</v>
      </c>
      <c r="G23" s="72">
        <f>IFERROR(VLOOKUP($C23,Dato_Transf!$A:$G,4,FALSE()),0)</f>
        <v>0</v>
      </c>
      <c r="H23" s="121">
        <f t="shared" ref="H23" si="50">IF($F$6="OJO H.E. AL 100%",0,(G23-F23)*24)</f>
        <v>0</v>
      </c>
      <c r="I23" s="66" t="str">
        <f>IF(H23=0," ",VLOOKUP($C23,Dato_Transf!$A:$G,7,FALSE))</f>
        <v xml:space="preserve"> </v>
      </c>
      <c r="J23" s="72">
        <f>IFERROR(VLOOKUP($C23,Dato_Transf!$A:$G,5,FALSE()),0)</f>
        <v>0</v>
      </c>
      <c r="K23" s="72">
        <f>IFERROR(VLOOKUP($C23,Dato_Transf!$A:$G,6,FALSE()),0)</f>
        <v>0</v>
      </c>
      <c r="L23" s="121">
        <f t="shared" ref="L23" si="51">(+K23-J23)*24</f>
        <v>0</v>
      </c>
      <c r="M23" s="66" t="str">
        <f>IF(L23=0," ",VLOOKUP($C23,Dato_Transf!$A:$G,7,FALSE))</f>
        <v xml:space="preserve"> </v>
      </c>
      <c r="N23" s="72">
        <f>IFERROR(VLOOKUP($C23,Dato_Transf!$H:$N,3,FALSE()),0)</f>
        <v>0</v>
      </c>
      <c r="O23" s="72">
        <f>IFERROR(VLOOKUP($C23,Dato_Transf!$H:$N,4,FALSE()),0)</f>
        <v>0</v>
      </c>
      <c r="P23" s="121">
        <f t="shared" ref="P23" si="52">IF($F$6="OJO H.E. AL 100%",0,(O23-N23)*24)</f>
        <v>0</v>
      </c>
      <c r="Q23" s="66" t="str">
        <f>IF(P23=0," ",VLOOKUP($C23,Dato_Transf!$H:$N,7,FALSE()))</f>
        <v xml:space="preserve"> </v>
      </c>
      <c r="R23" s="72">
        <f>IFERROR(VLOOKUP($C23,Dato_Transf!$H:$N,5,FALSE()),0)</f>
        <v>0</v>
      </c>
      <c r="S23" s="72">
        <f>IFERROR(VLOOKUP($C23,Dato_Transf!$H:$N,6,FALSE()),0)</f>
        <v>0</v>
      </c>
      <c r="T23" s="121">
        <f t="shared" ref="T23" si="53">(+S23-R23)*24</f>
        <v>0</v>
      </c>
      <c r="U23" s="66" t="str">
        <f>IF(T23=0," ",VLOOKUP($C23,Dato_Transf!$H:$N,7,FALSE()))</f>
        <v xml:space="preserve"> </v>
      </c>
      <c r="V23" s="72">
        <f>IFERROR(VLOOKUP($C23,Dato_Transf!$O:$U,3,FALSE()),0)</f>
        <v>0</v>
      </c>
      <c r="W23" s="72">
        <f>IFERROR(VLOOKUP($C23,Dato_Transf!$O:$U,4,FALSE()),0)</f>
        <v>0</v>
      </c>
      <c r="X23" s="121">
        <f t="shared" ref="X23" si="54">IF($F$6="OJO H.E. AL 100%",0,(W23-V23)*24)</f>
        <v>0</v>
      </c>
      <c r="Y23" s="66" t="str">
        <f>IF(X23=0," ",VLOOKUP($C23,Dato_Transf!$O:$U,7,FALSE()))</f>
        <v xml:space="preserve"> </v>
      </c>
      <c r="Z23" s="72">
        <f>IFERROR(VLOOKUP($C23,Dato_Transf!$O:$U,5,FALSE()),0)</f>
        <v>0</v>
      </c>
      <c r="AA23" s="72">
        <f>IFERROR(VLOOKUP($C23,Dato_Transf!$O:$U,6,FALSE()),0)</f>
        <v>0</v>
      </c>
      <c r="AB23" s="121">
        <f t="shared" ref="AB23" si="55">(+AA23-Z23)*24</f>
        <v>0</v>
      </c>
      <c r="AC23" s="66" t="str">
        <f>IF(AB23=0," ",VLOOKUP($C23,Dato_Transf!$O:$U,7,FALSE()))</f>
        <v xml:space="preserve"> </v>
      </c>
      <c r="AD23" s="72">
        <f>IFERROR(VLOOKUP($C23,Dato_Transf!$V:$AB,3,FALSE()),0)</f>
        <v>0</v>
      </c>
      <c r="AE23" s="72">
        <f>IFERROR(VLOOKUP($C23,Dato_Transf!$V:$AB,4,FALSE()),0)</f>
        <v>0</v>
      </c>
      <c r="AF23" s="121">
        <f t="shared" ref="AF23" si="56">IF($F$6="OJO H.E. AL 100%",0,(AE23-AD23)*24)</f>
        <v>0</v>
      </c>
      <c r="AG23" s="66" t="str">
        <f>IF(AF23=0," ",VLOOKUP($C23,Dato_Transf!$V:$AB,7,FALSE()))</f>
        <v xml:space="preserve"> </v>
      </c>
      <c r="AH23" s="72">
        <f>IFERROR(VLOOKUP($C23,Dato_Transf!$V:$AB,5,FALSE()),0)</f>
        <v>0</v>
      </c>
      <c r="AI23" s="72">
        <f>IFERROR(VLOOKUP($C23,Dato_Transf!$V:$AB,6,FALSE()),0)</f>
        <v>0</v>
      </c>
      <c r="AJ23" s="121">
        <f t="shared" ref="AJ23" si="57">(+AI23-AH23)*24</f>
        <v>0</v>
      </c>
      <c r="AK23" s="66" t="str">
        <f>IF(AJ23=0," ",VLOOKUP($C23,Dato_Transf!$V:$AB,7,FALSE()))</f>
        <v xml:space="preserve"> </v>
      </c>
      <c r="AL23" s="72">
        <f>IFERROR(VLOOKUP($C23,Dato_Transf!$AC:$AI,3,FALSE()),0)</f>
        <v>0</v>
      </c>
      <c r="AM23" s="72">
        <f>IFERROR(VLOOKUP($C23,Dato_Transf!$AC:$AI,4,FALSE()),0)</f>
        <v>0</v>
      </c>
      <c r="AN23" s="121">
        <f t="shared" ref="AN23" si="58">IF($F$6="OJO H.E. AL 100%",0,(AM23-AL23)*24)</f>
        <v>0</v>
      </c>
      <c r="AO23" s="66" t="str">
        <f>IF(AN23=0," ",VLOOKUP($C23,Dato_Transf!$AC:$AI,7,FALSE()))</f>
        <v xml:space="preserve"> </v>
      </c>
      <c r="AP23" s="72">
        <f>IFERROR(VLOOKUP($C23,Dato_Transf!$AC:$AI,5,FALSE()),0)</f>
        <v>0</v>
      </c>
      <c r="AQ23" s="72">
        <f>IFERROR(VLOOKUP($C23,Dato_Transf!$AC:$AI,6,FALSE()),0)</f>
        <v>0</v>
      </c>
      <c r="AR23" s="121">
        <f t="shared" ref="AR23" si="59">(+AQ23-AP23)*24</f>
        <v>0</v>
      </c>
      <c r="AS23" s="66" t="str">
        <f>IF(AR23=0," ",VLOOKUP($C23,Dato_Transf!$AC:$AI,7,FALSE()))</f>
        <v xml:space="preserve"> </v>
      </c>
      <c r="AT23" s="72">
        <f>IFERROR(VLOOKUP($C23,Dato_Transf!$AJ:$AP,3,FALSE()),0)</f>
        <v>0</v>
      </c>
      <c r="AU23" s="72">
        <f>IFERROR(VLOOKUP($C23,Dato_Transf!$AJ:$AP,4,FALSE()),0)</f>
        <v>0</v>
      </c>
      <c r="AV23" s="121">
        <f t="shared" ref="AV23" si="60">IF($F$6="OJO H.E. AL 100%",0,(AU23-AT23)*24)</f>
        <v>0</v>
      </c>
      <c r="AW23" s="66" t="str">
        <f>IF(AV23=0," ",VLOOKUP($C23,Dato_Transf!$AJ:$AP,7,FALSE()))</f>
        <v xml:space="preserve"> </v>
      </c>
      <c r="AX23" s="72">
        <f>IFERROR(VLOOKUP($C23,Dato_Transf!$AJ:$AP,5,FALSE()),0)</f>
        <v>0</v>
      </c>
      <c r="AY23" s="72">
        <f>IFERROR(VLOOKUP($C23,Dato_Transf!$AJ:$AP,6,FALSE()),0)</f>
        <v>0</v>
      </c>
      <c r="AZ23" s="121">
        <f t="shared" ref="AZ23" si="61">(+AY23-AX23)*24</f>
        <v>0</v>
      </c>
      <c r="BA23" s="66" t="str">
        <f>IF(AZ23=0," ",VLOOKUP($C23,Dato_Transf!$AJ:$AP,7,FALSE()))</f>
        <v xml:space="preserve"> </v>
      </c>
      <c r="BB23" s="72">
        <f>IFERROR(VLOOKUP($C23,Dato_Transf!$AQ:$AW,3,FALSE()),0)</f>
        <v>0</v>
      </c>
      <c r="BC23" s="72">
        <f>IFERROR(VLOOKUP($C23,Dato_Transf!$AQ:$AW,4,FALSE()),0)</f>
        <v>0</v>
      </c>
      <c r="BD23" s="121">
        <f t="shared" ref="BD23" si="62">IF($F$6="OJO H.E. AL 100%",0,(BC23-BB23)*24)</f>
        <v>0</v>
      </c>
      <c r="BE23" s="66" t="str">
        <f>IF(BD23=0," ",VLOOKUP($C23,Dato_Transf!$AQ:$AW,7,FALSE()))</f>
        <v xml:space="preserve"> </v>
      </c>
      <c r="BF23" s="72">
        <f>IFERROR(VLOOKUP($C23,Dato_Transf!$AQ:$AW,5,FALSE()),0)</f>
        <v>0</v>
      </c>
      <c r="BG23" s="72">
        <f>IFERROR(VLOOKUP($C23,Dato_Transf!$AQ:$AW,6,FALSE()),0)</f>
        <v>0</v>
      </c>
      <c r="BH23" s="121">
        <f t="shared" ref="BH23" si="63">(+BG23-BF23)*24</f>
        <v>0</v>
      </c>
      <c r="BI23" s="66" t="str">
        <f>IF(BH23=0," ",VLOOKUP($C23,Dato_Transf!$AQ:$AW,7,FALSE()))</f>
        <v xml:space="preserve"> </v>
      </c>
      <c r="BJ23" s="119">
        <f t="shared" ref="BJ23" si="64">H23+P23+X23+AF23+AN23+AV23+BD23</f>
        <v>0</v>
      </c>
      <c r="BK23" s="120">
        <f t="shared" ref="BK23" si="65">L23+T23+AB23+AJ23+AR23+AZ23+BH23</f>
        <v>0</v>
      </c>
      <c r="BV23" s="55"/>
    </row>
    <row r="24" spans="2:74" ht="30" customHeight="1" x14ac:dyDescent="0.3">
      <c r="B24" s="39">
        <v>15</v>
      </c>
      <c r="C24" s="96" t="str">
        <f>VLOOKUP(D24,EMPLEADO!C:Q,15,FALSE)</f>
        <v>CHAMBA CANGO DARIO JAVIER</v>
      </c>
      <c r="D24" s="208" t="s">
        <v>195</v>
      </c>
      <c r="E24" s="201"/>
      <c r="F24" s="72">
        <f>IFERROR(VLOOKUP($C24,Dato_Transf!$A:$G,3,FALSE()),0)</f>
        <v>0</v>
      </c>
      <c r="G24" s="72">
        <f>IFERROR(VLOOKUP($C24,Dato_Transf!$A:$G,4,FALSE()),0)</f>
        <v>0</v>
      </c>
      <c r="H24" s="121">
        <f t="shared" ref="H24:H25" si="66">IF($F$6="OJO H.E. AL 100%",0,(G24-F24)*24)</f>
        <v>0</v>
      </c>
      <c r="I24" s="66" t="str">
        <f>IF(H24=0," ",VLOOKUP($C24,Dato_Transf!$A:$G,7,FALSE))</f>
        <v xml:space="preserve"> </v>
      </c>
      <c r="J24" s="72">
        <f>IFERROR(VLOOKUP($C24,Dato_Transf!$A:$G,5,FALSE()),0)</f>
        <v>0</v>
      </c>
      <c r="K24" s="72">
        <f>IFERROR(VLOOKUP($C24,Dato_Transf!$A:$G,6,FALSE()),0)</f>
        <v>0</v>
      </c>
      <c r="L24" s="121">
        <f t="shared" ref="L24:L25" si="67">(+K24-J24)*24</f>
        <v>0</v>
      </c>
      <c r="M24" s="66" t="str">
        <f>IF(L24=0," ",VLOOKUP($C24,Dato_Transf!$A:$G,7,FALSE))</f>
        <v xml:space="preserve"> </v>
      </c>
      <c r="N24" s="72">
        <f>IFERROR(VLOOKUP($C24,Dato_Transf!$H:$N,3,FALSE()),0)</f>
        <v>0</v>
      </c>
      <c r="O24" s="72">
        <f>IFERROR(VLOOKUP($C24,Dato_Transf!$H:$N,4,FALSE()),0)</f>
        <v>0</v>
      </c>
      <c r="P24" s="121">
        <f t="shared" ref="P24:P25" si="68">IF($F$6="OJO H.E. AL 100%",0,(O24-N24)*24)</f>
        <v>0</v>
      </c>
      <c r="Q24" s="66" t="str">
        <f>IF(P24=0," ",VLOOKUP($C24,Dato_Transf!$H:$N,7,FALSE()))</f>
        <v xml:space="preserve"> </v>
      </c>
      <c r="R24" s="72">
        <f>IFERROR(VLOOKUP($C24,Dato_Transf!$H:$N,5,FALSE()),0)</f>
        <v>0</v>
      </c>
      <c r="S24" s="72">
        <f>IFERROR(VLOOKUP($C24,Dato_Transf!$H:$N,6,FALSE()),0)</f>
        <v>0</v>
      </c>
      <c r="T24" s="121">
        <f t="shared" ref="T24:T25" si="69">(+S24-R24)*24</f>
        <v>0</v>
      </c>
      <c r="U24" s="66" t="str">
        <f>IF(T24=0," ",VLOOKUP($C24,Dato_Transf!$H:$N,7,FALSE()))</f>
        <v xml:space="preserve"> </v>
      </c>
      <c r="V24" s="72">
        <f>IFERROR(VLOOKUP($C24,Dato_Transf!$O:$U,3,FALSE()),0)</f>
        <v>0</v>
      </c>
      <c r="W24" s="72">
        <f>IFERROR(VLOOKUP($C24,Dato_Transf!$O:$U,4,FALSE()),0)</f>
        <v>0</v>
      </c>
      <c r="X24" s="121">
        <f t="shared" ref="X24:X25" si="70">IF($F$6="OJO H.E. AL 100%",0,(W24-V24)*24)</f>
        <v>0</v>
      </c>
      <c r="Y24" s="66" t="str">
        <f>IF(X24=0," ",VLOOKUP($C24,Dato_Transf!$O:$U,7,FALSE()))</f>
        <v xml:space="preserve"> </v>
      </c>
      <c r="Z24" s="72">
        <f>IFERROR(VLOOKUP($C24,Dato_Transf!$O:$U,5,FALSE()),0)</f>
        <v>0</v>
      </c>
      <c r="AA24" s="72">
        <f>IFERROR(VLOOKUP($C24,Dato_Transf!$O:$U,6,FALSE()),0)</f>
        <v>0</v>
      </c>
      <c r="AB24" s="121">
        <f t="shared" ref="AB24:AB25" si="71">(+AA24-Z24)*24</f>
        <v>0</v>
      </c>
      <c r="AC24" s="66" t="str">
        <f>IF(AB24=0," ",VLOOKUP($C24,Dato_Transf!$O:$U,7,FALSE()))</f>
        <v xml:space="preserve"> </v>
      </c>
      <c r="AD24" s="72">
        <f>IFERROR(VLOOKUP($C24,Dato_Transf!$V:$AB,3,FALSE()),0)</f>
        <v>0</v>
      </c>
      <c r="AE24" s="72">
        <f>IFERROR(VLOOKUP($C24,Dato_Transf!$V:$AB,4,FALSE()),0)</f>
        <v>0</v>
      </c>
      <c r="AF24" s="121">
        <f t="shared" ref="AF24:AF25" si="72">IF($F$6="OJO H.E. AL 100%",0,(AE24-AD24)*24)</f>
        <v>0</v>
      </c>
      <c r="AG24" s="66" t="str">
        <f>IF(AF24=0," ",VLOOKUP($C24,Dato_Transf!$V:$AB,7,FALSE()))</f>
        <v xml:space="preserve"> </v>
      </c>
      <c r="AH24" s="72">
        <f>IFERROR(VLOOKUP($C24,Dato_Transf!$V:$AB,5,FALSE()),0)</f>
        <v>0</v>
      </c>
      <c r="AI24" s="72">
        <f>IFERROR(VLOOKUP($C24,Dato_Transf!$V:$AB,6,FALSE()),0)</f>
        <v>0</v>
      </c>
      <c r="AJ24" s="121">
        <f t="shared" ref="AJ24:AJ25" si="73">(+AI24-AH24)*24</f>
        <v>0</v>
      </c>
      <c r="AK24" s="66" t="str">
        <f>IF(AJ24=0," ",VLOOKUP($C24,Dato_Transf!$V:$AB,7,FALSE()))</f>
        <v xml:space="preserve"> </v>
      </c>
      <c r="AL24" s="72">
        <f>IFERROR(VLOOKUP($C24,Dato_Transf!$AC:$AI,3,FALSE()),0)</f>
        <v>0</v>
      </c>
      <c r="AM24" s="72">
        <f>IFERROR(VLOOKUP($C24,Dato_Transf!$AC:$AI,4,FALSE()),0)</f>
        <v>0</v>
      </c>
      <c r="AN24" s="121">
        <f t="shared" ref="AN24:AN25" si="74">IF($F$6="OJO H.E. AL 100%",0,(AM24-AL24)*24)</f>
        <v>0</v>
      </c>
      <c r="AO24" s="66" t="str">
        <f>IF(AN24=0," ",VLOOKUP($C24,Dato_Transf!$AC:$AI,7,FALSE()))</f>
        <v xml:space="preserve"> </v>
      </c>
      <c r="AP24" s="72">
        <f>IFERROR(VLOOKUP($C24,Dato_Transf!$AC:$AI,5,FALSE()),0)</f>
        <v>0</v>
      </c>
      <c r="AQ24" s="72">
        <f>IFERROR(VLOOKUP($C24,Dato_Transf!$AC:$AI,6,FALSE()),0)</f>
        <v>0</v>
      </c>
      <c r="AR24" s="121">
        <f t="shared" ref="AR24:AR25" si="75">(+AQ24-AP24)*24</f>
        <v>0</v>
      </c>
      <c r="AS24" s="66" t="str">
        <f>IF(AR24=0," ",VLOOKUP($C24,Dato_Transf!$AC:$AI,7,FALSE()))</f>
        <v xml:space="preserve"> </v>
      </c>
      <c r="AT24" s="72">
        <f>IFERROR(VLOOKUP($C24,Dato_Transf!$AJ:$AP,3,FALSE()),0)</f>
        <v>0</v>
      </c>
      <c r="AU24" s="72">
        <f>IFERROR(VLOOKUP($C24,Dato_Transf!$AJ:$AP,4,FALSE()),0)</f>
        <v>0</v>
      </c>
      <c r="AV24" s="121">
        <f t="shared" ref="AV24:AV25" si="76">IF($F$6="OJO H.E. AL 100%",0,(AU24-AT24)*24)</f>
        <v>0</v>
      </c>
      <c r="AW24" s="66" t="str">
        <f>IF(AV24=0," ",VLOOKUP($C24,Dato_Transf!$AJ:$AP,7,FALSE()))</f>
        <v xml:space="preserve"> </v>
      </c>
      <c r="AX24" s="72">
        <f>IFERROR(VLOOKUP($C24,Dato_Transf!$AJ:$AP,5,FALSE()),0)</f>
        <v>0</v>
      </c>
      <c r="AY24" s="72">
        <f>IFERROR(VLOOKUP($C24,Dato_Transf!$AJ:$AP,6,FALSE()),0)</f>
        <v>0</v>
      </c>
      <c r="AZ24" s="121">
        <f t="shared" ref="AZ24:AZ25" si="77">(+AY24-AX24)*24</f>
        <v>0</v>
      </c>
      <c r="BA24" s="66" t="str">
        <f>IF(AZ24=0," ",VLOOKUP($C24,Dato_Transf!$AJ:$AP,7,FALSE()))</f>
        <v xml:space="preserve"> </v>
      </c>
      <c r="BB24" s="72">
        <f>IFERROR(VLOOKUP($C24,Dato_Transf!$AQ:$AW,3,FALSE()),0)</f>
        <v>0</v>
      </c>
      <c r="BC24" s="72">
        <f>IFERROR(VLOOKUP($C24,Dato_Transf!$AQ:$AW,4,FALSE()),0)</f>
        <v>0</v>
      </c>
      <c r="BD24" s="121">
        <f t="shared" ref="BD24:BD25" si="78">IF($F$6="OJO H.E. AL 100%",0,(BC24-BB24)*24)</f>
        <v>0</v>
      </c>
      <c r="BE24" s="66" t="str">
        <f>IF(BD24=0," ",VLOOKUP($C24,Dato_Transf!$AQ:$AW,7,FALSE()))</f>
        <v xml:space="preserve"> </v>
      </c>
      <c r="BF24" s="72">
        <f>IFERROR(VLOOKUP($C24,Dato_Transf!$AQ:$AW,5,FALSE()),0)</f>
        <v>0</v>
      </c>
      <c r="BG24" s="72">
        <f>IFERROR(VLOOKUP($C24,Dato_Transf!$AQ:$AW,6,FALSE()),0)</f>
        <v>0</v>
      </c>
      <c r="BH24" s="121">
        <f t="shared" ref="BH24:BH25" si="79">(+BG24-BF24)*24</f>
        <v>0</v>
      </c>
      <c r="BI24" s="66" t="str">
        <f>IF(BH24=0," ",VLOOKUP($C24,Dato_Transf!$AQ:$AW,7,FALSE()))</f>
        <v xml:space="preserve"> </v>
      </c>
      <c r="BJ24" s="119">
        <f t="shared" ref="BJ24" si="80">H24+P24+X24+AF24+AN24+AV24+BD24</f>
        <v>0</v>
      </c>
      <c r="BK24" s="120">
        <f t="shared" ref="BK24" si="81">L24+T24+AB24+AJ24+AR24+AZ24+BH24</f>
        <v>0</v>
      </c>
      <c r="BV24" s="55"/>
    </row>
    <row r="25" spans="2:74" ht="30" customHeight="1" x14ac:dyDescent="0.3">
      <c r="B25" s="39">
        <v>16</v>
      </c>
      <c r="C25" s="96" t="str">
        <f>VLOOKUP(D25,EMPLEADO!C:Q,15,FALSE)</f>
        <v>PINTA PINTA OMAR PATRICIO</v>
      </c>
      <c r="D25" s="208" t="s">
        <v>199</v>
      </c>
      <c r="E25" s="201"/>
      <c r="F25" s="72">
        <f>IFERROR(VLOOKUP($C25,Dato_Transf!$A:$G,3,FALSE()),0)</f>
        <v>0</v>
      </c>
      <c r="G25" s="72">
        <f>IFERROR(VLOOKUP($C25,Dato_Transf!$A:$G,4,FALSE()),0)</f>
        <v>0</v>
      </c>
      <c r="H25" s="121">
        <f t="shared" si="66"/>
        <v>0</v>
      </c>
      <c r="I25" s="66" t="str">
        <f>IF(H25=0," ",VLOOKUP($C25,Dato_Transf!$A:$G,7,FALSE))</f>
        <v xml:space="preserve"> </v>
      </c>
      <c r="J25" s="72">
        <f>IFERROR(VLOOKUP($C25,Dato_Transf!$A:$G,5,FALSE()),0)</f>
        <v>0</v>
      </c>
      <c r="K25" s="72">
        <f>IFERROR(VLOOKUP($C25,Dato_Transf!$A:$G,6,FALSE()),0)</f>
        <v>0</v>
      </c>
      <c r="L25" s="121">
        <f t="shared" si="67"/>
        <v>0</v>
      </c>
      <c r="M25" s="66" t="str">
        <f>IF(L25=0," ",VLOOKUP($C25,Dato_Transf!$A:$G,7,FALSE))</f>
        <v xml:space="preserve"> </v>
      </c>
      <c r="N25" s="72">
        <f>IFERROR(VLOOKUP($C25,Dato_Transf!$H:$N,3,FALSE()),0)</f>
        <v>0</v>
      </c>
      <c r="O25" s="72">
        <f>IFERROR(VLOOKUP($C25,Dato_Transf!$H:$N,4,FALSE()),0)</f>
        <v>0</v>
      </c>
      <c r="P25" s="121">
        <f t="shared" si="68"/>
        <v>0</v>
      </c>
      <c r="Q25" s="66" t="str">
        <f>IF(P25=0," ",VLOOKUP($C25,Dato_Transf!$H:$N,7,FALSE()))</f>
        <v xml:space="preserve"> </v>
      </c>
      <c r="R25" s="72">
        <f>IFERROR(VLOOKUP($C25,Dato_Transf!$H:$N,5,FALSE()),0)</f>
        <v>0</v>
      </c>
      <c r="S25" s="72">
        <f>IFERROR(VLOOKUP($C25,Dato_Transf!$H:$N,6,FALSE()),0)</f>
        <v>0</v>
      </c>
      <c r="T25" s="121">
        <f t="shared" si="69"/>
        <v>0</v>
      </c>
      <c r="U25" s="66" t="str">
        <f>IF(T25=0," ",VLOOKUP($C25,Dato_Transf!$H:$N,7,FALSE()))</f>
        <v xml:space="preserve"> </v>
      </c>
      <c r="V25" s="72">
        <f>IFERROR(VLOOKUP($C25,Dato_Transf!$O:$U,3,FALSE()),0)</f>
        <v>0</v>
      </c>
      <c r="W25" s="72">
        <f>IFERROR(VLOOKUP($C25,Dato_Transf!$O:$U,4,FALSE()),0)</f>
        <v>0</v>
      </c>
      <c r="X25" s="121">
        <f t="shared" si="70"/>
        <v>0</v>
      </c>
      <c r="Y25" s="66" t="str">
        <f>IF(X25=0," ",VLOOKUP($C25,Dato_Transf!$O:$U,7,FALSE()))</f>
        <v xml:space="preserve"> </v>
      </c>
      <c r="Z25" s="72">
        <f>IFERROR(VLOOKUP($C25,Dato_Transf!$O:$U,5,FALSE()),0)</f>
        <v>0</v>
      </c>
      <c r="AA25" s="72">
        <f>IFERROR(VLOOKUP($C25,Dato_Transf!$O:$U,6,FALSE()),0)</f>
        <v>0</v>
      </c>
      <c r="AB25" s="121">
        <f t="shared" si="71"/>
        <v>0</v>
      </c>
      <c r="AC25" s="66" t="str">
        <f>IF(AB25=0," ",VLOOKUP($C25,Dato_Transf!$O:$U,7,FALSE()))</f>
        <v xml:space="preserve"> </v>
      </c>
      <c r="AD25" s="72">
        <f>IFERROR(VLOOKUP($C25,Dato_Transf!$V:$AB,3,FALSE()),0)</f>
        <v>0</v>
      </c>
      <c r="AE25" s="72">
        <f>IFERROR(VLOOKUP($C25,Dato_Transf!$V:$AB,4,FALSE()),0)</f>
        <v>0</v>
      </c>
      <c r="AF25" s="121">
        <f t="shared" si="72"/>
        <v>0</v>
      </c>
      <c r="AG25" s="66" t="str">
        <f>IF(AF25=0," ",VLOOKUP($C25,Dato_Transf!$V:$AB,7,FALSE()))</f>
        <v xml:space="preserve"> </v>
      </c>
      <c r="AH25" s="72">
        <f>IFERROR(VLOOKUP($C25,Dato_Transf!$V:$AB,5,FALSE()),0)</f>
        <v>0</v>
      </c>
      <c r="AI25" s="72">
        <f>IFERROR(VLOOKUP($C25,Dato_Transf!$V:$AB,6,FALSE()),0)</f>
        <v>0</v>
      </c>
      <c r="AJ25" s="121">
        <f t="shared" si="73"/>
        <v>0</v>
      </c>
      <c r="AK25" s="66" t="str">
        <f>IF(AJ25=0," ",VLOOKUP($C25,Dato_Transf!$V:$AB,7,FALSE()))</f>
        <v xml:space="preserve"> </v>
      </c>
      <c r="AL25" s="72">
        <f>IFERROR(VLOOKUP($C25,Dato_Transf!$AC:$AI,3,FALSE()),0)</f>
        <v>0</v>
      </c>
      <c r="AM25" s="72">
        <f>IFERROR(VLOOKUP($C25,Dato_Transf!$AC:$AI,4,FALSE()),0)</f>
        <v>0</v>
      </c>
      <c r="AN25" s="121">
        <f t="shared" si="74"/>
        <v>0</v>
      </c>
      <c r="AO25" s="66" t="str">
        <f>IF(AN25=0," ",VLOOKUP($C25,Dato_Transf!$AC:$AI,7,FALSE()))</f>
        <v xml:space="preserve"> </v>
      </c>
      <c r="AP25" s="72">
        <f>IFERROR(VLOOKUP($C25,Dato_Transf!$AC:$AI,5,FALSE()),0)</f>
        <v>0</v>
      </c>
      <c r="AQ25" s="72">
        <f>IFERROR(VLOOKUP($C25,Dato_Transf!$AC:$AI,6,FALSE()),0)</f>
        <v>0</v>
      </c>
      <c r="AR25" s="121">
        <f t="shared" si="75"/>
        <v>0</v>
      </c>
      <c r="AS25" s="66" t="str">
        <f>IF(AR25=0," ",VLOOKUP($C25,Dato_Transf!$AC:$AI,7,FALSE()))</f>
        <v xml:space="preserve"> </v>
      </c>
      <c r="AT25" s="72">
        <f>IFERROR(VLOOKUP($C25,Dato_Transf!$AJ:$AP,3,FALSE()),0)</f>
        <v>0</v>
      </c>
      <c r="AU25" s="72">
        <f>IFERROR(VLOOKUP($C25,Dato_Transf!$AJ:$AP,4,FALSE()),0)</f>
        <v>0</v>
      </c>
      <c r="AV25" s="121">
        <f t="shared" si="76"/>
        <v>0</v>
      </c>
      <c r="AW25" s="66" t="str">
        <f>IF(AV25=0," ",VLOOKUP($C25,Dato_Transf!$AJ:$AP,7,FALSE()))</f>
        <v xml:space="preserve"> </v>
      </c>
      <c r="AX25" s="72">
        <f>IFERROR(VLOOKUP($C25,Dato_Transf!$AJ:$AP,5,FALSE()),0)</f>
        <v>0</v>
      </c>
      <c r="AY25" s="72">
        <f>IFERROR(VLOOKUP($C25,Dato_Transf!$AJ:$AP,6,FALSE()),0)</f>
        <v>0</v>
      </c>
      <c r="AZ25" s="121">
        <f t="shared" si="77"/>
        <v>0</v>
      </c>
      <c r="BA25" s="66" t="str">
        <f>IF(AZ25=0," ",VLOOKUP($C25,Dato_Transf!$AJ:$AP,7,FALSE()))</f>
        <v xml:space="preserve"> </v>
      </c>
      <c r="BB25" s="72">
        <f>IFERROR(VLOOKUP($C25,Dato_Transf!$AQ:$AW,3,FALSE()),0)</f>
        <v>0</v>
      </c>
      <c r="BC25" s="72">
        <f>IFERROR(VLOOKUP($C25,Dato_Transf!$AQ:$AW,4,FALSE()),0)</f>
        <v>0</v>
      </c>
      <c r="BD25" s="121">
        <f t="shared" si="78"/>
        <v>0</v>
      </c>
      <c r="BE25" s="66" t="str">
        <f>IF(BD25=0," ",VLOOKUP($C25,Dato_Transf!$AQ:$AW,7,FALSE()))</f>
        <v xml:space="preserve"> </v>
      </c>
      <c r="BF25" s="72">
        <f>IFERROR(VLOOKUP($C25,Dato_Transf!$AQ:$AW,5,FALSE()),0)</f>
        <v>0</v>
      </c>
      <c r="BG25" s="72">
        <f>IFERROR(VLOOKUP($C25,Dato_Transf!$AQ:$AW,6,FALSE()),0)</f>
        <v>0</v>
      </c>
      <c r="BH25" s="121">
        <f t="shared" si="79"/>
        <v>0</v>
      </c>
      <c r="BI25" s="66" t="str">
        <f>IF(BH25=0," ",VLOOKUP($C25,Dato_Transf!$AQ:$AW,7,FALSE()))</f>
        <v xml:space="preserve"> </v>
      </c>
      <c r="BJ25" s="119">
        <f t="shared" ref="BJ25" si="82">H25+P25+X25+AF25+AN25+AV25+BD25</f>
        <v>0</v>
      </c>
      <c r="BK25" s="120">
        <f t="shared" ref="BK25" si="83">L25+T25+AB25+AJ25+AR25+AZ25+BH25</f>
        <v>0</v>
      </c>
      <c r="BV25" s="55"/>
    </row>
    <row r="26" spans="2:74" ht="30" customHeight="1" x14ac:dyDescent="0.3">
      <c r="B26" s="39">
        <v>17</v>
      </c>
      <c r="C26" s="96" t="str">
        <f>VLOOKUP(D26,EMPLEADO!C:Q,15,FALSE)</f>
        <v>LUNA PINTA JUAN DIEGO</v>
      </c>
      <c r="D26" s="208" t="s">
        <v>201</v>
      </c>
      <c r="E26" s="201"/>
      <c r="F26" s="72">
        <f>IFERROR(VLOOKUP($C26,Dato_Transf!$A:$G,3,FALSE()),0)</f>
        <v>0</v>
      </c>
      <c r="G26" s="72">
        <f>IFERROR(VLOOKUP($C26,Dato_Transf!$A:$G,4,FALSE()),0)</f>
        <v>0</v>
      </c>
      <c r="H26" s="121">
        <f t="shared" ref="H26:H28" si="84">IF($F$6="OJO H.E. AL 100%",0,(G26-F26)*24)</f>
        <v>0</v>
      </c>
      <c r="I26" s="66" t="str">
        <f>IF(H26=0," ",VLOOKUP($C26,Dato_Transf!$A:$G,7,FALSE))</f>
        <v xml:space="preserve"> </v>
      </c>
      <c r="J26" s="72">
        <f>IFERROR(VLOOKUP($C26,Dato_Transf!$A:$G,5,FALSE()),0)</f>
        <v>0</v>
      </c>
      <c r="K26" s="72">
        <f>IFERROR(VLOOKUP($C26,Dato_Transf!$A:$G,6,FALSE()),0)</f>
        <v>0</v>
      </c>
      <c r="L26" s="121">
        <f t="shared" ref="L26:L28" si="85">(+K26-J26)*24</f>
        <v>0</v>
      </c>
      <c r="M26" s="66" t="str">
        <f>IF(L26=0," ",VLOOKUP($C26,Dato_Transf!$A:$G,7,FALSE))</f>
        <v xml:space="preserve"> </v>
      </c>
      <c r="N26" s="72">
        <f>IFERROR(VLOOKUP($C26,Dato_Transf!$H:$N,3,FALSE()),0)</f>
        <v>0</v>
      </c>
      <c r="O26" s="72">
        <f>IFERROR(VLOOKUP($C26,Dato_Transf!$H:$N,4,FALSE()),0)</f>
        <v>0</v>
      </c>
      <c r="P26" s="121">
        <f t="shared" ref="P26:P28" si="86">IF($F$6="OJO H.E. AL 100%",0,(O26-N26)*24)</f>
        <v>0</v>
      </c>
      <c r="Q26" s="66" t="str">
        <f>IF(P26=0," ",VLOOKUP($C26,Dato_Transf!$H:$N,7,FALSE()))</f>
        <v xml:space="preserve"> </v>
      </c>
      <c r="R26" s="72">
        <f>IFERROR(VLOOKUP($C26,Dato_Transf!$H:$N,5,FALSE()),0)</f>
        <v>0</v>
      </c>
      <c r="S26" s="72">
        <f>IFERROR(VLOOKUP($C26,Dato_Transf!$H:$N,6,FALSE()),0)</f>
        <v>0</v>
      </c>
      <c r="T26" s="121">
        <f t="shared" ref="T26:T28" si="87">(+S26-R26)*24</f>
        <v>0</v>
      </c>
      <c r="U26" s="66" t="str">
        <f>IF(T26=0," ",VLOOKUP($C26,Dato_Transf!$H:$N,7,FALSE()))</f>
        <v xml:space="preserve"> </v>
      </c>
      <c r="V26" s="72">
        <f>IFERROR(VLOOKUP($C26,Dato_Transf!$O:$U,3,FALSE()),0)</f>
        <v>0</v>
      </c>
      <c r="W26" s="72">
        <f>IFERROR(VLOOKUP($C26,Dato_Transf!$O:$U,4,FALSE()),0)</f>
        <v>0</v>
      </c>
      <c r="X26" s="121">
        <f t="shared" ref="X26:X28" si="88">IF($F$6="OJO H.E. AL 100%",0,(W26-V26)*24)</f>
        <v>0</v>
      </c>
      <c r="Y26" s="66" t="str">
        <f>IF(X26=0," ",VLOOKUP($C26,Dato_Transf!$O:$U,7,FALSE()))</f>
        <v xml:space="preserve"> </v>
      </c>
      <c r="Z26" s="72">
        <f>IFERROR(VLOOKUP($C26,Dato_Transf!$O:$U,5,FALSE()),0)</f>
        <v>0</v>
      </c>
      <c r="AA26" s="72">
        <f>IFERROR(VLOOKUP($C26,Dato_Transf!$O:$U,6,FALSE()),0)</f>
        <v>0</v>
      </c>
      <c r="AB26" s="121">
        <f t="shared" ref="AB26:AB28" si="89">(+AA26-Z26)*24</f>
        <v>0</v>
      </c>
      <c r="AC26" s="66" t="str">
        <f>IF(AB26=0," ",VLOOKUP($C26,Dato_Transf!$O:$U,7,FALSE()))</f>
        <v xml:space="preserve"> </v>
      </c>
      <c r="AD26" s="72">
        <f>IFERROR(VLOOKUP($C26,Dato_Transf!$V:$AB,3,FALSE()),0)</f>
        <v>0</v>
      </c>
      <c r="AE26" s="72">
        <f>IFERROR(VLOOKUP($C26,Dato_Transf!$V:$AB,4,FALSE()),0)</f>
        <v>0</v>
      </c>
      <c r="AF26" s="121">
        <f t="shared" ref="AF26:AF28" si="90">IF($F$6="OJO H.E. AL 100%",0,(AE26-AD26)*24)</f>
        <v>0</v>
      </c>
      <c r="AG26" s="66" t="str">
        <f>IF(AF26=0," ",VLOOKUP($C26,Dato_Transf!$V:$AB,7,FALSE()))</f>
        <v xml:space="preserve"> </v>
      </c>
      <c r="AH26" s="72">
        <f>IFERROR(VLOOKUP($C26,Dato_Transf!$V:$AB,5,FALSE()),0)</f>
        <v>0</v>
      </c>
      <c r="AI26" s="72">
        <f>IFERROR(VLOOKUP($C26,Dato_Transf!$V:$AB,6,FALSE()),0)</f>
        <v>0</v>
      </c>
      <c r="AJ26" s="121">
        <f t="shared" ref="AJ26:AJ28" si="91">(+AI26-AH26)*24</f>
        <v>0</v>
      </c>
      <c r="AK26" s="66" t="str">
        <f>IF(AJ26=0," ",VLOOKUP($C26,Dato_Transf!$V:$AB,7,FALSE()))</f>
        <v xml:space="preserve"> </v>
      </c>
      <c r="AL26" s="72">
        <f>IFERROR(VLOOKUP($C26,Dato_Transf!$AC:$AI,3,FALSE()),0)</f>
        <v>0</v>
      </c>
      <c r="AM26" s="72">
        <f>IFERROR(VLOOKUP($C26,Dato_Transf!$AC:$AI,4,FALSE()),0)</f>
        <v>0</v>
      </c>
      <c r="AN26" s="121">
        <f t="shared" ref="AN26:AN28" si="92">IF($F$6="OJO H.E. AL 100%",0,(AM26-AL26)*24)</f>
        <v>0</v>
      </c>
      <c r="AO26" s="66" t="str">
        <f>IF(AN26=0," ",VLOOKUP($C26,Dato_Transf!$AC:$AI,7,FALSE()))</f>
        <v xml:space="preserve"> </v>
      </c>
      <c r="AP26" s="72">
        <f>IFERROR(VLOOKUP($C26,Dato_Transf!$AC:$AI,5,FALSE()),0)</f>
        <v>0</v>
      </c>
      <c r="AQ26" s="72">
        <f>IFERROR(VLOOKUP($C26,Dato_Transf!$AC:$AI,6,FALSE()),0)</f>
        <v>0</v>
      </c>
      <c r="AR26" s="121">
        <f t="shared" ref="AR26:AR28" si="93">(+AQ26-AP26)*24</f>
        <v>0</v>
      </c>
      <c r="AS26" s="66" t="str">
        <f>IF(AR26=0," ",VLOOKUP($C26,Dato_Transf!$AC:$AI,7,FALSE()))</f>
        <v xml:space="preserve"> </v>
      </c>
      <c r="AT26" s="72">
        <f>IFERROR(VLOOKUP($C26,Dato_Transf!$AJ:$AP,3,FALSE()),0)</f>
        <v>0</v>
      </c>
      <c r="AU26" s="72">
        <f>IFERROR(VLOOKUP($C26,Dato_Transf!$AJ:$AP,4,FALSE()),0)</f>
        <v>0</v>
      </c>
      <c r="AV26" s="121">
        <f t="shared" ref="AV26:AV28" si="94">IF($F$6="OJO H.E. AL 100%",0,(AU26-AT26)*24)</f>
        <v>0</v>
      </c>
      <c r="AW26" s="66" t="str">
        <f>IF(AV26=0," ",VLOOKUP($C26,Dato_Transf!$AJ:$AP,7,FALSE()))</f>
        <v xml:space="preserve"> </v>
      </c>
      <c r="AX26" s="72">
        <f>IFERROR(VLOOKUP($C26,Dato_Transf!$AJ:$AP,5,FALSE()),0)</f>
        <v>0</v>
      </c>
      <c r="AY26" s="72">
        <f>IFERROR(VLOOKUP($C26,Dato_Transf!$AJ:$AP,6,FALSE()),0)</f>
        <v>0</v>
      </c>
      <c r="AZ26" s="121">
        <f t="shared" ref="AZ26:AZ28" si="95">(+AY26-AX26)*24</f>
        <v>0</v>
      </c>
      <c r="BA26" s="66" t="str">
        <f>IF(AZ26=0," ",VLOOKUP($C26,Dato_Transf!$AJ:$AP,7,FALSE()))</f>
        <v xml:space="preserve"> </v>
      </c>
      <c r="BB26" s="72">
        <f>IFERROR(VLOOKUP($C26,Dato_Transf!$AQ:$AW,3,FALSE()),0)</f>
        <v>0</v>
      </c>
      <c r="BC26" s="72">
        <f>IFERROR(VLOOKUP($C26,Dato_Transf!$AQ:$AW,4,FALSE()),0)</f>
        <v>0</v>
      </c>
      <c r="BD26" s="121">
        <f t="shared" ref="BD26:BD28" si="96">IF($F$6="OJO H.E. AL 100%",0,(BC26-BB26)*24)</f>
        <v>0</v>
      </c>
      <c r="BE26" s="66" t="str">
        <f>IF(BD26=0," ",VLOOKUP($C26,Dato_Transf!$AQ:$AW,7,FALSE()))</f>
        <v xml:space="preserve"> </v>
      </c>
      <c r="BF26" s="72">
        <f>IFERROR(VLOOKUP($C26,Dato_Transf!$AQ:$AW,5,FALSE()),0)</f>
        <v>0</v>
      </c>
      <c r="BG26" s="72">
        <f>IFERROR(VLOOKUP($C26,Dato_Transf!$AQ:$AW,6,FALSE()),0)</f>
        <v>0</v>
      </c>
      <c r="BH26" s="121">
        <f t="shared" ref="BH26:BH28" si="97">(+BG26-BF26)*24</f>
        <v>0</v>
      </c>
      <c r="BI26" s="66" t="str">
        <f>IF(BH26=0," ",VLOOKUP($C26,Dato_Transf!$AQ:$AW,7,FALSE()))</f>
        <v xml:space="preserve"> </v>
      </c>
      <c r="BJ26" s="119">
        <f t="shared" ref="BJ26:BJ28" si="98">H26+P26+X26+AF26+AN26+AV26+BD26</f>
        <v>0</v>
      </c>
      <c r="BK26" s="120">
        <f t="shared" ref="BK26:BK28" si="99">L26+T26+AB26+AJ26+AR26+AZ26+BH26</f>
        <v>0</v>
      </c>
      <c r="BV26" s="55"/>
    </row>
    <row r="27" spans="2:74" ht="30" customHeight="1" x14ac:dyDescent="0.3">
      <c r="B27" s="39">
        <v>18</v>
      </c>
      <c r="C27" s="96" t="str">
        <f>VLOOKUP(D27,EMPLEADO!C:Q,15,FALSE)</f>
        <v>GONZAGA ALVARADO LUIS FERNANDO</v>
      </c>
      <c r="D27" s="208" t="s">
        <v>203</v>
      </c>
      <c r="E27" s="201"/>
      <c r="F27" s="72">
        <f>IFERROR(VLOOKUP($C27,Dato_Transf!$A:$G,3,FALSE()),0)</f>
        <v>0</v>
      </c>
      <c r="G27" s="72">
        <f>IFERROR(VLOOKUP($C27,Dato_Transf!$A:$G,4,FALSE()),0)</f>
        <v>0</v>
      </c>
      <c r="H27" s="121">
        <f t="shared" si="84"/>
        <v>0</v>
      </c>
      <c r="I27" s="66" t="str">
        <f>IF(H27=0," ",VLOOKUP($C27,Dato_Transf!$A:$G,7,FALSE))</f>
        <v xml:space="preserve"> </v>
      </c>
      <c r="J27" s="72">
        <f>IFERROR(VLOOKUP($C27,Dato_Transf!$A:$G,5,FALSE()),0)</f>
        <v>0</v>
      </c>
      <c r="K27" s="72">
        <f>IFERROR(VLOOKUP($C27,Dato_Transf!$A:$G,6,FALSE()),0)</f>
        <v>0</v>
      </c>
      <c r="L27" s="121">
        <f t="shared" si="85"/>
        <v>0</v>
      </c>
      <c r="M27" s="66" t="str">
        <f>IF(L27=0," ",VLOOKUP($C27,Dato_Transf!$A:$G,7,FALSE))</f>
        <v xml:space="preserve"> </v>
      </c>
      <c r="N27" s="72">
        <f>IFERROR(VLOOKUP($C27,Dato_Transf!$H:$N,3,FALSE()),0)</f>
        <v>0</v>
      </c>
      <c r="O27" s="72">
        <f>IFERROR(VLOOKUP($C27,Dato_Transf!$H:$N,4,FALSE()),0)</f>
        <v>0</v>
      </c>
      <c r="P27" s="121">
        <f t="shared" si="86"/>
        <v>0</v>
      </c>
      <c r="Q27" s="66" t="str">
        <f>IF(P27=0," ",VLOOKUP($C27,Dato_Transf!$H:$N,7,FALSE()))</f>
        <v xml:space="preserve"> </v>
      </c>
      <c r="R27" s="72">
        <f>IFERROR(VLOOKUP($C27,Dato_Transf!$H:$N,5,FALSE()),0)</f>
        <v>0</v>
      </c>
      <c r="S27" s="72">
        <f>IFERROR(VLOOKUP($C27,Dato_Transf!$H:$N,6,FALSE()),0)</f>
        <v>0</v>
      </c>
      <c r="T27" s="121">
        <f t="shared" si="87"/>
        <v>0</v>
      </c>
      <c r="U27" s="66" t="str">
        <f>IF(T27=0," ",VLOOKUP($C27,Dato_Transf!$H:$N,7,FALSE()))</f>
        <v xml:space="preserve"> </v>
      </c>
      <c r="V27" s="72">
        <f>IFERROR(VLOOKUP($C27,Dato_Transf!$O:$U,3,FALSE()),0)</f>
        <v>0</v>
      </c>
      <c r="W27" s="72">
        <f>IFERROR(VLOOKUP($C27,Dato_Transf!$O:$U,4,FALSE()),0)</f>
        <v>0</v>
      </c>
      <c r="X27" s="121">
        <f t="shared" si="88"/>
        <v>0</v>
      </c>
      <c r="Y27" s="66" t="str">
        <f>IF(X27=0," ",VLOOKUP($C27,Dato_Transf!$O:$U,7,FALSE()))</f>
        <v xml:space="preserve"> </v>
      </c>
      <c r="Z27" s="72">
        <f>IFERROR(VLOOKUP($C27,Dato_Transf!$O:$U,5,FALSE()),0)</f>
        <v>0</v>
      </c>
      <c r="AA27" s="72">
        <f>IFERROR(VLOOKUP($C27,Dato_Transf!$O:$U,6,FALSE()),0)</f>
        <v>0</v>
      </c>
      <c r="AB27" s="121">
        <f t="shared" si="89"/>
        <v>0</v>
      </c>
      <c r="AC27" s="66" t="str">
        <f>IF(AB27=0," ",VLOOKUP($C27,Dato_Transf!$O:$U,7,FALSE()))</f>
        <v xml:space="preserve"> </v>
      </c>
      <c r="AD27" s="72">
        <f>IFERROR(VLOOKUP($C27,Dato_Transf!$V:$AB,3,FALSE()),0)</f>
        <v>0</v>
      </c>
      <c r="AE27" s="72">
        <f>IFERROR(VLOOKUP($C27,Dato_Transf!$V:$AB,4,FALSE()),0)</f>
        <v>0</v>
      </c>
      <c r="AF27" s="121">
        <f t="shared" si="90"/>
        <v>0</v>
      </c>
      <c r="AG27" s="66" t="str">
        <f>IF(AF27=0," ",VLOOKUP($C27,Dato_Transf!$V:$AB,7,FALSE()))</f>
        <v xml:space="preserve"> </v>
      </c>
      <c r="AH27" s="72">
        <f>IFERROR(VLOOKUP($C27,Dato_Transf!$V:$AB,5,FALSE()),0)</f>
        <v>0</v>
      </c>
      <c r="AI27" s="72">
        <f>IFERROR(VLOOKUP($C27,Dato_Transf!$V:$AB,6,FALSE()),0)</f>
        <v>0</v>
      </c>
      <c r="AJ27" s="121">
        <f t="shared" si="91"/>
        <v>0</v>
      </c>
      <c r="AK27" s="66" t="str">
        <f>IF(AJ27=0," ",VLOOKUP($C27,Dato_Transf!$V:$AB,7,FALSE()))</f>
        <v xml:space="preserve"> </v>
      </c>
      <c r="AL27" s="72">
        <f>IFERROR(VLOOKUP($C27,Dato_Transf!$AC:$AI,3,FALSE()),0)</f>
        <v>0</v>
      </c>
      <c r="AM27" s="72">
        <f>IFERROR(VLOOKUP($C27,Dato_Transf!$AC:$AI,4,FALSE()),0)</f>
        <v>0</v>
      </c>
      <c r="AN27" s="121">
        <f t="shared" si="92"/>
        <v>0</v>
      </c>
      <c r="AO27" s="66" t="str">
        <f>IF(AN27=0," ",VLOOKUP($C27,Dato_Transf!$AC:$AI,7,FALSE()))</f>
        <v xml:space="preserve"> </v>
      </c>
      <c r="AP27" s="72">
        <f>IFERROR(VLOOKUP($C27,Dato_Transf!$AC:$AI,5,FALSE()),0)</f>
        <v>0</v>
      </c>
      <c r="AQ27" s="72">
        <f>IFERROR(VLOOKUP($C27,Dato_Transf!$AC:$AI,6,FALSE()),0)</f>
        <v>0</v>
      </c>
      <c r="AR27" s="121">
        <f t="shared" si="93"/>
        <v>0</v>
      </c>
      <c r="AS27" s="66" t="str">
        <f>IF(AR27=0," ",VLOOKUP($C27,Dato_Transf!$AC:$AI,7,FALSE()))</f>
        <v xml:space="preserve"> </v>
      </c>
      <c r="AT27" s="72">
        <f>IFERROR(VLOOKUP($C27,Dato_Transf!$AJ:$AP,3,FALSE()),0)</f>
        <v>0</v>
      </c>
      <c r="AU27" s="72">
        <f>IFERROR(VLOOKUP($C27,Dato_Transf!$AJ:$AP,4,FALSE()),0)</f>
        <v>0</v>
      </c>
      <c r="AV27" s="121">
        <f t="shared" si="94"/>
        <v>0</v>
      </c>
      <c r="AW27" s="66" t="str">
        <f>IF(AV27=0," ",VLOOKUP($C27,Dato_Transf!$AJ:$AP,7,FALSE()))</f>
        <v xml:space="preserve"> </v>
      </c>
      <c r="AX27" s="72">
        <f>IFERROR(VLOOKUP($C27,Dato_Transf!$AJ:$AP,5,FALSE()),0)</f>
        <v>0</v>
      </c>
      <c r="AY27" s="72">
        <f>IFERROR(VLOOKUP($C27,Dato_Transf!$AJ:$AP,6,FALSE()),0)</f>
        <v>0</v>
      </c>
      <c r="AZ27" s="121">
        <f t="shared" si="95"/>
        <v>0</v>
      </c>
      <c r="BA27" s="66" t="str">
        <f>IF(AZ27=0," ",VLOOKUP($C27,Dato_Transf!$AJ:$AP,7,FALSE()))</f>
        <v xml:space="preserve"> </v>
      </c>
      <c r="BB27" s="72">
        <f>IFERROR(VLOOKUP($C27,Dato_Transf!$AQ:$AW,3,FALSE()),0)</f>
        <v>0</v>
      </c>
      <c r="BC27" s="72">
        <f>IFERROR(VLOOKUP($C27,Dato_Transf!$AQ:$AW,4,FALSE()),0)</f>
        <v>0</v>
      </c>
      <c r="BD27" s="121">
        <f t="shared" si="96"/>
        <v>0</v>
      </c>
      <c r="BE27" s="66" t="str">
        <f>IF(BD27=0," ",VLOOKUP($C27,Dato_Transf!$AQ:$AW,7,FALSE()))</f>
        <v xml:space="preserve"> </v>
      </c>
      <c r="BF27" s="72">
        <f>IFERROR(VLOOKUP($C27,Dato_Transf!$AQ:$AW,5,FALSE()),0)</f>
        <v>0</v>
      </c>
      <c r="BG27" s="72">
        <f>IFERROR(VLOOKUP($C27,Dato_Transf!$AQ:$AW,6,FALSE()),0)</f>
        <v>0</v>
      </c>
      <c r="BH27" s="121">
        <f t="shared" si="97"/>
        <v>0</v>
      </c>
      <c r="BI27" s="66" t="str">
        <f>IF(BH27=0," ",VLOOKUP($C27,Dato_Transf!$AQ:$AW,7,FALSE()))</f>
        <v xml:space="preserve"> </v>
      </c>
      <c r="BJ27" s="119">
        <f t="shared" si="98"/>
        <v>0</v>
      </c>
      <c r="BK27" s="120">
        <f t="shared" si="99"/>
        <v>0</v>
      </c>
      <c r="BV27" s="55"/>
    </row>
    <row r="28" spans="2:74" ht="30" customHeight="1" x14ac:dyDescent="0.3">
      <c r="B28" s="39">
        <v>19</v>
      </c>
      <c r="C28" s="96" t="str">
        <f>VLOOKUP(D28,EMPLEADO!C:Q,15,FALSE)</f>
        <v>SIMANCAS CANGO EDISON JOVANY</v>
      </c>
      <c r="D28" s="208" t="s">
        <v>205</v>
      </c>
      <c r="E28" s="201"/>
      <c r="F28" s="72">
        <f>IFERROR(VLOOKUP($C28,Dato_Transf!$A:$G,3,FALSE()),0)</f>
        <v>0</v>
      </c>
      <c r="G28" s="72">
        <f>IFERROR(VLOOKUP($C28,Dato_Transf!$A:$G,4,FALSE()),0)</f>
        <v>0</v>
      </c>
      <c r="H28" s="121">
        <f t="shared" si="84"/>
        <v>0</v>
      </c>
      <c r="I28" s="66" t="str">
        <f>IF(H28=0," ",VLOOKUP($C28,Dato_Transf!$A:$G,7,FALSE))</f>
        <v xml:space="preserve"> </v>
      </c>
      <c r="J28" s="72">
        <f>IFERROR(VLOOKUP($C28,Dato_Transf!$A:$G,5,FALSE()),0)</f>
        <v>0</v>
      </c>
      <c r="K28" s="72">
        <f>IFERROR(VLOOKUP($C28,Dato_Transf!$A:$G,6,FALSE()),0)</f>
        <v>0</v>
      </c>
      <c r="L28" s="121">
        <f t="shared" si="85"/>
        <v>0</v>
      </c>
      <c r="M28" s="66" t="str">
        <f>IF(L28=0," ",VLOOKUP($C28,Dato_Transf!$A:$G,7,FALSE))</f>
        <v xml:space="preserve"> </v>
      </c>
      <c r="N28" s="72">
        <f>IFERROR(VLOOKUP($C28,Dato_Transf!$H:$N,3,FALSE()),0)</f>
        <v>0</v>
      </c>
      <c r="O28" s="72">
        <f>IFERROR(VLOOKUP($C28,Dato_Transf!$H:$N,4,FALSE()),0)</f>
        <v>0</v>
      </c>
      <c r="P28" s="121">
        <f t="shared" si="86"/>
        <v>0</v>
      </c>
      <c r="Q28" s="66" t="str">
        <f>IF(P28=0," ",VLOOKUP($C28,Dato_Transf!$H:$N,7,FALSE()))</f>
        <v xml:space="preserve"> </v>
      </c>
      <c r="R28" s="72">
        <f>IFERROR(VLOOKUP($C28,Dato_Transf!$H:$N,5,FALSE()),0)</f>
        <v>0</v>
      </c>
      <c r="S28" s="72">
        <f>IFERROR(VLOOKUP($C28,Dato_Transf!$H:$N,6,FALSE()),0)</f>
        <v>0</v>
      </c>
      <c r="T28" s="121">
        <f t="shared" si="87"/>
        <v>0</v>
      </c>
      <c r="U28" s="66" t="str">
        <f>IF(T28=0," ",VLOOKUP($C28,Dato_Transf!$H:$N,7,FALSE()))</f>
        <v xml:space="preserve"> </v>
      </c>
      <c r="V28" s="72">
        <f>IFERROR(VLOOKUP($C28,Dato_Transf!$O:$U,3,FALSE()),0)</f>
        <v>0</v>
      </c>
      <c r="W28" s="72">
        <f>IFERROR(VLOOKUP($C28,Dato_Transf!$O:$U,4,FALSE()),0)</f>
        <v>0</v>
      </c>
      <c r="X28" s="121">
        <f t="shared" si="88"/>
        <v>0</v>
      </c>
      <c r="Y28" s="66" t="str">
        <f>IF(X28=0," ",VLOOKUP($C28,Dato_Transf!$O:$U,7,FALSE()))</f>
        <v xml:space="preserve"> </v>
      </c>
      <c r="Z28" s="72">
        <f>IFERROR(VLOOKUP($C28,Dato_Transf!$O:$U,5,FALSE()),0)</f>
        <v>0</v>
      </c>
      <c r="AA28" s="72">
        <f>IFERROR(VLOOKUP($C28,Dato_Transf!$O:$U,6,FALSE()),0)</f>
        <v>0</v>
      </c>
      <c r="AB28" s="121">
        <f t="shared" si="89"/>
        <v>0</v>
      </c>
      <c r="AC28" s="66" t="str">
        <f>IF(AB28=0," ",VLOOKUP($C28,Dato_Transf!$O:$U,7,FALSE()))</f>
        <v xml:space="preserve"> </v>
      </c>
      <c r="AD28" s="72">
        <f>IFERROR(VLOOKUP($C28,Dato_Transf!$V:$AB,3,FALSE()),0)</f>
        <v>0</v>
      </c>
      <c r="AE28" s="72">
        <f>IFERROR(VLOOKUP($C28,Dato_Transf!$V:$AB,4,FALSE()),0)</f>
        <v>0</v>
      </c>
      <c r="AF28" s="121">
        <f t="shared" si="90"/>
        <v>0</v>
      </c>
      <c r="AG28" s="66" t="str">
        <f>IF(AF28=0," ",VLOOKUP($C28,Dato_Transf!$V:$AB,7,FALSE()))</f>
        <v xml:space="preserve"> </v>
      </c>
      <c r="AH28" s="72">
        <f>IFERROR(VLOOKUP($C28,Dato_Transf!$V:$AB,5,FALSE()),0)</f>
        <v>0</v>
      </c>
      <c r="AI28" s="72">
        <f>IFERROR(VLOOKUP($C28,Dato_Transf!$V:$AB,6,FALSE()),0)</f>
        <v>0</v>
      </c>
      <c r="AJ28" s="121">
        <f t="shared" si="91"/>
        <v>0</v>
      </c>
      <c r="AK28" s="66" t="str">
        <f>IF(AJ28=0," ",VLOOKUP($C28,Dato_Transf!$V:$AB,7,FALSE()))</f>
        <v xml:space="preserve"> </v>
      </c>
      <c r="AL28" s="72">
        <f>IFERROR(VLOOKUP($C28,Dato_Transf!$AC:$AI,3,FALSE()),0)</f>
        <v>0</v>
      </c>
      <c r="AM28" s="72">
        <f>IFERROR(VLOOKUP($C28,Dato_Transf!$AC:$AI,4,FALSE()),0)</f>
        <v>0</v>
      </c>
      <c r="AN28" s="121">
        <f t="shared" si="92"/>
        <v>0</v>
      </c>
      <c r="AO28" s="66" t="str">
        <f>IF(AN28=0," ",VLOOKUP($C28,Dato_Transf!$AC:$AI,7,FALSE()))</f>
        <v xml:space="preserve"> </v>
      </c>
      <c r="AP28" s="72">
        <f>IFERROR(VLOOKUP($C28,Dato_Transf!$AC:$AI,5,FALSE()),0)</f>
        <v>0</v>
      </c>
      <c r="AQ28" s="72">
        <f>IFERROR(VLOOKUP($C28,Dato_Transf!$AC:$AI,6,FALSE()),0)</f>
        <v>0</v>
      </c>
      <c r="AR28" s="121">
        <f t="shared" si="93"/>
        <v>0</v>
      </c>
      <c r="AS28" s="66" t="str">
        <f>IF(AR28=0," ",VLOOKUP($C28,Dato_Transf!$AC:$AI,7,FALSE()))</f>
        <v xml:space="preserve"> </v>
      </c>
      <c r="AT28" s="72">
        <f>IFERROR(VLOOKUP($C28,Dato_Transf!$AJ:$AP,3,FALSE()),0)</f>
        <v>0</v>
      </c>
      <c r="AU28" s="72">
        <f>IFERROR(VLOOKUP($C28,Dato_Transf!$AJ:$AP,4,FALSE()),0)</f>
        <v>0</v>
      </c>
      <c r="AV28" s="121">
        <f t="shared" si="94"/>
        <v>0</v>
      </c>
      <c r="AW28" s="66" t="str">
        <f>IF(AV28=0," ",VLOOKUP($C28,Dato_Transf!$AJ:$AP,7,FALSE()))</f>
        <v xml:space="preserve"> </v>
      </c>
      <c r="AX28" s="72">
        <f>IFERROR(VLOOKUP($C28,Dato_Transf!$AJ:$AP,5,FALSE()),0)</f>
        <v>0</v>
      </c>
      <c r="AY28" s="72">
        <f>IFERROR(VLOOKUP($C28,Dato_Transf!$AJ:$AP,6,FALSE()),0)</f>
        <v>0</v>
      </c>
      <c r="AZ28" s="121">
        <f t="shared" si="95"/>
        <v>0</v>
      </c>
      <c r="BA28" s="66" t="str">
        <f>IF(AZ28=0," ",VLOOKUP($C28,Dato_Transf!$AJ:$AP,7,FALSE()))</f>
        <v xml:space="preserve"> </v>
      </c>
      <c r="BB28" s="72">
        <f>IFERROR(VLOOKUP($C28,Dato_Transf!$AQ:$AW,3,FALSE()),0)</f>
        <v>0</v>
      </c>
      <c r="BC28" s="72">
        <f>IFERROR(VLOOKUP($C28,Dato_Transf!$AQ:$AW,4,FALSE()),0)</f>
        <v>0</v>
      </c>
      <c r="BD28" s="121">
        <f t="shared" si="96"/>
        <v>0</v>
      </c>
      <c r="BE28" s="66" t="str">
        <f>IF(BD28=0," ",VLOOKUP($C28,Dato_Transf!$AQ:$AW,7,FALSE()))</f>
        <v xml:space="preserve"> </v>
      </c>
      <c r="BF28" s="72">
        <f>IFERROR(VLOOKUP($C28,Dato_Transf!$AQ:$AW,5,FALSE()),0)</f>
        <v>0</v>
      </c>
      <c r="BG28" s="72">
        <f>IFERROR(VLOOKUP($C28,Dato_Transf!$AQ:$AW,6,FALSE()),0)</f>
        <v>0</v>
      </c>
      <c r="BH28" s="121">
        <f t="shared" si="97"/>
        <v>0</v>
      </c>
      <c r="BI28" s="66" t="str">
        <f>IF(BH28=0," ",VLOOKUP($C28,Dato_Transf!$AQ:$AW,7,FALSE()))</f>
        <v xml:space="preserve"> </v>
      </c>
      <c r="BJ28" s="119">
        <f t="shared" si="98"/>
        <v>0</v>
      </c>
      <c r="BK28" s="120">
        <f t="shared" si="99"/>
        <v>0</v>
      </c>
      <c r="BV28" s="55"/>
    </row>
    <row r="29" spans="2:74" ht="29.25" customHeight="1" thickBot="1" x14ac:dyDescent="0.3"/>
    <row r="30" spans="2:74" ht="21" customHeight="1" x14ac:dyDescent="0.3">
      <c r="C30" s="89" t="s">
        <v>133</v>
      </c>
      <c r="D30" s="48"/>
      <c r="F30" s="289"/>
      <c r="G30" s="289"/>
      <c r="H30" s="289"/>
      <c r="I30" s="289"/>
      <c r="J30" s="289"/>
      <c r="K30" s="289"/>
      <c r="L30" s="289"/>
      <c r="M30" s="289"/>
      <c r="N30" s="289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289"/>
      <c r="AC30" s="289"/>
      <c r="AD30" s="289"/>
      <c r="AE30" s="289"/>
      <c r="AF30" s="289"/>
      <c r="AG30" s="289"/>
      <c r="AH30" s="289"/>
      <c r="AI30" s="289"/>
      <c r="AJ30" s="289"/>
      <c r="AK30" s="289"/>
      <c r="AL30" s="289"/>
      <c r="AM30" s="289"/>
      <c r="AN30" s="289"/>
      <c r="AO30" s="289"/>
      <c r="AP30" s="289"/>
      <c r="AQ30" s="289"/>
      <c r="AR30" s="289"/>
      <c r="AS30" s="289"/>
      <c r="AT30" s="289"/>
      <c r="AU30" s="289"/>
      <c r="AV30" s="289"/>
      <c r="AW30" s="289"/>
      <c r="AX30" s="289"/>
      <c r="AY30" s="289"/>
      <c r="AZ30" s="289"/>
      <c r="BA30" s="289"/>
      <c r="BB30" s="289"/>
      <c r="BC30" s="289"/>
      <c r="BD30" s="289"/>
      <c r="BE30" s="289"/>
      <c r="BF30" s="289"/>
      <c r="BG30" s="289"/>
      <c r="BH30" s="289"/>
      <c r="BI30" s="289"/>
      <c r="BJ30" s="159">
        <f>SUM(BJ10:BJ29)</f>
        <v>0</v>
      </c>
      <c r="BK30" s="159">
        <f>SUM(BK10:BK29)</f>
        <v>0</v>
      </c>
      <c r="BM30" s="116"/>
      <c r="BN30" s="116"/>
      <c r="BO30" s="116"/>
      <c r="BR30" s="116"/>
      <c r="BS30" s="116"/>
      <c r="BT30" s="116"/>
      <c r="BU30" s="116"/>
    </row>
    <row r="31" spans="2:74" x14ac:dyDescent="0.25">
      <c r="B31" s="54" t="s">
        <v>137</v>
      </c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290"/>
      <c r="R31" s="290"/>
      <c r="S31" s="290"/>
      <c r="T31" s="290"/>
      <c r="U31" s="290"/>
      <c r="V31" s="290"/>
      <c r="W31" s="290"/>
      <c r="X31" s="290"/>
      <c r="Y31" s="290"/>
      <c r="Z31" s="290"/>
      <c r="AA31" s="290"/>
      <c r="AB31" s="290"/>
      <c r="AC31" s="290"/>
      <c r="AD31" s="290"/>
      <c r="AE31" s="290"/>
      <c r="AF31" s="290"/>
      <c r="AG31" s="290"/>
      <c r="AH31" s="290"/>
      <c r="AI31" s="290"/>
      <c r="AJ31" s="290"/>
      <c r="AK31" s="290"/>
      <c r="AL31" s="290"/>
      <c r="AM31" s="290"/>
      <c r="AN31" s="290"/>
      <c r="AO31" s="290"/>
      <c r="AP31" s="290"/>
      <c r="AQ31" s="290"/>
      <c r="AR31" s="290"/>
      <c r="AS31" s="290"/>
      <c r="AT31" s="290"/>
      <c r="AU31" s="290"/>
      <c r="AV31" s="290"/>
      <c r="AW31" s="290"/>
      <c r="AX31" s="290"/>
      <c r="AY31" s="290"/>
      <c r="AZ31" s="290"/>
      <c r="BA31" s="290"/>
      <c r="BB31" s="290"/>
      <c r="BC31" s="290"/>
      <c r="BD31" s="290"/>
      <c r="BE31" s="290"/>
      <c r="BF31" s="290"/>
      <c r="BG31" s="290"/>
      <c r="BH31" s="290"/>
      <c r="BI31" s="290"/>
      <c r="BM31" s="116"/>
      <c r="BN31" s="116"/>
      <c r="BO31" s="116"/>
      <c r="BR31" s="116"/>
      <c r="BS31" s="116"/>
      <c r="BT31" s="116"/>
      <c r="BU31" s="116"/>
    </row>
    <row r="32" spans="2:74" x14ac:dyDescent="0.25"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0"/>
      <c r="U32" s="290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90"/>
      <c r="AG32" s="290"/>
      <c r="AH32" s="290"/>
      <c r="AI32" s="290"/>
      <c r="AJ32" s="290"/>
      <c r="AK32" s="290"/>
      <c r="AL32" s="290"/>
      <c r="AM32" s="290"/>
      <c r="AN32" s="290"/>
      <c r="AO32" s="290"/>
      <c r="AP32" s="290"/>
      <c r="AQ32" s="290"/>
      <c r="AR32" s="290"/>
      <c r="AS32" s="290"/>
      <c r="AT32" s="290"/>
      <c r="AU32" s="290"/>
      <c r="AV32" s="290"/>
      <c r="AW32" s="290"/>
      <c r="AX32" s="290"/>
      <c r="AY32" s="290"/>
      <c r="AZ32" s="290"/>
      <c r="BA32" s="290"/>
      <c r="BB32" s="290"/>
      <c r="BC32" s="290"/>
      <c r="BD32" s="290"/>
      <c r="BE32" s="290"/>
      <c r="BF32" s="290"/>
      <c r="BG32" s="290"/>
      <c r="BH32" s="290"/>
      <c r="BI32" s="290"/>
      <c r="BM32" s="116"/>
      <c r="BN32" s="116"/>
      <c r="BO32" s="116"/>
      <c r="BR32" s="116"/>
      <c r="BS32" s="116"/>
      <c r="BT32" s="116"/>
      <c r="BU32" s="116"/>
    </row>
    <row r="33" spans="2:73" x14ac:dyDescent="0.25"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290"/>
      <c r="R33" s="290"/>
      <c r="S33" s="290"/>
      <c r="T33" s="290"/>
      <c r="U33" s="290"/>
      <c r="V33" s="290"/>
      <c r="W33" s="290"/>
      <c r="X33" s="290"/>
      <c r="Y33" s="290"/>
      <c r="Z33" s="290"/>
      <c r="AA33" s="290"/>
      <c r="AB33" s="290"/>
      <c r="AC33" s="290"/>
      <c r="AD33" s="290"/>
      <c r="AE33" s="290"/>
      <c r="AF33" s="290"/>
      <c r="AG33" s="290"/>
      <c r="AH33" s="290"/>
      <c r="AI33" s="290"/>
      <c r="AJ33" s="290"/>
      <c r="AK33" s="290"/>
      <c r="AL33" s="290"/>
      <c r="AM33" s="290"/>
      <c r="AN33" s="290"/>
      <c r="AO33" s="290"/>
      <c r="AP33" s="290"/>
      <c r="AQ33" s="290"/>
      <c r="AR33" s="290"/>
      <c r="AS33" s="290"/>
      <c r="AT33" s="290"/>
      <c r="AU33" s="290"/>
      <c r="AV33" s="290"/>
      <c r="AW33" s="290"/>
      <c r="AX33" s="290"/>
      <c r="AY33" s="290"/>
      <c r="AZ33" s="290"/>
      <c r="BA33" s="290"/>
      <c r="BB33" s="290"/>
      <c r="BC33" s="290"/>
      <c r="BD33" s="290"/>
      <c r="BE33" s="290"/>
      <c r="BF33" s="290"/>
      <c r="BG33" s="290"/>
      <c r="BH33" s="290"/>
      <c r="BI33" s="290"/>
      <c r="BM33" s="116"/>
      <c r="BN33" s="116"/>
      <c r="BO33" s="116"/>
      <c r="BR33" s="116"/>
      <c r="BS33" s="116"/>
      <c r="BT33" s="116"/>
      <c r="BU33" s="116"/>
    </row>
    <row r="34" spans="2:73" ht="15.75" thickBot="1" x14ac:dyDescent="0.3">
      <c r="B34" s="54" t="s">
        <v>138</v>
      </c>
      <c r="C34" s="48" t="s">
        <v>139</v>
      </c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M34" s="116"/>
      <c r="BN34" s="116"/>
      <c r="BO34" s="116"/>
      <c r="BR34" s="116"/>
      <c r="BS34" s="116"/>
      <c r="BT34" s="116"/>
      <c r="BU34" s="116"/>
    </row>
    <row r="35" spans="2:73" x14ac:dyDescent="0.25">
      <c r="BM35" s="116"/>
      <c r="BN35" s="116"/>
      <c r="BO35" s="116"/>
      <c r="BR35" s="116"/>
      <c r="BS35" s="116"/>
      <c r="BT35" s="116"/>
      <c r="BU35" s="116"/>
    </row>
    <row r="36" spans="2:73" x14ac:dyDescent="0.25">
      <c r="BM36" s="116"/>
      <c r="BN36" s="116"/>
      <c r="BO36" s="116"/>
      <c r="BR36" s="116"/>
      <c r="BS36" s="116"/>
      <c r="BT36" s="116"/>
      <c r="BU36" s="116"/>
    </row>
    <row r="37" spans="2:73" x14ac:dyDescent="0.25">
      <c r="BM37" s="116"/>
      <c r="BN37" s="116"/>
      <c r="BO37" s="116"/>
      <c r="BR37" s="116"/>
      <c r="BS37" s="116"/>
      <c r="BT37" s="116"/>
      <c r="BU37" s="116"/>
    </row>
    <row r="38" spans="2:73" x14ac:dyDescent="0.25">
      <c r="BM38" s="116"/>
      <c r="BN38" s="116"/>
      <c r="BO38" s="116"/>
      <c r="BR38" s="116"/>
      <c r="BS38" s="116"/>
      <c r="BT38" s="116"/>
      <c r="BU38" s="116"/>
    </row>
    <row r="39" spans="2:73" x14ac:dyDescent="0.25">
      <c r="BM39" s="116"/>
      <c r="BN39" s="116"/>
      <c r="BO39" s="116"/>
      <c r="BR39" s="116"/>
      <c r="BS39" s="116"/>
      <c r="BT39" s="116"/>
      <c r="BU39" s="116"/>
    </row>
    <row r="40" spans="2:73" x14ac:dyDescent="0.25">
      <c r="BM40" s="116"/>
      <c r="BN40" s="116"/>
      <c r="BO40" s="116"/>
      <c r="BR40" s="116"/>
      <c r="BS40" s="116"/>
      <c r="BT40" s="116"/>
      <c r="BU40" s="116"/>
    </row>
    <row r="41" spans="2:73" x14ac:dyDescent="0.25">
      <c r="BM41" s="116"/>
      <c r="BN41" s="116"/>
      <c r="BO41" s="116"/>
      <c r="BR41" s="116"/>
      <c r="BS41" s="116"/>
      <c r="BT41" s="116"/>
      <c r="BU41" s="116"/>
    </row>
  </sheetData>
  <mergeCells count="54">
    <mergeCell ref="AL6:AS6"/>
    <mergeCell ref="AT6:BA6"/>
    <mergeCell ref="BB6:BI6"/>
    <mergeCell ref="C2:E2"/>
    <mergeCell ref="C3:E3"/>
    <mergeCell ref="F6:M6"/>
    <mergeCell ref="N6:U6"/>
    <mergeCell ref="V6:AC6"/>
    <mergeCell ref="AD6:AK6"/>
    <mergeCell ref="BB5:BI5"/>
    <mergeCell ref="F5:M5"/>
    <mergeCell ref="N5:U5"/>
    <mergeCell ref="V5:AC5"/>
    <mergeCell ref="AD5:AK5"/>
    <mergeCell ref="AL5:AS5"/>
    <mergeCell ref="AT5:BA5"/>
    <mergeCell ref="BJ7:BK7"/>
    <mergeCell ref="F8:I8"/>
    <mergeCell ref="J8:M8"/>
    <mergeCell ref="BB7:BI7"/>
    <mergeCell ref="AD7:AK7"/>
    <mergeCell ref="AL7:AS7"/>
    <mergeCell ref="AT7:BA7"/>
    <mergeCell ref="F7:M7"/>
    <mergeCell ref="N7:U7"/>
    <mergeCell ref="V7:AC7"/>
    <mergeCell ref="AD8:AG8"/>
    <mergeCell ref="AH8:AK8"/>
    <mergeCell ref="N8:Q8"/>
    <mergeCell ref="R8:U8"/>
    <mergeCell ref="V8:Y8"/>
    <mergeCell ref="Z8:AC8"/>
    <mergeCell ref="BB8:BE8"/>
    <mergeCell ref="BF8:BI8"/>
    <mergeCell ref="AL8:AO8"/>
    <mergeCell ref="AP8:AS8"/>
    <mergeCell ref="AT8:AW8"/>
    <mergeCell ref="AX8:BA8"/>
    <mergeCell ref="BB30:BI34"/>
    <mergeCell ref="F30:M34"/>
    <mergeCell ref="N30:U34"/>
    <mergeCell ref="V30:AC34"/>
    <mergeCell ref="AD30:AK34"/>
    <mergeCell ref="AL30:AS34"/>
    <mergeCell ref="AT30:BA34"/>
    <mergeCell ref="C1:D1"/>
    <mergeCell ref="AT2:BA2"/>
    <mergeCell ref="BB2:BI2"/>
    <mergeCell ref="F2:M2"/>
    <mergeCell ref="N2:U2"/>
    <mergeCell ref="V2:AC2"/>
    <mergeCell ref="AD2:AK2"/>
    <mergeCell ref="AL2:AS2"/>
    <mergeCell ref="H1:AG1"/>
  </mergeCells>
  <conditionalFormatting sqref="F6:BI6">
    <cfRule type="cellIs" dxfId="9" priority="27" operator="equal">
      <formula>"OJO H.E. AL 100%"</formula>
    </cfRule>
    <cfRule type="cellIs" dxfId="8" priority="28" operator="equal">
      <formula>"""OJO H.E. AL 100%"""</formula>
    </cfRule>
  </conditionalFormatting>
  <conditionalFormatting sqref="AT4 BB4 AL4 AD4 V4 N4 F4">
    <cfRule type="cellIs" dxfId="7" priority="26" operator="equal">
      <formula>"F"</formula>
    </cfRule>
  </conditionalFormatting>
  <conditionalFormatting sqref="F5:BI5">
    <cfRule type="cellIs" dxfId="6" priority="7" operator="equal">
      <formula>0</formula>
    </cfRule>
  </conditionalFormatting>
  <pageMargins left="0.51181102362204722" right="0.11811023622047245" top="0.15748031496062992" bottom="0.15748031496062992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 tint="-0.249977111117893"/>
  </sheetPr>
  <dimension ref="A1:R41"/>
  <sheetViews>
    <sheetView topLeftCell="B1" zoomScale="70" zoomScaleNormal="70" workbookViewId="0">
      <selection activeCell="F5" sqref="F5:M5"/>
    </sheetView>
  </sheetViews>
  <sheetFormatPr baseColWidth="10" defaultRowHeight="15" x14ac:dyDescent="0.25"/>
  <cols>
    <col min="1" max="1" width="2.85546875" style="3" hidden="1" customWidth="1"/>
    <col min="2" max="2" width="4.7109375" style="3" customWidth="1"/>
    <col min="3" max="3" width="47.7109375" style="3" customWidth="1"/>
    <col min="4" max="4" width="18.5703125" style="3" customWidth="1"/>
    <col min="5" max="5" width="10.42578125" style="3" hidden="1" customWidth="1"/>
    <col min="6" max="7" width="7.7109375" style="3" customWidth="1"/>
    <col min="8" max="8" width="6.7109375" style="3" customWidth="1"/>
    <col min="9" max="9" width="9.7109375" style="3" customWidth="1"/>
    <col min="10" max="11" width="7.7109375" style="3" customWidth="1"/>
    <col min="12" max="12" width="6.7109375" style="3" customWidth="1"/>
    <col min="13" max="13" width="9.7109375" style="3" customWidth="1"/>
    <col min="14" max="14" width="21.140625" customWidth="1"/>
    <col min="18" max="18" width="4.7109375" style="14" customWidth="1"/>
    <col min="19" max="16384" width="11.42578125" style="3"/>
  </cols>
  <sheetData>
    <row r="1" spans="2:18" ht="15.75" customHeight="1" x14ac:dyDescent="0.25">
      <c r="F1"/>
      <c r="G1"/>
      <c r="H1"/>
      <c r="I1"/>
      <c r="J1"/>
      <c r="K1"/>
      <c r="L1"/>
      <c r="M1"/>
    </row>
    <row r="2" spans="2:18" ht="22.5" x14ac:dyDescent="0.4">
      <c r="C2" s="308" t="s">
        <v>48</v>
      </c>
      <c r="D2" s="308"/>
      <c r="E2" s="308"/>
      <c r="F2" s="288"/>
      <c r="G2" s="288"/>
      <c r="H2" s="288"/>
      <c r="I2" s="288"/>
      <c r="J2" s="288"/>
      <c r="K2" s="288"/>
      <c r="L2" s="288"/>
      <c r="M2" s="288"/>
      <c r="N2" s="288"/>
    </row>
    <row r="3" spans="2:18" ht="21.75" thickBot="1" x14ac:dyDescent="0.45">
      <c r="C3" s="339" t="s">
        <v>112</v>
      </c>
      <c r="D3" s="339"/>
      <c r="E3" s="339"/>
    </row>
    <row r="4" spans="2:18" ht="25.5" customHeight="1" thickBot="1" x14ac:dyDescent="0.3">
      <c r="C4" s="54" t="str">
        <f>IF(VARIOS!B4&gt;=14,IF(C5=0," ",+VARIOS!B11)," ")</f>
        <v>PRIMERA QUINCENA DE JUNIO DEL 2019</v>
      </c>
      <c r="F4" s="123"/>
    </row>
    <row r="5" spans="2:18" ht="21.95" customHeight="1" thickBot="1" x14ac:dyDescent="0.4">
      <c r="B5" s="86" t="s">
        <v>110</v>
      </c>
      <c r="C5" s="87">
        <f>'CONTROL H.E.'!C5</f>
        <v>43617</v>
      </c>
      <c r="D5" s="89" t="s">
        <v>113</v>
      </c>
      <c r="F5" s="310"/>
      <c r="G5" s="297"/>
      <c r="H5" s="297"/>
      <c r="I5" s="297"/>
      <c r="J5" s="297"/>
      <c r="K5" s="297"/>
      <c r="L5" s="297"/>
      <c r="M5" s="298"/>
    </row>
    <row r="6" spans="2:18" s="8" customFormat="1" ht="21.95" customHeight="1" thickBot="1" x14ac:dyDescent="0.35">
      <c r="B6" s="133" t="s">
        <v>111</v>
      </c>
      <c r="C6" s="87">
        <f>'CONTROL H.E.'!C6</f>
        <v>43631</v>
      </c>
      <c r="D6" s="100"/>
      <c r="F6" s="299" t="str">
        <f>IF(F5=0,"INGRESE DIA POR FAVOR",IF(WEEKDAY(F5)=7,"OJO H.E. AL 100%",IF(WEEKDAY(F5)=1,"OJO H.E. AL 100%",IF(F4="F","OJO H.E. AL 100%","INGRESAR HORAS EXTRAS"))))</f>
        <v>INGRESE DIA POR FAVOR</v>
      </c>
      <c r="G6" s="300"/>
      <c r="H6" s="300"/>
      <c r="I6" s="300"/>
      <c r="J6" s="300"/>
      <c r="K6" s="300"/>
      <c r="L6" s="300"/>
      <c r="M6" s="301"/>
      <c r="R6" s="14"/>
    </row>
    <row r="7" spans="2:18" ht="19.5" thickBot="1" x14ac:dyDescent="0.3">
      <c r="B7" s="136" t="s">
        <v>100</v>
      </c>
      <c r="C7" s="103">
        <v>3</v>
      </c>
      <c r="F7" s="340" t="s">
        <v>33</v>
      </c>
      <c r="G7" s="340"/>
      <c r="H7" s="340"/>
      <c r="I7" s="340"/>
      <c r="J7" s="340"/>
      <c r="K7" s="340"/>
      <c r="L7" s="340"/>
      <c r="M7" s="341"/>
    </row>
    <row r="8" spans="2:18" ht="39.75" customHeight="1" thickBot="1" x14ac:dyDescent="0.3">
      <c r="F8" s="333" t="s">
        <v>106</v>
      </c>
      <c r="G8" s="334"/>
      <c r="H8" s="334"/>
      <c r="I8" s="335"/>
      <c r="J8" s="336" t="s">
        <v>132</v>
      </c>
      <c r="K8" s="337"/>
      <c r="L8" s="337"/>
      <c r="M8" s="338"/>
    </row>
    <row r="9" spans="2:18" ht="54.95" customHeight="1" x14ac:dyDescent="0.25">
      <c r="B9" s="15" t="s">
        <v>14</v>
      </c>
      <c r="C9" s="99" t="s">
        <v>0</v>
      </c>
      <c r="D9" s="98" t="s">
        <v>37</v>
      </c>
      <c r="E9" s="56" t="s">
        <v>1</v>
      </c>
      <c r="F9" s="176" t="s">
        <v>104</v>
      </c>
      <c r="G9" s="177" t="s">
        <v>105</v>
      </c>
      <c r="H9" s="178" t="s">
        <v>108</v>
      </c>
      <c r="I9" s="179" t="s">
        <v>103</v>
      </c>
      <c r="J9" s="176" t="s">
        <v>104</v>
      </c>
      <c r="K9" s="177" t="s">
        <v>105</v>
      </c>
      <c r="L9" s="178" t="s">
        <v>109</v>
      </c>
      <c r="M9" s="179" t="s">
        <v>103</v>
      </c>
      <c r="N9" s="180" t="s">
        <v>158</v>
      </c>
      <c r="R9" s="8"/>
    </row>
    <row r="10" spans="2:18" ht="35.1" customHeight="1" x14ac:dyDescent="0.25">
      <c r="B10" s="39">
        <v>1</v>
      </c>
      <c r="C10" s="175" t="str">
        <f>VLOOKUP(D10,EMPLEADO!C:Q,15,FALSE)</f>
        <v>HERNANDEZ VALENCIA CARLOS ALBERTO</v>
      </c>
      <c r="D10" s="11" t="s">
        <v>39</v>
      </c>
      <c r="E10" s="57" t="s">
        <v>63</v>
      </c>
      <c r="F10" s="127"/>
      <c r="G10" s="128"/>
      <c r="H10" s="121"/>
      <c r="I10" s="66"/>
      <c r="J10" s="127"/>
      <c r="K10" s="128"/>
      <c r="L10" s="121"/>
      <c r="M10" s="66"/>
      <c r="N10" s="134"/>
      <c r="R10" s="55"/>
    </row>
    <row r="11" spans="2:18" ht="35.1" customHeight="1" x14ac:dyDescent="0.25">
      <c r="B11" s="39">
        <v>2</v>
      </c>
      <c r="C11" s="175" t="str">
        <f>VLOOKUP(D11,EMPLEADO!C:Q,15,FALSE)</f>
        <v>ARMIJOS MIÑAN ANGEL</v>
      </c>
      <c r="D11" s="11" t="s">
        <v>38</v>
      </c>
      <c r="E11" s="57" t="s">
        <v>24</v>
      </c>
      <c r="F11" s="127"/>
      <c r="G11" s="128"/>
      <c r="H11" s="121"/>
      <c r="I11" s="66"/>
      <c r="J11" s="127"/>
      <c r="K11" s="128"/>
      <c r="L11" s="121"/>
      <c r="M11" s="66"/>
      <c r="N11" s="134"/>
      <c r="R11" s="55"/>
    </row>
    <row r="12" spans="2:18" ht="35.1" customHeight="1" x14ac:dyDescent="0.25">
      <c r="B12" s="39">
        <v>3</v>
      </c>
      <c r="C12" s="175" t="str">
        <f>VLOOKUP(D12,EMPLEADO!C:Q,15,FALSE)</f>
        <v>SOTO CANGO ROBER CORNELIO</v>
      </c>
      <c r="D12" s="11" t="s">
        <v>41</v>
      </c>
      <c r="E12" s="57" t="s">
        <v>18</v>
      </c>
      <c r="F12" s="127"/>
      <c r="G12" s="128"/>
      <c r="H12" s="121"/>
      <c r="I12" s="66"/>
      <c r="J12" s="127"/>
      <c r="K12" s="128"/>
      <c r="L12" s="121"/>
      <c r="M12" s="66"/>
      <c r="N12" s="134"/>
      <c r="R12" s="55"/>
    </row>
    <row r="13" spans="2:18" ht="35.1" customHeight="1" x14ac:dyDescent="0.25">
      <c r="B13" s="39">
        <v>4</v>
      </c>
      <c r="C13" s="175" t="str">
        <f>VLOOKUP(D13,EMPLEADO!C:Q,15,FALSE)</f>
        <v>CANGO QUITO JOSE LEOVARDO</v>
      </c>
      <c r="D13" s="11" t="s">
        <v>42</v>
      </c>
      <c r="E13" s="57" t="s">
        <v>18</v>
      </c>
      <c r="F13" s="127"/>
      <c r="G13" s="128"/>
      <c r="H13" s="121"/>
      <c r="I13" s="66"/>
      <c r="J13" s="127"/>
      <c r="K13" s="128"/>
      <c r="L13" s="121"/>
      <c r="M13" s="66"/>
      <c r="N13" s="134"/>
      <c r="R13" s="55"/>
    </row>
    <row r="14" spans="2:18" ht="35.1" customHeight="1" x14ac:dyDescent="0.25">
      <c r="B14" s="39">
        <v>5</v>
      </c>
      <c r="C14" s="175" t="str">
        <f>VLOOKUP(D14,EMPLEADO!C:Q,15,FALSE)</f>
        <v>GOMEZ ESPINOZA GASTON SANTOS</v>
      </c>
      <c r="D14" s="11" t="s">
        <v>53</v>
      </c>
      <c r="E14" s="57" t="s">
        <v>21</v>
      </c>
      <c r="F14" s="127"/>
      <c r="G14" s="128"/>
      <c r="H14" s="121"/>
      <c r="I14" s="66"/>
      <c r="J14" s="127"/>
      <c r="K14" s="128"/>
      <c r="L14" s="121"/>
      <c r="M14" s="66"/>
      <c r="N14" s="134"/>
      <c r="R14" s="55"/>
    </row>
    <row r="15" spans="2:18" ht="35.1" customHeight="1" x14ac:dyDescent="0.25">
      <c r="B15" s="39">
        <v>6</v>
      </c>
      <c r="C15" s="175" t="str">
        <f>VLOOKUP(D15,EMPLEADO!C:Q,15,FALSE)</f>
        <v>BRAVO QUINTO JORGE DANIEL</v>
      </c>
      <c r="D15" s="28" t="s">
        <v>57</v>
      </c>
      <c r="E15" s="58" t="s">
        <v>18</v>
      </c>
      <c r="F15" s="127"/>
      <c r="G15" s="128"/>
      <c r="H15" s="121"/>
      <c r="I15" s="66"/>
      <c r="J15" s="127"/>
      <c r="K15" s="128"/>
      <c r="L15" s="121"/>
      <c r="M15" s="66"/>
      <c r="N15" s="134"/>
      <c r="R15" s="55"/>
    </row>
    <row r="16" spans="2:18" ht="35.1" customHeight="1" x14ac:dyDescent="0.25">
      <c r="B16" s="39">
        <v>7</v>
      </c>
      <c r="C16" s="175" t="str">
        <f>VLOOKUP(D16,EMPLEADO!C:Q,15,FALSE)</f>
        <v>CUEVA LUDEÑA MANUEL DE JESUS</v>
      </c>
      <c r="D16" s="27" t="s">
        <v>86</v>
      </c>
      <c r="E16" s="58" t="s">
        <v>18</v>
      </c>
      <c r="F16" s="127"/>
      <c r="G16" s="128"/>
      <c r="H16" s="121"/>
      <c r="I16" s="66"/>
      <c r="J16" s="127"/>
      <c r="K16" s="128"/>
      <c r="L16" s="121"/>
      <c r="M16" s="66"/>
      <c r="N16" s="134"/>
      <c r="R16" s="55"/>
    </row>
    <row r="17" spans="2:18" ht="35.1" customHeight="1" x14ac:dyDescent="0.25">
      <c r="B17" s="39">
        <v>8</v>
      </c>
      <c r="C17" s="175" t="str">
        <f>VLOOKUP(D17,EMPLEADO!C:Q,15,FALSE)</f>
        <v>JARA ARMIJOS CESAR HOMERO</v>
      </c>
      <c r="D17" s="27" t="s">
        <v>87</v>
      </c>
      <c r="E17" s="59" t="s">
        <v>18</v>
      </c>
      <c r="F17" s="127"/>
      <c r="G17" s="128"/>
      <c r="H17" s="121"/>
      <c r="I17" s="66"/>
      <c r="J17" s="127"/>
      <c r="K17" s="128"/>
      <c r="L17" s="121"/>
      <c r="M17" s="66"/>
      <c r="N17" s="134"/>
      <c r="R17" s="55"/>
    </row>
    <row r="18" spans="2:18" ht="35.1" customHeight="1" x14ac:dyDescent="0.25">
      <c r="B18" s="39">
        <v>9</v>
      </c>
      <c r="C18" s="175" t="str">
        <f>VLOOKUP(D18,EMPLEADO!C:Q,15,FALSE)</f>
        <v>CASTILLO OCHOA HERIBERTO GUILLERMO</v>
      </c>
      <c r="D18" s="27" t="s">
        <v>92</v>
      </c>
      <c r="E18" s="59" t="s">
        <v>18</v>
      </c>
      <c r="F18" s="127"/>
      <c r="G18" s="128"/>
      <c r="H18" s="121"/>
      <c r="I18" s="66"/>
      <c r="J18" s="127"/>
      <c r="K18" s="128"/>
      <c r="L18" s="121"/>
      <c r="M18" s="66"/>
      <c r="N18" s="134"/>
      <c r="R18" s="55"/>
    </row>
    <row r="19" spans="2:18" ht="35.1" customHeight="1" x14ac:dyDescent="0.25">
      <c r="B19" s="39">
        <v>10</v>
      </c>
      <c r="C19" s="175" t="str">
        <f>VLOOKUP(D19,EMPLEADO!C:Q,15,FALSE)</f>
        <v>PINTA PINTA WILMER ROLANDO</v>
      </c>
      <c r="D19" s="27" t="s">
        <v>99</v>
      </c>
      <c r="E19" s="59" t="s">
        <v>18</v>
      </c>
      <c r="F19" s="127"/>
      <c r="G19" s="128"/>
      <c r="H19" s="121"/>
      <c r="I19" s="66"/>
      <c r="J19" s="127"/>
      <c r="K19" s="128"/>
      <c r="L19" s="121"/>
      <c r="M19" s="66"/>
      <c r="N19" s="134"/>
      <c r="R19" s="55"/>
    </row>
    <row r="20" spans="2:18" ht="35.1" customHeight="1" x14ac:dyDescent="0.25">
      <c r="B20" s="39">
        <v>11</v>
      </c>
      <c r="C20" s="175" t="str">
        <f>VLOOKUP(D20,EMPLEADO!C:Q,15,FALSE)</f>
        <v>SIMANCAS AGUILAR DAVID MOISES</v>
      </c>
      <c r="D20" s="27" t="s">
        <v>173</v>
      </c>
      <c r="E20" s="59" t="s">
        <v>18</v>
      </c>
      <c r="F20" s="127"/>
      <c r="G20" s="128"/>
      <c r="H20" s="121"/>
      <c r="I20" s="66"/>
      <c r="J20" s="127"/>
      <c r="K20" s="128"/>
      <c r="L20" s="121"/>
      <c r="M20" s="66"/>
      <c r="N20" s="134"/>
      <c r="R20" s="55"/>
    </row>
    <row r="21" spans="2:18" ht="35.1" customHeight="1" x14ac:dyDescent="0.25">
      <c r="B21" s="39">
        <v>12</v>
      </c>
      <c r="C21" s="175" t="str">
        <f>VLOOKUP(D21,EMPLEADO!C:Q,15,FALSE)</f>
        <v>CANGO CUEVA FRANCISCO ARMANDO</v>
      </c>
      <c r="D21" s="27" t="s">
        <v>174</v>
      </c>
      <c r="E21" s="59" t="s">
        <v>18</v>
      </c>
      <c r="F21" s="127"/>
      <c r="G21" s="128"/>
      <c r="H21" s="121"/>
      <c r="I21" s="66"/>
      <c r="J21" s="127"/>
      <c r="K21" s="128"/>
      <c r="L21" s="121"/>
      <c r="M21" s="66"/>
      <c r="N21" s="134"/>
      <c r="R21" s="55"/>
    </row>
    <row r="22" spans="2:18" ht="35.1" customHeight="1" x14ac:dyDescent="0.25">
      <c r="B22" s="39">
        <v>13</v>
      </c>
      <c r="C22" s="175" t="str">
        <f>VLOOKUP(D22,EMPLEADO!C:Q,15,FALSE)</f>
        <v>CHILA QUIÑONEZ KLEBER FELIPE</v>
      </c>
      <c r="D22" s="27" t="s">
        <v>185</v>
      </c>
      <c r="E22" s="59"/>
      <c r="F22" s="127"/>
      <c r="G22" s="128"/>
      <c r="H22" s="121"/>
      <c r="I22" s="66"/>
      <c r="J22" s="127"/>
      <c r="K22" s="128"/>
      <c r="L22" s="121"/>
      <c r="M22" s="66"/>
      <c r="N22" s="134"/>
      <c r="O22" s="116"/>
      <c r="P22" s="116"/>
      <c r="Q22" s="116"/>
      <c r="R22" s="55"/>
    </row>
    <row r="23" spans="2:18" ht="35.1" customHeight="1" x14ac:dyDescent="0.25">
      <c r="B23" s="39">
        <v>14</v>
      </c>
      <c r="C23" s="175" t="str">
        <f>VLOOKUP(D23,EMPLEADO!C:Q,15,FALSE)</f>
        <v>SIMANCAS QUEZADA ORLANDO BAUDILIO</v>
      </c>
      <c r="D23" s="27" t="s">
        <v>188</v>
      </c>
      <c r="E23" s="59"/>
      <c r="F23" s="127"/>
      <c r="G23" s="128"/>
      <c r="H23" s="121"/>
      <c r="I23" s="66"/>
      <c r="J23" s="127"/>
      <c r="K23" s="128"/>
      <c r="L23" s="121"/>
      <c r="M23" s="66"/>
      <c r="N23" s="134"/>
      <c r="R23" s="55"/>
    </row>
    <row r="24" spans="2:18" ht="35.1" customHeight="1" x14ac:dyDescent="0.25">
      <c r="B24" s="39">
        <v>15</v>
      </c>
      <c r="C24" s="175" t="str">
        <f>VLOOKUP(D24,EMPLEADO!C:Q,15,FALSE)</f>
        <v>CHAMBA CANGO DARIO JAVIER</v>
      </c>
      <c r="D24" s="208" t="s">
        <v>195</v>
      </c>
      <c r="E24" s="59"/>
      <c r="F24" s="127"/>
      <c r="G24" s="128"/>
      <c r="H24" s="121"/>
      <c r="I24" s="66"/>
      <c r="J24" s="127"/>
      <c r="K24" s="128"/>
      <c r="L24" s="121"/>
      <c r="M24" s="66"/>
      <c r="N24" s="134"/>
      <c r="R24" s="55"/>
    </row>
    <row r="25" spans="2:18" ht="35.1" customHeight="1" x14ac:dyDescent="0.25">
      <c r="B25" s="39">
        <v>16</v>
      </c>
      <c r="C25" s="175" t="str">
        <f>VLOOKUP(D25,EMPLEADO!C:Q,15,FALSE)</f>
        <v>PINTA PINTA OMAR PATRICIO</v>
      </c>
      <c r="D25" s="208" t="s">
        <v>199</v>
      </c>
      <c r="E25" s="59"/>
      <c r="F25" s="127"/>
      <c r="G25" s="128"/>
      <c r="H25" s="121"/>
      <c r="I25" s="66"/>
      <c r="J25" s="127"/>
      <c r="K25" s="128"/>
      <c r="L25" s="121"/>
      <c r="M25" s="66"/>
      <c r="N25" s="134"/>
      <c r="R25" s="55"/>
    </row>
    <row r="26" spans="2:18" ht="35.1" customHeight="1" x14ac:dyDescent="0.25">
      <c r="B26" s="39">
        <v>17</v>
      </c>
      <c r="C26" s="175" t="str">
        <f>VLOOKUP(D26,EMPLEADO!C:Q,15,FALSE)</f>
        <v>LUNA PINTA JUAN DIEGO</v>
      </c>
      <c r="D26" s="208" t="s">
        <v>201</v>
      </c>
      <c r="E26" s="201"/>
      <c r="F26" s="127"/>
      <c r="G26" s="128"/>
      <c r="H26" s="121"/>
      <c r="I26" s="66"/>
      <c r="J26" s="127"/>
      <c r="K26" s="128"/>
      <c r="L26" s="121"/>
      <c r="M26" s="66"/>
      <c r="N26" s="134"/>
      <c r="R26" s="55"/>
    </row>
    <row r="27" spans="2:18" ht="35.1" customHeight="1" x14ac:dyDescent="0.25">
      <c r="B27" s="39">
        <v>18</v>
      </c>
      <c r="C27" s="175" t="str">
        <f>VLOOKUP(D27,EMPLEADO!C:Q,15,FALSE)</f>
        <v>GONZAGA ALVARADO LUIS FERNANDO</v>
      </c>
      <c r="D27" s="208" t="s">
        <v>203</v>
      </c>
      <c r="E27" s="201"/>
      <c r="F27" s="127"/>
      <c r="G27" s="128"/>
      <c r="H27" s="121"/>
      <c r="I27" s="66"/>
      <c r="J27" s="127"/>
      <c r="K27" s="128"/>
      <c r="L27" s="121"/>
      <c r="M27" s="66"/>
      <c r="N27" s="134"/>
      <c r="R27" s="55"/>
    </row>
    <row r="28" spans="2:18" ht="35.1" customHeight="1" x14ac:dyDescent="0.25">
      <c r="B28" s="39">
        <v>19</v>
      </c>
      <c r="C28" s="175" t="str">
        <f>VLOOKUP(D28,EMPLEADO!C:Q,15,FALSE)</f>
        <v>SIMANCAS CANGO EDISON JOVANY</v>
      </c>
      <c r="D28" s="208" t="s">
        <v>205</v>
      </c>
      <c r="E28" s="201"/>
      <c r="F28" s="127"/>
      <c r="G28" s="128"/>
      <c r="H28" s="121"/>
      <c r="I28" s="66"/>
      <c r="J28" s="127"/>
      <c r="K28" s="128"/>
      <c r="L28" s="121"/>
      <c r="M28" s="66"/>
      <c r="N28" s="134"/>
      <c r="R28" s="55"/>
    </row>
    <row r="29" spans="2:18" ht="15.75" thickBot="1" x14ac:dyDescent="0.3"/>
    <row r="30" spans="2:18" ht="15" customHeight="1" x14ac:dyDescent="0.3">
      <c r="D30" s="89" t="s">
        <v>133</v>
      </c>
      <c r="F30" s="324"/>
      <c r="G30" s="325"/>
      <c r="H30" s="325"/>
      <c r="I30" s="325"/>
      <c r="J30" s="325"/>
      <c r="K30" s="325"/>
      <c r="L30" s="325"/>
      <c r="M30" s="325"/>
      <c r="N30" s="326"/>
      <c r="O30" s="116"/>
      <c r="P30" s="116"/>
      <c r="Q30" s="116"/>
    </row>
    <row r="31" spans="2:18" x14ac:dyDescent="0.25">
      <c r="B31" s="54" t="s">
        <v>190</v>
      </c>
      <c r="F31" s="327"/>
      <c r="G31" s="328"/>
      <c r="H31" s="328"/>
      <c r="I31" s="328"/>
      <c r="J31" s="328"/>
      <c r="K31" s="328"/>
      <c r="L31" s="328"/>
      <c r="M31" s="328"/>
      <c r="N31" s="329"/>
      <c r="O31" s="116"/>
      <c r="P31" s="116"/>
      <c r="Q31" s="116"/>
    </row>
    <row r="32" spans="2:18" x14ac:dyDescent="0.25">
      <c r="F32" s="327"/>
      <c r="G32" s="328"/>
      <c r="H32" s="328"/>
      <c r="I32" s="328"/>
      <c r="J32" s="328"/>
      <c r="K32" s="328"/>
      <c r="L32" s="328"/>
      <c r="M32" s="328"/>
      <c r="N32" s="329"/>
      <c r="O32" s="116"/>
      <c r="P32" s="116"/>
      <c r="Q32" s="116"/>
    </row>
    <row r="33" spans="2:17" x14ac:dyDescent="0.25">
      <c r="F33" s="327"/>
      <c r="G33" s="328"/>
      <c r="H33" s="328"/>
      <c r="I33" s="328"/>
      <c r="J33" s="328"/>
      <c r="K33" s="328"/>
      <c r="L33" s="328"/>
      <c r="M33" s="328"/>
      <c r="N33" s="329"/>
      <c r="O33" s="116"/>
      <c r="P33" s="116"/>
      <c r="Q33" s="116"/>
    </row>
    <row r="34" spans="2:17" ht="15.75" thickBot="1" x14ac:dyDescent="0.3">
      <c r="B34" s="54" t="s">
        <v>138</v>
      </c>
      <c r="D34" s="48" t="s">
        <v>139</v>
      </c>
      <c r="F34" s="330"/>
      <c r="G34" s="331"/>
      <c r="H34" s="331"/>
      <c r="I34" s="331"/>
      <c r="J34" s="331"/>
      <c r="K34" s="331"/>
      <c r="L34" s="331"/>
      <c r="M34" s="331"/>
      <c r="N34" s="332"/>
      <c r="O34" s="116"/>
      <c r="P34" s="116"/>
      <c r="Q34" s="116"/>
    </row>
    <row r="35" spans="2:17" x14ac:dyDescent="0.25">
      <c r="N35" s="116"/>
      <c r="O35" s="116"/>
      <c r="P35" s="116"/>
      <c r="Q35" s="116"/>
    </row>
    <row r="36" spans="2:17" x14ac:dyDescent="0.25">
      <c r="N36" s="116"/>
      <c r="O36" s="116"/>
      <c r="P36" s="116"/>
      <c r="Q36" s="116"/>
    </row>
    <row r="37" spans="2:17" x14ac:dyDescent="0.25">
      <c r="N37" s="116"/>
      <c r="O37" s="116"/>
      <c r="P37" s="116"/>
      <c r="Q37" s="116"/>
    </row>
    <row r="38" spans="2:17" x14ac:dyDescent="0.25">
      <c r="N38" s="116"/>
      <c r="O38" s="116"/>
      <c r="P38" s="116"/>
      <c r="Q38" s="116"/>
    </row>
    <row r="39" spans="2:17" x14ac:dyDescent="0.25">
      <c r="N39" s="116"/>
      <c r="O39" s="116"/>
      <c r="P39" s="116"/>
      <c r="Q39" s="116"/>
    </row>
    <row r="40" spans="2:17" x14ac:dyDescent="0.25">
      <c r="N40" s="116"/>
      <c r="O40" s="116"/>
      <c r="P40" s="116"/>
      <c r="Q40" s="116"/>
    </row>
    <row r="41" spans="2:17" x14ac:dyDescent="0.25">
      <c r="N41" s="116"/>
      <c r="O41" s="116"/>
      <c r="P41" s="116"/>
      <c r="Q41" s="116"/>
    </row>
  </sheetData>
  <mergeCells count="9">
    <mergeCell ref="F30:N34"/>
    <mergeCell ref="F8:I8"/>
    <mergeCell ref="J8:M8"/>
    <mergeCell ref="C2:E2"/>
    <mergeCell ref="F2:N2"/>
    <mergeCell ref="C3:E3"/>
    <mergeCell ref="F5:M5"/>
    <mergeCell ref="F6:M6"/>
    <mergeCell ref="F7:M7"/>
  </mergeCells>
  <conditionalFormatting sqref="F6:M6">
    <cfRule type="cellIs" dxfId="5" priority="20" operator="equal">
      <formula>"OJO H.E. AL 100%"</formula>
    </cfRule>
    <cfRule type="cellIs" dxfId="4" priority="21" operator="equal">
      <formula>"""OJO H.E. AL 100%"""</formula>
    </cfRule>
  </conditionalFormatting>
  <conditionalFormatting sqref="F4">
    <cfRule type="cellIs" dxfId="3" priority="13" operator="equal">
      <formula>"F"</formula>
    </cfRule>
  </conditionalFormatting>
  <pageMargins left="0.11811023622047245" right="0.11811023622047245" top="0.35433070866141736" bottom="0.35433070866141736" header="0.31496062992125984" footer="0.31496062992125984"/>
  <pageSetup paperSize="9" scale="75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 tint="-0.249977111117893"/>
  </sheetPr>
  <dimension ref="A1:U41"/>
  <sheetViews>
    <sheetView topLeftCell="B1" zoomScale="80" zoomScaleNormal="80" workbookViewId="0">
      <selection activeCell="B29" sqref="B29"/>
    </sheetView>
  </sheetViews>
  <sheetFormatPr baseColWidth="10" defaultRowHeight="15" x14ac:dyDescent="0.25"/>
  <cols>
    <col min="1" max="1" width="2.85546875" style="3" hidden="1" customWidth="1"/>
    <col min="2" max="2" width="4.7109375" style="3" customWidth="1"/>
    <col min="3" max="3" width="39" style="3" customWidth="1"/>
    <col min="4" max="4" width="15" style="3" customWidth="1"/>
    <col min="5" max="5" width="10.42578125" style="3" hidden="1" customWidth="1"/>
    <col min="6" max="7" width="7.7109375" style="3" customWidth="1"/>
    <col min="8" max="8" width="6.7109375" style="3" customWidth="1"/>
    <col min="9" max="9" width="9.7109375" style="3" customWidth="1"/>
    <col min="10" max="11" width="7.7109375" style="3" customWidth="1"/>
    <col min="12" max="12" width="6.7109375" style="3" customWidth="1"/>
    <col min="13" max="13" width="9.7109375" style="3" customWidth="1"/>
    <col min="14" max="14" width="21.140625" customWidth="1"/>
    <col min="15" max="16" width="11.42578125" style="3"/>
    <col min="21" max="21" width="4.7109375" style="14" customWidth="1"/>
    <col min="22" max="16384" width="11.42578125" style="3"/>
  </cols>
  <sheetData>
    <row r="1" spans="2:21" ht="15.75" customHeight="1" x14ac:dyDescent="0.25">
      <c r="F1"/>
      <c r="G1"/>
      <c r="H1"/>
      <c r="I1"/>
      <c r="J1"/>
      <c r="K1"/>
      <c r="L1"/>
      <c r="M1"/>
    </row>
    <row r="2" spans="2:21" ht="22.5" x14ac:dyDescent="0.4">
      <c r="C2" s="308" t="s">
        <v>48</v>
      </c>
      <c r="D2" s="308"/>
      <c r="E2" s="308"/>
      <c r="F2" s="342"/>
      <c r="G2" s="342"/>
      <c r="H2" s="342"/>
      <c r="I2" s="342"/>
      <c r="J2" s="342"/>
      <c r="K2" s="342"/>
      <c r="L2" s="342"/>
      <c r="M2" s="342"/>
      <c r="N2" s="342"/>
    </row>
    <row r="3" spans="2:21" ht="23.25" thickBot="1" x14ac:dyDescent="0.45">
      <c r="C3" s="309" t="s">
        <v>112</v>
      </c>
      <c r="D3" s="309"/>
      <c r="E3" s="309"/>
    </row>
    <row r="4" spans="2:21" ht="25.5" customHeight="1" thickBot="1" x14ac:dyDescent="0.3">
      <c r="C4" s="54" t="str">
        <f>IF(VARIOS!B4&gt;=14,IF(C5=0," ",+VARIOS!B11)," ")</f>
        <v>PRIMERA QUINCENA DE JUNIO DEL 2019</v>
      </c>
      <c r="F4" s="123"/>
    </row>
    <row r="5" spans="2:21" ht="21.95" customHeight="1" thickBot="1" x14ac:dyDescent="0.4">
      <c r="B5" s="86" t="s">
        <v>110</v>
      </c>
      <c r="C5" s="87">
        <f>+'CONTROL H.E.'!C5</f>
        <v>43617</v>
      </c>
      <c r="D5" s="89" t="s">
        <v>113</v>
      </c>
      <c r="F5" s="310"/>
      <c r="G5" s="297"/>
      <c r="H5" s="297"/>
      <c r="I5" s="297"/>
      <c r="J5" s="297"/>
      <c r="K5" s="297"/>
      <c r="L5" s="297"/>
      <c r="M5" s="298"/>
    </row>
    <row r="6" spans="2:21" s="8" customFormat="1" ht="21.95" customHeight="1" thickBot="1" x14ac:dyDescent="0.35">
      <c r="B6" s="133" t="s">
        <v>111</v>
      </c>
      <c r="C6" s="87">
        <f>+'CONTROL H.E.'!C6</f>
        <v>43631</v>
      </c>
      <c r="D6" s="100"/>
      <c r="F6" s="299" t="str">
        <f>IF(F5=0,"INGRESE DIA POR FAVOR",IF(WEEKDAY(F5)=7,"OJO H.E. AL 100%",IF(WEEKDAY(F5)=1,"OJO H.E. AL 100%",IF(F4="F","OJO H.E. AL 100%","INGRESAR HORAS EXTRAS"))))</f>
        <v>INGRESE DIA POR FAVOR</v>
      </c>
      <c r="G6" s="300"/>
      <c r="H6" s="300"/>
      <c r="I6" s="300"/>
      <c r="J6" s="300"/>
      <c r="K6" s="300"/>
      <c r="L6" s="300"/>
      <c r="M6" s="301"/>
      <c r="U6" s="14"/>
    </row>
    <row r="7" spans="2:21" ht="19.5" thickBot="1" x14ac:dyDescent="0.3">
      <c r="B7" s="136" t="s">
        <v>100</v>
      </c>
      <c r="C7" s="103">
        <v>3</v>
      </c>
      <c r="F7" s="340" t="s">
        <v>12</v>
      </c>
      <c r="G7" s="340"/>
      <c r="H7" s="340"/>
      <c r="I7" s="340"/>
      <c r="J7" s="340"/>
      <c r="K7" s="340"/>
      <c r="L7" s="340"/>
      <c r="M7" s="341"/>
    </row>
    <row r="8" spans="2:21" ht="39.75" customHeight="1" thickBot="1" x14ac:dyDescent="0.3">
      <c r="F8" s="333" t="s">
        <v>106</v>
      </c>
      <c r="G8" s="334"/>
      <c r="H8" s="334"/>
      <c r="I8" s="335"/>
      <c r="J8" s="336" t="s">
        <v>132</v>
      </c>
      <c r="K8" s="337"/>
      <c r="L8" s="337"/>
      <c r="M8" s="338"/>
    </row>
    <row r="9" spans="2:21" ht="54.95" customHeight="1" x14ac:dyDescent="0.25">
      <c r="B9" s="15" t="s">
        <v>14</v>
      </c>
      <c r="C9" s="99" t="s">
        <v>0</v>
      </c>
      <c r="D9" s="98" t="s">
        <v>37</v>
      </c>
      <c r="E9" s="56" t="s">
        <v>1</v>
      </c>
      <c r="F9" s="176" t="s">
        <v>104</v>
      </c>
      <c r="G9" s="177" t="s">
        <v>105</v>
      </c>
      <c r="H9" s="178" t="s">
        <v>108</v>
      </c>
      <c r="I9" s="179" t="s">
        <v>103</v>
      </c>
      <c r="J9" s="176" t="s">
        <v>104</v>
      </c>
      <c r="K9" s="177" t="s">
        <v>105</v>
      </c>
      <c r="L9" s="178" t="s">
        <v>109</v>
      </c>
      <c r="M9" s="179" t="s">
        <v>103</v>
      </c>
      <c r="N9" s="180" t="s">
        <v>158</v>
      </c>
      <c r="U9" s="8"/>
    </row>
    <row r="10" spans="2:21" ht="30" customHeight="1" x14ac:dyDescent="0.25">
      <c r="B10" s="39">
        <v>1</v>
      </c>
      <c r="C10" s="135" t="str">
        <f>VLOOKUP(D10,EMPLEADO!C:Q,15,FALSE)</f>
        <v>HERNANDEZ VALENCIA CARLOS ALBERTO</v>
      </c>
      <c r="D10" s="11" t="s">
        <v>39</v>
      </c>
      <c r="E10" s="57" t="s">
        <v>63</v>
      </c>
      <c r="F10" s="71"/>
      <c r="G10" s="72"/>
      <c r="H10" s="121"/>
      <c r="I10" s="66"/>
      <c r="J10" s="72"/>
      <c r="K10" s="72"/>
      <c r="L10" s="121"/>
      <c r="M10" s="66"/>
      <c r="N10" s="134"/>
      <c r="U10" s="55"/>
    </row>
    <row r="11" spans="2:21" ht="30" customHeight="1" x14ac:dyDescent="0.25">
      <c r="B11" s="39">
        <v>2</v>
      </c>
      <c r="C11" s="135" t="str">
        <f>VLOOKUP(D11,EMPLEADO!C:Q,15,FALSE)</f>
        <v>ARMIJOS MIÑAN ANGEL</v>
      </c>
      <c r="D11" s="11" t="s">
        <v>38</v>
      </c>
      <c r="E11" s="57" t="s">
        <v>24</v>
      </c>
      <c r="F11" s="69"/>
      <c r="G11" s="70"/>
      <c r="H11" s="121"/>
      <c r="I11" s="66"/>
      <c r="J11" s="72"/>
      <c r="K11" s="72"/>
      <c r="L11" s="121"/>
      <c r="M11" s="66"/>
      <c r="N11" s="134"/>
      <c r="U11" s="55"/>
    </row>
    <row r="12" spans="2:21" ht="30" customHeight="1" x14ac:dyDescent="0.25">
      <c r="B12" s="39">
        <v>3</v>
      </c>
      <c r="C12" s="135" t="str">
        <f>VLOOKUP(D12,EMPLEADO!C:Q,15,FALSE)</f>
        <v>SOTO CANGO ROBER CORNELIO</v>
      </c>
      <c r="D12" s="11" t="s">
        <v>41</v>
      </c>
      <c r="E12" s="57" t="s">
        <v>18</v>
      </c>
      <c r="F12" s="71"/>
      <c r="G12" s="72"/>
      <c r="H12" s="121"/>
      <c r="I12" s="66"/>
      <c r="J12" s="72"/>
      <c r="K12" s="72"/>
      <c r="L12" s="121"/>
      <c r="M12" s="66"/>
      <c r="N12" s="134"/>
      <c r="U12" s="55"/>
    </row>
    <row r="13" spans="2:21" ht="30" customHeight="1" x14ac:dyDescent="0.25">
      <c r="B13" s="39">
        <v>4</v>
      </c>
      <c r="C13" s="135" t="str">
        <f>VLOOKUP(D13,EMPLEADO!C:Q,15,FALSE)</f>
        <v>CANGO QUITO JOSE LEOVARDO</v>
      </c>
      <c r="D13" s="11" t="s">
        <v>42</v>
      </c>
      <c r="E13" s="57" t="s">
        <v>18</v>
      </c>
      <c r="F13" s="71"/>
      <c r="G13" s="72"/>
      <c r="H13" s="121"/>
      <c r="I13" s="66"/>
      <c r="J13" s="72"/>
      <c r="K13" s="72"/>
      <c r="L13" s="121"/>
      <c r="M13" s="66"/>
      <c r="N13" s="134"/>
      <c r="U13" s="55"/>
    </row>
    <row r="14" spans="2:21" ht="30" customHeight="1" x14ac:dyDescent="0.25">
      <c r="B14" s="39">
        <v>5</v>
      </c>
      <c r="C14" s="135" t="str">
        <f>VLOOKUP(D14,EMPLEADO!C:Q,15,FALSE)</f>
        <v>GOMEZ ESPINOZA GASTON SANTOS</v>
      </c>
      <c r="D14" s="11" t="s">
        <v>53</v>
      </c>
      <c r="E14" s="57" t="s">
        <v>21</v>
      </c>
      <c r="F14" s="71"/>
      <c r="G14" s="72"/>
      <c r="H14" s="121"/>
      <c r="I14" s="66"/>
      <c r="J14" s="72"/>
      <c r="K14" s="72"/>
      <c r="L14" s="121"/>
      <c r="M14" s="66"/>
      <c r="N14" s="134"/>
      <c r="U14" s="55"/>
    </row>
    <row r="15" spans="2:21" ht="30" customHeight="1" x14ac:dyDescent="0.25">
      <c r="B15" s="39">
        <v>6</v>
      </c>
      <c r="C15" s="135" t="str">
        <f>VLOOKUP(D15,EMPLEADO!C:Q,15,FALSE)</f>
        <v>BRAVO QUINTO JORGE DANIEL</v>
      </c>
      <c r="D15" s="28" t="s">
        <v>57</v>
      </c>
      <c r="E15" s="58" t="s">
        <v>18</v>
      </c>
      <c r="F15" s="71"/>
      <c r="G15" s="72"/>
      <c r="H15" s="121"/>
      <c r="I15" s="66"/>
      <c r="J15" s="72"/>
      <c r="K15" s="72"/>
      <c r="L15" s="121"/>
      <c r="M15" s="66"/>
      <c r="N15" s="134"/>
      <c r="U15" s="55"/>
    </row>
    <row r="16" spans="2:21" ht="30" customHeight="1" x14ac:dyDescent="0.25">
      <c r="B16" s="39">
        <v>7</v>
      </c>
      <c r="C16" s="135" t="str">
        <f>VLOOKUP(D16,EMPLEADO!C:Q,15,FALSE)</f>
        <v>CUEVA LUDEÑA MANUEL DE JESUS</v>
      </c>
      <c r="D16" s="27" t="s">
        <v>86</v>
      </c>
      <c r="E16" s="58" t="s">
        <v>18</v>
      </c>
      <c r="F16" s="71"/>
      <c r="G16" s="72"/>
      <c r="H16" s="121"/>
      <c r="I16" s="66"/>
      <c r="J16" s="72"/>
      <c r="K16" s="72"/>
      <c r="L16" s="121"/>
      <c r="M16" s="66"/>
      <c r="N16" s="134"/>
      <c r="U16" s="55"/>
    </row>
    <row r="17" spans="2:21" ht="30" customHeight="1" x14ac:dyDescent="0.25">
      <c r="B17" s="39">
        <v>8</v>
      </c>
      <c r="C17" s="135" t="str">
        <f>VLOOKUP(D17,EMPLEADO!C:Q,15,FALSE)</f>
        <v>JARA ARMIJOS CESAR HOMERO</v>
      </c>
      <c r="D17" s="27" t="s">
        <v>87</v>
      </c>
      <c r="E17" s="59" t="s">
        <v>18</v>
      </c>
      <c r="F17" s="71"/>
      <c r="G17" s="72"/>
      <c r="H17" s="121"/>
      <c r="I17" s="66"/>
      <c r="J17" s="72"/>
      <c r="K17" s="72"/>
      <c r="L17" s="121"/>
      <c r="M17" s="66"/>
      <c r="N17" s="134"/>
      <c r="U17" s="55"/>
    </row>
    <row r="18" spans="2:21" ht="30" customHeight="1" x14ac:dyDescent="0.25">
      <c r="B18" s="39">
        <v>9</v>
      </c>
      <c r="C18" s="135" t="str">
        <f>VLOOKUP(D18,EMPLEADO!C:Q,15,FALSE)</f>
        <v>CASTILLO OCHOA HERIBERTO GUILLERMO</v>
      </c>
      <c r="D18" s="27" t="s">
        <v>92</v>
      </c>
      <c r="E18" s="59" t="s">
        <v>18</v>
      </c>
      <c r="F18" s="71"/>
      <c r="G18" s="72"/>
      <c r="H18" s="121"/>
      <c r="I18" s="66"/>
      <c r="J18" s="72"/>
      <c r="K18" s="72"/>
      <c r="L18" s="121"/>
      <c r="M18" s="66"/>
      <c r="N18" s="134"/>
      <c r="U18" s="55"/>
    </row>
    <row r="19" spans="2:21" ht="30" customHeight="1" x14ac:dyDescent="0.25">
      <c r="B19" s="39">
        <v>10</v>
      </c>
      <c r="C19" s="135" t="str">
        <f>VLOOKUP(D19,EMPLEADO!C:Q,15,FALSE)</f>
        <v>PINTA PINTA WILMER ROLANDO</v>
      </c>
      <c r="D19" s="27" t="s">
        <v>99</v>
      </c>
      <c r="E19" s="59" t="s">
        <v>18</v>
      </c>
      <c r="F19" s="71"/>
      <c r="G19" s="72"/>
      <c r="H19" s="121"/>
      <c r="I19" s="66"/>
      <c r="J19" s="72"/>
      <c r="K19" s="72"/>
      <c r="L19" s="121"/>
      <c r="M19" s="66"/>
      <c r="N19" s="134"/>
      <c r="U19" s="55"/>
    </row>
    <row r="20" spans="2:21" ht="30" customHeight="1" x14ac:dyDescent="0.25">
      <c r="B20" s="39">
        <v>11</v>
      </c>
      <c r="C20" s="135" t="str">
        <f>VLOOKUP(D20,EMPLEADO!C:Q,15,FALSE)</f>
        <v>SIMANCAS AGUILAR DAVID MOISES</v>
      </c>
      <c r="D20" s="27" t="s">
        <v>173</v>
      </c>
      <c r="E20" s="59" t="s">
        <v>18</v>
      </c>
      <c r="F20" s="71"/>
      <c r="G20" s="72"/>
      <c r="H20" s="121"/>
      <c r="I20" s="66"/>
      <c r="J20" s="72"/>
      <c r="K20" s="72"/>
      <c r="L20" s="121"/>
      <c r="M20" s="66"/>
      <c r="N20" s="134"/>
      <c r="U20" s="55"/>
    </row>
    <row r="21" spans="2:21" ht="30" customHeight="1" x14ac:dyDescent="0.25">
      <c r="B21" s="39">
        <v>12</v>
      </c>
      <c r="C21" s="135" t="str">
        <f>VLOOKUP(D21,EMPLEADO!C:Q,15,FALSE)</f>
        <v>CANGO CUEVA FRANCISCO ARMANDO</v>
      </c>
      <c r="D21" s="27" t="s">
        <v>174</v>
      </c>
      <c r="E21" s="59" t="s">
        <v>18</v>
      </c>
      <c r="F21" s="71"/>
      <c r="G21" s="72"/>
      <c r="H21" s="121"/>
      <c r="I21" s="66"/>
      <c r="J21" s="72"/>
      <c r="K21" s="72"/>
      <c r="L21" s="121"/>
      <c r="M21" s="66"/>
      <c r="N21" s="134"/>
      <c r="U21" s="55"/>
    </row>
    <row r="22" spans="2:21" ht="30" customHeight="1" x14ac:dyDescent="0.25">
      <c r="B22" s="39">
        <v>13</v>
      </c>
      <c r="C22" s="135" t="str">
        <f>VLOOKUP(D22,EMPLEADO!C:Q,15,FALSE)</f>
        <v>CHILA QUIÑONEZ KLEBER FELIPE</v>
      </c>
      <c r="D22" s="27" t="s">
        <v>185</v>
      </c>
      <c r="E22" s="59"/>
      <c r="F22" s="167"/>
      <c r="G22" s="166"/>
      <c r="H22" s="121"/>
      <c r="I22" s="165"/>
      <c r="J22" s="166"/>
      <c r="K22" s="166"/>
      <c r="L22" s="121"/>
      <c r="M22" s="165"/>
      <c r="N22" s="134"/>
      <c r="U22" s="55"/>
    </row>
    <row r="23" spans="2:21" ht="30" customHeight="1" x14ac:dyDescent="0.25">
      <c r="B23" s="39">
        <v>14</v>
      </c>
      <c r="C23" s="135" t="str">
        <f>VLOOKUP(D23,EMPLEADO!C:Q,15,FALSE)</f>
        <v>SIMANCAS QUEZADA ORLANDO BAUDILIO</v>
      </c>
      <c r="D23" s="27" t="s">
        <v>188</v>
      </c>
      <c r="E23" s="59"/>
      <c r="F23" s="167"/>
      <c r="G23" s="166"/>
      <c r="H23" s="121"/>
      <c r="I23" s="165"/>
      <c r="J23" s="166"/>
      <c r="K23" s="166"/>
      <c r="L23" s="121"/>
      <c r="M23" s="165"/>
      <c r="N23" s="134"/>
      <c r="U23" s="55"/>
    </row>
    <row r="24" spans="2:21" ht="30" customHeight="1" x14ac:dyDescent="0.25">
      <c r="B24" s="39">
        <v>15</v>
      </c>
      <c r="C24" s="135" t="str">
        <f>VLOOKUP(D24,EMPLEADO!C:Q,15,FALSE)</f>
        <v>CHAMBA CANGO DARIO JAVIER</v>
      </c>
      <c r="D24" s="208" t="s">
        <v>195</v>
      </c>
      <c r="E24" s="59"/>
      <c r="F24" s="167"/>
      <c r="G24" s="166"/>
      <c r="H24" s="121"/>
      <c r="I24" s="165"/>
      <c r="J24" s="166"/>
      <c r="K24" s="166"/>
      <c r="L24" s="121"/>
      <c r="M24" s="165"/>
      <c r="N24" s="134"/>
      <c r="U24" s="55"/>
    </row>
    <row r="25" spans="2:21" ht="30" customHeight="1" x14ac:dyDescent="0.25">
      <c r="B25" s="39">
        <v>16</v>
      </c>
      <c r="C25" s="135" t="str">
        <f>VLOOKUP(D25,EMPLEADO!C:Q,15,FALSE)</f>
        <v>PINTA PINTA OMAR PATRICIO</v>
      </c>
      <c r="D25" s="208" t="s">
        <v>199</v>
      </c>
      <c r="E25" s="59"/>
      <c r="F25" s="167"/>
      <c r="G25" s="166"/>
      <c r="H25" s="121"/>
      <c r="I25" s="165"/>
      <c r="J25" s="166"/>
      <c r="K25" s="166"/>
      <c r="L25" s="121"/>
      <c r="M25" s="165"/>
      <c r="N25" s="134"/>
      <c r="U25" s="55"/>
    </row>
    <row r="26" spans="2:21" ht="30" customHeight="1" x14ac:dyDescent="0.25">
      <c r="B26" s="39">
        <v>17</v>
      </c>
      <c r="C26" s="135" t="str">
        <f>VLOOKUP(D26,EMPLEADO!C:Q,15,FALSE)</f>
        <v>LUNA PINTA JUAN DIEGO</v>
      </c>
      <c r="D26" s="208" t="s">
        <v>201</v>
      </c>
      <c r="E26" s="59"/>
      <c r="F26" s="167"/>
      <c r="G26" s="166"/>
      <c r="H26" s="121"/>
      <c r="I26" s="165"/>
      <c r="J26" s="166"/>
      <c r="K26" s="166"/>
      <c r="L26" s="121"/>
      <c r="M26" s="165"/>
      <c r="N26" s="134"/>
      <c r="U26" s="55"/>
    </row>
    <row r="27" spans="2:21" ht="30" customHeight="1" x14ac:dyDescent="0.25">
      <c r="B27" s="39">
        <v>18</v>
      </c>
      <c r="C27" s="135" t="str">
        <f>VLOOKUP(D27,EMPLEADO!C:Q,15,FALSE)</f>
        <v>GONZAGA ALVARADO LUIS FERNANDO</v>
      </c>
      <c r="D27" s="208" t="s">
        <v>203</v>
      </c>
      <c r="E27" s="59"/>
      <c r="F27" s="167"/>
      <c r="G27" s="166"/>
      <c r="H27" s="121"/>
      <c r="I27" s="165"/>
      <c r="J27" s="166"/>
      <c r="K27" s="166"/>
      <c r="L27" s="121"/>
      <c r="M27" s="165"/>
      <c r="N27" s="134"/>
      <c r="U27" s="55"/>
    </row>
    <row r="28" spans="2:21" ht="30" customHeight="1" x14ac:dyDescent="0.25">
      <c r="B28" s="39">
        <v>19</v>
      </c>
      <c r="C28" s="135" t="str">
        <f>VLOOKUP(D28,EMPLEADO!C:Q,15,FALSE)</f>
        <v>SIMANCAS CANGO EDISON JOVANY</v>
      </c>
      <c r="D28" s="208" t="s">
        <v>205</v>
      </c>
      <c r="E28" s="59"/>
      <c r="F28" s="167"/>
      <c r="G28" s="166"/>
      <c r="H28" s="121"/>
      <c r="I28" s="165"/>
      <c r="J28" s="166"/>
      <c r="K28" s="166"/>
      <c r="L28" s="121"/>
      <c r="M28" s="165"/>
      <c r="N28" s="134"/>
      <c r="U28" s="55"/>
    </row>
    <row r="29" spans="2:21" ht="15.75" thickBot="1" x14ac:dyDescent="0.3"/>
    <row r="30" spans="2:21" ht="15" customHeight="1" x14ac:dyDescent="0.3">
      <c r="D30" s="89" t="s">
        <v>133</v>
      </c>
      <c r="F30" s="324"/>
      <c r="G30" s="325"/>
      <c r="H30" s="325"/>
      <c r="I30" s="325"/>
      <c r="J30" s="325"/>
      <c r="K30" s="325"/>
      <c r="L30" s="325"/>
      <c r="M30" s="325"/>
      <c r="N30" s="326"/>
      <c r="Q30" s="116"/>
      <c r="R30" s="116"/>
      <c r="S30" s="116"/>
      <c r="T30" s="116"/>
    </row>
    <row r="31" spans="2:21" x14ac:dyDescent="0.25">
      <c r="B31" s="54" t="s">
        <v>137</v>
      </c>
      <c r="F31" s="327"/>
      <c r="G31" s="328"/>
      <c r="H31" s="328"/>
      <c r="I31" s="328"/>
      <c r="J31" s="328"/>
      <c r="K31" s="328"/>
      <c r="L31" s="328"/>
      <c r="M31" s="328"/>
      <c r="N31" s="329"/>
      <c r="Q31" s="116"/>
      <c r="R31" s="116"/>
      <c r="S31" s="116"/>
      <c r="T31" s="116"/>
    </row>
    <row r="32" spans="2:21" x14ac:dyDescent="0.25">
      <c r="F32" s="327"/>
      <c r="G32" s="328"/>
      <c r="H32" s="328"/>
      <c r="I32" s="328"/>
      <c r="J32" s="328"/>
      <c r="K32" s="328"/>
      <c r="L32" s="328"/>
      <c r="M32" s="328"/>
      <c r="N32" s="329"/>
      <c r="Q32" s="116"/>
      <c r="R32" s="116"/>
      <c r="S32" s="116"/>
      <c r="T32" s="116"/>
    </row>
    <row r="33" spans="2:20" x14ac:dyDescent="0.25">
      <c r="F33" s="327"/>
      <c r="G33" s="328"/>
      <c r="H33" s="328"/>
      <c r="I33" s="328"/>
      <c r="J33" s="328"/>
      <c r="K33" s="328"/>
      <c r="L33" s="328"/>
      <c r="M33" s="328"/>
      <c r="N33" s="329"/>
      <c r="Q33" s="116"/>
      <c r="R33" s="116"/>
      <c r="S33" s="116"/>
      <c r="T33" s="116"/>
    </row>
    <row r="34" spans="2:20" ht="15.75" thickBot="1" x14ac:dyDescent="0.3">
      <c r="B34" s="54" t="s">
        <v>138</v>
      </c>
      <c r="C34" s="48" t="s">
        <v>139</v>
      </c>
      <c r="F34" s="330"/>
      <c r="G34" s="331"/>
      <c r="H34" s="331"/>
      <c r="I34" s="331"/>
      <c r="J34" s="331"/>
      <c r="K34" s="331"/>
      <c r="L34" s="331"/>
      <c r="M34" s="331"/>
      <c r="N34" s="332"/>
      <c r="Q34" s="116"/>
      <c r="R34" s="116"/>
      <c r="S34" s="116"/>
      <c r="T34" s="116"/>
    </row>
    <row r="35" spans="2:20" x14ac:dyDescent="0.25">
      <c r="N35" s="116"/>
      <c r="Q35" s="116"/>
      <c r="R35" s="116"/>
      <c r="S35" s="116"/>
      <c r="T35" s="116"/>
    </row>
    <row r="36" spans="2:20" x14ac:dyDescent="0.25">
      <c r="N36" s="116"/>
      <c r="Q36" s="116"/>
      <c r="R36" s="116"/>
      <c r="S36" s="116"/>
      <c r="T36" s="116"/>
    </row>
    <row r="37" spans="2:20" x14ac:dyDescent="0.25">
      <c r="N37" s="116"/>
      <c r="Q37" s="116"/>
      <c r="R37" s="116"/>
      <c r="S37" s="116"/>
      <c r="T37" s="116"/>
    </row>
    <row r="38" spans="2:20" x14ac:dyDescent="0.25">
      <c r="N38" s="116"/>
      <c r="Q38" s="116"/>
      <c r="R38" s="116"/>
      <c r="S38" s="116"/>
      <c r="T38" s="116"/>
    </row>
    <row r="39" spans="2:20" x14ac:dyDescent="0.25">
      <c r="N39" s="116"/>
      <c r="Q39" s="116"/>
      <c r="R39" s="116"/>
      <c r="S39" s="116"/>
      <c r="T39" s="116"/>
    </row>
    <row r="40" spans="2:20" x14ac:dyDescent="0.25">
      <c r="N40" s="116"/>
      <c r="Q40" s="116"/>
      <c r="R40" s="116"/>
      <c r="S40" s="116"/>
      <c r="T40" s="116"/>
    </row>
    <row r="41" spans="2:20" x14ac:dyDescent="0.25">
      <c r="N41" s="116"/>
      <c r="Q41" s="116"/>
      <c r="R41" s="116"/>
      <c r="S41" s="116"/>
      <c r="T41" s="116"/>
    </row>
  </sheetData>
  <mergeCells count="9">
    <mergeCell ref="C3:E3"/>
    <mergeCell ref="F5:M5"/>
    <mergeCell ref="C2:E2"/>
    <mergeCell ref="F2:N2"/>
    <mergeCell ref="F30:N34"/>
    <mergeCell ref="F8:I8"/>
    <mergeCell ref="J8:M8"/>
    <mergeCell ref="F7:M7"/>
    <mergeCell ref="F6:M6"/>
  </mergeCells>
  <conditionalFormatting sqref="F6:M6">
    <cfRule type="cellIs" dxfId="2" priority="20" operator="equal">
      <formula>"OJO H.E. AL 100%"</formula>
    </cfRule>
    <cfRule type="cellIs" dxfId="1" priority="21" operator="equal">
      <formula>"""OJO H.E. AL 100%"""</formula>
    </cfRule>
  </conditionalFormatting>
  <conditionalFormatting sqref="F4">
    <cfRule type="cellIs" dxfId="0" priority="13" operator="equal">
      <formula>"F"</formula>
    </cfRule>
  </conditionalFormatting>
  <pageMargins left="0.11811023622047245" right="0.11811023622047245" top="0.35433070866141736" bottom="0.15748031496062992" header="0.31496062992125984" footer="0.31496062992125984"/>
  <pageSetup paperSize="9" scale="75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'$ NOCHE_PESC'!$B$17:$B$27</xm:f>
          </x14:formula1>
          <xm:sqref>E10:E15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6" tint="-0.249977111117893"/>
  </sheetPr>
  <dimension ref="B3:K45"/>
  <sheetViews>
    <sheetView zoomScale="80" zoomScaleNormal="80" workbookViewId="0">
      <selection activeCell="B1" sqref="B1"/>
    </sheetView>
  </sheetViews>
  <sheetFormatPr baseColWidth="10" defaultRowHeight="15" x14ac:dyDescent="0.25"/>
  <cols>
    <col min="1" max="1" width="2.28515625" customWidth="1"/>
    <col min="2" max="2" width="40.140625" style="238" bestFit="1" customWidth="1"/>
    <col min="3" max="3" width="16.28515625" style="238" bestFit="1" customWidth="1"/>
    <col min="4" max="4" width="8.7109375" style="238" customWidth="1"/>
    <col min="5" max="5" width="5.28515625" customWidth="1"/>
    <col min="6" max="6" width="40.140625" bestFit="1" customWidth="1"/>
    <col min="7" max="7" width="15.5703125" bestFit="1" customWidth="1"/>
    <col min="8" max="8" width="6.28515625" bestFit="1" customWidth="1"/>
    <col min="9" max="9" width="34.28515625" bestFit="1" customWidth="1"/>
    <col min="10" max="10" width="13.7109375" customWidth="1"/>
    <col min="11" max="11" width="6.28515625" bestFit="1" customWidth="1"/>
  </cols>
  <sheetData>
    <row r="3" spans="4:11" x14ac:dyDescent="0.25">
      <c r="E3" s="147"/>
      <c r="F3" s="149" t="s">
        <v>192</v>
      </c>
      <c r="G3" s="150" t="s">
        <v>193</v>
      </c>
      <c r="H3" s="150" t="s">
        <v>194</v>
      </c>
      <c r="I3" s="149" t="s">
        <v>192</v>
      </c>
      <c r="J3" s="150" t="s">
        <v>193</v>
      </c>
      <c r="K3" s="150" t="s">
        <v>194</v>
      </c>
    </row>
    <row r="4" spans="4:11" x14ac:dyDescent="0.25">
      <c r="D4" s="239"/>
      <c r="E4" s="146"/>
      <c r="F4" s="151">
        <f>B4</f>
        <v>0</v>
      </c>
      <c r="G4" s="151">
        <f>IF(B4=F4,C4,0)</f>
        <v>0</v>
      </c>
      <c r="H4" s="151">
        <f>IF(B4=F4,D4,0)</f>
        <v>0</v>
      </c>
      <c r="I4" s="151">
        <f>IF(B4=F4,0,B4)</f>
        <v>0</v>
      </c>
      <c r="J4" s="151">
        <f>IF(I4=B4,C4,0)</f>
        <v>0</v>
      </c>
      <c r="K4" s="151">
        <f>IF(I4=B4,D4,0)</f>
        <v>0</v>
      </c>
    </row>
    <row r="5" spans="4:11" x14ac:dyDescent="0.25">
      <c r="D5" s="239"/>
      <c r="F5" s="151">
        <f>IF(F4=B5,0,B5)</f>
        <v>0</v>
      </c>
      <c r="G5" s="151">
        <f t="shared" ref="G5:G45" si="0">IF(B5=F5,C5,0)</f>
        <v>0</v>
      </c>
      <c r="H5" s="151">
        <f t="shared" ref="H5:H45" si="1">IF(B5=F5,D5,0)</f>
        <v>0</v>
      </c>
      <c r="I5" s="151">
        <f t="shared" ref="I5:I45" si="2">IF(B5=F5,0,B5)</f>
        <v>0</v>
      </c>
      <c r="J5" s="151">
        <f t="shared" ref="J5:J45" si="3">IF(I5=B5,C5,0)</f>
        <v>0</v>
      </c>
      <c r="K5" s="151">
        <f t="shared" ref="K5:K45" si="4">IF(I5=B5,D5,0)</f>
        <v>0</v>
      </c>
    </row>
    <row r="6" spans="4:11" x14ac:dyDescent="0.25">
      <c r="D6" s="239"/>
      <c r="F6" s="151">
        <f t="shared" ref="F6:F44" si="5">IF(F5=B6,0,B6)</f>
        <v>0</v>
      </c>
      <c r="G6" s="151">
        <f t="shared" si="0"/>
        <v>0</v>
      </c>
      <c r="H6" s="151">
        <f t="shared" si="1"/>
        <v>0</v>
      </c>
      <c r="I6" s="151">
        <f t="shared" si="2"/>
        <v>0</v>
      </c>
      <c r="J6" s="151">
        <f t="shared" si="3"/>
        <v>0</v>
      </c>
      <c r="K6" s="151">
        <f t="shared" si="4"/>
        <v>0</v>
      </c>
    </row>
    <row r="7" spans="4:11" x14ac:dyDescent="0.25">
      <c r="D7" s="239"/>
      <c r="F7" s="151">
        <f t="shared" si="5"/>
        <v>0</v>
      </c>
      <c r="G7" s="151">
        <f t="shared" si="0"/>
        <v>0</v>
      </c>
      <c r="H7" s="151">
        <f t="shared" si="1"/>
        <v>0</v>
      </c>
      <c r="I7" s="151">
        <f t="shared" si="2"/>
        <v>0</v>
      </c>
      <c r="J7" s="151">
        <f t="shared" si="3"/>
        <v>0</v>
      </c>
      <c r="K7" s="151">
        <f t="shared" si="4"/>
        <v>0</v>
      </c>
    </row>
    <row r="8" spans="4:11" x14ac:dyDescent="0.25">
      <c r="D8" s="239"/>
      <c r="F8" s="151">
        <f t="shared" si="5"/>
        <v>0</v>
      </c>
      <c r="G8" s="151">
        <f t="shared" si="0"/>
        <v>0</v>
      </c>
      <c r="H8" s="151">
        <f t="shared" si="1"/>
        <v>0</v>
      </c>
      <c r="I8" s="151">
        <f t="shared" si="2"/>
        <v>0</v>
      </c>
      <c r="J8" s="151">
        <f t="shared" si="3"/>
        <v>0</v>
      </c>
      <c r="K8" s="151">
        <f t="shared" si="4"/>
        <v>0</v>
      </c>
    </row>
    <row r="9" spans="4:11" x14ac:dyDescent="0.25">
      <c r="D9" s="239"/>
      <c r="F9" s="151">
        <f t="shared" si="5"/>
        <v>0</v>
      </c>
      <c r="G9" s="151">
        <f t="shared" si="0"/>
        <v>0</v>
      </c>
      <c r="H9" s="151">
        <f t="shared" si="1"/>
        <v>0</v>
      </c>
      <c r="I9" s="151">
        <f t="shared" si="2"/>
        <v>0</v>
      </c>
      <c r="J9" s="151">
        <f t="shared" si="3"/>
        <v>0</v>
      </c>
      <c r="K9" s="151">
        <f t="shared" si="4"/>
        <v>0</v>
      </c>
    </row>
    <row r="10" spans="4:11" x14ac:dyDescent="0.25">
      <c r="D10" s="239"/>
      <c r="F10" s="151">
        <f t="shared" si="5"/>
        <v>0</v>
      </c>
      <c r="G10" s="151">
        <f t="shared" si="0"/>
        <v>0</v>
      </c>
      <c r="H10" s="151">
        <f t="shared" si="1"/>
        <v>0</v>
      </c>
      <c r="I10" s="151">
        <f t="shared" si="2"/>
        <v>0</v>
      </c>
      <c r="J10" s="151">
        <f t="shared" si="3"/>
        <v>0</v>
      </c>
      <c r="K10" s="151">
        <f t="shared" si="4"/>
        <v>0</v>
      </c>
    </row>
    <row r="11" spans="4:11" x14ac:dyDescent="0.25">
      <c r="D11" s="239"/>
      <c r="F11" s="151">
        <f t="shared" si="5"/>
        <v>0</v>
      </c>
      <c r="G11" s="151">
        <f t="shared" si="0"/>
        <v>0</v>
      </c>
      <c r="H11" s="151">
        <f t="shared" si="1"/>
        <v>0</v>
      </c>
      <c r="I11" s="151">
        <f t="shared" si="2"/>
        <v>0</v>
      </c>
      <c r="J11" s="151">
        <f t="shared" si="3"/>
        <v>0</v>
      </c>
      <c r="K11" s="151">
        <f t="shared" si="4"/>
        <v>0</v>
      </c>
    </row>
    <row r="12" spans="4:11" x14ac:dyDescent="0.25">
      <c r="D12" s="239"/>
      <c r="F12" s="151">
        <f t="shared" si="5"/>
        <v>0</v>
      </c>
      <c r="G12" s="151">
        <f t="shared" si="0"/>
        <v>0</v>
      </c>
      <c r="H12" s="151">
        <f t="shared" si="1"/>
        <v>0</v>
      </c>
      <c r="I12" s="151">
        <f t="shared" si="2"/>
        <v>0</v>
      </c>
      <c r="J12" s="151">
        <f t="shared" si="3"/>
        <v>0</v>
      </c>
      <c r="K12" s="151">
        <f t="shared" si="4"/>
        <v>0</v>
      </c>
    </row>
    <row r="13" spans="4:11" x14ac:dyDescent="0.25">
      <c r="D13" s="239"/>
      <c r="F13" s="151">
        <f t="shared" si="5"/>
        <v>0</v>
      </c>
      <c r="G13" s="151">
        <f t="shared" si="0"/>
        <v>0</v>
      </c>
      <c r="H13" s="151">
        <f t="shared" si="1"/>
        <v>0</v>
      </c>
      <c r="I13" s="151">
        <f t="shared" si="2"/>
        <v>0</v>
      </c>
      <c r="J13" s="151">
        <f t="shared" si="3"/>
        <v>0</v>
      </c>
      <c r="K13" s="151">
        <f t="shared" si="4"/>
        <v>0</v>
      </c>
    </row>
    <row r="14" spans="4:11" x14ac:dyDescent="0.25">
      <c r="D14" s="239"/>
      <c r="F14" s="151">
        <f t="shared" si="5"/>
        <v>0</v>
      </c>
      <c r="G14" s="151">
        <f t="shared" si="0"/>
        <v>0</v>
      </c>
      <c r="H14" s="151">
        <f t="shared" si="1"/>
        <v>0</v>
      </c>
      <c r="I14" s="151">
        <f t="shared" si="2"/>
        <v>0</v>
      </c>
      <c r="J14" s="151">
        <f t="shared" si="3"/>
        <v>0</v>
      </c>
      <c r="K14" s="151">
        <f t="shared" si="4"/>
        <v>0</v>
      </c>
    </row>
    <row r="15" spans="4:11" x14ac:dyDescent="0.25">
      <c r="D15" s="239"/>
      <c r="F15" s="151">
        <f t="shared" si="5"/>
        <v>0</v>
      </c>
      <c r="G15" s="151">
        <f t="shared" si="0"/>
        <v>0</v>
      </c>
      <c r="H15" s="151">
        <f t="shared" si="1"/>
        <v>0</v>
      </c>
      <c r="I15" s="151">
        <f t="shared" si="2"/>
        <v>0</v>
      </c>
      <c r="J15" s="151">
        <f t="shared" si="3"/>
        <v>0</v>
      </c>
      <c r="K15" s="151">
        <f t="shared" si="4"/>
        <v>0</v>
      </c>
    </row>
    <row r="16" spans="4:11" x14ac:dyDescent="0.25">
      <c r="D16" s="239"/>
      <c r="F16" s="151">
        <f t="shared" si="5"/>
        <v>0</v>
      </c>
      <c r="G16" s="151">
        <f t="shared" si="0"/>
        <v>0</v>
      </c>
      <c r="H16" s="151">
        <f t="shared" si="1"/>
        <v>0</v>
      </c>
      <c r="I16" s="151">
        <f t="shared" si="2"/>
        <v>0</v>
      </c>
      <c r="J16" s="151">
        <f t="shared" si="3"/>
        <v>0</v>
      </c>
      <c r="K16" s="151">
        <f t="shared" si="4"/>
        <v>0</v>
      </c>
    </row>
    <row r="17" spans="4:11" x14ac:dyDescent="0.25">
      <c r="D17" s="239"/>
      <c r="F17" s="151">
        <f t="shared" si="5"/>
        <v>0</v>
      </c>
      <c r="G17" s="151">
        <f t="shared" si="0"/>
        <v>0</v>
      </c>
      <c r="H17" s="151">
        <f t="shared" si="1"/>
        <v>0</v>
      </c>
      <c r="I17" s="151">
        <f t="shared" si="2"/>
        <v>0</v>
      </c>
      <c r="J17" s="151">
        <f t="shared" si="3"/>
        <v>0</v>
      </c>
      <c r="K17" s="151">
        <f t="shared" si="4"/>
        <v>0</v>
      </c>
    </row>
    <row r="18" spans="4:11" x14ac:dyDescent="0.25">
      <c r="D18" s="239"/>
      <c r="F18" s="151">
        <f t="shared" si="5"/>
        <v>0</v>
      </c>
      <c r="G18" s="151">
        <f t="shared" si="0"/>
        <v>0</v>
      </c>
      <c r="H18" s="151">
        <f t="shared" si="1"/>
        <v>0</v>
      </c>
      <c r="I18" s="151">
        <f t="shared" si="2"/>
        <v>0</v>
      </c>
      <c r="J18" s="151">
        <f t="shared" si="3"/>
        <v>0</v>
      </c>
      <c r="K18" s="151">
        <f t="shared" si="4"/>
        <v>0</v>
      </c>
    </row>
    <row r="19" spans="4:11" x14ac:dyDescent="0.25">
      <c r="D19" s="239"/>
      <c r="F19" s="151">
        <f t="shared" si="5"/>
        <v>0</v>
      </c>
      <c r="G19" s="151">
        <f t="shared" si="0"/>
        <v>0</v>
      </c>
      <c r="H19" s="151">
        <f t="shared" si="1"/>
        <v>0</v>
      </c>
      <c r="I19" s="151">
        <f t="shared" si="2"/>
        <v>0</v>
      </c>
      <c r="J19" s="151">
        <f t="shared" si="3"/>
        <v>0</v>
      </c>
      <c r="K19" s="151">
        <f t="shared" si="4"/>
        <v>0</v>
      </c>
    </row>
    <row r="20" spans="4:11" x14ac:dyDescent="0.25">
      <c r="D20" s="239"/>
      <c r="F20" s="151">
        <f t="shared" si="5"/>
        <v>0</v>
      </c>
      <c r="G20" s="151">
        <f t="shared" si="0"/>
        <v>0</v>
      </c>
      <c r="H20" s="151">
        <f t="shared" si="1"/>
        <v>0</v>
      </c>
      <c r="I20" s="151">
        <f t="shared" si="2"/>
        <v>0</v>
      </c>
      <c r="J20" s="151">
        <f t="shared" si="3"/>
        <v>0</v>
      </c>
      <c r="K20" s="151">
        <f t="shared" si="4"/>
        <v>0</v>
      </c>
    </row>
    <row r="21" spans="4:11" x14ac:dyDescent="0.25">
      <c r="D21" s="239"/>
      <c r="F21" s="151">
        <f t="shared" si="5"/>
        <v>0</v>
      </c>
      <c r="G21" s="151">
        <f t="shared" si="0"/>
        <v>0</v>
      </c>
      <c r="H21" s="151">
        <f t="shared" si="1"/>
        <v>0</v>
      </c>
      <c r="I21" s="151">
        <f t="shared" si="2"/>
        <v>0</v>
      </c>
      <c r="J21" s="151">
        <f t="shared" si="3"/>
        <v>0</v>
      </c>
      <c r="K21" s="151">
        <f t="shared" si="4"/>
        <v>0</v>
      </c>
    </row>
    <row r="22" spans="4:11" x14ac:dyDescent="0.25">
      <c r="D22" s="239"/>
      <c r="F22" s="151">
        <f t="shared" si="5"/>
        <v>0</v>
      </c>
      <c r="G22" s="151">
        <f t="shared" si="0"/>
        <v>0</v>
      </c>
      <c r="H22" s="151">
        <f t="shared" si="1"/>
        <v>0</v>
      </c>
      <c r="I22" s="151">
        <f t="shared" si="2"/>
        <v>0</v>
      </c>
      <c r="J22" s="151">
        <f t="shared" si="3"/>
        <v>0</v>
      </c>
      <c r="K22" s="151">
        <f t="shared" si="4"/>
        <v>0</v>
      </c>
    </row>
    <row r="23" spans="4:11" x14ac:dyDescent="0.25">
      <c r="D23" s="239"/>
      <c r="F23" s="151">
        <f t="shared" si="5"/>
        <v>0</v>
      </c>
      <c r="G23" s="151">
        <f t="shared" si="0"/>
        <v>0</v>
      </c>
      <c r="H23" s="151">
        <f t="shared" si="1"/>
        <v>0</v>
      </c>
      <c r="I23" s="151">
        <f t="shared" si="2"/>
        <v>0</v>
      </c>
      <c r="J23" s="151">
        <f t="shared" si="3"/>
        <v>0</v>
      </c>
      <c r="K23" s="151">
        <f t="shared" si="4"/>
        <v>0</v>
      </c>
    </row>
    <row r="24" spans="4:11" x14ac:dyDescent="0.25">
      <c r="D24" s="239"/>
      <c r="F24" s="151">
        <f t="shared" si="5"/>
        <v>0</v>
      </c>
      <c r="G24" s="151">
        <f t="shared" si="0"/>
        <v>0</v>
      </c>
      <c r="H24" s="151">
        <f t="shared" si="1"/>
        <v>0</v>
      </c>
      <c r="I24" s="151">
        <f t="shared" si="2"/>
        <v>0</v>
      </c>
      <c r="J24" s="151">
        <f t="shared" si="3"/>
        <v>0</v>
      </c>
      <c r="K24" s="151">
        <f t="shared" si="4"/>
        <v>0</v>
      </c>
    </row>
    <row r="25" spans="4:11" x14ac:dyDescent="0.25">
      <c r="D25" s="239"/>
      <c r="F25" s="151">
        <f t="shared" si="5"/>
        <v>0</v>
      </c>
      <c r="G25" s="151">
        <f t="shared" si="0"/>
        <v>0</v>
      </c>
      <c r="H25" s="151">
        <f t="shared" si="1"/>
        <v>0</v>
      </c>
      <c r="I25" s="151">
        <f t="shared" si="2"/>
        <v>0</v>
      </c>
      <c r="J25" s="151">
        <f t="shared" si="3"/>
        <v>0</v>
      </c>
      <c r="K25" s="151">
        <f t="shared" si="4"/>
        <v>0</v>
      </c>
    </row>
    <row r="26" spans="4:11" x14ac:dyDescent="0.25">
      <c r="D26" s="239"/>
      <c r="F26" s="151">
        <f t="shared" si="5"/>
        <v>0</v>
      </c>
      <c r="G26" s="151">
        <f t="shared" si="0"/>
        <v>0</v>
      </c>
      <c r="H26" s="151">
        <f t="shared" si="1"/>
        <v>0</v>
      </c>
      <c r="I26" s="151">
        <f t="shared" si="2"/>
        <v>0</v>
      </c>
      <c r="J26" s="151">
        <f t="shared" si="3"/>
        <v>0</v>
      </c>
      <c r="K26" s="151">
        <f t="shared" si="4"/>
        <v>0</v>
      </c>
    </row>
    <row r="27" spans="4:11" x14ac:dyDescent="0.25">
      <c r="D27" s="239"/>
      <c r="F27" s="151">
        <f t="shared" si="5"/>
        <v>0</v>
      </c>
      <c r="G27" s="151">
        <f t="shared" si="0"/>
        <v>0</v>
      </c>
      <c r="H27" s="151">
        <f t="shared" si="1"/>
        <v>0</v>
      </c>
      <c r="I27" s="151">
        <f t="shared" si="2"/>
        <v>0</v>
      </c>
      <c r="J27" s="151">
        <f t="shared" si="3"/>
        <v>0</v>
      </c>
      <c r="K27" s="151">
        <f t="shared" si="4"/>
        <v>0</v>
      </c>
    </row>
    <row r="28" spans="4:11" x14ac:dyDescent="0.25">
      <c r="D28" s="239"/>
      <c r="F28" s="151">
        <f t="shared" si="5"/>
        <v>0</v>
      </c>
      <c r="G28" s="151">
        <f t="shared" si="0"/>
        <v>0</v>
      </c>
      <c r="H28" s="151">
        <f t="shared" si="1"/>
        <v>0</v>
      </c>
      <c r="I28" s="151">
        <f t="shared" si="2"/>
        <v>0</v>
      </c>
      <c r="J28" s="151">
        <f t="shared" si="3"/>
        <v>0</v>
      </c>
      <c r="K28" s="151">
        <f t="shared" si="4"/>
        <v>0</v>
      </c>
    </row>
    <row r="29" spans="4:11" x14ac:dyDescent="0.25">
      <c r="D29" s="239"/>
      <c r="F29" s="151">
        <f t="shared" si="5"/>
        <v>0</v>
      </c>
      <c r="G29" s="151">
        <f t="shared" si="0"/>
        <v>0</v>
      </c>
      <c r="H29" s="151">
        <f t="shared" si="1"/>
        <v>0</v>
      </c>
      <c r="I29" s="151">
        <f t="shared" si="2"/>
        <v>0</v>
      </c>
      <c r="J29" s="151">
        <f t="shared" si="3"/>
        <v>0</v>
      </c>
      <c r="K29" s="151">
        <f t="shared" si="4"/>
        <v>0</v>
      </c>
    </row>
    <row r="30" spans="4:11" x14ac:dyDescent="0.25">
      <c r="D30" s="239"/>
      <c r="F30" s="151">
        <f t="shared" si="5"/>
        <v>0</v>
      </c>
      <c r="G30" s="151">
        <f t="shared" si="0"/>
        <v>0</v>
      </c>
      <c r="H30" s="151">
        <f t="shared" si="1"/>
        <v>0</v>
      </c>
      <c r="I30" s="151">
        <f t="shared" si="2"/>
        <v>0</v>
      </c>
      <c r="J30" s="151">
        <f t="shared" si="3"/>
        <v>0</v>
      </c>
      <c r="K30" s="151">
        <f t="shared" si="4"/>
        <v>0</v>
      </c>
    </row>
    <row r="31" spans="4:11" x14ac:dyDescent="0.25">
      <c r="D31" s="239"/>
      <c r="F31" s="151">
        <f t="shared" si="5"/>
        <v>0</v>
      </c>
      <c r="G31" s="151">
        <f t="shared" si="0"/>
        <v>0</v>
      </c>
      <c r="H31" s="151">
        <f t="shared" si="1"/>
        <v>0</v>
      </c>
      <c r="I31" s="151">
        <f t="shared" si="2"/>
        <v>0</v>
      </c>
      <c r="J31" s="151">
        <f t="shared" si="3"/>
        <v>0</v>
      </c>
      <c r="K31" s="151">
        <f t="shared" si="4"/>
        <v>0</v>
      </c>
    </row>
    <row r="32" spans="4:11" x14ac:dyDescent="0.25">
      <c r="D32" s="239"/>
      <c r="F32" s="151">
        <f t="shared" si="5"/>
        <v>0</v>
      </c>
      <c r="G32" s="151">
        <f t="shared" si="0"/>
        <v>0</v>
      </c>
      <c r="H32" s="151">
        <f t="shared" si="1"/>
        <v>0</v>
      </c>
      <c r="I32" s="151">
        <f t="shared" si="2"/>
        <v>0</v>
      </c>
      <c r="J32" s="151">
        <f t="shared" si="3"/>
        <v>0</v>
      </c>
      <c r="K32" s="151">
        <f t="shared" si="4"/>
        <v>0</v>
      </c>
    </row>
    <row r="33" spans="4:11" x14ac:dyDescent="0.25">
      <c r="D33" s="239"/>
      <c r="F33" s="151">
        <f t="shared" si="5"/>
        <v>0</v>
      </c>
      <c r="G33" s="151">
        <f t="shared" si="0"/>
        <v>0</v>
      </c>
      <c r="H33" s="151">
        <f t="shared" si="1"/>
        <v>0</v>
      </c>
      <c r="I33" s="151">
        <f t="shared" si="2"/>
        <v>0</v>
      </c>
      <c r="J33" s="151">
        <f t="shared" si="3"/>
        <v>0</v>
      </c>
      <c r="K33" s="151">
        <f t="shared" si="4"/>
        <v>0</v>
      </c>
    </row>
    <row r="34" spans="4:11" x14ac:dyDescent="0.25">
      <c r="D34" s="239"/>
      <c r="F34" s="151">
        <f t="shared" si="5"/>
        <v>0</v>
      </c>
      <c r="G34" s="151">
        <f t="shared" si="0"/>
        <v>0</v>
      </c>
      <c r="H34" s="151">
        <f t="shared" si="1"/>
        <v>0</v>
      </c>
      <c r="I34" s="151">
        <f t="shared" si="2"/>
        <v>0</v>
      </c>
      <c r="J34" s="151">
        <f t="shared" si="3"/>
        <v>0</v>
      </c>
      <c r="K34" s="151">
        <f t="shared" si="4"/>
        <v>0</v>
      </c>
    </row>
    <row r="35" spans="4:11" x14ac:dyDescent="0.25">
      <c r="D35" s="239"/>
      <c r="F35" s="151">
        <f t="shared" si="5"/>
        <v>0</v>
      </c>
      <c r="G35" s="151">
        <f t="shared" si="0"/>
        <v>0</v>
      </c>
      <c r="H35" s="151">
        <f t="shared" si="1"/>
        <v>0</v>
      </c>
      <c r="I35" s="151">
        <f t="shared" si="2"/>
        <v>0</v>
      </c>
      <c r="J35" s="151">
        <f t="shared" si="3"/>
        <v>0</v>
      </c>
      <c r="K35" s="151">
        <f t="shared" si="4"/>
        <v>0</v>
      </c>
    </row>
    <row r="36" spans="4:11" x14ac:dyDescent="0.25">
      <c r="D36" s="239"/>
      <c r="F36" s="151">
        <f t="shared" si="5"/>
        <v>0</v>
      </c>
      <c r="G36" s="151">
        <f t="shared" si="0"/>
        <v>0</v>
      </c>
      <c r="H36" s="151">
        <f t="shared" si="1"/>
        <v>0</v>
      </c>
      <c r="I36" s="151">
        <f t="shared" si="2"/>
        <v>0</v>
      </c>
      <c r="J36" s="151">
        <f t="shared" si="3"/>
        <v>0</v>
      </c>
      <c r="K36" s="151">
        <f t="shared" si="4"/>
        <v>0</v>
      </c>
    </row>
    <row r="37" spans="4:11" x14ac:dyDescent="0.25">
      <c r="F37" s="151">
        <f t="shared" si="5"/>
        <v>0</v>
      </c>
      <c r="G37" s="151">
        <f t="shared" si="0"/>
        <v>0</v>
      </c>
      <c r="H37" s="151">
        <f t="shared" si="1"/>
        <v>0</v>
      </c>
      <c r="I37" s="151">
        <f t="shared" si="2"/>
        <v>0</v>
      </c>
      <c r="J37" s="151">
        <f t="shared" si="3"/>
        <v>0</v>
      </c>
      <c r="K37" s="151">
        <f t="shared" si="4"/>
        <v>0</v>
      </c>
    </row>
    <row r="38" spans="4:11" x14ac:dyDescent="0.25">
      <c r="F38" s="151">
        <f t="shared" si="5"/>
        <v>0</v>
      </c>
      <c r="G38" s="151">
        <f t="shared" si="0"/>
        <v>0</v>
      </c>
      <c r="H38" s="151">
        <f t="shared" si="1"/>
        <v>0</v>
      </c>
      <c r="I38" s="151">
        <f t="shared" si="2"/>
        <v>0</v>
      </c>
      <c r="J38" s="151">
        <f t="shared" si="3"/>
        <v>0</v>
      </c>
      <c r="K38" s="151">
        <f t="shared" si="4"/>
        <v>0</v>
      </c>
    </row>
    <row r="39" spans="4:11" x14ac:dyDescent="0.25">
      <c r="F39" s="151">
        <f t="shared" si="5"/>
        <v>0</v>
      </c>
      <c r="G39" s="151">
        <f t="shared" si="0"/>
        <v>0</v>
      </c>
      <c r="H39" s="151">
        <f t="shared" si="1"/>
        <v>0</v>
      </c>
      <c r="I39" s="151">
        <f t="shared" si="2"/>
        <v>0</v>
      </c>
      <c r="J39" s="151">
        <f t="shared" si="3"/>
        <v>0</v>
      </c>
      <c r="K39" s="151">
        <f t="shared" si="4"/>
        <v>0</v>
      </c>
    </row>
    <row r="40" spans="4:11" x14ac:dyDescent="0.25">
      <c r="F40" s="151">
        <f t="shared" si="5"/>
        <v>0</v>
      </c>
      <c r="G40" s="151">
        <f t="shared" si="0"/>
        <v>0</v>
      </c>
      <c r="H40" s="151">
        <f t="shared" si="1"/>
        <v>0</v>
      </c>
      <c r="I40" s="151">
        <f t="shared" si="2"/>
        <v>0</v>
      </c>
      <c r="J40" s="151">
        <f t="shared" si="3"/>
        <v>0</v>
      </c>
      <c r="K40" s="151">
        <f t="shared" si="4"/>
        <v>0</v>
      </c>
    </row>
    <row r="41" spans="4:11" x14ac:dyDescent="0.25">
      <c r="F41" s="151">
        <f t="shared" si="5"/>
        <v>0</v>
      </c>
      <c r="G41" s="151">
        <f t="shared" si="0"/>
        <v>0</v>
      </c>
      <c r="H41" s="151">
        <f t="shared" si="1"/>
        <v>0</v>
      </c>
      <c r="I41" s="151">
        <f t="shared" si="2"/>
        <v>0</v>
      </c>
      <c r="J41" s="151">
        <f t="shared" si="3"/>
        <v>0</v>
      </c>
      <c r="K41" s="151">
        <f t="shared" si="4"/>
        <v>0</v>
      </c>
    </row>
    <row r="42" spans="4:11" x14ac:dyDescent="0.25">
      <c r="F42" s="151">
        <f t="shared" si="5"/>
        <v>0</v>
      </c>
      <c r="G42" s="151">
        <f t="shared" si="0"/>
        <v>0</v>
      </c>
      <c r="H42" s="151">
        <f t="shared" si="1"/>
        <v>0</v>
      </c>
      <c r="I42" s="151">
        <f t="shared" si="2"/>
        <v>0</v>
      </c>
      <c r="J42" s="151">
        <f t="shared" si="3"/>
        <v>0</v>
      </c>
      <c r="K42" s="151">
        <f t="shared" si="4"/>
        <v>0</v>
      </c>
    </row>
    <row r="43" spans="4:11" x14ac:dyDescent="0.25">
      <c r="F43" s="151">
        <f t="shared" si="5"/>
        <v>0</v>
      </c>
      <c r="G43" s="151">
        <f t="shared" si="0"/>
        <v>0</v>
      </c>
      <c r="H43" s="151">
        <f t="shared" si="1"/>
        <v>0</v>
      </c>
      <c r="I43" s="151">
        <f t="shared" si="2"/>
        <v>0</v>
      </c>
      <c r="J43" s="151">
        <f t="shared" si="3"/>
        <v>0</v>
      </c>
      <c r="K43" s="151">
        <f t="shared" si="4"/>
        <v>0</v>
      </c>
    </row>
    <row r="44" spans="4:11" x14ac:dyDescent="0.25">
      <c r="F44" s="151">
        <f t="shared" si="5"/>
        <v>0</v>
      </c>
      <c r="G44" s="151">
        <f t="shared" si="0"/>
        <v>0</v>
      </c>
      <c r="H44" s="151">
        <f t="shared" si="1"/>
        <v>0</v>
      </c>
      <c r="I44" s="151">
        <f t="shared" si="2"/>
        <v>0</v>
      </c>
      <c r="J44" s="151">
        <f t="shared" si="3"/>
        <v>0</v>
      </c>
      <c r="K44" s="151">
        <f t="shared" si="4"/>
        <v>0</v>
      </c>
    </row>
    <row r="45" spans="4:11" x14ac:dyDescent="0.25">
      <c r="F45" s="151">
        <f>IF(F44=B45,0,B45)</f>
        <v>0</v>
      </c>
      <c r="G45" s="151">
        <f t="shared" si="0"/>
        <v>0</v>
      </c>
      <c r="H45" s="151">
        <f t="shared" si="1"/>
        <v>0</v>
      </c>
      <c r="I45" s="151">
        <f t="shared" si="2"/>
        <v>0</v>
      </c>
      <c r="J45" s="151">
        <f t="shared" si="3"/>
        <v>0</v>
      </c>
      <c r="K45" s="151">
        <f t="shared" si="4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B2:BD41"/>
  <sheetViews>
    <sheetView zoomScale="80" zoomScaleNormal="80" workbookViewId="0">
      <selection activeCell="H44" sqref="H44"/>
    </sheetView>
  </sheetViews>
  <sheetFormatPr baseColWidth="10" defaultRowHeight="15" x14ac:dyDescent="0.25"/>
  <cols>
    <col min="1" max="1" width="39.140625" bestFit="1" customWidth="1"/>
    <col min="2" max="2" width="34.5703125" bestFit="1" customWidth="1"/>
    <col min="3" max="5" width="8.7109375" bestFit="1" customWidth="1"/>
    <col min="6" max="6" width="9.140625" bestFit="1" customWidth="1"/>
    <col min="7" max="7" width="14.5703125" bestFit="1" customWidth="1"/>
    <col min="8" max="9" width="40.140625" bestFit="1" customWidth="1"/>
    <col min="10" max="10" width="11.42578125" customWidth="1"/>
    <col min="11" max="11" width="8.5703125" bestFit="1" customWidth="1"/>
    <col min="12" max="12" width="8" bestFit="1" customWidth="1"/>
    <col min="13" max="13" width="8.5703125" bestFit="1" customWidth="1"/>
    <col min="14" max="14" width="14.5703125" customWidth="1"/>
    <col min="15" max="16" width="40.140625" bestFit="1" customWidth="1"/>
    <col min="17" max="17" width="22.7109375" bestFit="1" customWidth="1"/>
    <col min="19" max="19" width="8" bestFit="1" customWidth="1"/>
    <col min="20" max="20" width="8.5703125" bestFit="1" customWidth="1"/>
    <col min="21" max="21" width="9.140625" bestFit="1" customWidth="1"/>
    <col min="22" max="23" width="40.140625" bestFit="1" customWidth="1"/>
    <col min="26" max="26" width="8" bestFit="1" customWidth="1"/>
    <col min="27" max="27" width="8.5703125" bestFit="1" customWidth="1"/>
    <col min="28" max="28" width="9.140625" bestFit="1" customWidth="1"/>
    <col min="29" max="30" width="40.140625" bestFit="1" customWidth="1"/>
    <col min="33" max="33" width="8" bestFit="1" customWidth="1"/>
    <col min="34" max="34" width="8.5703125" bestFit="1" customWidth="1"/>
    <col min="35" max="35" width="9.140625" bestFit="1" customWidth="1"/>
    <col min="36" max="37" width="40.140625" bestFit="1" customWidth="1"/>
    <col min="40" max="40" width="8" bestFit="1" customWidth="1"/>
    <col min="41" max="41" width="8.5703125" bestFit="1" customWidth="1"/>
    <col min="42" max="42" width="9.140625" bestFit="1" customWidth="1"/>
    <col min="43" max="44" width="40.140625" bestFit="1" customWidth="1"/>
    <col min="47" max="47" width="8" bestFit="1" customWidth="1"/>
    <col min="48" max="48" width="8.5703125" bestFit="1" customWidth="1"/>
    <col min="49" max="49" width="9.140625" bestFit="1" customWidth="1"/>
    <col min="50" max="51" width="40.140625" bestFit="1" customWidth="1"/>
  </cols>
  <sheetData>
    <row r="2" spans="2:56" ht="25.5" customHeight="1" x14ac:dyDescent="0.25">
      <c r="B2" s="181"/>
      <c r="I2" s="181"/>
      <c r="O2" s="146"/>
      <c r="P2" s="156"/>
      <c r="Q2" s="146"/>
      <c r="R2" s="157"/>
      <c r="S2" s="146"/>
      <c r="T2" s="146"/>
      <c r="U2" s="146"/>
      <c r="V2" s="146"/>
      <c r="W2" s="156"/>
      <c r="X2" s="146"/>
      <c r="Y2" s="157"/>
      <c r="Z2" s="146"/>
      <c r="AA2" s="146"/>
      <c r="AB2" s="146"/>
      <c r="AC2" s="146"/>
      <c r="AD2" s="156"/>
      <c r="AE2" s="146"/>
      <c r="AF2" s="157"/>
      <c r="AG2" s="146"/>
      <c r="AH2" s="146"/>
      <c r="AI2" s="146"/>
      <c r="AJ2" s="146"/>
      <c r="AK2" s="156"/>
      <c r="AL2" s="146"/>
      <c r="AM2" s="157"/>
      <c r="AN2" s="146"/>
      <c r="AO2" s="146"/>
      <c r="AP2" s="146"/>
      <c r="AQ2" s="146"/>
      <c r="AR2" s="156"/>
      <c r="AS2" s="146"/>
      <c r="AT2" s="157"/>
      <c r="AU2" s="146"/>
      <c r="AV2" s="146"/>
      <c r="AW2" s="146"/>
      <c r="AX2" s="146"/>
      <c r="AY2" s="156"/>
      <c r="AZ2" s="146"/>
      <c r="BA2" s="157"/>
      <c r="BB2" s="146"/>
      <c r="BC2" s="146"/>
      <c r="BD2" s="146"/>
    </row>
    <row r="3" spans="2:56" ht="14.25" customHeight="1" x14ac:dyDescent="0.25">
      <c r="R3" s="154"/>
      <c r="Y3" s="154"/>
      <c r="AF3" s="154"/>
      <c r="AM3" s="154"/>
      <c r="AT3" s="154"/>
      <c r="BA3" s="154"/>
    </row>
    <row r="4" spans="2:56" x14ac:dyDescent="0.25">
      <c r="C4" s="182"/>
      <c r="D4" s="182"/>
      <c r="E4" s="182"/>
      <c r="F4" s="182"/>
      <c r="J4" s="182"/>
      <c r="K4" s="182"/>
      <c r="L4" s="182"/>
      <c r="M4" s="182"/>
      <c r="O4" s="155"/>
      <c r="P4" s="155"/>
      <c r="Q4" s="155"/>
      <c r="R4" s="155"/>
      <c r="S4" s="155"/>
      <c r="T4" s="155"/>
      <c r="U4" s="155"/>
      <c r="V4" s="155"/>
      <c r="W4" s="155"/>
      <c r="X4" s="155"/>
      <c r="Y4" s="155"/>
      <c r="Z4" s="155"/>
      <c r="AA4" s="155"/>
      <c r="AB4" s="155"/>
      <c r="AC4" s="155"/>
      <c r="AD4" s="155"/>
      <c r="AE4" s="155"/>
      <c r="AF4" s="155"/>
      <c r="AG4" s="155"/>
      <c r="AH4" s="155"/>
      <c r="AI4" s="155"/>
      <c r="AJ4" s="155"/>
      <c r="AK4" s="155"/>
      <c r="AL4" s="155"/>
      <c r="AM4" s="155"/>
      <c r="AN4" s="155"/>
      <c r="AO4" s="155"/>
      <c r="AP4" s="155"/>
      <c r="AQ4" s="155"/>
      <c r="AR4" s="155"/>
      <c r="AS4" s="155"/>
      <c r="AT4" s="155"/>
      <c r="AU4" s="155"/>
      <c r="AV4" s="155"/>
      <c r="AW4" s="155"/>
      <c r="AX4" s="155"/>
      <c r="AY4" s="155"/>
      <c r="AZ4" s="155"/>
      <c r="BA4" s="155"/>
      <c r="BB4" s="155"/>
      <c r="BC4" s="155"/>
      <c r="BD4" s="155"/>
    </row>
    <row r="5" spans="2:56" x14ac:dyDescent="0.25">
      <c r="C5" s="152"/>
      <c r="D5" s="152"/>
      <c r="E5" s="152"/>
      <c r="F5" s="152"/>
      <c r="J5" s="152"/>
      <c r="K5" s="152"/>
      <c r="L5" s="152"/>
      <c r="M5" s="152"/>
      <c r="Q5" s="152"/>
      <c r="R5" s="152"/>
      <c r="S5" s="152"/>
      <c r="T5" s="152"/>
      <c r="U5" s="158"/>
      <c r="X5" s="152"/>
      <c r="Y5" s="152"/>
      <c r="Z5" s="152"/>
      <c r="AA5" s="152"/>
      <c r="AB5" s="158"/>
      <c r="AE5" s="152"/>
      <c r="AF5" s="152"/>
      <c r="AG5" s="152"/>
      <c r="AH5" s="152"/>
      <c r="AI5" s="158"/>
      <c r="AL5" s="152"/>
      <c r="AM5" s="152"/>
      <c r="AN5" s="152"/>
      <c r="AO5" s="152"/>
      <c r="AP5" s="158"/>
      <c r="AS5" s="152"/>
      <c r="AT5" s="152"/>
      <c r="AU5" s="152"/>
      <c r="AV5" s="152"/>
      <c r="AW5" s="158"/>
      <c r="AZ5" s="152"/>
      <c r="BA5" s="152"/>
      <c r="BB5" s="152"/>
      <c r="BC5" s="152"/>
      <c r="BD5" s="158"/>
    </row>
    <row r="6" spans="2:56" x14ac:dyDescent="0.25">
      <c r="C6" s="152"/>
      <c r="D6" s="152"/>
      <c r="E6" s="152"/>
      <c r="F6" s="152"/>
      <c r="J6" s="152"/>
      <c r="K6" s="152"/>
      <c r="L6" s="152"/>
      <c r="M6" s="152"/>
      <c r="Q6" s="152"/>
      <c r="R6" s="152"/>
      <c r="S6" s="152"/>
      <c r="T6" s="152"/>
      <c r="U6" s="158"/>
      <c r="X6" s="152"/>
      <c r="Y6" s="152"/>
      <c r="Z6" s="152"/>
      <c r="AA6" s="152"/>
      <c r="AB6" s="158"/>
      <c r="AE6" s="152"/>
      <c r="AF6" s="152"/>
      <c r="AG6" s="152"/>
      <c r="AH6" s="152"/>
      <c r="AI6" s="158"/>
      <c r="AL6" s="152"/>
      <c r="AM6" s="152"/>
      <c r="AN6" s="152"/>
      <c r="AO6" s="152"/>
      <c r="AP6" s="158"/>
      <c r="AS6" s="152"/>
      <c r="AT6" s="152"/>
      <c r="AU6" s="152"/>
      <c r="AV6" s="152"/>
      <c r="AW6" s="158"/>
      <c r="AZ6" s="152"/>
      <c r="BA6" s="152"/>
      <c r="BB6" s="152"/>
      <c r="BC6" s="152"/>
      <c r="BD6" s="158"/>
    </row>
    <row r="7" spans="2:56" x14ac:dyDescent="0.25">
      <c r="C7" s="152"/>
      <c r="D7" s="152"/>
      <c r="E7" s="152"/>
      <c r="F7" s="152"/>
      <c r="J7" s="152"/>
      <c r="K7" s="152"/>
      <c r="L7" s="152"/>
      <c r="M7" s="152"/>
      <c r="Q7" s="152"/>
      <c r="R7" s="152"/>
      <c r="S7" s="152"/>
      <c r="T7" s="152"/>
      <c r="U7" s="158"/>
      <c r="X7" s="152"/>
      <c r="Y7" s="152"/>
      <c r="Z7" s="152"/>
      <c r="AA7" s="152"/>
      <c r="AB7" s="158"/>
      <c r="AE7" s="152"/>
      <c r="AF7" s="152"/>
      <c r="AG7" s="152"/>
      <c r="AH7" s="152"/>
      <c r="AI7" s="158"/>
      <c r="AL7" s="152"/>
      <c r="AM7" s="152"/>
      <c r="AN7" s="152"/>
      <c r="AO7" s="152"/>
      <c r="AP7" s="158"/>
      <c r="AS7" s="152"/>
      <c r="AT7" s="152"/>
      <c r="AU7" s="152"/>
      <c r="AV7" s="152"/>
      <c r="AW7" s="158"/>
      <c r="AZ7" s="152"/>
      <c r="BA7" s="152"/>
      <c r="BB7" s="152"/>
      <c r="BC7" s="152"/>
      <c r="BD7" s="158"/>
    </row>
    <row r="8" spans="2:56" x14ac:dyDescent="0.25">
      <c r="C8" s="152"/>
      <c r="D8" s="152"/>
      <c r="E8" s="152"/>
      <c r="F8" s="152"/>
      <c r="J8" s="152"/>
      <c r="K8" s="152"/>
      <c r="L8" s="152"/>
      <c r="M8" s="152"/>
      <c r="Q8" s="152"/>
      <c r="R8" s="152"/>
      <c r="S8" s="152"/>
      <c r="T8" s="152"/>
      <c r="U8" s="158"/>
      <c r="X8" s="152"/>
      <c r="Y8" s="152"/>
      <c r="Z8" s="152"/>
      <c r="AA8" s="152"/>
      <c r="AB8" s="158"/>
      <c r="AE8" s="152"/>
      <c r="AF8" s="152"/>
      <c r="AG8" s="152"/>
      <c r="AH8" s="152"/>
      <c r="AI8" s="158"/>
      <c r="AL8" s="152"/>
      <c r="AM8" s="152"/>
      <c r="AN8" s="152"/>
      <c r="AO8" s="152"/>
      <c r="AP8" s="158"/>
      <c r="AS8" s="152"/>
      <c r="AT8" s="152"/>
      <c r="AU8" s="152"/>
      <c r="AV8" s="152"/>
      <c r="AW8" s="158"/>
      <c r="AZ8" s="152"/>
      <c r="BA8" s="152"/>
      <c r="BB8" s="152"/>
      <c r="BC8" s="152"/>
      <c r="BD8" s="158"/>
    </row>
    <row r="9" spans="2:56" x14ac:dyDescent="0.25">
      <c r="C9" s="152"/>
      <c r="D9" s="152"/>
      <c r="E9" s="152"/>
      <c r="F9" s="152"/>
      <c r="J9" s="152"/>
      <c r="K9" s="152"/>
      <c r="L9" s="152"/>
      <c r="M9" s="152"/>
      <c r="Q9" s="152"/>
      <c r="R9" s="152"/>
      <c r="S9" s="152"/>
      <c r="T9" s="152"/>
      <c r="U9" s="158"/>
      <c r="X9" s="152"/>
      <c r="Y9" s="152"/>
      <c r="Z9" s="152"/>
      <c r="AA9" s="152"/>
      <c r="AB9" s="158"/>
      <c r="AE9" s="152"/>
      <c r="AF9" s="152"/>
      <c r="AG9" s="152"/>
      <c r="AH9" s="152"/>
      <c r="AI9" s="158"/>
      <c r="AL9" s="152"/>
      <c r="AM9" s="152"/>
      <c r="AN9" s="152"/>
      <c r="AO9" s="152"/>
      <c r="AP9" s="158"/>
      <c r="AS9" s="152"/>
      <c r="AT9" s="152"/>
      <c r="AU9" s="152"/>
      <c r="AV9" s="152"/>
      <c r="AW9" s="158"/>
      <c r="AZ9" s="152"/>
      <c r="BA9" s="152"/>
      <c r="BB9" s="152"/>
      <c r="BC9" s="152"/>
      <c r="BD9" s="158"/>
    </row>
    <row r="10" spans="2:56" x14ac:dyDescent="0.25">
      <c r="C10" s="152"/>
      <c r="D10" s="152"/>
      <c r="E10" s="152"/>
      <c r="F10" s="152"/>
      <c r="J10" s="152"/>
      <c r="K10" s="152"/>
      <c r="L10" s="152"/>
      <c r="M10" s="152"/>
      <c r="Q10" s="152"/>
      <c r="R10" s="152"/>
      <c r="S10" s="152"/>
      <c r="T10" s="152"/>
      <c r="U10" s="158"/>
      <c r="X10" s="152"/>
      <c r="Y10" s="152"/>
      <c r="Z10" s="152"/>
      <c r="AA10" s="152"/>
      <c r="AB10" s="158"/>
      <c r="AE10" s="152"/>
      <c r="AF10" s="152"/>
      <c r="AG10" s="152"/>
      <c r="AH10" s="152"/>
      <c r="AI10" s="158"/>
      <c r="AL10" s="152"/>
      <c r="AM10" s="152"/>
      <c r="AN10" s="152"/>
      <c r="AO10" s="152"/>
      <c r="AP10" s="158"/>
      <c r="AS10" s="152"/>
      <c r="AT10" s="152"/>
      <c r="AU10" s="152"/>
      <c r="AV10" s="152"/>
      <c r="AW10" s="158"/>
      <c r="AZ10" s="152"/>
      <c r="BA10" s="152"/>
      <c r="BB10" s="152"/>
      <c r="BC10" s="152"/>
      <c r="BD10" s="158"/>
    </row>
    <row r="11" spans="2:56" x14ac:dyDescent="0.25">
      <c r="C11" s="152"/>
      <c r="D11" s="152"/>
      <c r="E11" s="152"/>
      <c r="F11" s="152"/>
      <c r="J11" s="152"/>
      <c r="K11" s="152"/>
      <c r="L11" s="152"/>
      <c r="M11" s="152"/>
      <c r="Q11" s="152"/>
      <c r="R11" s="152"/>
      <c r="S11" s="152"/>
      <c r="T11" s="152"/>
      <c r="U11" s="158"/>
      <c r="X11" s="152"/>
      <c r="Y11" s="152"/>
      <c r="Z11" s="152"/>
      <c r="AA11" s="152"/>
      <c r="AB11" s="158"/>
      <c r="AE11" s="152"/>
      <c r="AF11" s="152"/>
      <c r="AG11" s="152"/>
      <c r="AH11" s="152"/>
      <c r="AI11" s="158"/>
      <c r="AL11" s="152"/>
      <c r="AM11" s="152"/>
      <c r="AN11" s="152"/>
      <c r="AO11" s="152"/>
      <c r="AP11" s="158"/>
      <c r="AS11" s="152"/>
      <c r="AT11" s="152"/>
      <c r="AU11" s="152"/>
      <c r="AV11" s="152"/>
      <c r="AW11" s="158"/>
      <c r="AZ11" s="152"/>
      <c r="BA11" s="152"/>
      <c r="BB11" s="152"/>
      <c r="BC11" s="152"/>
      <c r="BD11" s="158"/>
    </row>
    <row r="12" spans="2:56" x14ac:dyDescent="0.25">
      <c r="C12" s="152"/>
      <c r="D12" s="152"/>
      <c r="E12" s="152"/>
      <c r="F12" s="152"/>
      <c r="J12" s="152"/>
      <c r="K12" s="152"/>
      <c r="L12" s="152"/>
      <c r="M12" s="152"/>
      <c r="Q12" s="152"/>
      <c r="R12" s="152"/>
      <c r="S12" s="152"/>
      <c r="T12" s="152"/>
      <c r="U12" s="158"/>
      <c r="X12" s="152"/>
      <c r="Y12" s="152"/>
      <c r="Z12" s="152"/>
      <c r="AA12" s="152"/>
      <c r="AB12" s="158"/>
      <c r="AE12" s="152"/>
      <c r="AF12" s="152"/>
      <c r="AG12" s="152"/>
      <c r="AH12" s="152"/>
      <c r="AI12" s="158"/>
      <c r="AL12" s="152"/>
      <c r="AM12" s="152"/>
      <c r="AN12" s="152"/>
      <c r="AO12" s="152"/>
      <c r="AP12" s="158"/>
      <c r="AS12" s="152"/>
      <c r="AT12" s="152"/>
      <c r="AU12" s="152"/>
      <c r="AV12" s="152"/>
      <c r="AW12" s="158"/>
      <c r="AZ12" s="152"/>
      <c r="BA12" s="152"/>
      <c r="BB12" s="152"/>
      <c r="BC12" s="152"/>
      <c r="BD12" s="158"/>
    </row>
    <row r="13" spans="2:56" x14ac:dyDescent="0.25">
      <c r="C13" s="152"/>
      <c r="D13" s="152"/>
      <c r="E13" s="152"/>
      <c r="F13" s="152"/>
      <c r="J13" s="152"/>
      <c r="K13" s="152"/>
      <c r="L13" s="152"/>
      <c r="M13" s="152"/>
      <c r="Q13" s="152"/>
      <c r="R13" s="152"/>
      <c r="S13" s="152"/>
      <c r="T13" s="152"/>
      <c r="U13" s="158"/>
      <c r="X13" s="152"/>
      <c r="Y13" s="152"/>
      <c r="Z13" s="152"/>
      <c r="AA13" s="152"/>
      <c r="AB13" s="158"/>
      <c r="AE13" s="152"/>
      <c r="AF13" s="152"/>
      <c r="AG13" s="152"/>
      <c r="AH13" s="152"/>
      <c r="AI13" s="158"/>
      <c r="AL13" s="152"/>
      <c r="AM13" s="152"/>
      <c r="AN13" s="152"/>
      <c r="AO13" s="152"/>
      <c r="AP13" s="158"/>
      <c r="AS13" s="152"/>
      <c r="AT13" s="152"/>
      <c r="AU13" s="152"/>
      <c r="AV13" s="152"/>
      <c r="AW13" s="158"/>
      <c r="AZ13" s="152"/>
      <c r="BA13" s="152"/>
      <c r="BB13" s="152"/>
      <c r="BC13" s="152"/>
      <c r="BD13" s="158"/>
    </row>
    <row r="14" spans="2:56" x14ac:dyDescent="0.25">
      <c r="C14" s="152"/>
      <c r="D14" s="152"/>
      <c r="E14" s="152"/>
      <c r="F14" s="152"/>
      <c r="J14" s="152"/>
      <c r="K14" s="152"/>
      <c r="L14" s="152"/>
      <c r="M14" s="152"/>
      <c r="Q14" s="152"/>
      <c r="R14" s="152"/>
      <c r="S14" s="152"/>
      <c r="T14" s="152"/>
      <c r="U14" s="158"/>
      <c r="X14" s="152"/>
      <c r="Y14" s="152"/>
      <c r="Z14" s="152"/>
      <c r="AA14" s="152"/>
      <c r="AB14" s="158"/>
      <c r="AE14" s="152"/>
      <c r="AF14" s="152"/>
      <c r="AG14" s="152"/>
      <c r="AH14" s="152"/>
      <c r="AI14" s="158"/>
      <c r="AL14" s="152"/>
      <c r="AM14" s="152"/>
      <c r="AN14" s="152"/>
      <c r="AO14" s="152"/>
      <c r="AP14" s="158"/>
      <c r="AS14" s="152"/>
      <c r="AT14" s="152"/>
      <c r="AU14" s="152"/>
      <c r="AV14" s="152"/>
      <c r="AW14" s="158"/>
      <c r="AZ14" s="152"/>
      <c r="BA14" s="152"/>
      <c r="BB14" s="152"/>
      <c r="BC14" s="152"/>
      <c r="BD14" s="158"/>
    </row>
    <row r="15" spans="2:56" x14ac:dyDescent="0.25">
      <c r="C15" s="152"/>
      <c r="D15" s="152"/>
      <c r="E15" s="152"/>
      <c r="F15" s="152"/>
      <c r="J15" s="152"/>
      <c r="K15" s="152"/>
      <c r="L15" s="152"/>
      <c r="M15" s="152"/>
      <c r="Q15" s="152"/>
      <c r="R15" s="152"/>
      <c r="S15" s="152"/>
      <c r="T15" s="152"/>
      <c r="U15" s="158"/>
      <c r="X15" s="152"/>
      <c r="Y15" s="152"/>
      <c r="Z15" s="152"/>
      <c r="AA15" s="152"/>
      <c r="AB15" s="158"/>
      <c r="AE15" s="152"/>
      <c r="AF15" s="152"/>
      <c r="AG15" s="152"/>
      <c r="AH15" s="152"/>
      <c r="AI15" s="158"/>
      <c r="AL15" s="152"/>
      <c r="AM15" s="152"/>
      <c r="AN15" s="152"/>
      <c r="AO15" s="152"/>
      <c r="AP15" s="158"/>
      <c r="AS15" s="152"/>
      <c r="AT15" s="152"/>
      <c r="AU15" s="152"/>
      <c r="AV15" s="152"/>
      <c r="AW15" s="158"/>
      <c r="AZ15" s="152"/>
      <c r="BA15" s="152"/>
      <c r="BB15" s="152"/>
      <c r="BC15" s="152"/>
      <c r="BD15" s="158"/>
    </row>
    <row r="16" spans="2:56" x14ac:dyDescent="0.25">
      <c r="C16" s="152"/>
      <c r="D16" s="152"/>
      <c r="E16" s="152"/>
      <c r="F16" s="152"/>
      <c r="J16" s="152"/>
      <c r="K16" s="152"/>
      <c r="L16" s="152"/>
      <c r="M16" s="152"/>
      <c r="Q16" s="152"/>
      <c r="R16" s="152"/>
      <c r="S16" s="152"/>
      <c r="T16" s="152"/>
      <c r="U16" s="158"/>
      <c r="X16" s="152"/>
      <c r="Y16" s="152"/>
      <c r="Z16" s="152"/>
      <c r="AA16" s="152"/>
      <c r="AB16" s="158"/>
      <c r="AE16" s="152"/>
      <c r="AF16" s="152"/>
      <c r="AG16" s="152"/>
      <c r="AH16" s="152"/>
      <c r="AI16" s="158"/>
      <c r="AL16" s="152"/>
      <c r="AM16" s="152"/>
      <c r="AN16" s="152"/>
      <c r="AO16" s="152"/>
      <c r="AP16" s="158"/>
      <c r="AS16" s="152"/>
      <c r="AT16" s="152"/>
      <c r="AU16" s="152"/>
      <c r="AV16" s="152"/>
      <c r="AW16" s="158"/>
      <c r="AZ16" s="152"/>
      <c r="BA16" s="152"/>
      <c r="BB16" s="152"/>
      <c r="BC16" s="152"/>
      <c r="BD16" s="158"/>
    </row>
    <row r="17" spans="3:56" x14ac:dyDescent="0.25">
      <c r="C17" s="152"/>
      <c r="D17" s="152"/>
      <c r="E17" s="152"/>
      <c r="F17" s="152"/>
      <c r="J17" s="152"/>
      <c r="K17" s="152"/>
      <c r="L17" s="152"/>
      <c r="M17" s="152"/>
      <c r="Q17" s="152"/>
      <c r="R17" s="152"/>
      <c r="S17" s="152"/>
      <c r="T17" s="152"/>
      <c r="U17" s="158"/>
      <c r="X17" s="152"/>
      <c r="Y17" s="152"/>
      <c r="Z17" s="152"/>
      <c r="AA17" s="152"/>
      <c r="AB17" s="158"/>
      <c r="AE17" s="152"/>
      <c r="AF17" s="152"/>
      <c r="AG17" s="152"/>
      <c r="AH17" s="152"/>
      <c r="AI17" s="158"/>
      <c r="AL17" s="152"/>
      <c r="AM17" s="152"/>
      <c r="AN17" s="152"/>
      <c r="AO17" s="152"/>
      <c r="AP17" s="158"/>
      <c r="AS17" s="152"/>
      <c r="AT17" s="152"/>
      <c r="AU17" s="152"/>
      <c r="AV17" s="152"/>
      <c r="AW17" s="158"/>
      <c r="AZ17" s="152"/>
      <c r="BA17" s="152"/>
      <c r="BB17" s="152"/>
      <c r="BC17" s="152"/>
      <c r="BD17" s="158"/>
    </row>
    <row r="18" spans="3:56" x14ac:dyDescent="0.25">
      <c r="C18" s="152"/>
      <c r="D18" s="152"/>
      <c r="E18" s="152"/>
      <c r="F18" s="152"/>
      <c r="J18" s="152"/>
      <c r="K18" s="152"/>
      <c r="L18" s="152"/>
      <c r="M18" s="152"/>
      <c r="Q18" s="152"/>
      <c r="R18" s="152"/>
      <c r="S18" s="152"/>
      <c r="T18" s="152"/>
      <c r="U18" s="158"/>
      <c r="X18" s="152"/>
      <c r="Y18" s="152"/>
      <c r="Z18" s="152"/>
      <c r="AA18" s="152"/>
      <c r="AB18" s="158"/>
      <c r="AE18" s="152"/>
      <c r="AF18" s="152"/>
      <c r="AG18" s="152"/>
      <c r="AH18" s="152"/>
      <c r="AI18" s="158"/>
      <c r="AL18" s="152"/>
      <c r="AM18" s="152"/>
      <c r="AN18" s="152"/>
      <c r="AO18" s="152"/>
      <c r="AP18" s="158"/>
      <c r="AS18" s="152"/>
      <c r="AT18" s="152"/>
      <c r="AU18" s="152"/>
      <c r="AV18" s="152"/>
      <c r="AW18" s="158"/>
      <c r="AZ18" s="152"/>
      <c r="BA18" s="152"/>
      <c r="BB18" s="152"/>
      <c r="BC18" s="152"/>
      <c r="BD18" s="158"/>
    </row>
    <row r="19" spans="3:56" x14ac:dyDescent="0.25">
      <c r="C19" s="152"/>
      <c r="D19" s="152"/>
      <c r="E19" s="152"/>
      <c r="F19" s="152"/>
      <c r="J19" s="152"/>
      <c r="K19" s="152"/>
      <c r="L19" s="152"/>
      <c r="M19" s="152"/>
      <c r="Q19" s="152"/>
      <c r="R19" s="152"/>
      <c r="S19" s="152"/>
      <c r="T19" s="152"/>
      <c r="U19" s="158"/>
      <c r="X19" s="152"/>
      <c r="Y19" s="152"/>
      <c r="Z19" s="152"/>
      <c r="AA19" s="152"/>
      <c r="AB19" s="158"/>
      <c r="AE19" s="152"/>
      <c r="AF19" s="152"/>
      <c r="AG19" s="152"/>
      <c r="AH19" s="152"/>
      <c r="AI19" s="158"/>
      <c r="AL19" s="152"/>
      <c r="AM19" s="152"/>
      <c r="AN19" s="152"/>
      <c r="AO19" s="152"/>
      <c r="AP19" s="158"/>
      <c r="AS19" s="152"/>
      <c r="AT19" s="152"/>
      <c r="AU19" s="152"/>
      <c r="AV19" s="152"/>
      <c r="AW19" s="158"/>
      <c r="AZ19" s="152"/>
      <c r="BA19" s="152"/>
      <c r="BB19" s="152"/>
      <c r="BC19" s="152"/>
      <c r="BD19" s="158"/>
    </row>
    <row r="20" spans="3:56" x14ac:dyDescent="0.25">
      <c r="C20" s="152"/>
      <c r="D20" s="152"/>
      <c r="E20" s="152"/>
      <c r="F20" s="152"/>
      <c r="J20" s="152"/>
      <c r="K20" s="152"/>
      <c r="L20" s="152"/>
      <c r="M20" s="152"/>
      <c r="Q20" s="152"/>
      <c r="R20" s="152"/>
      <c r="S20" s="152"/>
      <c r="T20" s="152"/>
      <c r="U20" s="158"/>
      <c r="X20" s="152"/>
      <c r="Y20" s="152"/>
      <c r="Z20" s="152"/>
      <c r="AA20" s="152"/>
      <c r="AB20" s="158"/>
      <c r="AE20" s="152"/>
      <c r="AF20" s="152"/>
      <c r="AG20" s="152"/>
      <c r="AH20" s="152"/>
      <c r="AI20" s="158"/>
      <c r="AL20" s="152"/>
      <c r="AM20" s="152"/>
      <c r="AN20" s="152"/>
      <c r="AO20" s="152"/>
      <c r="AP20" s="158"/>
      <c r="AS20" s="152"/>
      <c r="AT20" s="152"/>
      <c r="AU20" s="152"/>
      <c r="AV20" s="152"/>
      <c r="AW20" s="158"/>
      <c r="AZ20" s="152"/>
      <c r="BA20" s="152"/>
      <c r="BB20" s="152"/>
      <c r="BC20" s="152"/>
      <c r="BD20" s="158"/>
    </row>
    <row r="21" spans="3:56" x14ac:dyDescent="0.25">
      <c r="C21" s="152"/>
      <c r="D21" s="152"/>
      <c r="E21" s="152"/>
      <c r="F21" s="152"/>
      <c r="J21" s="152"/>
      <c r="K21" s="152"/>
      <c r="L21" s="152"/>
      <c r="M21" s="152"/>
      <c r="Q21" s="152"/>
      <c r="R21" s="152"/>
      <c r="S21" s="152"/>
      <c r="T21" s="152"/>
      <c r="U21" s="158"/>
      <c r="X21" s="152"/>
      <c r="Y21" s="152"/>
      <c r="Z21" s="152"/>
      <c r="AA21" s="152"/>
      <c r="AB21" s="158"/>
      <c r="AE21" s="152"/>
      <c r="AF21" s="152"/>
      <c r="AG21" s="152"/>
      <c r="AH21" s="152"/>
      <c r="AI21" s="158"/>
      <c r="AL21" s="152"/>
      <c r="AM21" s="152"/>
      <c r="AN21" s="152"/>
      <c r="AO21" s="152"/>
      <c r="AP21" s="158"/>
      <c r="AS21" s="152"/>
      <c r="AT21" s="152"/>
      <c r="AU21" s="152"/>
      <c r="AV21" s="152"/>
      <c r="AW21" s="158"/>
      <c r="AZ21" s="152"/>
      <c r="BA21" s="152"/>
      <c r="BB21" s="152"/>
      <c r="BC21" s="152"/>
      <c r="BD21" s="158"/>
    </row>
    <row r="22" spans="3:56" x14ac:dyDescent="0.25">
      <c r="C22" s="152"/>
      <c r="D22" s="152"/>
      <c r="E22" s="152"/>
      <c r="F22" s="152"/>
      <c r="J22" s="152"/>
      <c r="K22" s="152"/>
      <c r="L22" s="152"/>
      <c r="M22" s="152"/>
      <c r="Q22" s="152"/>
      <c r="R22" s="152"/>
      <c r="S22" s="152"/>
      <c r="T22" s="152"/>
      <c r="U22" s="158"/>
      <c r="X22" s="152"/>
      <c r="Y22" s="152"/>
      <c r="Z22" s="152"/>
      <c r="AA22" s="152"/>
      <c r="AB22" s="158"/>
      <c r="AE22" s="152"/>
      <c r="AF22" s="152"/>
      <c r="AG22" s="152"/>
      <c r="AH22" s="152"/>
      <c r="AI22" s="158"/>
      <c r="AL22" s="152"/>
      <c r="AM22" s="152"/>
      <c r="AN22" s="152"/>
      <c r="AO22" s="152"/>
      <c r="AP22" s="158"/>
      <c r="AS22" s="152"/>
      <c r="AT22" s="152"/>
      <c r="AU22" s="152"/>
      <c r="AV22" s="152"/>
      <c r="AW22" s="158"/>
      <c r="AZ22" s="152"/>
      <c r="BA22" s="152"/>
      <c r="BB22" s="152"/>
      <c r="BC22" s="152"/>
      <c r="BD22" s="158"/>
    </row>
    <row r="23" spans="3:56" x14ac:dyDescent="0.25">
      <c r="C23" s="152"/>
      <c r="D23" s="152"/>
      <c r="E23" s="152"/>
      <c r="F23" s="152"/>
      <c r="J23" s="152"/>
      <c r="K23" s="152"/>
      <c r="L23" s="152"/>
      <c r="M23" s="152"/>
      <c r="Q23" s="152"/>
      <c r="R23" s="152"/>
      <c r="S23" s="152"/>
      <c r="T23" s="152"/>
      <c r="U23" s="158"/>
      <c r="X23" s="152"/>
      <c r="Y23" s="152"/>
      <c r="Z23" s="152"/>
      <c r="AA23" s="152"/>
      <c r="AB23" s="158"/>
      <c r="AE23" s="152"/>
      <c r="AF23" s="152"/>
      <c r="AG23" s="152"/>
      <c r="AH23" s="152"/>
      <c r="AI23" s="158"/>
      <c r="AL23" s="152"/>
      <c r="AM23" s="152"/>
      <c r="AN23" s="152"/>
      <c r="AO23" s="152"/>
      <c r="AP23" s="158"/>
      <c r="AS23" s="152"/>
      <c r="AT23" s="152"/>
      <c r="AU23" s="152"/>
      <c r="AV23" s="152"/>
      <c r="AW23" s="158"/>
      <c r="AZ23" s="152"/>
      <c r="BA23" s="152"/>
      <c r="BB23" s="152"/>
      <c r="BC23" s="152"/>
      <c r="BD23" s="158"/>
    </row>
    <row r="24" spans="3:56" x14ac:dyDescent="0.25">
      <c r="C24" s="152"/>
      <c r="D24" s="152"/>
      <c r="E24" s="152"/>
      <c r="F24" s="152"/>
      <c r="J24" s="152"/>
      <c r="K24" s="152"/>
      <c r="L24" s="152"/>
      <c r="M24" s="152"/>
      <c r="Q24" s="152"/>
      <c r="R24" s="152"/>
      <c r="S24" s="152"/>
      <c r="T24" s="152"/>
      <c r="U24" s="158"/>
      <c r="X24" s="152"/>
      <c r="Y24" s="152"/>
      <c r="Z24" s="152"/>
      <c r="AA24" s="152"/>
      <c r="AB24" s="158"/>
      <c r="AE24" s="152"/>
      <c r="AF24" s="152"/>
      <c r="AG24" s="152"/>
      <c r="AH24" s="152"/>
      <c r="AI24" s="158"/>
      <c r="AL24" s="152"/>
      <c r="AM24" s="152"/>
      <c r="AN24" s="152"/>
      <c r="AO24" s="152"/>
      <c r="AP24" s="158"/>
      <c r="AS24" s="152"/>
      <c r="AT24" s="152"/>
      <c r="AU24" s="152"/>
      <c r="AV24" s="152"/>
      <c r="AW24" s="158"/>
      <c r="AZ24" s="152"/>
      <c r="BA24" s="152"/>
      <c r="BB24" s="152"/>
      <c r="BC24" s="152"/>
      <c r="BD24" s="158"/>
    </row>
    <row r="25" spans="3:56" x14ac:dyDescent="0.25">
      <c r="Q25" s="152"/>
      <c r="R25" s="152"/>
      <c r="S25" s="152"/>
      <c r="T25" s="152"/>
      <c r="U25" s="158"/>
      <c r="X25" s="152"/>
      <c r="Y25" s="152"/>
      <c r="Z25" s="152"/>
      <c r="AA25" s="152"/>
      <c r="AB25" s="158"/>
      <c r="AE25" s="152"/>
      <c r="AF25" s="152"/>
      <c r="AG25" s="152"/>
      <c r="AH25" s="152"/>
      <c r="AI25" s="158"/>
      <c r="AL25" s="152"/>
      <c r="AM25" s="152"/>
      <c r="AN25" s="152"/>
      <c r="AO25" s="152"/>
      <c r="AP25" s="158"/>
      <c r="AS25" s="152"/>
      <c r="AT25" s="152"/>
      <c r="AU25" s="152"/>
      <c r="AV25" s="152"/>
      <c r="AW25" s="158"/>
      <c r="AZ25" s="152"/>
      <c r="BA25" s="152"/>
      <c r="BB25" s="152"/>
      <c r="BC25" s="152"/>
      <c r="BD25" s="158"/>
    </row>
    <row r="26" spans="3:56" x14ac:dyDescent="0.25">
      <c r="Q26" s="152"/>
      <c r="R26" s="152"/>
      <c r="S26" s="152"/>
      <c r="T26" s="152"/>
      <c r="U26" s="158"/>
      <c r="X26" s="152"/>
      <c r="Y26" s="152"/>
      <c r="Z26" s="152"/>
      <c r="AA26" s="152"/>
      <c r="AB26" s="158"/>
      <c r="AE26" s="152"/>
      <c r="AF26" s="152"/>
      <c r="AG26" s="152"/>
      <c r="AH26" s="152"/>
      <c r="AI26" s="158"/>
      <c r="AL26" s="152"/>
      <c r="AM26" s="152"/>
      <c r="AN26" s="152"/>
      <c r="AO26" s="152"/>
      <c r="AP26" s="158"/>
      <c r="AS26" s="152"/>
      <c r="AT26" s="152"/>
      <c r="AU26" s="152"/>
      <c r="AV26" s="152"/>
      <c r="AW26" s="158"/>
      <c r="AZ26" s="152"/>
      <c r="BA26" s="152"/>
      <c r="BB26" s="152"/>
      <c r="BC26" s="152"/>
      <c r="BD26" s="158"/>
    </row>
    <row r="27" spans="3:56" x14ac:dyDescent="0.25">
      <c r="Q27" s="152"/>
      <c r="R27" s="152"/>
      <c r="S27" s="152"/>
      <c r="T27" s="152"/>
      <c r="U27" s="158"/>
      <c r="X27" s="152"/>
      <c r="Y27" s="152"/>
      <c r="Z27" s="152"/>
      <c r="AA27" s="152"/>
      <c r="AB27" s="158"/>
      <c r="AE27" s="152"/>
      <c r="AF27" s="152"/>
      <c r="AG27" s="152"/>
      <c r="AH27" s="152"/>
      <c r="AI27" s="158"/>
      <c r="AL27" s="152"/>
      <c r="AM27" s="152"/>
      <c r="AN27" s="152"/>
      <c r="AO27" s="152"/>
      <c r="AP27" s="158"/>
      <c r="AS27" s="152"/>
      <c r="AT27" s="152"/>
      <c r="AU27" s="152"/>
      <c r="AV27" s="152"/>
      <c r="AW27" s="158"/>
      <c r="AZ27" s="152"/>
      <c r="BA27" s="152"/>
      <c r="BB27" s="152"/>
      <c r="BC27" s="152"/>
      <c r="BD27" s="158"/>
    </row>
    <row r="28" spans="3:56" x14ac:dyDescent="0.25">
      <c r="Q28" s="152"/>
      <c r="R28" s="152"/>
      <c r="S28" s="152"/>
      <c r="T28" s="152"/>
      <c r="U28" s="158"/>
      <c r="X28" s="152"/>
      <c r="Y28" s="152"/>
      <c r="Z28" s="152"/>
      <c r="AA28" s="152"/>
      <c r="AB28" s="158"/>
      <c r="AE28" s="152"/>
      <c r="AF28" s="152"/>
      <c r="AG28" s="152"/>
      <c r="AH28" s="152"/>
      <c r="AI28" s="158"/>
      <c r="AL28" s="152"/>
      <c r="AM28" s="152"/>
      <c r="AN28" s="152"/>
      <c r="AO28" s="152"/>
      <c r="AP28" s="158"/>
      <c r="AS28" s="152"/>
      <c r="AT28" s="152"/>
      <c r="AU28" s="152"/>
      <c r="AV28" s="152"/>
      <c r="AW28" s="158"/>
      <c r="AZ28" s="152"/>
      <c r="BA28" s="152"/>
      <c r="BB28" s="152"/>
      <c r="BC28" s="152"/>
      <c r="BD28" s="158"/>
    </row>
    <row r="29" spans="3:56" x14ac:dyDescent="0.25">
      <c r="Q29" s="152"/>
      <c r="R29" s="152"/>
      <c r="S29" s="152"/>
      <c r="T29" s="152"/>
      <c r="U29" s="158"/>
      <c r="X29" s="152"/>
      <c r="Y29" s="152"/>
      <c r="Z29" s="152"/>
      <c r="AA29" s="152"/>
      <c r="AB29" s="158"/>
      <c r="AE29" s="152"/>
      <c r="AF29" s="152"/>
      <c r="AG29" s="152"/>
      <c r="AH29" s="152"/>
      <c r="AI29" s="158"/>
      <c r="AL29" s="152"/>
      <c r="AM29" s="152"/>
      <c r="AN29" s="152"/>
      <c r="AO29" s="152"/>
      <c r="AP29" s="158"/>
      <c r="AS29" s="152"/>
      <c r="AT29" s="152"/>
      <c r="AU29" s="152"/>
      <c r="AV29" s="152"/>
      <c r="AW29" s="158"/>
      <c r="AZ29" s="152"/>
      <c r="BA29" s="152"/>
      <c r="BB29" s="152"/>
      <c r="BC29" s="152"/>
      <c r="BD29" s="158"/>
    </row>
    <row r="30" spans="3:56" x14ac:dyDescent="0.25">
      <c r="Q30" s="152"/>
      <c r="R30" s="152"/>
      <c r="S30" s="152"/>
      <c r="T30" s="152"/>
      <c r="U30" s="158"/>
      <c r="X30" s="152"/>
      <c r="Y30" s="152"/>
      <c r="Z30" s="152"/>
      <c r="AA30" s="152"/>
      <c r="AB30" s="158"/>
      <c r="AE30" s="152"/>
      <c r="AF30" s="152"/>
      <c r="AG30" s="152"/>
      <c r="AH30" s="152"/>
      <c r="AI30" s="158"/>
      <c r="AL30" s="152"/>
      <c r="AM30" s="152"/>
      <c r="AN30" s="152"/>
      <c r="AO30" s="152"/>
      <c r="AP30" s="158"/>
      <c r="AS30" s="152"/>
      <c r="AT30" s="152"/>
      <c r="AU30" s="152"/>
      <c r="AV30" s="152"/>
      <c r="AW30" s="158"/>
      <c r="AZ30" s="152"/>
      <c r="BA30" s="152"/>
      <c r="BB30" s="152"/>
      <c r="BC30" s="152"/>
      <c r="BD30" s="158"/>
    </row>
    <row r="31" spans="3:56" x14ac:dyDescent="0.25">
      <c r="Q31" s="152"/>
      <c r="R31" s="152"/>
      <c r="S31" s="152"/>
      <c r="T31" s="152"/>
      <c r="U31" s="158"/>
      <c r="X31" s="152"/>
      <c r="Y31" s="152"/>
      <c r="Z31" s="152"/>
      <c r="AA31" s="152"/>
      <c r="AB31" s="158"/>
      <c r="AE31" s="152"/>
      <c r="AF31" s="152"/>
      <c r="AG31" s="152"/>
      <c r="AH31" s="152"/>
      <c r="AI31" s="158"/>
      <c r="AL31" s="152"/>
      <c r="AM31" s="152"/>
      <c r="AN31" s="152"/>
      <c r="AO31" s="152"/>
      <c r="AP31" s="158"/>
      <c r="AS31" s="152"/>
      <c r="AT31" s="152"/>
      <c r="AU31" s="152"/>
      <c r="AV31" s="152"/>
      <c r="AW31" s="158"/>
      <c r="AZ31" s="152"/>
      <c r="BA31" s="152"/>
      <c r="BB31" s="152"/>
      <c r="BC31" s="152"/>
      <c r="BD31" s="158"/>
    </row>
    <row r="32" spans="3:56" x14ac:dyDescent="0.25">
      <c r="Q32" s="152"/>
      <c r="R32" s="152"/>
      <c r="S32" s="152"/>
      <c r="T32" s="152"/>
      <c r="U32" s="158"/>
      <c r="X32" s="152"/>
      <c r="Y32" s="152"/>
      <c r="Z32" s="152"/>
      <c r="AA32" s="152"/>
      <c r="AB32" s="158"/>
      <c r="AE32" s="152"/>
      <c r="AF32" s="152"/>
      <c r="AG32" s="152"/>
      <c r="AH32" s="152"/>
      <c r="AI32" s="158"/>
      <c r="AL32" s="152"/>
      <c r="AM32" s="152"/>
      <c r="AN32" s="152"/>
      <c r="AO32" s="152"/>
      <c r="AP32" s="158"/>
      <c r="AS32" s="152"/>
      <c r="AT32" s="152"/>
      <c r="AU32" s="152"/>
      <c r="AV32" s="152"/>
      <c r="AW32" s="158"/>
      <c r="AZ32" s="152"/>
      <c r="BA32" s="152"/>
      <c r="BB32" s="152"/>
      <c r="BC32" s="152"/>
      <c r="BD32" s="158"/>
    </row>
    <row r="33" spans="17:56" x14ac:dyDescent="0.25">
      <c r="Q33" s="152"/>
      <c r="R33" s="152"/>
      <c r="S33" s="152"/>
      <c r="T33" s="152"/>
      <c r="U33" s="158"/>
      <c r="X33" s="152"/>
      <c r="Y33" s="152"/>
      <c r="Z33" s="152"/>
      <c r="AA33" s="152"/>
      <c r="AB33" s="158"/>
      <c r="AE33" s="152"/>
      <c r="AF33" s="152"/>
      <c r="AG33" s="152"/>
      <c r="AH33" s="152"/>
      <c r="AI33" s="158"/>
      <c r="AL33" s="152"/>
      <c r="AM33" s="152"/>
      <c r="AN33" s="152"/>
      <c r="AO33" s="152"/>
      <c r="AP33" s="158"/>
      <c r="AS33" s="152"/>
      <c r="AT33" s="152"/>
      <c r="AU33" s="152"/>
      <c r="AV33" s="152"/>
      <c r="AW33" s="158"/>
      <c r="AZ33" s="152"/>
      <c r="BA33" s="152"/>
      <c r="BB33" s="152"/>
      <c r="BC33" s="152"/>
      <c r="BD33" s="158"/>
    </row>
    <row r="34" spans="17:56" x14ac:dyDescent="0.25">
      <c r="Q34" s="152"/>
      <c r="R34" s="152"/>
      <c r="S34" s="152"/>
      <c r="T34" s="152"/>
      <c r="U34" s="158"/>
      <c r="X34" s="152"/>
      <c r="Y34" s="152"/>
      <c r="Z34" s="152"/>
      <c r="AA34" s="152"/>
      <c r="AB34" s="158"/>
      <c r="AE34" s="152"/>
      <c r="AF34" s="152"/>
      <c r="AG34" s="152"/>
      <c r="AH34" s="152"/>
      <c r="AI34" s="158"/>
      <c r="AL34" s="152"/>
      <c r="AM34" s="152"/>
      <c r="AN34" s="152"/>
      <c r="AO34" s="152"/>
      <c r="AP34" s="158"/>
      <c r="AS34" s="152"/>
      <c r="AT34" s="152"/>
      <c r="AU34" s="152"/>
      <c r="AV34" s="152"/>
      <c r="AW34" s="158"/>
      <c r="AZ34" s="152"/>
      <c r="BA34" s="152"/>
      <c r="BB34" s="152"/>
      <c r="BC34" s="152"/>
      <c r="BD34" s="158"/>
    </row>
    <row r="35" spans="17:56" x14ac:dyDescent="0.25">
      <c r="Q35" s="152"/>
      <c r="R35" s="152"/>
      <c r="S35" s="152"/>
      <c r="T35" s="152"/>
      <c r="U35" s="158"/>
      <c r="X35" s="152"/>
      <c r="Y35" s="152"/>
      <c r="Z35" s="152"/>
      <c r="AA35" s="152"/>
      <c r="AB35" s="158"/>
      <c r="AE35" s="152"/>
      <c r="AF35" s="152"/>
      <c r="AG35" s="152"/>
      <c r="AH35" s="152"/>
      <c r="AI35" s="158"/>
      <c r="AL35" s="152"/>
      <c r="AM35" s="152"/>
      <c r="AN35" s="152"/>
      <c r="AO35" s="152"/>
      <c r="AP35" s="158"/>
      <c r="AS35" s="152"/>
      <c r="AT35" s="152"/>
      <c r="AU35" s="152"/>
      <c r="AV35" s="152"/>
      <c r="AW35" s="158"/>
      <c r="AZ35" s="152"/>
      <c r="BA35" s="152"/>
      <c r="BB35" s="152"/>
      <c r="BC35" s="152"/>
      <c r="BD35" s="158"/>
    </row>
    <row r="36" spans="17:56" x14ac:dyDescent="0.25">
      <c r="Q36" s="152"/>
      <c r="R36" s="152"/>
      <c r="S36" s="152"/>
      <c r="T36" s="152"/>
      <c r="U36" s="158"/>
      <c r="X36" s="152"/>
      <c r="Y36" s="152"/>
      <c r="Z36" s="152"/>
      <c r="AA36" s="152"/>
      <c r="AB36" s="158"/>
      <c r="AE36" s="152"/>
      <c r="AF36" s="152"/>
      <c r="AG36" s="152"/>
      <c r="AH36" s="152"/>
      <c r="AI36" s="158"/>
      <c r="AL36" s="152"/>
      <c r="AM36" s="152"/>
      <c r="AN36" s="152"/>
      <c r="AO36" s="152"/>
      <c r="AP36" s="158"/>
      <c r="AS36" s="152"/>
      <c r="AT36" s="152"/>
      <c r="AU36" s="152"/>
      <c r="AV36" s="152"/>
      <c r="AW36" s="158"/>
      <c r="AZ36" s="152"/>
      <c r="BA36" s="152"/>
      <c r="BB36" s="152"/>
      <c r="BC36" s="152"/>
      <c r="BD36" s="158"/>
    </row>
    <row r="37" spans="17:56" x14ac:dyDescent="0.25">
      <c r="Q37" s="152"/>
      <c r="R37" s="152"/>
      <c r="S37" s="152"/>
      <c r="T37" s="152"/>
      <c r="U37" s="158"/>
      <c r="X37" s="152"/>
      <c r="Y37" s="152"/>
      <c r="Z37" s="152"/>
      <c r="AA37" s="152"/>
      <c r="AB37" s="158"/>
      <c r="AE37" s="152"/>
      <c r="AF37" s="152"/>
      <c r="AG37" s="152"/>
      <c r="AH37" s="152"/>
      <c r="AI37" s="158"/>
      <c r="AL37" s="152"/>
      <c r="AM37" s="152"/>
      <c r="AN37" s="152"/>
      <c r="AO37" s="152"/>
      <c r="AP37" s="158"/>
      <c r="AS37" s="152"/>
      <c r="AT37" s="152"/>
      <c r="AU37" s="152"/>
      <c r="AV37" s="152"/>
      <c r="AW37" s="158"/>
      <c r="AZ37" s="152"/>
      <c r="BA37" s="152"/>
      <c r="BB37" s="152"/>
      <c r="BC37" s="152"/>
      <c r="BD37" s="158"/>
    </row>
    <row r="38" spans="17:56" x14ac:dyDescent="0.25">
      <c r="Q38" s="152"/>
      <c r="R38" s="152"/>
      <c r="S38" s="152"/>
      <c r="T38" s="152"/>
      <c r="U38" s="158"/>
      <c r="X38" s="152"/>
      <c r="Y38" s="152"/>
      <c r="Z38" s="152"/>
      <c r="AA38" s="152"/>
      <c r="AB38" s="158"/>
      <c r="AE38" s="152"/>
      <c r="AF38" s="152"/>
      <c r="AG38" s="152"/>
      <c r="AH38" s="152"/>
      <c r="AI38" s="158"/>
      <c r="AL38" s="152"/>
      <c r="AM38" s="152"/>
      <c r="AN38" s="152"/>
      <c r="AO38" s="152"/>
      <c r="AP38" s="158"/>
      <c r="AS38" s="152"/>
      <c r="AT38" s="152"/>
      <c r="AU38" s="152"/>
      <c r="AV38" s="152"/>
      <c r="AW38" s="158"/>
      <c r="AZ38" s="152"/>
      <c r="BA38" s="152"/>
      <c r="BB38" s="152"/>
      <c r="BC38" s="152"/>
      <c r="BD38" s="158"/>
    </row>
    <row r="39" spans="17:56" x14ac:dyDescent="0.25">
      <c r="Q39" s="152"/>
      <c r="R39" s="152"/>
      <c r="S39" s="152"/>
      <c r="T39" s="152"/>
      <c r="U39" s="158"/>
      <c r="X39" s="152"/>
      <c r="Y39" s="152"/>
      <c r="Z39" s="152"/>
      <c r="AA39" s="152"/>
      <c r="AB39" s="158"/>
      <c r="AE39" s="152"/>
      <c r="AF39" s="152"/>
      <c r="AG39" s="152"/>
      <c r="AH39" s="152"/>
      <c r="AI39" s="158"/>
      <c r="AL39" s="152"/>
      <c r="AM39" s="152"/>
      <c r="AN39" s="152"/>
      <c r="AO39" s="152"/>
      <c r="AP39" s="158"/>
      <c r="AS39" s="152"/>
      <c r="AT39" s="152"/>
      <c r="AU39" s="152"/>
      <c r="AV39" s="152"/>
      <c r="AW39" s="158"/>
      <c r="AZ39" s="152"/>
      <c r="BA39" s="152"/>
      <c r="BB39" s="152"/>
      <c r="BC39" s="152"/>
      <c r="BD39" s="158"/>
    </row>
    <row r="40" spans="17:56" x14ac:dyDescent="0.25">
      <c r="Q40" s="152"/>
      <c r="R40" s="152"/>
      <c r="S40" s="152"/>
      <c r="T40" s="152"/>
      <c r="U40" s="158"/>
      <c r="X40" s="152"/>
      <c r="Y40" s="152"/>
      <c r="Z40" s="152"/>
      <c r="AA40" s="152"/>
      <c r="AB40" s="158"/>
      <c r="AE40" s="152"/>
      <c r="AF40" s="152"/>
      <c r="AG40" s="152"/>
      <c r="AH40" s="152"/>
      <c r="AI40" s="158"/>
      <c r="AL40" s="152"/>
      <c r="AM40" s="152"/>
      <c r="AN40" s="152"/>
      <c r="AO40" s="152"/>
      <c r="AP40" s="158"/>
      <c r="AS40" s="152"/>
      <c r="AT40" s="152"/>
      <c r="AU40" s="152"/>
      <c r="AV40" s="152"/>
      <c r="AW40" s="158"/>
      <c r="AZ40" s="152"/>
      <c r="BA40" s="152"/>
      <c r="BB40" s="152"/>
      <c r="BC40" s="152"/>
      <c r="BD40" s="158"/>
    </row>
    <row r="41" spans="17:56" x14ac:dyDescent="0.25">
      <c r="S41" s="152"/>
      <c r="T41" s="152"/>
      <c r="U41" s="152"/>
      <c r="Z41" s="152"/>
      <c r="AA41" s="152"/>
      <c r="AB41" s="152"/>
      <c r="AG41" s="152"/>
      <c r="AH41" s="152"/>
      <c r="AI41" s="152"/>
      <c r="AN41" s="152"/>
      <c r="AO41" s="152"/>
      <c r="AP41" s="152"/>
      <c r="AU41" s="152"/>
      <c r="AV41" s="152"/>
      <c r="AW41" s="152"/>
      <c r="BB41" s="152"/>
      <c r="BC41" s="152"/>
      <c r="BD41" s="15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R121"/>
  <sheetViews>
    <sheetView zoomScale="90" zoomScaleNormal="90" workbookViewId="0">
      <selection activeCell="P57" sqref="P57"/>
    </sheetView>
  </sheetViews>
  <sheetFormatPr baseColWidth="10" defaultRowHeight="15" x14ac:dyDescent="0.25"/>
  <cols>
    <col min="1" max="1" width="5.7109375" customWidth="1"/>
    <col min="2" max="2" width="3.85546875" customWidth="1"/>
    <col min="11" max="11" width="18" customWidth="1"/>
  </cols>
  <sheetData>
    <row r="1" spans="1:18" ht="15.75" x14ac:dyDescent="0.25">
      <c r="A1" s="137" t="s">
        <v>142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9"/>
      <c r="Q1" s="139"/>
      <c r="R1" s="139"/>
    </row>
    <row r="2" spans="1:18" x14ac:dyDescent="0.25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9"/>
      <c r="Q2" s="139"/>
      <c r="R2" s="139"/>
    </row>
    <row r="3" spans="1:18" x14ac:dyDescent="0.25">
      <c r="A3" s="138"/>
      <c r="B3" s="138" t="s">
        <v>143</v>
      </c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9"/>
      <c r="Q3" s="139"/>
      <c r="R3" s="139"/>
    </row>
    <row r="4" spans="1:18" x14ac:dyDescent="0.25">
      <c r="A4" s="138"/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9"/>
      <c r="Q4" s="139"/>
      <c r="R4" s="139"/>
    </row>
    <row r="5" spans="1:18" x14ac:dyDescent="0.25">
      <c r="A5" s="138"/>
      <c r="B5" s="140">
        <v>1</v>
      </c>
      <c r="C5" s="138" t="s">
        <v>144</v>
      </c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9"/>
      <c r="Q5" s="139"/>
      <c r="R5" s="139"/>
    </row>
    <row r="6" spans="1:18" x14ac:dyDescent="0.25">
      <c r="A6" s="138"/>
      <c r="B6" s="138"/>
      <c r="C6" s="138" t="s">
        <v>207</v>
      </c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9"/>
      <c r="Q6" s="139"/>
      <c r="R6" s="139"/>
    </row>
    <row r="7" spans="1:18" x14ac:dyDescent="0.25">
      <c r="A7" s="138"/>
      <c r="B7" s="138"/>
      <c r="C7" s="138" t="s">
        <v>145</v>
      </c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9"/>
      <c r="Q7" s="139"/>
      <c r="R7" s="139"/>
    </row>
    <row r="8" spans="1:18" x14ac:dyDescent="0.25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9"/>
      <c r="Q8" s="139"/>
      <c r="R8" s="139"/>
    </row>
    <row r="9" spans="1:18" x14ac:dyDescent="0.25">
      <c r="A9" s="138"/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9"/>
      <c r="Q9" s="139"/>
      <c r="R9" s="139"/>
    </row>
    <row r="10" spans="1:18" x14ac:dyDescent="0.25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9"/>
      <c r="Q10" s="139"/>
      <c r="R10" s="139"/>
    </row>
    <row r="11" spans="1:18" x14ac:dyDescent="0.25">
      <c r="A11" s="138"/>
      <c r="B11" s="138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9"/>
      <c r="Q11" s="139"/>
      <c r="R11" s="139"/>
    </row>
    <row r="12" spans="1:18" x14ac:dyDescent="0.25">
      <c r="A12" s="138"/>
      <c r="B12" s="138"/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9"/>
      <c r="Q12" s="139"/>
      <c r="R12" s="139"/>
    </row>
    <row r="13" spans="1:18" x14ac:dyDescent="0.25">
      <c r="A13" s="138"/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9"/>
      <c r="Q13" s="139"/>
      <c r="R13" s="139"/>
    </row>
    <row r="14" spans="1:18" x14ac:dyDescent="0.25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9"/>
      <c r="Q14" s="139"/>
      <c r="R14" s="139"/>
    </row>
    <row r="15" spans="1:18" x14ac:dyDescent="0.25">
      <c r="A15" s="138"/>
      <c r="B15" s="138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9"/>
      <c r="Q15" s="139"/>
      <c r="R15" s="139"/>
    </row>
    <row r="16" spans="1:18" x14ac:dyDescent="0.25">
      <c r="A16" s="138"/>
      <c r="B16" s="138"/>
      <c r="C16" s="138"/>
      <c r="D16" s="138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9"/>
      <c r="Q16" s="139"/>
      <c r="R16" s="139"/>
    </row>
    <row r="17" spans="1:18" x14ac:dyDescent="0.25">
      <c r="A17" s="138"/>
      <c r="B17" s="138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9"/>
      <c r="Q17" s="139"/>
      <c r="R17" s="139"/>
    </row>
    <row r="18" spans="1:18" x14ac:dyDescent="0.25">
      <c r="A18" s="138"/>
      <c r="B18" s="138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9"/>
      <c r="Q18" s="139"/>
      <c r="R18" s="139"/>
    </row>
    <row r="19" spans="1:18" x14ac:dyDescent="0.25">
      <c r="A19" s="138"/>
      <c r="B19" s="138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9"/>
      <c r="Q19" s="139"/>
      <c r="R19" s="139"/>
    </row>
    <row r="20" spans="1:18" x14ac:dyDescent="0.25">
      <c r="A20" s="138"/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9"/>
      <c r="Q20" s="139"/>
      <c r="R20" s="139"/>
    </row>
    <row r="21" spans="1:18" x14ac:dyDescent="0.25">
      <c r="A21" s="138"/>
      <c r="B21" s="140">
        <v>2</v>
      </c>
      <c r="C21" s="138" t="s">
        <v>146</v>
      </c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9"/>
      <c r="Q21" s="139"/>
      <c r="R21" s="139"/>
    </row>
    <row r="22" spans="1:18" x14ac:dyDescent="0.25">
      <c r="A22" s="138"/>
      <c r="B22" s="140"/>
      <c r="C22" s="138" t="s">
        <v>147</v>
      </c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9"/>
      <c r="Q22" s="139"/>
      <c r="R22" s="139"/>
    </row>
    <row r="23" spans="1:18" x14ac:dyDescent="0.25">
      <c r="A23" s="138"/>
      <c r="B23" s="140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9"/>
      <c r="Q23" s="139"/>
      <c r="R23" s="139"/>
    </row>
    <row r="24" spans="1:18" x14ac:dyDescent="0.25">
      <c r="A24" s="138"/>
      <c r="B24" s="140">
        <v>3</v>
      </c>
      <c r="C24" s="138" t="s">
        <v>148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9"/>
      <c r="Q24" s="139"/>
      <c r="R24" s="139"/>
    </row>
    <row r="25" spans="1:18" x14ac:dyDescent="0.25">
      <c r="A25" s="138"/>
      <c r="B25" s="140"/>
      <c r="C25" s="138" t="s">
        <v>149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9"/>
      <c r="Q25" s="139"/>
      <c r="R25" s="139"/>
    </row>
    <row r="26" spans="1:18" x14ac:dyDescent="0.25">
      <c r="A26" s="138"/>
      <c r="B26" s="140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9"/>
      <c r="Q26" s="139"/>
      <c r="R26" s="139"/>
    </row>
    <row r="27" spans="1:18" x14ac:dyDescent="0.25">
      <c r="A27" s="138"/>
      <c r="B27" s="140">
        <v>4</v>
      </c>
      <c r="C27" s="138" t="s">
        <v>150</v>
      </c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9"/>
      <c r="Q27" s="139"/>
      <c r="R27" s="139"/>
    </row>
    <row r="28" spans="1:18" x14ac:dyDescent="0.25">
      <c r="A28" s="138"/>
      <c r="B28" s="138"/>
      <c r="C28" s="138" t="s">
        <v>151</v>
      </c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9"/>
      <c r="Q28" s="139"/>
      <c r="R28" s="139"/>
    </row>
    <row r="29" spans="1:18" x14ac:dyDescent="0.25">
      <c r="A29" s="138"/>
      <c r="B29" s="138"/>
      <c r="C29" s="138" t="s">
        <v>152</v>
      </c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9"/>
      <c r="Q29" s="139"/>
      <c r="R29" s="139"/>
    </row>
    <row r="30" spans="1:18" x14ac:dyDescent="0.25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9"/>
      <c r="Q30" s="139"/>
      <c r="R30" s="139"/>
    </row>
    <row r="31" spans="1:18" x14ac:dyDescent="0.25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9"/>
      <c r="Q31" s="139"/>
      <c r="R31" s="139"/>
    </row>
    <row r="32" spans="1:18" x14ac:dyDescent="0.25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9"/>
      <c r="Q32" s="139"/>
      <c r="R32" s="139"/>
    </row>
    <row r="33" spans="1:18" x14ac:dyDescent="0.25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9"/>
      <c r="Q33" s="139"/>
      <c r="R33" s="139"/>
    </row>
    <row r="34" spans="1:18" x14ac:dyDescent="0.25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9"/>
      <c r="Q34" s="139"/>
      <c r="R34" s="139"/>
    </row>
    <row r="35" spans="1:18" x14ac:dyDescent="0.25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9"/>
      <c r="Q35" s="139"/>
      <c r="R35" s="139"/>
    </row>
    <row r="36" spans="1:18" x14ac:dyDescent="0.25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9"/>
      <c r="Q36" s="139"/>
      <c r="R36" s="139"/>
    </row>
    <row r="37" spans="1:18" x14ac:dyDescent="0.25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9"/>
      <c r="Q37" s="139"/>
      <c r="R37" s="139"/>
    </row>
    <row r="38" spans="1:18" x14ac:dyDescent="0.25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9"/>
      <c r="Q38" s="139"/>
      <c r="R38" s="139"/>
    </row>
    <row r="39" spans="1:18" x14ac:dyDescent="0.25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9"/>
      <c r="Q39" s="139"/>
      <c r="R39" s="139"/>
    </row>
    <row r="40" spans="1:18" x14ac:dyDescent="0.25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9"/>
      <c r="Q40" s="139"/>
      <c r="R40" s="139"/>
    </row>
    <row r="41" spans="1:18" x14ac:dyDescent="0.25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9"/>
      <c r="Q41" s="139"/>
      <c r="R41" s="139"/>
    </row>
    <row r="42" spans="1:18" x14ac:dyDescent="0.25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9"/>
      <c r="Q42" s="139"/>
      <c r="R42" s="139"/>
    </row>
    <row r="43" spans="1:18" x14ac:dyDescent="0.25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9"/>
      <c r="Q43" s="139"/>
      <c r="R43" s="139"/>
    </row>
    <row r="44" spans="1:18" x14ac:dyDescent="0.25">
      <c r="A44" s="138"/>
      <c r="B44" s="138"/>
      <c r="C44" s="138" t="s">
        <v>153</v>
      </c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9"/>
      <c r="Q44" s="139"/>
      <c r="R44" s="139"/>
    </row>
    <row r="45" spans="1:18" x14ac:dyDescent="0.25">
      <c r="A45" s="138"/>
      <c r="B45" s="138"/>
      <c r="C45" s="138" t="s">
        <v>154</v>
      </c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9"/>
      <c r="Q45" s="139"/>
      <c r="R45" s="139"/>
    </row>
    <row r="46" spans="1:18" x14ac:dyDescent="0.25">
      <c r="A46" s="138"/>
      <c r="B46" s="138"/>
      <c r="C46" s="138" t="s">
        <v>155</v>
      </c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9"/>
      <c r="Q46" s="139"/>
      <c r="R46" s="139"/>
    </row>
    <row r="47" spans="1:18" x14ac:dyDescent="0.25">
      <c r="A47" s="138"/>
      <c r="B47" s="138"/>
      <c r="C47" s="138" t="s">
        <v>156</v>
      </c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9"/>
      <c r="Q47" s="139"/>
      <c r="R47" s="139"/>
    </row>
    <row r="48" spans="1:18" x14ac:dyDescent="0.25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9"/>
      <c r="Q48" s="139"/>
      <c r="R48" s="139"/>
    </row>
    <row r="49" spans="1:18" x14ac:dyDescent="0.25">
      <c r="A49" s="138"/>
      <c r="B49" s="140">
        <v>5</v>
      </c>
      <c r="C49" s="138" t="s">
        <v>159</v>
      </c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9"/>
      <c r="Q49" s="139"/>
      <c r="R49" s="139"/>
    </row>
    <row r="50" spans="1:18" x14ac:dyDescent="0.25">
      <c r="A50" s="138"/>
      <c r="B50" s="138"/>
      <c r="C50" s="138" t="s">
        <v>160</v>
      </c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9"/>
      <c r="Q50" s="139"/>
      <c r="R50" s="139"/>
    </row>
    <row r="51" spans="1:18" x14ac:dyDescent="0.25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9"/>
      <c r="Q51" s="139"/>
      <c r="R51" s="139"/>
    </row>
    <row r="52" spans="1:18" x14ac:dyDescent="0.25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9"/>
      <c r="Q52" s="139"/>
      <c r="R52" s="139"/>
    </row>
    <row r="53" spans="1:18" x14ac:dyDescent="0.25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41" t="s">
        <v>161</v>
      </c>
      <c r="M53" s="138"/>
      <c r="N53" s="138"/>
      <c r="O53" s="141"/>
      <c r="P53" s="139"/>
      <c r="Q53" s="139"/>
      <c r="R53" s="139"/>
    </row>
    <row r="54" spans="1:18" x14ac:dyDescent="0.25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9"/>
      <c r="Q54" s="139"/>
      <c r="R54" s="139"/>
    </row>
    <row r="55" spans="1:18" x14ac:dyDescent="0.25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42">
        <v>1</v>
      </c>
      <c r="L55" s="138" t="s">
        <v>162</v>
      </c>
      <c r="M55" s="138"/>
      <c r="N55" s="142"/>
      <c r="O55" s="138"/>
      <c r="P55" s="139"/>
      <c r="Q55" s="139"/>
      <c r="R55" s="139"/>
    </row>
    <row r="56" spans="1:18" x14ac:dyDescent="0.25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42"/>
      <c r="L56" s="138" t="s">
        <v>163</v>
      </c>
      <c r="M56" s="138"/>
      <c r="N56" s="142"/>
      <c r="O56" s="138"/>
      <c r="P56" s="139"/>
      <c r="Q56" s="139"/>
      <c r="R56" s="139"/>
    </row>
    <row r="57" spans="1:18" x14ac:dyDescent="0.25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42">
        <v>2</v>
      </c>
      <c r="L57" s="138" t="s">
        <v>164</v>
      </c>
      <c r="M57" s="138"/>
      <c r="N57" s="142"/>
      <c r="O57" s="138"/>
      <c r="P57" s="139"/>
      <c r="Q57" s="139"/>
      <c r="R57" s="139"/>
    </row>
    <row r="58" spans="1:18" x14ac:dyDescent="0.25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42"/>
      <c r="L58" s="138" t="s">
        <v>165</v>
      </c>
      <c r="M58" s="138"/>
      <c r="N58" s="142"/>
      <c r="O58" s="138"/>
      <c r="P58" s="139"/>
      <c r="Q58" s="139"/>
      <c r="R58" s="139"/>
    </row>
    <row r="59" spans="1:18" x14ac:dyDescent="0.25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42">
        <v>3</v>
      </c>
      <c r="L59" s="138" t="s">
        <v>166</v>
      </c>
      <c r="M59" s="138"/>
      <c r="N59" s="142"/>
      <c r="O59" s="138"/>
      <c r="P59" s="139"/>
      <c r="Q59" s="139"/>
      <c r="R59" s="139"/>
    </row>
    <row r="60" spans="1:18" x14ac:dyDescent="0.25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42">
        <v>4</v>
      </c>
      <c r="L60" s="138" t="s">
        <v>167</v>
      </c>
      <c r="M60" s="138"/>
      <c r="N60" s="142"/>
      <c r="O60" s="138"/>
      <c r="P60" s="139"/>
      <c r="Q60" s="139"/>
      <c r="R60" s="139"/>
    </row>
    <row r="61" spans="1:18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42">
        <v>5</v>
      </c>
      <c r="L61" s="138" t="s">
        <v>168</v>
      </c>
      <c r="M61" s="138"/>
      <c r="N61" s="142"/>
      <c r="O61" s="138"/>
      <c r="P61" s="139"/>
      <c r="Q61" s="139"/>
      <c r="R61" s="139"/>
    </row>
    <row r="62" spans="1:18" x14ac:dyDescent="0.25">
      <c r="A62" s="138"/>
      <c r="B62" s="138"/>
      <c r="C62" s="138"/>
      <c r="D62" s="138"/>
      <c r="E62" s="138"/>
      <c r="F62" s="138"/>
      <c r="G62" s="138"/>
      <c r="H62" s="138"/>
      <c r="I62" s="138"/>
      <c r="J62" s="138"/>
      <c r="K62" s="142">
        <v>6</v>
      </c>
      <c r="L62" s="138" t="s">
        <v>169</v>
      </c>
      <c r="M62" s="138"/>
      <c r="N62" s="142"/>
      <c r="O62" s="138"/>
      <c r="P62" s="139"/>
      <c r="Q62" s="139"/>
      <c r="R62" s="139"/>
    </row>
    <row r="63" spans="1:18" x14ac:dyDescent="0.25">
      <c r="A63" s="138"/>
      <c r="B63" s="138"/>
      <c r="C63" s="138"/>
      <c r="D63" s="138"/>
      <c r="E63" s="138"/>
      <c r="F63" s="138"/>
      <c r="G63" s="138"/>
      <c r="H63" s="138"/>
      <c r="I63" s="138"/>
      <c r="J63" s="138"/>
      <c r="K63" s="142">
        <v>7</v>
      </c>
      <c r="L63" s="138" t="s">
        <v>170</v>
      </c>
      <c r="M63" s="138"/>
      <c r="N63" s="142"/>
      <c r="O63" s="138"/>
      <c r="P63" s="139"/>
      <c r="Q63" s="139"/>
      <c r="R63" s="139"/>
    </row>
    <row r="64" spans="1:18" x14ac:dyDescent="0.25">
      <c r="A64" s="138"/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9"/>
      <c r="Q64" s="139"/>
      <c r="R64" s="139"/>
    </row>
    <row r="65" spans="1:18" x14ac:dyDescent="0.25">
      <c r="A65" s="138"/>
      <c r="B65" s="138"/>
      <c r="C65" s="138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9"/>
      <c r="Q65" s="139"/>
      <c r="R65" s="139"/>
    </row>
    <row r="66" spans="1:18" x14ac:dyDescent="0.25">
      <c r="A66" s="138"/>
      <c r="B66" s="138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9"/>
      <c r="Q66" s="139"/>
      <c r="R66" s="139"/>
    </row>
    <row r="67" spans="1:18" x14ac:dyDescent="0.25">
      <c r="A67" s="138"/>
      <c r="B67" s="138"/>
      <c r="C67" s="138"/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9"/>
      <c r="Q67" s="139"/>
      <c r="R67" s="139"/>
    </row>
    <row r="68" spans="1:18" x14ac:dyDescent="0.25">
      <c r="A68" s="138"/>
      <c r="B68" s="138"/>
      <c r="C68" s="138"/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9"/>
      <c r="Q68" s="139"/>
      <c r="R68" s="139"/>
    </row>
    <row r="69" spans="1:18" x14ac:dyDescent="0.25">
      <c r="A69" s="138"/>
      <c r="B69" s="138"/>
      <c r="C69" s="138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9"/>
      <c r="Q69" s="139"/>
      <c r="R69" s="139"/>
    </row>
    <row r="70" spans="1:18" x14ac:dyDescent="0.25">
      <c r="A70" s="138"/>
      <c r="B70" s="138"/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9"/>
      <c r="Q70" s="139"/>
      <c r="R70" s="139"/>
    </row>
    <row r="71" spans="1:18" x14ac:dyDescent="0.25">
      <c r="A71" s="138"/>
      <c r="B71" s="138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9"/>
      <c r="Q71" s="139"/>
      <c r="R71" s="139"/>
    </row>
    <row r="72" spans="1:18" x14ac:dyDescent="0.25">
      <c r="A72" s="138"/>
      <c r="B72" s="138"/>
      <c r="C72" s="138"/>
      <c r="D72" s="138"/>
      <c r="E72" s="138"/>
      <c r="F72" s="138"/>
      <c r="G72" s="138"/>
      <c r="H72" s="138"/>
      <c r="I72" s="138"/>
      <c r="J72" s="138"/>
      <c r="K72" s="138"/>
      <c r="L72" s="138"/>
      <c r="M72" s="138"/>
      <c r="N72" s="138"/>
      <c r="O72" s="138"/>
      <c r="P72" s="139"/>
      <c r="Q72" s="139"/>
      <c r="R72" s="139"/>
    </row>
    <row r="73" spans="1:18" x14ac:dyDescent="0.25">
      <c r="A73" s="138"/>
      <c r="B73" s="138"/>
      <c r="C73" s="138"/>
      <c r="D73" s="138"/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9"/>
      <c r="Q73" s="139"/>
      <c r="R73" s="139"/>
    </row>
    <row r="74" spans="1:18" x14ac:dyDescent="0.25">
      <c r="A74" s="138"/>
      <c r="B74" s="138"/>
      <c r="C74" s="138"/>
      <c r="D74" s="138"/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9"/>
      <c r="Q74" s="139"/>
      <c r="R74" s="139"/>
    </row>
    <row r="75" spans="1:18" x14ac:dyDescent="0.25">
      <c r="A75" s="138"/>
      <c r="B75" s="138"/>
      <c r="C75" s="138"/>
      <c r="D75" s="138"/>
      <c r="E75" s="138"/>
      <c r="F75" s="138"/>
      <c r="G75" s="138"/>
      <c r="H75" s="138"/>
      <c r="I75" s="138"/>
      <c r="J75" s="138"/>
      <c r="K75" s="138"/>
      <c r="L75" s="138"/>
      <c r="M75" s="138"/>
      <c r="N75" s="138"/>
      <c r="O75" s="138"/>
      <c r="P75" s="139"/>
      <c r="Q75" s="139"/>
      <c r="R75" s="139"/>
    </row>
    <row r="76" spans="1:18" x14ac:dyDescent="0.25">
      <c r="A76" s="138"/>
      <c r="B76" s="138"/>
      <c r="C76" s="138"/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9"/>
      <c r="Q76" s="139"/>
      <c r="R76" s="139"/>
    </row>
    <row r="77" spans="1:18" x14ac:dyDescent="0.25">
      <c r="A77" s="138"/>
      <c r="B77" s="138"/>
      <c r="C77" s="138"/>
      <c r="D77" s="138"/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9"/>
      <c r="Q77" s="139"/>
      <c r="R77" s="139"/>
    </row>
    <row r="78" spans="1:18" x14ac:dyDescent="0.25">
      <c r="A78" s="138"/>
      <c r="B78" s="138"/>
      <c r="C78" s="138" t="s">
        <v>157</v>
      </c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9"/>
      <c r="Q78" s="139"/>
      <c r="R78" s="139"/>
    </row>
    <row r="79" spans="1:18" x14ac:dyDescent="0.25">
      <c r="A79" s="138"/>
      <c r="B79" s="138"/>
      <c r="C79" s="13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9"/>
      <c r="Q79" s="139"/>
      <c r="R79" s="139"/>
    </row>
    <row r="80" spans="1:18" x14ac:dyDescent="0.25">
      <c r="A80" s="138"/>
      <c r="B80" s="138"/>
      <c r="C80" s="138"/>
      <c r="D80" s="138"/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9"/>
      <c r="Q80" s="139"/>
      <c r="R80" s="139"/>
    </row>
    <row r="81" spans="1:15" x14ac:dyDescent="0.25">
      <c r="A81" s="132"/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2"/>
    </row>
    <row r="82" spans="1:15" x14ac:dyDescent="0.25">
      <c r="A82" s="132"/>
      <c r="B82" s="132"/>
      <c r="C82" s="132"/>
      <c r="D82" s="132"/>
      <c r="E82" s="132"/>
      <c r="F82" s="132"/>
      <c r="G82" s="132"/>
      <c r="H82" s="132"/>
      <c r="I82" s="132"/>
      <c r="J82" s="132"/>
      <c r="K82" s="132"/>
      <c r="L82" s="132"/>
      <c r="M82" s="132"/>
      <c r="N82" s="132"/>
      <c r="O82" s="132"/>
    </row>
    <row r="83" spans="1:15" x14ac:dyDescent="0.25">
      <c r="A83" s="132"/>
      <c r="B83" s="132"/>
      <c r="C83" s="132"/>
      <c r="D83" s="132"/>
      <c r="E83" s="132"/>
      <c r="F83" s="132"/>
      <c r="G83" s="132"/>
      <c r="H83" s="132"/>
      <c r="I83" s="132"/>
      <c r="J83" s="132"/>
      <c r="K83" s="132"/>
      <c r="L83" s="132"/>
      <c r="M83" s="132"/>
      <c r="N83" s="132"/>
      <c r="O83" s="132"/>
    </row>
    <row r="84" spans="1:15" x14ac:dyDescent="0.25">
      <c r="A84" s="132"/>
      <c r="B84" s="132"/>
      <c r="C84" s="132"/>
      <c r="D84" s="132"/>
      <c r="E84" s="132"/>
      <c r="F84" s="132"/>
      <c r="G84" s="132"/>
      <c r="H84" s="132"/>
      <c r="I84" s="132"/>
      <c r="J84" s="132"/>
      <c r="K84" s="132"/>
      <c r="L84" s="132"/>
      <c r="M84" s="132"/>
      <c r="N84" s="132"/>
      <c r="O84" s="132"/>
    </row>
    <row r="85" spans="1:15" x14ac:dyDescent="0.25">
      <c r="A85" s="132"/>
      <c r="B85" s="132"/>
      <c r="C85" s="132"/>
      <c r="D85" s="132"/>
      <c r="E85" s="132"/>
      <c r="F85" s="132"/>
      <c r="G85" s="132"/>
      <c r="H85" s="132"/>
      <c r="I85" s="132"/>
      <c r="J85" s="132"/>
      <c r="K85" s="132"/>
      <c r="L85" s="132"/>
      <c r="M85" s="132"/>
      <c r="N85" s="132"/>
      <c r="O85" s="132"/>
    </row>
    <row r="86" spans="1:15" x14ac:dyDescent="0.25">
      <c r="A86" s="132"/>
      <c r="B86" s="132"/>
      <c r="C86" s="132"/>
      <c r="D86" s="132"/>
      <c r="E86" s="132"/>
      <c r="F86" s="132"/>
      <c r="G86" s="132"/>
      <c r="H86" s="132"/>
      <c r="I86" s="132"/>
      <c r="J86" s="132"/>
      <c r="K86" s="132"/>
      <c r="L86" s="132"/>
      <c r="M86" s="132"/>
      <c r="N86" s="132"/>
      <c r="O86" s="132"/>
    </row>
    <row r="87" spans="1:15" x14ac:dyDescent="0.25">
      <c r="A87" s="132"/>
      <c r="B87" s="132"/>
      <c r="C87" s="132"/>
      <c r="D87" s="132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2"/>
    </row>
    <row r="88" spans="1:15" x14ac:dyDescent="0.25">
      <c r="A88" s="132"/>
      <c r="B88" s="132"/>
      <c r="C88" s="132"/>
      <c r="D88" s="132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2"/>
    </row>
    <row r="89" spans="1:15" x14ac:dyDescent="0.25">
      <c r="A89" s="132"/>
      <c r="B89" s="132"/>
      <c r="C89" s="132"/>
      <c r="D89" s="132"/>
      <c r="E89" s="132"/>
      <c r="F89" s="132"/>
      <c r="G89" s="132"/>
      <c r="H89" s="132"/>
      <c r="I89" s="132"/>
      <c r="J89" s="132"/>
      <c r="K89" s="132"/>
      <c r="L89" s="132"/>
      <c r="M89" s="132"/>
      <c r="N89" s="132"/>
      <c r="O89" s="132"/>
    </row>
    <row r="90" spans="1:15" x14ac:dyDescent="0.25">
      <c r="A90" s="132"/>
      <c r="B90" s="132"/>
      <c r="C90" s="132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</row>
    <row r="91" spans="1:15" ht="13.5" customHeight="1" x14ac:dyDescent="0.25">
      <c r="A91" s="132"/>
      <c r="B91" s="132"/>
      <c r="C91" s="132"/>
      <c r="D91" s="132"/>
      <c r="E91" s="132"/>
      <c r="F91" s="132"/>
      <c r="G91" s="132"/>
      <c r="H91" s="132"/>
      <c r="I91" s="132"/>
      <c r="J91" s="132"/>
      <c r="K91" s="132"/>
      <c r="L91" s="132"/>
      <c r="M91" s="132"/>
      <c r="N91" s="132"/>
      <c r="O91" s="132"/>
    </row>
    <row r="92" spans="1:15" x14ac:dyDescent="0.25">
      <c r="A92" s="132"/>
      <c r="B92" s="132"/>
      <c r="C92" s="132"/>
      <c r="D92" s="132"/>
      <c r="E92" s="132"/>
      <c r="F92" s="132"/>
      <c r="G92" s="132"/>
      <c r="H92" s="132"/>
      <c r="I92" s="132"/>
      <c r="J92" s="132"/>
      <c r="K92" s="132"/>
      <c r="L92" s="132"/>
      <c r="M92" s="132"/>
      <c r="N92" s="132"/>
      <c r="O92" s="132"/>
    </row>
    <row r="93" spans="1:15" x14ac:dyDescent="0.25">
      <c r="A93" s="132"/>
      <c r="B93" s="132"/>
      <c r="C93" s="132"/>
      <c r="D93" s="132"/>
      <c r="E93" s="132"/>
      <c r="F93" s="132"/>
      <c r="G93" s="132"/>
      <c r="H93" s="132"/>
      <c r="I93" s="132"/>
      <c r="J93" s="132"/>
      <c r="K93" s="132"/>
      <c r="L93" s="132"/>
      <c r="M93" s="132"/>
      <c r="N93" s="132"/>
      <c r="O93" s="132"/>
    </row>
    <row r="94" spans="1:15" x14ac:dyDescent="0.25">
      <c r="A94" s="132"/>
      <c r="B94" s="132"/>
      <c r="C94" s="132"/>
      <c r="D94" s="132"/>
      <c r="E94" s="132"/>
      <c r="F94" s="132"/>
      <c r="G94" s="132"/>
      <c r="H94" s="132"/>
      <c r="I94" s="132"/>
      <c r="J94" s="132"/>
      <c r="K94" s="132"/>
      <c r="L94" s="132"/>
      <c r="M94" s="132"/>
      <c r="N94" s="132"/>
      <c r="O94" s="132"/>
    </row>
    <row r="95" spans="1:15" x14ac:dyDescent="0.25">
      <c r="A95" s="132"/>
      <c r="B95" s="132"/>
      <c r="C95" s="132"/>
      <c r="D95" s="132"/>
      <c r="E95" s="132"/>
      <c r="F95" s="132"/>
      <c r="G95" s="132"/>
      <c r="H95" s="132"/>
      <c r="I95" s="132"/>
      <c r="J95" s="132"/>
      <c r="K95" s="132"/>
      <c r="L95" s="132"/>
      <c r="M95" s="132"/>
      <c r="N95" s="132"/>
      <c r="O95" s="132"/>
    </row>
    <row r="96" spans="1:15" x14ac:dyDescent="0.25">
      <c r="A96" s="132"/>
      <c r="B96" s="132"/>
      <c r="C96" s="132"/>
      <c r="D96" s="132"/>
      <c r="E96" s="132"/>
      <c r="F96" s="132"/>
      <c r="G96" s="132"/>
      <c r="H96" s="132"/>
      <c r="I96" s="132"/>
      <c r="J96" s="132"/>
      <c r="K96" s="132"/>
      <c r="L96" s="132"/>
      <c r="M96" s="132"/>
      <c r="N96" s="132"/>
      <c r="O96" s="132"/>
    </row>
    <row r="97" spans="1:15" x14ac:dyDescent="0.25">
      <c r="A97" s="132"/>
      <c r="B97" s="132"/>
      <c r="C97" s="132"/>
      <c r="D97" s="132"/>
      <c r="E97" s="132"/>
      <c r="F97" s="132"/>
      <c r="G97" s="132"/>
      <c r="H97" s="132"/>
      <c r="I97" s="132"/>
      <c r="J97" s="132"/>
      <c r="K97" s="132"/>
      <c r="L97" s="132"/>
      <c r="M97" s="132"/>
      <c r="N97" s="132"/>
      <c r="O97" s="132"/>
    </row>
    <row r="98" spans="1:15" x14ac:dyDescent="0.25">
      <c r="A98" s="132"/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2"/>
    </row>
    <row r="99" spans="1:15" x14ac:dyDescent="0.25">
      <c r="A99" s="132"/>
      <c r="B99" s="132"/>
      <c r="C99" s="132"/>
      <c r="D99" s="132"/>
      <c r="E99" s="132"/>
      <c r="F99" s="132"/>
      <c r="G99" s="132"/>
      <c r="H99" s="132"/>
      <c r="I99" s="132"/>
      <c r="J99" s="132"/>
      <c r="K99" s="132"/>
      <c r="L99" s="132"/>
      <c r="M99" s="132"/>
      <c r="N99" s="132"/>
      <c r="O99" s="132"/>
    </row>
    <row r="100" spans="1:15" x14ac:dyDescent="0.25">
      <c r="A100" s="132"/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</row>
    <row r="101" spans="1:15" x14ac:dyDescent="0.25">
      <c r="A101" s="132"/>
      <c r="B101" s="132"/>
      <c r="C101" s="132"/>
      <c r="D101" s="132"/>
      <c r="E101" s="132"/>
      <c r="F101" s="132"/>
      <c r="G101" s="132"/>
      <c r="H101" s="132"/>
      <c r="I101" s="132"/>
      <c r="J101" s="132"/>
      <c r="K101" s="132"/>
      <c r="L101" s="132"/>
      <c r="M101" s="132"/>
      <c r="N101" s="132"/>
      <c r="O101" s="132"/>
    </row>
    <row r="102" spans="1:15" x14ac:dyDescent="0.25">
      <c r="A102" s="132"/>
      <c r="B102" s="132"/>
      <c r="C102" s="132"/>
      <c r="D102" s="132"/>
      <c r="E102" s="132"/>
      <c r="F102" s="132"/>
      <c r="G102" s="132"/>
      <c r="H102" s="132"/>
      <c r="I102" s="132"/>
      <c r="J102" s="132"/>
      <c r="K102" s="132"/>
      <c r="L102" s="132"/>
      <c r="M102" s="132"/>
      <c r="N102" s="132"/>
      <c r="O102" s="132"/>
    </row>
    <row r="103" spans="1:15" x14ac:dyDescent="0.25">
      <c r="A103" s="132"/>
      <c r="B103" s="132"/>
      <c r="C103" s="132"/>
      <c r="D103" s="132"/>
      <c r="E103" s="132"/>
      <c r="F103" s="132"/>
      <c r="G103" s="132"/>
      <c r="H103" s="132"/>
      <c r="I103" s="132"/>
      <c r="J103" s="132"/>
      <c r="K103" s="132"/>
      <c r="L103" s="132"/>
      <c r="M103" s="132"/>
      <c r="N103" s="132"/>
      <c r="O103" s="132"/>
    </row>
    <row r="104" spans="1:15" x14ac:dyDescent="0.25">
      <c r="A104" s="132"/>
      <c r="B104" s="132"/>
      <c r="C104" s="132"/>
      <c r="D104" s="132"/>
      <c r="E104" s="132"/>
      <c r="F104" s="132"/>
      <c r="G104" s="132"/>
      <c r="H104" s="132"/>
      <c r="I104" s="132"/>
      <c r="J104" s="132"/>
      <c r="K104" s="132"/>
      <c r="L104" s="132"/>
      <c r="M104" s="132"/>
      <c r="N104" s="132"/>
      <c r="O104" s="132"/>
    </row>
    <row r="105" spans="1:15" x14ac:dyDescent="0.25">
      <c r="A105" s="132"/>
      <c r="B105" s="132"/>
      <c r="C105" s="132"/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</row>
    <row r="106" spans="1:15" x14ac:dyDescent="0.25">
      <c r="A106" s="132"/>
      <c r="B106" s="132"/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</row>
    <row r="107" spans="1:15" x14ac:dyDescent="0.25">
      <c r="A107" s="132"/>
      <c r="B107" s="132"/>
      <c r="C107" s="132"/>
      <c r="D107" s="132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2"/>
    </row>
    <row r="108" spans="1:15" x14ac:dyDescent="0.25">
      <c r="A108" s="132"/>
      <c r="B108" s="132"/>
      <c r="C108" s="132"/>
      <c r="D108" s="132"/>
      <c r="E108" s="132"/>
      <c r="F108" s="132"/>
      <c r="G108" s="132"/>
      <c r="H108" s="132"/>
      <c r="I108" s="132"/>
      <c r="J108" s="132"/>
      <c r="K108" s="132"/>
      <c r="L108" s="132"/>
      <c r="M108" s="132"/>
      <c r="N108" s="132"/>
      <c r="O108" s="132"/>
    </row>
    <row r="109" spans="1:15" x14ac:dyDescent="0.25">
      <c r="A109" s="132"/>
      <c r="B109" s="132"/>
      <c r="C109" s="132"/>
      <c r="D109" s="132"/>
      <c r="E109" s="132"/>
      <c r="F109" s="132"/>
      <c r="G109" s="132"/>
      <c r="H109" s="132"/>
      <c r="I109" s="132"/>
      <c r="J109" s="132"/>
      <c r="K109" s="132"/>
      <c r="L109" s="132"/>
      <c r="M109" s="132"/>
      <c r="N109" s="132"/>
      <c r="O109" s="132"/>
    </row>
    <row r="110" spans="1:15" x14ac:dyDescent="0.25">
      <c r="A110" s="132"/>
      <c r="B110" s="132"/>
      <c r="C110" s="132"/>
      <c r="D110" s="132"/>
      <c r="E110" s="132"/>
      <c r="F110" s="132"/>
      <c r="G110" s="132"/>
      <c r="H110" s="132"/>
      <c r="I110" s="132"/>
      <c r="J110" s="132"/>
      <c r="K110" s="132"/>
      <c r="L110" s="132"/>
      <c r="M110" s="132"/>
      <c r="N110" s="132"/>
      <c r="O110" s="132"/>
    </row>
    <row r="111" spans="1:15" x14ac:dyDescent="0.25">
      <c r="A111" s="132"/>
      <c r="B111" s="132"/>
      <c r="C111" s="132"/>
      <c r="D111" s="132"/>
      <c r="E111" s="132"/>
      <c r="F111" s="132"/>
      <c r="G111" s="132"/>
      <c r="H111" s="132"/>
      <c r="I111" s="132"/>
      <c r="J111" s="132"/>
      <c r="K111" s="132"/>
      <c r="L111" s="132"/>
      <c r="M111" s="132"/>
      <c r="N111" s="132"/>
      <c r="O111" s="132"/>
    </row>
    <row r="112" spans="1:15" x14ac:dyDescent="0.25">
      <c r="A112" s="132"/>
      <c r="B112" s="132"/>
      <c r="C112" s="132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</row>
    <row r="113" spans="1:15" x14ac:dyDescent="0.25">
      <c r="A113" s="132"/>
      <c r="B113" s="132"/>
      <c r="C113" s="132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</row>
    <row r="114" spans="1:15" x14ac:dyDescent="0.25">
      <c r="A114" s="132"/>
      <c r="B114" s="132"/>
      <c r="C114" s="132"/>
      <c r="D114" s="132"/>
      <c r="E114" s="132"/>
      <c r="F114" s="132"/>
      <c r="G114" s="132"/>
      <c r="H114" s="132"/>
      <c r="I114" s="132"/>
      <c r="J114" s="132"/>
      <c r="K114" s="132"/>
      <c r="L114" s="132"/>
      <c r="M114" s="132"/>
      <c r="N114" s="132"/>
      <c r="O114" s="132"/>
    </row>
    <row r="115" spans="1:15" x14ac:dyDescent="0.25">
      <c r="A115" s="132"/>
      <c r="B115" s="132"/>
      <c r="C115" s="132"/>
      <c r="D115" s="132"/>
      <c r="E115" s="132"/>
      <c r="F115" s="132"/>
      <c r="G115" s="132"/>
      <c r="H115" s="132"/>
      <c r="I115" s="132"/>
      <c r="J115" s="132"/>
      <c r="K115" s="132"/>
      <c r="L115" s="132"/>
      <c r="M115" s="132"/>
      <c r="N115" s="132"/>
      <c r="O115" s="132"/>
    </row>
    <row r="116" spans="1:15" x14ac:dyDescent="0.25">
      <c r="A116" s="132"/>
      <c r="B116" s="132"/>
      <c r="C116" s="132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</row>
    <row r="117" spans="1:15" x14ac:dyDescent="0.25">
      <c r="A117" s="132"/>
      <c r="B117" s="132"/>
      <c r="C117" s="132"/>
      <c r="D117" s="132"/>
      <c r="E117" s="132"/>
      <c r="F117" s="132"/>
      <c r="G117" s="132"/>
      <c r="H117" s="132"/>
      <c r="I117" s="132"/>
      <c r="J117" s="132"/>
      <c r="K117" s="132"/>
      <c r="L117" s="132"/>
      <c r="M117" s="132"/>
      <c r="N117" s="132"/>
      <c r="O117" s="132"/>
    </row>
    <row r="118" spans="1:15" x14ac:dyDescent="0.25">
      <c r="A118" s="132"/>
      <c r="B118" s="132"/>
      <c r="C118" s="132"/>
      <c r="D118" s="132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2"/>
    </row>
    <row r="119" spans="1:15" x14ac:dyDescent="0.25">
      <c r="A119" s="132"/>
      <c r="B119" s="132"/>
      <c r="C119" s="132"/>
      <c r="D119" s="132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2"/>
    </row>
    <row r="120" spans="1:15" x14ac:dyDescent="0.25">
      <c r="A120" s="132"/>
      <c r="B120" s="132"/>
      <c r="C120" s="132"/>
      <c r="D120" s="132"/>
      <c r="E120" s="132"/>
      <c r="F120" s="132"/>
      <c r="G120" s="132"/>
      <c r="H120" s="132"/>
      <c r="I120" s="132"/>
      <c r="J120" s="132"/>
      <c r="K120" s="132"/>
      <c r="L120" s="132"/>
      <c r="M120" s="132"/>
      <c r="N120" s="132"/>
      <c r="O120" s="132"/>
    </row>
    <row r="121" spans="1:15" x14ac:dyDescent="0.25">
      <c r="A121" s="132"/>
      <c r="B121" s="132"/>
      <c r="C121" s="132"/>
      <c r="D121" s="132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2"/>
    </row>
  </sheetData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6" tint="-0.249977111117893"/>
  </sheetPr>
  <dimension ref="A1:AE24"/>
  <sheetViews>
    <sheetView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W19" sqref="W19"/>
    </sheetView>
  </sheetViews>
  <sheetFormatPr baseColWidth="10" defaultRowHeight="15" x14ac:dyDescent="0.25"/>
  <cols>
    <col min="1" max="1" width="5.140625" style="30" customWidth="1"/>
    <col min="2" max="2" width="33.42578125" style="31" bestFit="1" customWidth="1"/>
    <col min="3" max="3" width="11.42578125" style="31"/>
    <col min="4" max="4" width="12.85546875" style="31" bestFit="1" customWidth="1"/>
    <col min="5" max="5" width="11.42578125" style="41"/>
    <col min="6" max="6" width="9.7109375" style="41" customWidth="1"/>
    <col min="7" max="7" width="9.5703125" style="31" bestFit="1" customWidth="1"/>
    <col min="8" max="8" width="10.7109375" style="31" customWidth="1"/>
    <col min="9" max="9" width="33" style="31" customWidth="1"/>
    <col min="10" max="10" width="8.7109375" style="31" customWidth="1"/>
    <col min="11" max="11" width="9.85546875" style="31" customWidth="1"/>
    <col min="12" max="12" width="11.42578125" style="31"/>
    <col min="13" max="13" width="9.85546875" style="31" customWidth="1"/>
    <col min="14" max="14" width="8.5703125" style="31" customWidth="1"/>
    <col min="15" max="15" width="8.28515625" style="31" customWidth="1"/>
    <col min="16" max="16" width="9.85546875" style="31" customWidth="1"/>
    <col min="17" max="17" width="8.7109375" customWidth="1"/>
    <col min="18" max="18" width="10" bestFit="1" customWidth="1"/>
    <col min="21" max="21" width="12.28515625" customWidth="1"/>
    <col min="23" max="23" width="13.85546875" customWidth="1"/>
    <col min="24" max="24" width="13" customWidth="1"/>
    <col min="26" max="26" width="12.85546875" customWidth="1"/>
    <col min="27" max="28" width="13" customWidth="1"/>
    <col min="29" max="29" width="13.7109375" bestFit="1" customWidth="1"/>
  </cols>
  <sheetData>
    <row r="1" spans="1:31" ht="28.5" customHeight="1" x14ac:dyDescent="0.4">
      <c r="B1" s="339" t="s">
        <v>48</v>
      </c>
      <c r="C1" s="339"/>
      <c r="D1" s="339"/>
    </row>
    <row r="2" spans="1:31" ht="18.75" x14ac:dyDescent="0.3">
      <c r="B2" s="36" t="s">
        <v>102</v>
      </c>
      <c r="R2" s="45"/>
    </row>
    <row r="3" spans="1:31" ht="12" customHeight="1" x14ac:dyDescent="0.25"/>
    <row r="4" spans="1:31" ht="23.25" customHeight="1" x14ac:dyDescent="0.25">
      <c r="A4" s="37" t="s">
        <v>74</v>
      </c>
      <c r="B4" s="37" t="s">
        <v>66</v>
      </c>
      <c r="C4" s="37" t="s">
        <v>58</v>
      </c>
      <c r="D4" s="37" t="s">
        <v>1</v>
      </c>
      <c r="E4" s="42" t="s">
        <v>67</v>
      </c>
      <c r="F4" s="42" t="s">
        <v>59</v>
      </c>
      <c r="G4" s="38" t="s">
        <v>97</v>
      </c>
      <c r="H4" s="37" t="s">
        <v>68</v>
      </c>
      <c r="I4" s="37" t="s">
        <v>69</v>
      </c>
      <c r="J4" s="38" t="s">
        <v>72</v>
      </c>
      <c r="K4" s="37" t="s">
        <v>64</v>
      </c>
      <c r="L4" s="37" t="s">
        <v>73</v>
      </c>
      <c r="M4" s="37" t="s">
        <v>64</v>
      </c>
      <c r="N4" s="38" t="s">
        <v>70</v>
      </c>
      <c r="O4" s="38" t="s">
        <v>96</v>
      </c>
      <c r="P4" s="38" t="s">
        <v>71</v>
      </c>
      <c r="Q4" s="38" t="s">
        <v>101</v>
      </c>
      <c r="R4" s="38"/>
      <c r="S4" s="38"/>
      <c r="T4" s="38" t="s">
        <v>75</v>
      </c>
      <c r="U4" s="38" t="s">
        <v>76</v>
      </c>
      <c r="V4" s="38" t="s">
        <v>77</v>
      </c>
      <c r="W4" s="38" t="s">
        <v>78</v>
      </c>
      <c r="X4" s="38" t="s">
        <v>79</v>
      </c>
      <c r="Y4" s="38" t="s">
        <v>80</v>
      </c>
      <c r="Z4" s="38" t="s">
        <v>81</v>
      </c>
      <c r="AA4" s="38" t="s">
        <v>82</v>
      </c>
      <c r="AB4" s="38" t="s">
        <v>34</v>
      </c>
      <c r="AC4" s="38" t="s">
        <v>83</v>
      </c>
      <c r="AD4" s="38"/>
      <c r="AE4" s="26"/>
    </row>
    <row r="5" spans="1:31" x14ac:dyDescent="0.25">
      <c r="A5" s="183">
        <v>1</v>
      </c>
      <c r="B5" s="184" t="s">
        <v>95</v>
      </c>
      <c r="C5" s="184" t="s">
        <v>39</v>
      </c>
      <c r="D5" s="185" t="s">
        <v>63</v>
      </c>
      <c r="E5" s="186">
        <v>399.78</v>
      </c>
      <c r="F5" s="187"/>
      <c r="G5" s="184"/>
      <c r="H5" s="188">
        <f>VLOOKUP(C5,[1]REG_EMPLEADO!$B:$AN,25,FALSE)</f>
        <v>40070</v>
      </c>
      <c r="I5" s="189" t="str">
        <f>VLOOKUP(C5,[1]REG_EMPLEADO!$B:$AN,9,FALSE)</f>
        <v>SANTO DOMINGO. JUAN EULOGIO</v>
      </c>
      <c r="J5" s="183" t="s">
        <v>65</v>
      </c>
      <c r="K5" s="190"/>
      <c r="L5" s="183" t="s">
        <v>65</v>
      </c>
      <c r="M5" s="190"/>
      <c r="N5" s="191" t="str">
        <f t="shared" ref="N5:N16" ca="1" si="0">IF(TODAY()&gt;=(H5+365),"SI","NO")</f>
        <v>SI</v>
      </c>
      <c r="O5" s="183"/>
      <c r="P5" s="190"/>
      <c r="Q5" s="192" t="str">
        <f t="shared" ref="Q5:Q23" si="1">+B5</f>
        <v>HERNANDEZ VALENCIA CARLOS ALBERTO</v>
      </c>
      <c r="R5" s="193"/>
      <c r="S5" s="193"/>
      <c r="T5" s="194"/>
      <c r="U5" s="193"/>
      <c r="V5" s="195"/>
      <c r="W5" s="196"/>
      <c r="X5" s="196"/>
      <c r="Y5" s="196"/>
      <c r="Z5" s="196"/>
      <c r="AA5" s="196"/>
      <c r="AB5" s="196"/>
      <c r="AC5" s="196"/>
      <c r="AD5" s="196"/>
      <c r="AE5" s="197"/>
    </row>
    <row r="6" spans="1:31" x14ac:dyDescent="0.25">
      <c r="A6" s="183">
        <v>2</v>
      </c>
      <c r="B6" s="184" t="s">
        <v>28</v>
      </c>
      <c r="C6" s="184" t="s">
        <v>38</v>
      </c>
      <c r="D6" s="185" t="s">
        <v>24</v>
      </c>
      <c r="E6" s="186">
        <v>409.16</v>
      </c>
      <c r="F6" s="187"/>
      <c r="G6" s="184"/>
      <c r="H6" s="188">
        <f>VLOOKUP(C6,[1]REG_EMPLEADO!$B:$AN,25,FALSE)</f>
        <v>41039</v>
      </c>
      <c r="I6" s="189" t="str">
        <f>VLOOKUP(C6,[1]REG_EMPLEADO!$B:$AN,9,FALSE)</f>
        <v>SANTA ROSA - EL ORO</v>
      </c>
      <c r="J6" s="183" t="s">
        <v>65</v>
      </c>
      <c r="K6" s="190"/>
      <c r="L6" s="183" t="s">
        <v>65</v>
      </c>
      <c r="M6" s="190"/>
      <c r="N6" s="191" t="str">
        <f t="shared" ca="1" si="0"/>
        <v>SI</v>
      </c>
      <c r="O6" s="183" t="s">
        <v>65</v>
      </c>
      <c r="P6" s="190"/>
      <c r="Q6" s="192" t="str">
        <f t="shared" si="1"/>
        <v>ARMIJOS MIÑAN ANGEL</v>
      </c>
      <c r="R6" s="193"/>
      <c r="S6" s="193"/>
      <c r="T6" s="198"/>
      <c r="U6" s="193"/>
      <c r="V6" s="195"/>
      <c r="W6" s="196"/>
      <c r="X6" s="196"/>
      <c r="Y6" s="196"/>
      <c r="Z6" s="196"/>
      <c r="AA6" s="196"/>
      <c r="AB6" s="196"/>
      <c r="AC6" s="196"/>
      <c r="AD6" s="196"/>
      <c r="AE6" s="197"/>
    </row>
    <row r="7" spans="1:31" x14ac:dyDescent="0.25">
      <c r="A7" s="183">
        <v>3</v>
      </c>
      <c r="B7" s="184" t="s">
        <v>29</v>
      </c>
      <c r="C7" s="184" t="s">
        <v>41</v>
      </c>
      <c r="D7" s="184" t="s">
        <v>18</v>
      </c>
      <c r="E7" s="186">
        <v>399.52</v>
      </c>
      <c r="F7" s="187"/>
      <c r="G7" s="184"/>
      <c r="H7" s="188">
        <f>VLOOKUP(C7,[1]REG_EMPLEADO!$B:$AN,25,FALSE)</f>
        <v>41048</v>
      </c>
      <c r="I7" s="189" t="str">
        <f>VLOOKUP(C7,[1]REG_EMPLEADO!$B:$AN,9,FALSE)</f>
        <v>NAMBACOLA - GONZANAMA - LOJA</v>
      </c>
      <c r="J7" s="183" t="s">
        <v>65</v>
      </c>
      <c r="K7" s="190"/>
      <c r="L7" s="183" t="s">
        <v>65</v>
      </c>
      <c r="M7" s="190"/>
      <c r="N7" s="191" t="str">
        <f t="shared" ca="1" si="0"/>
        <v>SI</v>
      </c>
      <c r="O7" s="183"/>
      <c r="P7" s="190"/>
      <c r="Q7" s="192" t="str">
        <f t="shared" si="1"/>
        <v>SOTO CANGO ROBER CORNELIO</v>
      </c>
      <c r="R7" s="193"/>
      <c r="S7" s="193"/>
      <c r="T7" s="198"/>
      <c r="U7" s="193"/>
      <c r="V7" s="195"/>
      <c r="W7" s="196"/>
      <c r="X7" s="196"/>
      <c r="Y7" s="196"/>
      <c r="Z7" s="196"/>
      <c r="AA7" s="196"/>
      <c r="AB7" s="196"/>
      <c r="AC7" s="196"/>
      <c r="AD7" s="196"/>
      <c r="AE7" s="197"/>
    </row>
    <row r="8" spans="1:31" x14ac:dyDescent="0.25">
      <c r="A8" s="183">
        <v>4</v>
      </c>
      <c r="B8" s="184" t="s">
        <v>30</v>
      </c>
      <c r="C8" s="184" t="s">
        <v>42</v>
      </c>
      <c r="D8" s="184" t="s">
        <v>18</v>
      </c>
      <c r="E8" s="186">
        <v>399.52</v>
      </c>
      <c r="F8" s="187"/>
      <c r="G8" s="184"/>
      <c r="H8" s="188">
        <f>VLOOKUP(C8,[1]REG_EMPLEADO!$B:$AN,25,FALSE)</f>
        <v>41379</v>
      </c>
      <c r="I8" s="189" t="str">
        <f>VLOOKUP(C8,[1]REG_EMPLEADO!$B:$AN,9,FALSE)</f>
        <v>LOJA</v>
      </c>
      <c r="J8" s="183" t="s">
        <v>65</v>
      </c>
      <c r="K8" s="190"/>
      <c r="L8" s="183" t="s">
        <v>65</v>
      </c>
      <c r="M8" s="190"/>
      <c r="N8" s="191" t="str">
        <f t="shared" ca="1" si="0"/>
        <v>SI</v>
      </c>
      <c r="O8" s="183"/>
      <c r="P8" s="190"/>
      <c r="Q8" s="192" t="str">
        <f t="shared" si="1"/>
        <v>CANGO QUITO JOSE LEOVARDO</v>
      </c>
      <c r="R8" s="193"/>
      <c r="S8" s="193"/>
      <c r="T8" s="198"/>
      <c r="U8" s="193"/>
      <c r="V8" s="195"/>
      <c r="W8" s="196"/>
      <c r="X8" s="196"/>
      <c r="Y8" s="196"/>
      <c r="Z8" s="196"/>
      <c r="AA8" s="196"/>
      <c r="AB8" s="196"/>
      <c r="AC8" s="196"/>
      <c r="AD8" s="196"/>
      <c r="AE8" s="197"/>
    </row>
    <row r="9" spans="1:31" x14ac:dyDescent="0.25">
      <c r="A9" s="183">
        <v>5</v>
      </c>
      <c r="B9" s="184" t="s">
        <v>52</v>
      </c>
      <c r="C9" s="184" t="s">
        <v>53</v>
      </c>
      <c r="D9" s="185" t="s">
        <v>54</v>
      </c>
      <c r="E9" s="186">
        <v>409.52</v>
      </c>
      <c r="F9" s="187"/>
      <c r="G9" s="184"/>
      <c r="H9" s="188">
        <f>VLOOKUP(C9,[1]REG_EMPLEADO!$B:$AN,25,FALSE)</f>
        <v>41540</v>
      </c>
      <c r="I9" s="189" t="str">
        <f>VLOOKUP(C9,[1]REG_EMPLEADO!$B:$AN,9,FALSE)</f>
        <v>11AVA OESTE Y GRAN COLOMBIA; CDLA 18 DE OCTUBRE; MACHALA - ECUADOR</v>
      </c>
      <c r="J9" s="183" t="s">
        <v>65</v>
      </c>
      <c r="K9" s="190"/>
      <c r="L9" s="183" t="s">
        <v>65</v>
      </c>
      <c r="M9" s="190"/>
      <c r="N9" s="191" t="str">
        <f t="shared" ca="1" si="0"/>
        <v>SI</v>
      </c>
      <c r="O9" s="183" t="s">
        <v>65</v>
      </c>
      <c r="P9" s="190"/>
      <c r="Q9" s="192" t="str">
        <f t="shared" si="1"/>
        <v>GOMEZ ESPINOZA GASTON SANTOS</v>
      </c>
      <c r="R9" s="193"/>
      <c r="S9" s="193"/>
      <c r="T9" s="198"/>
      <c r="U9" s="193"/>
      <c r="V9" s="195"/>
      <c r="W9" s="196"/>
      <c r="X9" s="196"/>
      <c r="Y9" s="196"/>
      <c r="Z9" s="196"/>
      <c r="AA9" s="196"/>
      <c r="AB9" s="196"/>
      <c r="AC9" s="196"/>
      <c r="AD9" s="196"/>
      <c r="AE9" s="197"/>
    </row>
    <row r="10" spans="1:31" x14ac:dyDescent="0.25">
      <c r="A10" s="183">
        <v>6</v>
      </c>
      <c r="B10" s="184" t="s">
        <v>56</v>
      </c>
      <c r="C10" s="184" t="s">
        <v>57</v>
      </c>
      <c r="D10" s="184" t="s">
        <v>18</v>
      </c>
      <c r="E10" s="186">
        <v>399.52</v>
      </c>
      <c r="F10" s="187"/>
      <c r="G10" s="184"/>
      <c r="H10" s="188">
        <f>VLOOKUP(C10,[1]REG_EMPLEADO!$B:$AN,25,FALSE)</f>
        <v>41869</v>
      </c>
      <c r="I10" s="189" t="str">
        <f>VLOOKUP(C10,[1]REG_EMPLEADO!$B:$AN,9,FALSE)</f>
        <v>SANTO DOMINGO</v>
      </c>
      <c r="J10" s="183" t="s">
        <v>65</v>
      </c>
      <c r="K10" s="190"/>
      <c r="L10" s="183" t="s">
        <v>65</v>
      </c>
      <c r="M10" s="190"/>
      <c r="N10" s="191" t="str">
        <f t="shared" ca="1" si="0"/>
        <v>SI</v>
      </c>
      <c r="O10" s="183" t="s">
        <v>65</v>
      </c>
      <c r="P10" s="190"/>
      <c r="Q10" s="192" t="str">
        <f t="shared" si="1"/>
        <v>BRAVO QUINTO JORGE DANIEL</v>
      </c>
      <c r="R10" s="193"/>
      <c r="S10" s="193"/>
      <c r="T10" s="198"/>
      <c r="U10" s="193"/>
      <c r="V10" s="195"/>
      <c r="W10" s="196"/>
      <c r="X10" s="196"/>
      <c r="Y10" s="196"/>
      <c r="Z10" s="196"/>
      <c r="AA10" s="196"/>
      <c r="AB10" s="196"/>
      <c r="AC10" s="196"/>
      <c r="AD10" s="196"/>
      <c r="AE10" s="197"/>
    </row>
    <row r="11" spans="1:31" x14ac:dyDescent="0.25">
      <c r="A11" s="183">
        <v>7</v>
      </c>
      <c r="B11" s="184" t="s">
        <v>88</v>
      </c>
      <c r="C11" s="184" t="s">
        <v>86</v>
      </c>
      <c r="D11" s="184" t="s">
        <v>18</v>
      </c>
      <c r="E11" s="186">
        <v>399.52</v>
      </c>
      <c r="F11" s="187"/>
      <c r="G11" s="184"/>
      <c r="H11" s="188">
        <f>VLOOKUP(C11,[1]REG_EMPLEADO!$B:$AN,25,FALSE)</f>
        <v>42480</v>
      </c>
      <c r="I11" s="189" t="str">
        <f>VLOOKUP(C11,[1]REG_EMPLEADO!$B:$AN,9,FALSE)</f>
        <v>GONZANAMA - SAN VICENTE</v>
      </c>
      <c r="J11" s="183" t="s">
        <v>65</v>
      </c>
      <c r="K11" s="190"/>
      <c r="L11" s="183" t="s">
        <v>65</v>
      </c>
      <c r="M11" s="190"/>
      <c r="N11" s="191" t="str">
        <f t="shared" ca="1" si="0"/>
        <v>SI</v>
      </c>
      <c r="O11" s="183"/>
      <c r="P11" s="190"/>
      <c r="Q11" s="192" t="str">
        <f t="shared" si="1"/>
        <v>CUEVA LUDEÑA MANUEL DE JESUS</v>
      </c>
      <c r="R11" s="193"/>
      <c r="S11" s="193"/>
      <c r="T11" s="193"/>
      <c r="U11" s="193"/>
      <c r="V11" s="195"/>
      <c r="W11" s="196"/>
      <c r="X11" s="196"/>
      <c r="Y11" s="196"/>
      <c r="Z11" s="196"/>
      <c r="AA11" s="196"/>
      <c r="AB11" s="196"/>
      <c r="AC11" s="196"/>
      <c r="AD11" s="196"/>
      <c r="AE11" s="197"/>
    </row>
    <row r="12" spans="1:31" x14ac:dyDescent="0.25">
      <c r="A12" s="183">
        <v>8</v>
      </c>
      <c r="B12" s="184" t="s">
        <v>89</v>
      </c>
      <c r="C12" s="184" t="s">
        <v>87</v>
      </c>
      <c r="D12" s="184" t="s">
        <v>18</v>
      </c>
      <c r="E12" s="186">
        <v>399.52</v>
      </c>
      <c r="F12" s="187"/>
      <c r="G12" s="184"/>
      <c r="H12" s="188">
        <f>VLOOKUP(C12,[1]REG_EMPLEADO!$B:$AN,25,FALSE)</f>
        <v>42482</v>
      </c>
      <c r="I12" s="189" t="str">
        <f>VLOOKUP(C12,[1]REG_EMPLEADO!$B:$AN,9,FALSE)</f>
        <v>NAMBACOLA - LOJA</v>
      </c>
      <c r="J12" s="183" t="s">
        <v>65</v>
      </c>
      <c r="K12" s="190"/>
      <c r="L12" s="183" t="s">
        <v>65</v>
      </c>
      <c r="M12" s="190"/>
      <c r="N12" s="191" t="str">
        <f t="shared" ca="1" si="0"/>
        <v>SI</v>
      </c>
      <c r="O12" s="183"/>
      <c r="P12" s="190"/>
      <c r="Q12" s="192" t="str">
        <f t="shared" si="1"/>
        <v>JARA ARMIJOS CESAR HOMERO</v>
      </c>
      <c r="R12" s="193"/>
      <c r="S12" s="193"/>
      <c r="T12" s="198"/>
      <c r="U12" s="193"/>
      <c r="V12" s="195"/>
      <c r="W12" s="196"/>
      <c r="X12" s="196"/>
      <c r="Y12" s="196"/>
      <c r="Z12" s="196"/>
      <c r="AA12" s="196"/>
      <c r="AB12" s="196"/>
      <c r="AC12" s="196"/>
      <c r="AD12" s="196"/>
      <c r="AE12" s="197"/>
    </row>
    <row r="13" spans="1:31" x14ac:dyDescent="0.25">
      <c r="A13" s="183">
        <v>9</v>
      </c>
      <c r="B13" s="184" t="s">
        <v>91</v>
      </c>
      <c r="C13" s="184" t="s">
        <v>92</v>
      </c>
      <c r="D13" s="184" t="s">
        <v>18</v>
      </c>
      <c r="E13" s="186">
        <v>399.52</v>
      </c>
      <c r="F13" s="187"/>
      <c r="G13" s="184"/>
      <c r="H13" s="188">
        <f>VLOOKUP(C13,[1]REG_EMPLEADO!$B:$AN,25,FALSE)</f>
        <v>42552</v>
      </c>
      <c r="I13" s="189" t="str">
        <f>VLOOKUP(C13,[1]REG_EMPLEADO!$B:$AN,9,FALSE)</f>
        <v>NANBACOLA - LOJA</v>
      </c>
      <c r="J13" s="183" t="s">
        <v>65</v>
      </c>
      <c r="K13" s="190"/>
      <c r="L13" s="183" t="s">
        <v>65</v>
      </c>
      <c r="M13" s="190"/>
      <c r="N13" s="191" t="str">
        <f t="shared" ca="1" si="0"/>
        <v>SI</v>
      </c>
      <c r="O13" s="183"/>
      <c r="P13" s="190"/>
      <c r="Q13" s="192" t="str">
        <f t="shared" si="1"/>
        <v>CASTILLO OCHOA HERIBERTO GUILLERMO</v>
      </c>
      <c r="R13" s="193"/>
      <c r="S13" s="193"/>
      <c r="T13" s="193"/>
      <c r="U13" s="193"/>
      <c r="V13" s="193"/>
      <c r="W13" s="196"/>
      <c r="X13" s="196"/>
      <c r="Y13" s="196"/>
      <c r="Z13" s="196"/>
      <c r="AA13" s="196"/>
      <c r="AB13" s="196"/>
      <c r="AC13" s="196"/>
      <c r="AD13" s="199"/>
      <c r="AE13" s="193"/>
    </row>
    <row r="14" spans="1:31" x14ac:dyDescent="0.25">
      <c r="A14" s="183">
        <v>10</v>
      </c>
      <c r="B14" s="184" t="s">
        <v>98</v>
      </c>
      <c r="C14" s="184" t="s">
        <v>99</v>
      </c>
      <c r="D14" s="184" t="s">
        <v>18</v>
      </c>
      <c r="E14" s="186">
        <v>399.52</v>
      </c>
      <c r="F14" s="187"/>
      <c r="G14" s="184"/>
      <c r="H14" s="188">
        <f>VLOOKUP(C14,[1]REG_EMPLEADO!$B:$AN,25,FALSE)</f>
        <v>42561</v>
      </c>
      <c r="I14" s="189" t="str">
        <f>VLOOKUP(C14,[1]REG_EMPLEADO!$B:$AN,9,FALSE)</f>
        <v>NAMBACOLA - LOJA</v>
      </c>
      <c r="J14" s="183" t="s">
        <v>65</v>
      </c>
      <c r="K14" s="190"/>
      <c r="L14" s="183" t="s">
        <v>65</v>
      </c>
      <c r="M14" s="190"/>
      <c r="N14" s="191" t="str">
        <f t="shared" ca="1" si="0"/>
        <v>SI</v>
      </c>
      <c r="O14" s="183"/>
      <c r="P14" s="190"/>
      <c r="Q14" s="192" t="str">
        <f t="shared" si="1"/>
        <v>PINTA PINTA WILMER ROLANDO</v>
      </c>
      <c r="R14" s="193"/>
      <c r="S14" s="193"/>
      <c r="T14" s="193"/>
      <c r="U14" s="193"/>
      <c r="V14" s="193"/>
      <c r="W14" s="196"/>
      <c r="X14" s="199"/>
      <c r="Y14" s="199"/>
      <c r="Z14" s="199"/>
      <c r="AA14" s="199"/>
      <c r="AB14" s="199"/>
      <c r="AC14" s="196"/>
      <c r="AD14" s="199"/>
      <c r="AE14" s="193"/>
    </row>
    <row r="15" spans="1:31" x14ac:dyDescent="0.25">
      <c r="A15" s="183">
        <v>11</v>
      </c>
      <c r="B15" s="184" t="s">
        <v>172</v>
      </c>
      <c r="C15" s="184" t="s">
        <v>173</v>
      </c>
      <c r="D15" s="184" t="s">
        <v>18</v>
      </c>
      <c r="E15" s="186">
        <v>399.52</v>
      </c>
      <c r="F15" s="187"/>
      <c r="G15" s="184"/>
      <c r="H15" s="188">
        <f>VLOOKUP(C15,[1]REG_EMPLEADO!$B:$AN,25,FALSE)</f>
        <v>42877</v>
      </c>
      <c r="I15" s="189" t="str">
        <f>VLOOKUP(C15,[1]REG_EMPLEADO!$B:$AN,9,FALSE)</f>
        <v>NAMBACOLA LOJA</v>
      </c>
      <c r="J15" s="183" t="s">
        <v>65</v>
      </c>
      <c r="K15" s="190"/>
      <c r="L15" s="183" t="s">
        <v>65</v>
      </c>
      <c r="M15" s="190"/>
      <c r="N15" s="191" t="str">
        <f t="shared" ca="1" si="0"/>
        <v>SI</v>
      </c>
      <c r="O15" s="184"/>
      <c r="P15" s="190"/>
      <c r="Q15" s="192" t="str">
        <f t="shared" si="1"/>
        <v>SIMANCAS AGUILAR DAVID MOISES</v>
      </c>
      <c r="R15" s="193"/>
      <c r="S15" s="193"/>
      <c r="T15" s="193"/>
      <c r="U15" s="193"/>
      <c r="V15" s="193"/>
      <c r="W15" s="199"/>
      <c r="X15" s="199"/>
      <c r="Y15" s="199"/>
      <c r="Z15" s="199"/>
      <c r="AA15" s="199"/>
      <c r="AB15" s="199"/>
      <c r="AC15" s="199"/>
      <c r="AD15" s="199"/>
      <c r="AE15" s="193"/>
    </row>
    <row r="16" spans="1:31" x14ac:dyDescent="0.25">
      <c r="A16" s="183">
        <v>12</v>
      </c>
      <c r="B16" s="184" t="s">
        <v>175</v>
      </c>
      <c r="C16" s="184" t="s">
        <v>174</v>
      </c>
      <c r="D16" s="184" t="s">
        <v>18</v>
      </c>
      <c r="E16" s="186">
        <v>399.52</v>
      </c>
      <c r="F16" s="187"/>
      <c r="G16" s="184"/>
      <c r="H16" s="188">
        <f>VLOOKUP(C16,[1]REG_EMPLEADO!$B:$AN,25,FALSE)</f>
        <v>42927</v>
      </c>
      <c r="I16" s="189" t="str">
        <f>VLOOKUP(C16,[1]REG_EMPLEADO!$B:$AN,9,FALSE)</f>
        <v>SAN VICENTE - LOJA</v>
      </c>
      <c r="J16" s="183" t="s">
        <v>65</v>
      </c>
      <c r="K16" s="190"/>
      <c r="L16" s="183" t="s">
        <v>65</v>
      </c>
      <c r="M16" s="190"/>
      <c r="N16" s="191" t="str">
        <f t="shared" ca="1" si="0"/>
        <v>SI</v>
      </c>
      <c r="O16" s="184"/>
      <c r="P16" s="190"/>
      <c r="Q16" s="192" t="str">
        <f t="shared" si="1"/>
        <v>CANGO CUEVA FRANCISCO ARMANDO</v>
      </c>
      <c r="R16" s="193"/>
      <c r="S16" s="193"/>
      <c r="T16" s="193"/>
      <c r="U16" s="193"/>
      <c r="V16" s="193"/>
      <c r="W16" s="199"/>
      <c r="X16" s="199"/>
      <c r="Y16" s="199"/>
      <c r="Z16" s="199"/>
      <c r="AA16" s="199"/>
      <c r="AB16" s="199"/>
      <c r="AC16" s="199"/>
      <c r="AD16" s="199"/>
      <c r="AE16" s="193"/>
    </row>
    <row r="17" spans="1:31" x14ac:dyDescent="0.25">
      <c r="A17" s="183">
        <v>13</v>
      </c>
      <c r="B17" s="184" t="s">
        <v>187</v>
      </c>
      <c r="C17" s="184" t="s">
        <v>185</v>
      </c>
      <c r="D17" s="184" t="s">
        <v>18</v>
      </c>
      <c r="E17" s="186">
        <v>399.52</v>
      </c>
      <c r="F17" s="187"/>
      <c r="G17" s="184"/>
      <c r="H17" s="188">
        <f>VLOOKUP(C17,[1]REG_EMPLEADO!$B:$AN,25,FALSE)</f>
        <v>43152</v>
      </c>
      <c r="I17" s="189" t="str">
        <f>VLOOKUP(C17,[1]REG_EMPLEADO!$B:$AN,9,FALSE)</f>
        <v>COOP CHEGUEVARA SECTOR#3</v>
      </c>
      <c r="J17" s="183" t="s">
        <v>65</v>
      </c>
      <c r="K17" s="190"/>
      <c r="L17" s="183" t="s">
        <v>176</v>
      </c>
      <c r="M17" s="190"/>
      <c r="N17" s="191" t="s">
        <v>176</v>
      </c>
      <c r="O17" s="184"/>
      <c r="P17" s="190"/>
      <c r="Q17" s="192" t="str">
        <f t="shared" si="1"/>
        <v>CHILA QUIÑONEZ KLEBER FELIPE</v>
      </c>
      <c r="R17" s="193"/>
      <c r="S17" s="193"/>
      <c r="T17" s="193"/>
      <c r="U17" s="197" t="s">
        <v>186</v>
      </c>
      <c r="V17" s="193"/>
      <c r="W17" s="199"/>
      <c r="X17" s="199"/>
      <c r="Y17" s="199"/>
      <c r="Z17" s="199"/>
      <c r="AA17" s="199"/>
      <c r="AB17" s="199"/>
      <c r="AC17" s="199"/>
      <c r="AD17" s="199"/>
      <c r="AE17" s="193"/>
    </row>
    <row r="18" spans="1:31" ht="14.25" customHeight="1" x14ac:dyDescent="0.25">
      <c r="A18" s="183">
        <v>14</v>
      </c>
      <c r="B18" s="184" t="s">
        <v>189</v>
      </c>
      <c r="C18" s="184" t="s">
        <v>188</v>
      </c>
      <c r="D18" s="184" t="s">
        <v>18</v>
      </c>
      <c r="E18" s="186">
        <v>399.52</v>
      </c>
      <c r="F18" s="187"/>
      <c r="G18" s="184"/>
      <c r="H18" s="188">
        <f>VLOOKUP(C18,[1]REG_EMPLEADO!$B:$AN,25,FALSE)</f>
        <v>43285</v>
      </c>
      <c r="I18" s="189" t="str">
        <f>VLOOKUP(C18,[1]REG_EMPLEADO!$B:$AN,9,FALSE)</f>
        <v>VIA PORTETE Y MOYEPAMBA</v>
      </c>
      <c r="J18" s="183" t="s">
        <v>65</v>
      </c>
      <c r="K18" s="190"/>
      <c r="L18" s="183" t="s">
        <v>176</v>
      </c>
      <c r="M18" s="190"/>
      <c r="N18" s="191" t="s">
        <v>176</v>
      </c>
      <c r="O18" s="184"/>
      <c r="P18" s="190"/>
      <c r="Q18" s="192" t="str">
        <f t="shared" si="1"/>
        <v>SIMANCAS QUEZADA ORLANDO BAUDILIO</v>
      </c>
      <c r="R18" s="193"/>
      <c r="S18" s="193"/>
      <c r="T18" s="193"/>
      <c r="U18" s="193"/>
      <c r="V18" s="193"/>
      <c r="W18" s="199"/>
      <c r="X18" s="199"/>
      <c r="Y18" s="199"/>
      <c r="Z18" s="199"/>
      <c r="AA18" s="199"/>
      <c r="AB18" s="199"/>
      <c r="AC18" s="199"/>
      <c r="AD18" s="199"/>
      <c r="AE18" s="193"/>
    </row>
    <row r="19" spans="1:31" s="164" customFormat="1" ht="12.75" x14ac:dyDescent="0.2">
      <c r="A19" s="183">
        <v>15</v>
      </c>
      <c r="B19" s="161" t="s">
        <v>196</v>
      </c>
      <c r="C19" s="162" t="s">
        <v>195</v>
      </c>
      <c r="D19" s="184" t="s">
        <v>18</v>
      </c>
      <c r="E19" s="186">
        <v>399.52</v>
      </c>
      <c r="F19" s="163"/>
      <c r="G19" s="162"/>
      <c r="H19" s="209">
        <v>43498</v>
      </c>
      <c r="I19" s="210" t="s">
        <v>197</v>
      </c>
      <c r="J19" s="206" t="s">
        <v>176</v>
      </c>
      <c r="K19" s="160"/>
      <c r="L19" s="160" t="s">
        <v>176</v>
      </c>
      <c r="M19" s="160"/>
      <c r="N19" s="160" t="s">
        <v>176</v>
      </c>
      <c r="O19" s="162"/>
      <c r="P19" s="161"/>
      <c r="Q19" s="205" t="str">
        <f t="shared" si="1"/>
        <v>CHAMBA CANGO DARIO JAVIER</v>
      </c>
      <c r="T19" s="164">
        <v>1250181392</v>
      </c>
    </row>
    <row r="20" spans="1:31" s="164" customFormat="1" ht="12.75" x14ac:dyDescent="0.2">
      <c r="A20" s="183">
        <v>16</v>
      </c>
      <c r="B20" s="161" t="s">
        <v>198</v>
      </c>
      <c r="C20" s="162" t="s">
        <v>199</v>
      </c>
      <c r="D20" s="184" t="s">
        <v>18</v>
      </c>
      <c r="E20" s="186">
        <v>399.52</v>
      </c>
      <c r="F20" s="163"/>
      <c r="G20" s="162"/>
      <c r="H20" s="209">
        <v>43498</v>
      </c>
      <c r="I20" s="210" t="s">
        <v>197</v>
      </c>
      <c r="J20" s="206" t="s">
        <v>176</v>
      </c>
      <c r="K20" s="160"/>
      <c r="L20" s="160" t="s">
        <v>176</v>
      </c>
      <c r="M20" s="160"/>
      <c r="N20" s="160" t="s">
        <v>176</v>
      </c>
      <c r="O20" s="162"/>
      <c r="P20" s="161"/>
      <c r="Q20" s="205" t="str">
        <f t="shared" si="1"/>
        <v>PINTA PINTA OMAR PATRICIO</v>
      </c>
      <c r="T20" s="164">
        <v>1250178189</v>
      </c>
    </row>
    <row r="21" spans="1:31" s="220" customFormat="1" ht="12.75" x14ac:dyDescent="0.2">
      <c r="A21" s="183">
        <v>17</v>
      </c>
      <c r="B21" s="211" t="s">
        <v>200</v>
      </c>
      <c r="C21" s="212" t="s">
        <v>201</v>
      </c>
      <c r="D21" s="184" t="s">
        <v>18</v>
      </c>
      <c r="E21" s="186">
        <v>399.52</v>
      </c>
      <c r="F21" s="44"/>
      <c r="G21" s="213"/>
      <c r="H21" s="214">
        <v>43593</v>
      </c>
      <c r="I21" s="215" t="s">
        <v>197</v>
      </c>
      <c r="J21" s="216" t="s">
        <v>176</v>
      </c>
      <c r="K21" s="217"/>
      <c r="L21" s="217" t="s">
        <v>176</v>
      </c>
      <c r="M21" s="217"/>
      <c r="N21" s="217" t="s">
        <v>176</v>
      </c>
      <c r="O21" s="213"/>
      <c r="P21" s="218"/>
      <c r="Q21" s="219" t="str">
        <f t="shared" si="1"/>
        <v>LUNA PINTA JUAN DIEGO</v>
      </c>
    </row>
    <row r="22" spans="1:31" s="220" customFormat="1" ht="12.75" x14ac:dyDescent="0.2">
      <c r="A22" s="183">
        <v>18</v>
      </c>
      <c r="B22" s="211" t="s">
        <v>202</v>
      </c>
      <c r="C22" s="212" t="s">
        <v>203</v>
      </c>
      <c r="D22" s="184" t="s">
        <v>18</v>
      </c>
      <c r="E22" s="186">
        <v>399.52</v>
      </c>
      <c r="F22" s="44"/>
      <c r="G22" s="213"/>
      <c r="H22" s="214">
        <v>43593</v>
      </c>
      <c r="I22" s="215" t="s">
        <v>197</v>
      </c>
      <c r="J22" s="216" t="s">
        <v>176</v>
      </c>
      <c r="K22" s="217"/>
      <c r="L22" s="217" t="s">
        <v>176</v>
      </c>
      <c r="M22" s="217"/>
      <c r="N22" s="217" t="s">
        <v>176</v>
      </c>
      <c r="O22" s="213"/>
      <c r="P22" s="218"/>
      <c r="Q22" s="219" t="str">
        <f t="shared" si="1"/>
        <v>GONZAGA ALVARADO LUIS FERNANDO</v>
      </c>
    </row>
    <row r="23" spans="1:31" s="220" customFormat="1" ht="12.75" x14ac:dyDescent="0.2">
      <c r="A23" s="183">
        <v>19</v>
      </c>
      <c r="B23" s="211" t="s">
        <v>204</v>
      </c>
      <c r="C23" s="212" t="s">
        <v>205</v>
      </c>
      <c r="D23" s="184" t="s">
        <v>18</v>
      </c>
      <c r="E23" s="186">
        <v>399.52</v>
      </c>
      <c r="F23" s="44"/>
      <c r="G23" s="213"/>
      <c r="H23" s="214">
        <v>43594</v>
      </c>
      <c r="I23" s="215" t="s">
        <v>197</v>
      </c>
      <c r="J23" s="216" t="s">
        <v>176</v>
      </c>
      <c r="K23" s="217"/>
      <c r="L23" s="217" t="s">
        <v>176</v>
      </c>
      <c r="M23" s="217"/>
      <c r="N23" s="217" t="s">
        <v>176</v>
      </c>
      <c r="O23" s="213"/>
      <c r="P23" s="218"/>
      <c r="Q23" s="219" t="str">
        <f t="shared" si="1"/>
        <v>SIMANCAS CANGO EDISON JOVANY</v>
      </c>
    </row>
    <row r="24" spans="1:31" s="1" customFormat="1" ht="12.75" x14ac:dyDescent="0.2">
      <c r="A24" s="32"/>
      <c r="B24" s="33"/>
      <c r="C24" s="34"/>
      <c r="D24" s="34"/>
      <c r="E24" s="43"/>
      <c r="F24" s="44"/>
      <c r="G24" s="34"/>
      <c r="H24" s="34"/>
      <c r="I24" s="34"/>
      <c r="J24" s="35"/>
      <c r="K24" s="33"/>
      <c r="L24" s="33"/>
      <c r="M24" s="33"/>
      <c r="N24" s="33"/>
      <c r="O24" s="34"/>
      <c r="P24" s="33"/>
      <c r="Q24" s="2"/>
    </row>
  </sheetData>
  <sheetProtection formatCells="0" formatColumns="0" formatRows="0" insertColumns="0" insertRows="0" insertHyperlinks="0" deleteColumns="0" deleteRows="0"/>
  <autoFilter ref="A4:AE4">
    <sortState ref="A5:AE26">
      <sortCondition ref="H4"/>
    </sortState>
  </autoFilter>
  <mergeCells count="1">
    <mergeCell ref="B1:D1"/>
  </mergeCells>
  <pageMargins left="0.31496062992125984" right="0.11811023622047245" top="0.27559055118110237" bottom="0.31496062992125984" header="0.31496062992125984" footer="0.31496062992125984"/>
  <pageSetup paperSize="120" orientation="portrait" horizontalDpi="120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-0.249977111117893"/>
  </sheetPr>
  <dimension ref="B2:H27"/>
  <sheetViews>
    <sheetView workbookViewId="0">
      <selection activeCell="C5" sqref="C5"/>
    </sheetView>
  </sheetViews>
  <sheetFormatPr baseColWidth="10" defaultRowHeight="15" x14ac:dyDescent="0.25"/>
  <cols>
    <col min="1" max="1" width="5.7109375" customWidth="1"/>
    <col min="2" max="2" width="15" bestFit="1" customWidth="1"/>
  </cols>
  <sheetData>
    <row r="2" spans="2:8" x14ac:dyDescent="0.25">
      <c r="B2" s="343" t="s">
        <v>9</v>
      </c>
      <c r="C2" s="343"/>
    </row>
    <row r="3" spans="2:8" x14ac:dyDescent="0.25">
      <c r="B3" s="51" t="s">
        <v>10</v>
      </c>
      <c r="C3" s="52" t="s">
        <v>11</v>
      </c>
    </row>
    <row r="4" spans="2:8" x14ac:dyDescent="0.25">
      <c r="B4" s="3" t="s">
        <v>179</v>
      </c>
      <c r="C4" s="14">
        <v>30</v>
      </c>
    </row>
    <row r="5" spans="2:8" x14ac:dyDescent="0.25">
      <c r="B5" s="3" t="s">
        <v>178</v>
      </c>
      <c r="C5" s="14">
        <v>18</v>
      </c>
    </row>
    <row r="6" spans="2:8" x14ac:dyDescent="0.25">
      <c r="B6" s="3" t="s">
        <v>181</v>
      </c>
      <c r="C6" s="14">
        <v>20</v>
      </c>
    </row>
    <row r="7" spans="2:8" x14ac:dyDescent="0.25">
      <c r="B7" s="143" t="s">
        <v>183</v>
      </c>
      <c r="C7" s="144">
        <v>20</v>
      </c>
    </row>
    <row r="8" spans="2:8" x14ac:dyDescent="0.25">
      <c r="B8" s="143" t="s">
        <v>180</v>
      </c>
      <c r="C8" s="144">
        <v>20</v>
      </c>
    </row>
    <row r="9" spans="2:8" x14ac:dyDescent="0.25">
      <c r="B9" s="3" t="s">
        <v>177</v>
      </c>
      <c r="C9" s="14">
        <v>15</v>
      </c>
    </row>
    <row r="10" spans="2:8" x14ac:dyDescent="0.25">
      <c r="B10" s="3" t="s">
        <v>182</v>
      </c>
      <c r="C10" s="14">
        <v>25</v>
      </c>
    </row>
    <row r="11" spans="2:8" x14ac:dyDescent="0.25">
      <c r="B11" s="3" t="s">
        <v>184</v>
      </c>
      <c r="C11" s="14">
        <v>18</v>
      </c>
    </row>
    <row r="16" spans="2:8" x14ac:dyDescent="0.25">
      <c r="B16" s="3"/>
      <c r="C16" s="14"/>
      <c r="D16" s="14" t="s">
        <v>47</v>
      </c>
      <c r="E16" s="14"/>
      <c r="F16" s="3"/>
      <c r="G16" s="3"/>
      <c r="H16" s="3"/>
    </row>
    <row r="17" spans="2:8" x14ac:dyDescent="0.25">
      <c r="B17" s="3" t="s">
        <v>21</v>
      </c>
      <c r="C17" s="14">
        <v>380.98</v>
      </c>
      <c r="D17" s="14">
        <v>0</v>
      </c>
      <c r="E17" s="14">
        <f t="shared" ref="E17:E27" si="0">+C17/2</f>
        <v>190.49</v>
      </c>
      <c r="F17" s="3"/>
      <c r="G17" s="3"/>
      <c r="H17" s="3"/>
    </row>
    <row r="18" spans="2:8" x14ac:dyDescent="0.25">
      <c r="B18" s="3" t="s">
        <v>22</v>
      </c>
      <c r="C18" s="14">
        <v>366</v>
      </c>
      <c r="D18" s="14">
        <v>0</v>
      </c>
      <c r="E18" s="14">
        <f t="shared" si="0"/>
        <v>183</v>
      </c>
      <c r="F18" s="3"/>
      <c r="G18" s="3"/>
      <c r="H18" s="3"/>
    </row>
    <row r="19" spans="2:8" x14ac:dyDescent="0.25">
      <c r="B19" s="3" t="s">
        <v>18</v>
      </c>
      <c r="C19" s="14">
        <v>371.68</v>
      </c>
      <c r="D19" s="14">
        <v>0</v>
      </c>
      <c r="E19" s="14">
        <f t="shared" si="0"/>
        <v>185.84</v>
      </c>
      <c r="F19" s="3"/>
      <c r="G19" s="3"/>
      <c r="H19" s="3"/>
    </row>
    <row r="20" spans="2:8" x14ac:dyDescent="0.25">
      <c r="B20" s="3" t="s">
        <v>35</v>
      </c>
      <c r="C20" s="14">
        <v>371.68</v>
      </c>
      <c r="D20" s="14">
        <v>0</v>
      </c>
      <c r="E20" s="14">
        <f t="shared" si="0"/>
        <v>185.84</v>
      </c>
      <c r="F20" s="3" t="s">
        <v>36</v>
      </c>
      <c r="G20" s="3"/>
      <c r="H20" s="3"/>
    </row>
    <row r="21" spans="2:8" x14ac:dyDescent="0.25">
      <c r="B21" s="3" t="s">
        <v>23</v>
      </c>
      <c r="C21" s="14">
        <v>370.58</v>
      </c>
      <c r="D21" s="14">
        <v>0</v>
      </c>
      <c r="E21" s="14">
        <f t="shared" si="0"/>
        <v>185.29</v>
      </c>
      <c r="F21" s="3"/>
      <c r="G21" s="3"/>
      <c r="H21" s="3"/>
    </row>
    <row r="22" spans="2:8" x14ac:dyDescent="0.25">
      <c r="B22" s="3" t="s">
        <v>24</v>
      </c>
      <c r="C22" s="14">
        <v>378.24</v>
      </c>
      <c r="D22" s="14">
        <v>0</v>
      </c>
      <c r="E22" s="14">
        <f t="shared" si="0"/>
        <v>189.12</v>
      </c>
      <c r="F22" s="3" t="s">
        <v>46</v>
      </c>
      <c r="G22" s="3"/>
      <c r="H22" s="3"/>
    </row>
    <row r="23" spans="2:8" x14ac:dyDescent="0.25">
      <c r="B23" s="3" t="s">
        <v>54</v>
      </c>
      <c r="C23" s="14">
        <v>380.98</v>
      </c>
      <c r="D23" s="14">
        <v>0</v>
      </c>
      <c r="E23" s="14">
        <f t="shared" si="0"/>
        <v>190.49</v>
      </c>
      <c r="F23" s="3"/>
      <c r="G23" s="3"/>
      <c r="H23" s="3"/>
    </row>
    <row r="24" spans="2:8" x14ac:dyDescent="0.25">
      <c r="B24" s="3" t="s">
        <v>63</v>
      </c>
      <c r="C24" s="14">
        <v>371.92</v>
      </c>
      <c r="D24" s="14"/>
      <c r="E24" s="14">
        <f t="shared" si="0"/>
        <v>185.96</v>
      </c>
      <c r="F24" s="3"/>
      <c r="G24" s="3"/>
      <c r="H24" s="3"/>
    </row>
    <row r="25" spans="2:8" x14ac:dyDescent="0.25">
      <c r="B25" s="3" t="s">
        <v>25</v>
      </c>
      <c r="C25" s="14">
        <v>410.82</v>
      </c>
      <c r="D25" s="14">
        <v>0</v>
      </c>
      <c r="E25" s="14">
        <f t="shared" si="0"/>
        <v>205.41</v>
      </c>
      <c r="F25" s="3"/>
      <c r="G25" s="3"/>
      <c r="H25" s="3"/>
    </row>
    <row r="26" spans="2:8" x14ac:dyDescent="0.25">
      <c r="B26" s="3" t="s">
        <v>26</v>
      </c>
      <c r="C26" s="14">
        <v>400</v>
      </c>
      <c r="D26" s="14">
        <v>0</v>
      </c>
      <c r="E26" s="14">
        <f t="shared" si="0"/>
        <v>200</v>
      </c>
      <c r="F26" s="3"/>
      <c r="G26" s="3"/>
      <c r="H26" s="3"/>
    </row>
    <row r="27" spans="2:8" x14ac:dyDescent="0.25">
      <c r="B27" s="3" t="s">
        <v>27</v>
      </c>
      <c r="C27" s="14">
        <v>647.1</v>
      </c>
      <c r="D27" s="14">
        <v>0</v>
      </c>
      <c r="E27" s="14">
        <f t="shared" si="0"/>
        <v>323.55</v>
      </c>
      <c r="F27" s="3"/>
      <c r="G27" s="3"/>
      <c r="H27" s="3"/>
    </row>
  </sheetData>
  <sheetProtection sheet="1" objects="1" scenarios="1" selectLockedCells="1" selectUnlockedCells="1"/>
  <sortState ref="B4:C11">
    <sortCondition ref="B4"/>
  </sortState>
  <mergeCells count="1">
    <mergeCell ref="B2:C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6" tint="-0.249977111117893"/>
  </sheetPr>
  <dimension ref="B4:N39"/>
  <sheetViews>
    <sheetView zoomScale="80" zoomScaleNormal="80" workbookViewId="0">
      <selection activeCell="L16" sqref="L16"/>
    </sheetView>
  </sheetViews>
  <sheetFormatPr baseColWidth="10" defaultRowHeight="15" x14ac:dyDescent="0.25"/>
  <cols>
    <col min="2" max="3" width="26.42578125" bestFit="1" customWidth="1"/>
    <col min="5" max="5" width="12.7109375" bestFit="1" customWidth="1"/>
    <col min="8" max="8" width="6.28515625" bestFit="1" customWidth="1"/>
    <col min="10" max="10" width="8" bestFit="1" customWidth="1"/>
    <col min="11" max="11" width="5.7109375" customWidth="1"/>
    <col min="12" max="12" width="11.140625" customWidth="1"/>
    <col min="13" max="13" width="9" customWidth="1"/>
    <col min="14" max="24" width="5.7109375" customWidth="1"/>
  </cols>
  <sheetData>
    <row r="4" spans="2:14" x14ac:dyDescent="0.25">
      <c r="B4" s="88">
        <f>+'CONTROL H.E.'!C6-'CONTROL H.E.'!C5</f>
        <v>14</v>
      </c>
    </row>
    <row r="5" spans="2:14" x14ac:dyDescent="0.25">
      <c r="B5" s="53" t="str">
        <f>IF(B7=15,"PRIMERA QUINCENA","SEGUNDA QUINCENA")</f>
        <v>PRIMERA QUINCENA</v>
      </c>
    </row>
    <row r="6" spans="2:14" x14ac:dyDescent="0.25">
      <c r="B6" s="3">
        <f>DAY('CONTROL H.E.'!C5)</f>
        <v>1</v>
      </c>
    </row>
    <row r="7" spans="2:14" x14ac:dyDescent="0.25">
      <c r="B7" s="3">
        <f>DAY('CONTROL H.E.'!C6)</f>
        <v>15</v>
      </c>
    </row>
    <row r="8" spans="2:14" x14ac:dyDescent="0.25">
      <c r="B8" s="3">
        <f>MONTH('CONTROL H.E.'!C6)</f>
        <v>6</v>
      </c>
    </row>
    <row r="9" spans="2:14" x14ac:dyDescent="0.25">
      <c r="B9" s="3" t="str">
        <f>IF(B8=1,"ENERO",IF(B8=2,"FEBRERO",IF(B8=3,"MARZO",IF(B8=4,"ABRIL",IF(B8=5,"MAYO",IF(B8=6,"JUNIO",IF(B8=7,"JULIO",IF(B8=8,"AGOSTO",IF(B8=9,"SEPTIEMBRE",IF(B8=10,"OCTUBRE",IF(B8=11,"NOVIEMBRE",IF(B8=12,"DICIEMBRE",0))))))))))))</f>
        <v>JUNIO</v>
      </c>
    </row>
    <row r="10" spans="2:14" x14ac:dyDescent="0.25">
      <c r="B10" s="3">
        <f>YEAR('CONTROL H.E.'!C6)</f>
        <v>2019</v>
      </c>
    </row>
    <row r="11" spans="2:14" x14ac:dyDescent="0.25">
      <c r="B11" s="90" t="str">
        <f>CONCATENATE(B5," DE ",B9," DEL ",B10)</f>
        <v>PRIMERA QUINCENA DE JUNIO DEL 2019</v>
      </c>
    </row>
    <row r="12" spans="2:14" x14ac:dyDescent="0.25">
      <c r="B12" s="90" t="str">
        <f>CONCATENATE("DEL ",B6," AL ",B7," DE ",B9," DEL ",B10)</f>
        <v>DEL 1 AL 15 DE JUNIO DEL 2019</v>
      </c>
    </row>
    <row r="14" spans="2:14" x14ac:dyDescent="0.25">
      <c r="B14" s="168">
        <f>+'CONTROL H.E.'!C5</f>
        <v>43617</v>
      </c>
      <c r="C14" s="168">
        <f>+'CONTROL H.E.'!C6</f>
        <v>43631</v>
      </c>
      <c r="D14" s="102">
        <f>IF(B14=0," ",VLOOKUP(B14,B:D,3))</f>
        <v>24</v>
      </c>
      <c r="E14" s="102">
        <f>'CONTROL H.E.'!C6-'CONTROL H.E.'!C5</f>
        <v>14</v>
      </c>
      <c r="F14">
        <f>+'Reporte Asistencia Laboral'!G7+VARIOS!E14</f>
        <v>15</v>
      </c>
    </row>
    <row r="15" spans="2:14" x14ac:dyDescent="0.25">
      <c r="B15" s="101" t="s">
        <v>115</v>
      </c>
      <c r="C15" s="101" t="s">
        <v>116</v>
      </c>
      <c r="D15" s="101" t="s">
        <v>117</v>
      </c>
      <c r="H15" t="s">
        <v>118</v>
      </c>
      <c r="I15" t="s">
        <v>119</v>
      </c>
      <c r="J15" t="s">
        <v>120</v>
      </c>
    </row>
    <row r="16" spans="2:14" x14ac:dyDescent="0.25">
      <c r="B16" s="200">
        <v>43101</v>
      </c>
      <c r="C16" s="200">
        <v>43115</v>
      </c>
      <c r="D16">
        <v>1</v>
      </c>
      <c r="H16">
        <v>1</v>
      </c>
      <c r="I16" t="s">
        <v>121</v>
      </c>
      <c r="J16" t="s">
        <v>3</v>
      </c>
      <c r="K16">
        <f>DAY(L16)</f>
        <v>1</v>
      </c>
      <c r="L16" s="45">
        <f>'CONTROL H.E.'!C5</f>
        <v>43617</v>
      </c>
      <c r="M16" s="47">
        <f>WEEKDAY(L16)</f>
        <v>7</v>
      </c>
      <c r="N16" s="47" t="str">
        <f>VLOOKUP(M16,H:J,3,FALSE)</f>
        <v>S</v>
      </c>
    </row>
    <row r="17" spans="2:14" x14ac:dyDescent="0.25">
      <c r="B17" s="200">
        <v>43116</v>
      </c>
      <c r="C17" s="200">
        <v>43131</v>
      </c>
      <c r="D17">
        <v>2</v>
      </c>
      <c r="H17">
        <v>2</v>
      </c>
      <c r="I17" t="s">
        <v>122</v>
      </c>
      <c r="J17" t="s">
        <v>4</v>
      </c>
      <c r="K17">
        <f t="shared" ref="K17:K30" si="0">DAY(L17)</f>
        <v>2</v>
      </c>
      <c r="L17" s="45">
        <f>L16+1</f>
        <v>43618</v>
      </c>
      <c r="M17" s="47">
        <f t="shared" ref="M17:M29" si="1">WEEKDAY(L17)</f>
        <v>1</v>
      </c>
      <c r="N17" s="47" t="str">
        <f t="shared" ref="N17:N30" si="2">VLOOKUP(M17,H:J,3,FALSE)</f>
        <v>D</v>
      </c>
    </row>
    <row r="18" spans="2:14" x14ac:dyDescent="0.25">
      <c r="B18" s="200">
        <v>43132</v>
      </c>
      <c r="C18" s="200">
        <v>43146</v>
      </c>
      <c r="D18">
        <v>3</v>
      </c>
      <c r="H18">
        <v>3</v>
      </c>
      <c r="I18" t="s">
        <v>123</v>
      </c>
      <c r="J18" t="s">
        <v>5</v>
      </c>
      <c r="K18">
        <f t="shared" si="0"/>
        <v>3</v>
      </c>
      <c r="L18" s="45">
        <f t="shared" ref="L18:L29" si="3">L17+1</f>
        <v>43619</v>
      </c>
      <c r="M18" s="47">
        <f t="shared" si="1"/>
        <v>2</v>
      </c>
      <c r="N18" s="47" t="str">
        <f t="shared" si="2"/>
        <v>L</v>
      </c>
    </row>
    <row r="19" spans="2:14" x14ac:dyDescent="0.25">
      <c r="B19" s="200">
        <v>43147</v>
      </c>
      <c r="C19" s="200">
        <v>43159</v>
      </c>
      <c r="D19">
        <v>4</v>
      </c>
      <c r="H19">
        <v>4</v>
      </c>
      <c r="I19" t="s">
        <v>124</v>
      </c>
      <c r="J19" t="s">
        <v>6</v>
      </c>
      <c r="K19">
        <f t="shared" si="0"/>
        <v>4</v>
      </c>
      <c r="L19" s="45">
        <f t="shared" si="3"/>
        <v>43620</v>
      </c>
      <c r="M19" s="47">
        <f t="shared" si="1"/>
        <v>3</v>
      </c>
      <c r="N19" s="47" t="str">
        <f t="shared" si="2"/>
        <v>M</v>
      </c>
    </row>
    <row r="20" spans="2:14" x14ac:dyDescent="0.25">
      <c r="B20" s="200">
        <v>43160</v>
      </c>
      <c r="C20" s="200">
        <v>43174</v>
      </c>
      <c r="D20">
        <v>5</v>
      </c>
      <c r="H20">
        <v>5</v>
      </c>
      <c r="I20" t="s">
        <v>125</v>
      </c>
      <c r="J20" t="s">
        <v>7</v>
      </c>
      <c r="K20">
        <f t="shared" si="0"/>
        <v>5</v>
      </c>
      <c r="L20" s="45">
        <f t="shared" si="3"/>
        <v>43621</v>
      </c>
      <c r="M20" s="47">
        <f t="shared" si="1"/>
        <v>4</v>
      </c>
      <c r="N20" s="47" t="str">
        <f t="shared" si="2"/>
        <v>Mi</v>
      </c>
    </row>
    <row r="21" spans="2:14" x14ac:dyDescent="0.25">
      <c r="B21" s="200">
        <v>43175</v>
      </c>
      <c r="C21" s="200">
        <v>43190</v>
      </c>
      <c r="D21">
        <v>6</v>
      </c>
      <c r="H21">
        <v>6</v>
      </c>
      <c r="I21" t="s">
        <v>126</v>
      </c>
      <c r="J21" t="s">
        <v>8</v>
      </c>
      <c r="K21">
        <f t="shared" si="0"/>
        <v>6</v>
      </c>
      <c r="L21" s="45">
        <f t="shared" si="3"/>
        <v>43622</v>
      </c>
      <c r="M21" s="47">
        <f t="shared" si="1"/>
        <v>5</v>
      </c>
      <c r="N21" s="47" t="str">
        <f t="shared" si="2"/>
        <v>J</v>
      </c>
    </row>
    <row r="22" spans="2:14" x14ac:dyDescent="0.25">
      <c r="B22" s="200">
        <v>43191</v>
      </c>
      <c r="C22" s="200">
        <v>43205</v>
      </c>
      <c r="D22">
        <v>7</v>
      </c>
      <c r="H22">
        <v>7</v>
      </c>
      <c r="I22" t="s">
        <v>127</v>
      </c>
      <c r="J22" t="s">
        <v>2</v>
      </c>
      <c r="K22">
        <f t="shared" si="0"/>
        <v>7</v>
      </c>
      <c r="L22" s="45">
        <f t="shared" si="3"/>
        <v>43623</v>
      </c>
      <c r="M22" s="47">
        <f t="shared" si="1"/>
        <v>6</v>
      </c>
      <c r="N22" s="47" t="str">
        <f t="shared" si="2"/>
        <v>V</v>
      </c>
    </row>
    <row r="23" spans="2:14" x14ac:dyDescent="0.25">
      <c r="B23" s="200">
        <v>43206</v>
      </c>
      <c r="C23" s="200">
        <v>43220</v>
      </c>
      <c r="D23">
        <v>8</v>
      </c>
      <c r="K23">
        <f t="shared" si="0"/>
        <v>8</v>
      </c>
      <c r="L23" s="45">
        <f t="shared" si="3"/>
        <v>43624</v>
      </c>
      <c r="M23" s="47">
        <f t="shared" si="1"/>
        <v>7</v>
      </c>
      <c r="N23" s="47" t="str">
        <f t="shared" si="2"/>
        <v>S</v>
      </c>
    </row>
    <row r="24" spans="2:14" x14ac:dyDescent="0.25">
      <c r="B24" s="200">
        <v>43221</v>
      </c>
      <c r="C24" s="200">
        <v>43235</v>
      </c>
      <c r="D24">
        <v>9</v>
      </c>
      <c r="K24">
        <f t="shared" si="0"/>
        <v>9</v>
      </c>
      <c r="L24" s="45">
        <f t="shared" si="3"/>
        <v>43625</v>
      </c>
      <c r="M24" s="47">
        <f t="shared" si="1"/>
        <v>1</v>
      </c>
      <c r="N24" s="47" t="str">
        <f t="shared" si="2"/>
        <v>D</v>
      </c>
    </row>
    <row r="25" spans="2:14" x14ac:dyDescent="0.25">
      <c r="B25" s="200">
        <v>43236</v>
      </c>
      <c r="C25" s="200">
        <v>43251</v>
      </c>
      <c r="D25">
        <v>10</v>
      </c>
      <c r="K25">
        <f t="shared" si="0"/>
        <v>10</v>
      </c>
      <c r="L25" s="45">
        <f t="shared" si="3"/>
        <v>43626</v>
      </c>
      <c r="M25" s="47">
        <f t="shared" si="1"/>
        <v>2</v>
      </c>
      <c r="N25" s="47" t="str">
        <f t="shared" si="2"/>
        <v>L</v>
      </c>
    </row>
    <row r="26" spans="2:14" x14ac:dyDescent="0.25">
      <c r="B26" s="200">
        <v>43252</v>
      </c>
      <c r="C26" s="200">
        <v>43266</v>
      </c>
      <c r="D26">
        <v>11</v>
      </c>
      <c r="K26">
        <f t="shared" si="0"/>
        <v>11</v>
      </c>
      <c r="L26" s="45">
        <f t="shared" si="3"/>
        <v>43627</v>
      </c>
      <c r="M26" s="47">
        <f t="shared" si="1"/>
        <v>3</v>
      </c>
      <c r="N26" s="47" t="str">
        <f t="shared" si="2"/>
        <v>M</v>
      </c>
    </row>
    <row r="27" spans="2:14" x14ac:dyDescent="0.25">
      <c r="B27" s="200">
        <v>43267</v>
      </c>
      <c r="C27" s="200">
        <v>43281</v>
      </c>
      <c r="D27">
        <v>12</v>
      </c>
      <c r="K27">
        <f t="shared" si="0"/>
        <v>12</v>
      </c>
      <c r="L27" s="45">
        <f t="shared" si="3"/>
        <v>43628</v>
      </c>
      <c r="M27" s="47">
        <f t="shared" si="1"/>
        <v>4</v>
      </c>
      <c r="N27" s="47" t="str">
        <f t="shared" si="2"/>
        <v>Mi</v>
      </c>
    </row>
    <row r="28" spans="2:14" x14ac:dyDescent="0.25">
      <c r="B28" s="200">
        <v>43282</v>
      </c>
      <c r="C28" s="200">
        <v>43296</v>
      </c>
      <c r="D28">
        <v>13</v>
      </c>
      <c r="K28">
        <f t="shared" si="0"/>
        <v>13</v>
      </c>
      <c r="L28" s="45">
        <f t="shared" si="3"/>
        <v>43629</v>
      </c>
      <c r="M28" s="47">
        <f t="shared" si="1"/>
        <v>5</v>
      </c>
      <c r="N28" s="47" t="str">
        <f t="shared" si="2"/>
        <v>J</v>
      </c>
    </row>
    <row r="29" spans="2:14" x14ac:dyDescent="0.25">
      <c r="B29" s="200">
        <v>43297</v>
      </c>
      <c r="C29" s="200">
        <v>43312</v>
      </c>
      <c r="D29">
        <v>14</v>
      </c>
      <c r="K29">
        <f t="shared" si="0"/>
        <v>14</v>
      </c>
      <c r="L29" s="45">
        <f t="shared" si="3"/>
        <v>43630</v>
      </c>
      <c r="M29" s="47">
        <f t="shared" si="1"/>
        <v>6</v>
      </c>
      <c r="N29" s="47" t="str">
        <f t="shared" si="2"/>
        <v>V</v>
      </c>
    </row>
    <row r="30" spans="2:14" x14ac:dyDescent="0.25">
      <c r="B30" s="200">
        <v>43313</v>
      </c>
      <c r="C30" s="200">
        <v>43327</v>
      </c>
      <c r="D30">
        <v>15</v>
      </c>
      <c r="K30">
        <f t="shared" si="0"/>
        <v>15</v>
      </c>
      <c r="L30" s="45">
        <f>L29+1</f>
        <v>43631</v>
      </c>
      <c r="M30" s="47">
        <f>WEEKDAY(L30)</f>
        <v>7</v>
      </c>
      <c r="N30" s="47" t="str">
        <f t="shared" si="2"/>
        <v>S</v>
      </c>
    </row>
    <row r="31" spans="2:14" x14ac:dyDescent="0.25">
      <c r="B31" s="200">
        <v>43328</v>
      </c>
      <c r="C31" s="200">
        <v>43343</v>
      </c>
      <c r="D31">
        <v>16</v>
      </c>
      <c r="K31" t="str">
        <f>IF(B4=14," ",DAY(L31))</f>
        <v xml:space="preserve"> </v>
      </c>
      <c r="L31" s="45" t="str">
        <f>IF(B4=14," ",L30+1)</f>
        <v xml:space="preserve"> </v>
      </c>
      <c r="M31" s="47" t="str">
        <f>IF(L31=" "," ", WEEKDAY(L31))</f>
        <v xml:space="preserve"> </v>
      </c>
      <c r="N31" s="47" t="str">
        <f>IF(M31=" "," ",VLOOKUP(M31,H:J,3,FALSE))</f>
        <v xml:space="preserve"> </v>
      </c>
    </row>
    <row r="32" spans="2:14" x14ac:dyDescent="0.25">
      <c r="B32" s="200">
        <v>43344</v>
      </c>
      <c r="C32" s="200">
        <v>43358</v>
      </c>
      <c r="D32">
        <v>17</v>
      </c>
    </row>
    <row r="33" spans="2:4" x14ac:dyDescent="0.25">
      <c r="B33" s="200">
        <v>43359</v>
      </c>
      <c r="C33" s="200">
        <v>43373</v>
      </c>
      <c r="D33">
        <v>18</v>
      </c>
    </row>
    <row r="34" spans="2:4" x14ac:dyDescent="0.25">
      <c r="B34" s="200">
        <v>43374</v>
      </c>
      <c r="C34" s="200">
        <v>43388</v>
      </c>
      <c r="D34">
        <v>19</v>
      </c>
    </row>
    <row r="35" spans="2:4" x14ac:dyDescent="0.25">
      <c r="B35" s="200">
        <v>43389</v>
      </c>
      <c r="C35" s="200">
        <v>43404</v>
      </c>
      <c r="D35">
        <v>20</v>
      </c>
    </row>
    <row r="36" spans="2:4" x14ac:dyDescent="0.25">
      <c r="B36" s="200">
        <v>43405</v>
      </c>
      <c r="C36" s="200">
        <v>43419</v>
      </c>
      <c r="D36">
        <v>21</v>
      </c>
    </row>
    <row r="37" spans="2:4" x14ac:dyDescent="0.25">
      <c r="B37" s="200">
        <v>43420</v>
      </c>
      <c r="C37" s="200">
        <v>43434</v>
      </c>
      <c r="D37">
        <v>22</v>
      </c>
    </row>
    <row r="38" spans="2:4" x14ac:dyDescent="0.25">
      <c r="B38" s="200">
        <v>43435</v>
      </c>
      <c r="C38" s="200">
        <v>43449</v>
      </c>
      <c r="D38">
        <v>23</v>
      </c>
    </row>
    <row r="39" spans="2:4" x14ac:dyDescent="0.25">
      <c r="B39" s="200">
        <v>43450</v>
      </c>
      <c r="C39" s="200">
        <v>43465</v>
      </c>
      <c r="D39">
        <v>24</v>
      </c>
    </row>
  </sheetData>
  <pageMargins left="0.7" right="0.7" top="0.75" bottom="0.75" header="0.3" footer="0.3"/>
  <pageSetup orientation="portrait" horizontalDpi="120" verticalDpi="7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-0.249977111117893"/>
  </sheetPr>
  <dimension ref="A1:JP45"/>
  <sheetViews>
    <sheetView topLeftCell="B1" zoomScale="50" zoomScaleNormal="50" workbookViewId="0">
      <selection activeCell="F10" sqref="F10"/>
    </sheetView>
  </sheetViews>
  <sheetFormatPr baseColWidth="10" defaultRowHeight="15" x14ac:dyDescent="0.25"/>
  <cols>
    <col min="1" max="1" width="2.85546875" style="3" hidden="1" customWidth="1"/>
    <col min="2" max="2" width="5.7109375" style="3" customWidth="1"/>
    <col min="3" max="3" width="42.7109375" style="3" customWidth="1"/>
    <col min="4" max="4" width="14.7109375" style="3" customWidth="1"/>
    <col min="5" max="5" width="10.42578125" style="3" hidden="1" customWidth="1"/>
    <col min="6" max="8" width="6.28515625" style="3" customWidth="1"/>
    <col min="9" max="9" width="12.42578125" style="3" customWidth="1"/>
    <col min="10" max="12" width="6.28515625" style="3" customWidth="1"/>
    <col min="13" max="13" width="10.7109375" style="3" customWidth="1"/>
    <col min="14" max="16" width="6.28515625" style="3" customWidth="1"/>
    <col min="17" max="17" width="9.7109375" style="3" customWidth="1"/>
    <col min="18" max="20" width="6.28515625" style="3" customWidth="1"/>
    <col min="21" max="21" width="9.7109375" style="3" customWidth="1"/>
    <col min="22" max="24" width="6.28515625" style="3" customWidth="1"/>
    <col min="25" max="25" width="10.7109375" style="3" customWidth="1"/>
    <col min="26" max="28" width="6.28515625" style="3" customWidth="1"/>
    <col min="29" max="29" width="9.7109375" style="3" customWidth="1"/>
    <col min="30" max="30" width="6.28515625" style="3" customWidth="1"/>
    <col min="31" max="31" width="8.28515625" style="3" bestFit="1" customWidth="1"/>
    <col min="32" max="32" width="6.28515625" style="3" customWidth="1"/>
    <col min="33" max="33" width="10" style="3" bestFit="1" customWidth="1"/>
    <col min="34" max="34" width="8.28515625" style="3" bestFit="1" customWidth="1"/>
    <col min="35" max="35" width="6.28515625" style="3" customWidth="1"/>
    <col min="36" max="36" width="7.7109375" style="3" bestFit="1" customWidth="1"/>
    <col min="37" max="37" width="9.7109375" style="3" customWidth="1"/>
    <col min="38" max="40" width="6.28515625" style="3" customWidth="1"/>
    <col min="41" max="41" width="10.7109375" style="3" customWidth="1"/>
    <col min="42" max="44" width="6.28515625" style="3" customWidth="1"/>
    <col min="45" max="45" width="9.7109375" style="3" customWidth="1"/>
    <col min="46" max="48" width="6.28515625" style="3" customWidth="1"/>
    <col min="49" max="49" width="10.7109375" style="3" customWidth="1"/>
    <col min="50" max="52" width="6.28515625" style="3" customWidth="1"/>
    <col min="53" max="53" width="9.7109375" style="3" customWidth="1"/>
    <col min="54" max="56" width="6.28515625" style="3" customWidth="1"/>
    <col min="57" max="57" width="10.7109375" style="3" customWidth="1"/>
    <col min="58" max="60" width="6.28515625" style="3" customWidth="1"/>
    <col min="61" max="61" width="9.7109375" style="3" customWidth="1"/>
    <col min="62" max="64" width="6.28515625" style="3" customWidth="1"/>
    <col min="65" max="65" width="10.7109375" style="3" customWidth="1"/>
    <col min="66" max="68" width="6.28515625" style="3" customWidth="1"/>
    <col min="69" max="69" width="9.7109375" style="3" customWidth="1"/>
    <col min="70" max="72" width="6.28515625" style="3" customWidth="1"/>
    <col min="73" max="73" width="10.7109375" style="3" customWidth="1"/>
    <col min="74" max="76" width="6.28515625" style="3" customWidth="1"/>
    <col min="77" max="77" width="9.7109375" style="3" customWidth="1"/>
    <col min="78" max="80" width="6.28515625" style="3" customWidth="1"/>
    <col min="81" max="81" width="10.7109375" style="3" customWidth="1"/>
    <col min="82" max="84" width="6.28515625" style="3" customWidth="1"/>
    <col min="85" max="85" width="9.7109375" style="3" customWidth="1"/>
    <col min="86" max="88" width="6.28515625" style="3" customWidth="1"/>
    <col min="89" max="89" width="10.7109375" style="3" customWidth="1"/>
    <col min="90" max="92" width="6.28515625" style="3" customWidth="1"/>
    <col min="93" max="93" width="9.7109375" style="3" customWidth="1"/>
    <col min="94" max="96" width="6.28515625" style="3" customWidth="1"/>
    <col min="97" max="97" width="10.7109375" style="3" customWidth="1"/>
    <col min="98" max="100" width="6.28515625" style="3" customWidth="1"/>
    <col min="101" max="101" width="9.7109375" style="3" customWidth="1"/>
    <col min="102" max="104" width="6.28515625" style="3" customWidth="1"/>
    <col min="105" max="105" width="10.7109375" style="3" customWidth="1"/>
    <col min="106" max="108" width="6.28515625" style="3" customWidth="1"/>
    <col min="109" max="109" width="9.7109375" style="3" customWidth="1"/>
    <col min="110" max="112" width="6.28515625" style="3" customWidth="1"/>
    <col min="113" max="113" width="10.7109375" style="3" customWidth="1"/>
    <col min="114" max="116" width="6.28515625" style="3" customWidth="1"/>
    <col min="117" max="117" width="9.7109375" style="3" customWidth="1"/>
    <col min="118" max="120" width="6.28515625" style="3" customWidth="1"/>
    <col min="121" max="121" width="10.7109375" style="3" customWidth="1"/>
    <col min="122" max="124" width="6.28515625" style="3" customWidth="1"/>
    <col min="125" max="125" width="10.7109375" style="3" customWidth="1"/>
    <col min="126" max="128" width="6.28515625" style="3" customWidth="1"/>
    <col min="129" max="130" width="10.7109375" style="3" customWidth="1"/>
    <col min="131" max="132" width="6.28515625" style="3" customWidth="1"/>
    <col min="133" max="133" width="9.7109375" style="3" customWidth="1"/>
    <col min="134" max="136" width="6.28515625" style="3" customWidth="1"/>
    <col min="137" max="137" width="10.7109375" style="3" customWidth="1"/>
    <col min="138" max="140" width="6.28515625" style="3" customWidth="1"/>
    <col min="141" max="141" width="9.7109375" style="3" customWidth="1"/>
    <col min="142" max="144" width="6.28515625" style="3" customWidth="1"/>
    <col min="145" max="145" width="10.7109375" style="3" customWidth="1"/>
    <col min="146" max="148" width="6.28515625" style="3" customWidth="1"/>
    <col min="149" max="149" width="9.7109375" style="3" customWidth="1"/>
    <col min="150" max="152" width="6.28515625" style="3" customWidth="1"/>
    <col min="153" max="153" width="10.7109375" style="3" customWidth="1"/>
    <col min="154" max="156" width="6.28515625" style="3" customWidth="1"/>
    <col min="157" max="157" width="9.7109375" style="3" customWidth="1"/>
    <col min="158" max="160" width="6.28515625" style="3" customWidth="1"/>
    <col min="161" max="161" width="10.7109375" style="3" customWidth="1"/>
    <col min="162" max="164" width="6.28515625" style="3" customWidth="1"/>
    <col min="165" max="165" width="9.7109375" style="3" customWidth="1"/>
    <col min="166" max="168" width="6.28515625" style="3" customWidth="1"/>
    <col min="169" max="169" width="10.7109375" style="3" customWidth="1"/>
    <col min="170" max="172" width="6.28515625" style="3" customWidth="1"/>
    <col min="173" max="173" width="9.7109375" style="3" customWidth="1"/>
    <col min="174" max="176" width="6.28515625" style="3" customWidth="1"/>
    <col min="177" max="177" width="10.7109375" style="3" customWidth="1"/>
    <col min="178" max="180" width="6.28515625" style="3" customWidth="1"/>
    <col min="181" max="181" width="9.7109375" style="3" customWidth="1"/>
    <col min="182" max="184" width="6.28515625" style="3" customWidth="1"/>
    <col min="185" max="185" width="10.7109375" style="3" customWidth="1"/>
    <col min="186" max="188" width="6.28515625" style="3" customWidth="1"/>
    <col min="189" max="189" width="9.7109375" style="3" customWidth="1"/>
    <col min="190" max="192" width="6.28515625" style="3" customWidth="1"/>
    <col min="193" max="193" width="10.7109375" style="3" customWidth="1"/>
    <col min="194" max="196" width="6.28515625" style="3" customWidth="1"/>
    <col min="197" max="197" width="9.7109375" style="3" customWidth="1"/>
    <col min="198" max="200" width="6.28515625" style="3" customWidth="1"/>
    <col min="201" max="201" width="12.85546875" style="3" customWidth="1"/>
    <col min="202" max="204" width="6.28515625" style="3" customWidth="1"/>
    <col min="205" max="205" width="9.7109375" style="3" customWidth="1"/>
    <col min="206" max="208" width="6.28515625" style="3" customWidth="1"/>
    <col min="209" max="209" width="10.7109375" style="3" customWidth="1"/>
    <col min="210" max="212" width="6.28515625" style="3" customWidth="1"/>
    <col min="213" max="213" width="9.7109375" style="3" customWidth="1"/>
    <col min="214" max="216" width="6.28515625" style="3" customWidth="1"/>
    <col min="217" max="217" width="10.7109375" style="3" customWidth="1"/>
    <col min="218" max="220" width="6.28515625" style="3" customWidth="1"/>
    <col min="221" max="221" width="9.7109375" style="3" customWidth="1"/>
    <col min="222" max="224" width="6.28515625" style="3" customWidth="1"/>
    <col min="225" max="225" width="10.7109375" style="3" customWidth="1"/>
    <col min="226" max="228" width="6.28515625" style="3" customWidth="1"/>
    <col min="229" max="229" width="9.7109375" style="3" customWidth="1"/>
    <col min="230" max="232" width="6.28515625" style="3" customWidth="1"/>
    <col min="233" max="233" width="10.7109375" style="3" customWidth="1"/>
    <col min="234" max="236" width="6.28515625" style="3" customWidth="1"/>
    <col min="237" max="237" width="9.7109375" style="3" customWidth="1"/>
    <col min="238" max="240" width="6.28515625" style="3" customWidth="1"/>
    <col min="241" max="241" width="10.7109375" style="3" customWidth="1"/>
    <col min="242" max="244" width="6.28515625" style="3" customWidth="1"/>
    <col min="245" max="245" width="9.7109375" style="3" customWidth="1"/>
    <col min="246" max="248" width="6.28515625" style="3" customWidth="1"/>
    <col min="249" max="249" width="10.7109375" style="3" customWidth="1"/>
    <col min="250" max="252" width="6.28515625" style="3" customWidth="1"/>
    <col min="253" max="253" width="9.7109375" style="3" customWidth="1"/>
    <col min="254" max="256" width="6.28515625" style="3" customWidth="1"/>
    <col min="257" max="257" width="10.7109375" style="3" customWidth="1"/>
    <col min="258" max="260" width="6.28515625" style="3" customWidth="1"/>
    <col min="261" max="261" width="9.7109375" style="3" customWidth="1"/>
    <col min="262" max="262" width="9.140625" style="14" bestFit="1" customWidth="1"/>
    <col min="263" max="265" width="7.7109375" style="14" customWidth="1"/>
    <col min="266" max="266" width="4.7109375" style="14" customWidth="1"/>
    <col min="270" max="271" width="11.42578125" style="3"/>
    <col min="276" max="276" width="4.7109375" style="14" customWidth="1"/>
    <col min="277" max="16384" width="11.42578125" style="3"/>
  </cols>
  <sheetData>
    <row r="1" spans="2:276" ht="15.75" customHeight="1" x14ac:dyDescent="0.25"/>
    <row r="2" spans="2:276" ht="22.5" x14ac:dyDescent="0.4">
      <c r="C2" s="344" t="s">
        <v>48</v>
      </c>
      <c r="D2" s="344"/>
      <c r="E2" s="344"/>
      <c r="F2" s="113"/>
      <c r="G2" s="113"/>
    </row>
    <row r="3" spans="2:276" ht="23.25" thickBot="1" x14ac:dyDescent="0.45">
      <c r="C3" s="309" t="s">
        <v>112</v>
      </c>
      <c r="D3" s="309"/>
      <c r="E3" s="309"/>
      <c r="F3" s="110"/>
      <c r="G3" s="110"/>
    </row>
    <row r="4" spans="2:276" ht="15.75" thickBot="1" x14ac:dyDescent="0.3">
      <c r="C4" s="54" t="str">
        <f>IF(VARIOS!B4&gt;=14,IF(C5=0," ",+VARIOS!B11)," ")</f>
        <v xml:space="preserve"> </v>
      </c>
      <c r="F4" s="68" t="e">
        <f>IF(F5=7,"F",IF(F5=1,"F",0))</f>
        <v>#VALUE!</v>
      </c>
      <c r="I4" s="64"/>
      <c r="J4" s="64"/>
      <c r="K4" s="64"/>
      <c r="V4" s="68" t="e">
        <f>IF(V5=7,"F",IF(V5=1,"F",0))</f>
        <v>#VALUE!</v>
      </c>
      <c r="W4" s="64"/>
      <c r="X4" s="64"/>
      <c r="Y4" s="64"/>
      <c r="Z4" s="64"/>
      <c r="AA4" s="64"/>
      <c r="AL4" s="68" t="e">
        <f>IF(AL5=7,"F",IF(AL5=1,"F",0))</f>
        <v>#VALUE!</v>
      </c>
      <c r="AM4" s="64"/>
      <c r="AN4" s="64"/>
      <c r="AO4" s="64"/>
      <c r="AP4" s="64"/>
      <c r="AQ4" s="64"/>
      <c r="BB4" s="68" t="e">
        <f>IF(BB5=7,"F",IF(BB5=1,"F",0))</f>
        <v>#VALUE!</v>
      </c>
      <c r="BC4" s="64"/>
      <c r="BD4" s="64"/>
      <c r="BE4" s="64"/>
      <c r="BF4" s="64"/>
      <c r="BG4" s="64"/>
      <c r="BR4" s="68" t="e">
        <f>IF(BR5=7,"F",IF(BR5=1,"F",0))</f>
        <v>#VALUE!</v>
      </c>
      <c r="BS4" s="64"/>
      <c r="BT4" s="64"/>
      <c r="BU4" s="64"/>
      <c r="BV4" s="64"/>
      <c r="BW4" s="64"/>
      <c r="CH4" s="68" t="e">
        <f>IF(CH5=7,"F",IF(CH5=1,"F",0))</f>
        <v>#VALUE!</v>
      </c>
      <c r="CI4" s="64"/>
      <c r="CJ4" s="64"/>
      <c r="CK4" s="64"/>
      <c r="CL4" s="64"/>
      <c r="CM4" s="64"/>
      <c r="CX4" s="68" t="e">
        <f>IF(CX5=7,"F",IF(CX5=1,"F",0))</f>
        <v>#VALUE!</v>
      </c>
      <c r="CY4" s="64"/>
      <c r="CZ4" s="64"/>
      <c r="DA4" s="64"/>
      <c r="DB4" s="64"/>
      <c r="DC4" s="64"/>
      <c r="DN4" s="68" t="e">
        <f>IF(DN5=7,"F",IF(DN5=1,"F",0))</f>
        <v>#VALUE!</v>
      </c>
      <c r="DO4" s="64"/>
      <c r="DP4" s="64"/>
      <c r="DQ4" s="64"/>
      <c r="DR4" s="64"/>
      <c r="DS4" s="64"/>
      <c r="ED4" s="68" t="e">
        <f>IF(ED5=7,"F",IF(ED5=1,"F",0))</f>
        <v>#VALUE!</v>
      </c>
      <c r="EE4" s="64"/>
      <c r="EF4" s="64"/>
      <c r="EG4" s="64"/>
      <c r="EH4" s="64"/>
      <c r="EI4" s="64"/>
      <c r="ET4" s="68" t="e">
        <f>IF(ET5=7,"F",IF(ET5=1,"F",0))</f>
        <v>#VALUE!</v>
      </c>
      <c r="EU4" s="64"/>
      <c r="EV4" s="64"/>
      <c r="EW4" s="64"/>
      <c r="EX4" s="64"/>
      <c r="EY4" s="64"/>
      <c r="FJ4" s="68" t="e">
        <f>IF(FJ5=7,"F",IF(FJ5=1,"F",0))</f>
        <v>#VALUE!</v>
      </c>
      <c r="FK4" s="64"/>
      <c r="FL4" s="64"/>
      <c r="FM4" s="64"/>
      <c r="FN4" s="64"/>
      <c r="FO4" s="64"/>
      <c r="FZ4" s="68" t="e">
        <f>IF(FZ5=7,"F",IF(FZ5=1,"F",0))</f>
        <v>#VALUE!</v>
      </c>
      <c r="GA4" s="64"/>
      <c r="GB4" s="64"/>
      <c r="GC4" s="64"/>
      <c r="GD4" s="64"/>
      <c r="GE4" s="64"/>
      <c r="GP4" s="68" t="e">
        <f>IF(GP5=7,"F",IF(GP5=1,"F",0))</f>
        <v>#VALUE!</v>
      </c>
      <c r="GQ4" s="64"/>
      <c r="GR4" s="64"/>
      <c r="GS4" s="64"/>
      <c r="GT4" s="64"/>
      <c r="GU4" s="64"/>
      <c r="HF4" s="68" t="e">
        <f>IF(HF5=7,"F",IF(HF5=1,"F",0))</f>
        <v>#VALUE!</v>
      </c>
      <c r="HG4" s="64"/>
      <c r="HH4" s="64"/>
      <c r="HI4" s="64"/>
      <c r="HJ4" s="64"/>
      <c r="HK4" s="64"/>
      <c r="HV4" s="68" t="e">
        <f>IF(HV5=7,"F",IF(HV5=1,"F",0))</f>
        <v>#VALUE!</v>
      </c>
      <c r="HW4" s="64"/>
      <c r="HX4" s="64"/>
      <c r="HY4" s="64"/>
      <c r="HZ4" s="64"/>
      <c r="IA4" s="64"/>
      <c r="IL4" s="68" t="e">
        <f>IF(IL5=7,"F",IF(IL5=1,"F",0))</f>
        <v>#VALUE!</v>
      </c>
      <c r="IM4" s="64"/>
      <c r="IN4" s="64"/>
      <c r="IO4" s="64"/>
      <c r="IP4" s="64"/>
      <c r="IQ4" s="64"/>
    </row>
    <row r="5" spans="2:276" s="8" customFormat="1" ht="21.75" customHeight="1" x14ac:dyDescent="0.3">
      <c r="B5" s="86" t="s">
        <v>110</v>
      </c>
      <c r="C5" s="87"/>
      <c r="D5" s="100" t="s">
        <v>114</v>
      </c>
      <c r="F5" s="345" t="e">
        <f>WEEKDAY(F6)</f>
        <v>#VALUE!</v>
      </c>
      <c r="G5" s="346"/>
      <c r="H5" s="346"/>
      <c r="I5" s="346"/>
      <c r="J5" s="346"/>
      <c r="K5" s="346"/>
      <c r="L5" s="346"/>
      <c r="M5" s="346"/>
      <c r="N5" s="346"/>
      <c r="O5" s="346"/>
      <c r="P5" s="346"/>
      <c r="Q5" s="346"/>
      <c r="R5" s="346"/>
      <c r="S5" s="346"/>
      <c r="T5" s="346"/>
      <c r="U5" s="347"/>
      <c r="V5" s="345" t="e">
        <f>WEEKDAY(V6)</f>
        <v>#VALUE!</v>
      </c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  <c r="AI5" s="346"/>
      <c r="AJ5" s="346"/>
      <c r="AK5" s="347"/>
      <c r="AL5" s="345" t="e">
        <f>WEEKDAY(AL6)</f>
        <v>#VALUE!</v>
      </c>
      <c r="AM5" s="346"/>
      <c r="AN5" s="346"/>
      <c r="AO5" s="346"/>
      <c r="AP5" s="346"/>
      <c r="AQ5" s="346"/>
      <c r="AR5" s="346"/>
      <c r="AS5" s="346"/>
      <c r="AT5" s="346"/>
      <c r="AU5" s="346"/>
      <c r="AV5" s="346"/>
      <c r="AW5" s="346"/>
      <c r="AX5" s="346"/>
      <c r="AY5" s="346"/>
      <c r="AZ5" s="346"/>
      <c r="BA5" s="347"/>
      <c r="BB5" s="345" t="e">
        <f>WEEKDAY(BB6)</f>
        <v>#VALUE!</v>
      </c>
      <c r="BC5" s="346"/>
      <c r="BD5" s="346"/>
      <c r="BE5" s="346"/>
      <c r="BF5" s="346"/>
      <c r="BG5" s="346"/>
      <c r="BH5" s="346"/>
      <c r="BI5" s="346"/>
      <c r="BJ5" s="346"/>
      <c r="BK5" s="346"/>
      <c r="BL5" s="346"/>
      <c r="BM5" s="346"/>
      <c r="BN5" s="346"/>
      <c r="BO5" s="346"/>
      <c r="BP5" s="346"/>
      <c r="BQ5" s="347"/>
      <c r="BR5" s="345" t="e">
        <f>WEEKDAY(BR6)</f>
        <v>#VALUE!</v>
      </c>
      <c r="BS5" s="346"/>
      <c r="BT5" s="346"/>
      <c r="BU5" s="346"/>
      <c r="BV5" s="346"/>
      <c r="BW5" s="346"/>
      <c r="BX5" s="346"/>
      <c r="BY5" s="346"/>
      <c r="BZ5" s="346"/>
      <c r="CA5" s="346"/>
      <c r="CB5" s="346"/>
      <c r="CC5" s="346"/>
      <c r="CD5" s="346"/>
      <c r="CE5" s="346"/>
      <c r="CF5" s="346"/>
      <c r="CG5" s="347"/>
      <c r="CH5" s="345" t="e">
        <f>WEEKDAY(CH6)</f>
        <v>#VALUE!</v>
      </c>
      <c r="CI5" s="346"/>
      <c r="CJ5" s="346"/>
      <c r="CK5" s="346"/>
      <c r="CL5" s="346"/>
      <c r="CM5" s="346"/>
      <c r="CN5" s="346"/>
      <c r="CO5" s="346"/>
      <c r="CP5" s="346"/>
      <c r="CQ5" s="346"/>
      <c r="CR5" s="346"/>
      <c r="CS5" s="346"/>
      <c r="CT5" s="346"/>
      <c r="CU5" s="346"/>
      <c r="CV5" s="346"/>
      <c r="CW5" s="347"/>
      <c r="CX5" s="345" t="e">
        <f>WEEKDAY(CX6)</f>
        <v>#VALUE!</v>
      </c>
      <c r="CY5" s="346"/>
      <c r="CZ5" s="346"/>
      <c r="DA5" s="346"/>
      <c r="DB5" s="346"/>
      <c r="DC5" s="346"/>
      <c r="DD5" s="346"/>
      <c r="DE5" s="346"/>
      <c r="DF5" s="346"/>
      <c r="DG5" s="346"/>
      <c r="DH5" s="346"/>
      <c r="DI5" s="346"/>
      <c r="DJ5" s="346"/>
      <c r="DK5" s="346"/>
      <c r="DL5" s="346"/>
      <c r="DM5" s="347"/>
      <c r="DN5" s="345" t="e">
        <f>WEEKDAY(DN6)</f>
        <v>#VALUE!</v>
      </c>
      <c r="DO5" s="346"/>
      <c r="DP5" s="346"/>
      <c r="DQ5" s="346"/>
      <c r="DR5" s="346"/>
      <c r="DS5" s="346"/>
      <c r="DT5" s="346"/>
      <c r="DU5" s="346"/>
      <c r="DV5" s="346"/>
      <c r="DW5" s="346"/>
      <c r="DX5" s="346"/>
      <c r="DY5" s="346"/>
      <c r="DZ5" s="346"/>
      <c r="EA5" s="346"/>
      <c r="EB5" s="346"/>
      <c r="EC5" s="347"/>
      <c r="ED5" s="345" t="e">
        <f>WEEKDAY(ED6)</f>
        <v>#VALUE!</v>
      </c>
      <c r="EE5" s="346"/>
      <c r="EF5" s="346"/>
      <c r="EG5" s="346"/>
      <c r="EH5" s="346"/>
      <c r="EI5" s="346"/>
      <c r="EJ5" s="346"/>
      <c r="EK5" s="346"/>
      <c r="EL5" s="346"/>
      <c r="EM5" s="346"/>
      <c r="EN5" s="346"/>
      <c r="EO5" s="346"/>
      <c r="EP5" s="346"/>
      <c r="EQ5" s="346"/>
      <c r="ER5" s="346"/>
      <c r="ES5" s="347"/>
      <c r="ET5" s="345" t="e">
        <f>WEEKDAY(ET6)</f>
        <v>#VALUE!</v>
      </c>
      <c r="EU5" s="346"/>
      <c r="EV5" s="346"/>
      <c r="EW5" s="346"/>
      <c r="EX5" s="346"/>
      <c r="EY5" s="346"/>
      <c r="EZ5" s="346"/>
      <c r="FA5" s="346"/>
      <c r="FB5" s="346"/>
      <c r="FC5" s="346"/>
      <c r="FD5" s="346"/>
      <c r="FE5" s="346"/>
      <c r="FF5" s="346"/>
      <c r="FG5" s="346"/>
      <c r="FH5" s="346"/>
      <c r="FI5" s="347"/>
      <c r="FJ5" s="345" t="e">
        <f>WEEKDAY(FJ6)</f>
        <v>#VALUE!</v>
      </c>
      <c r="FK5" s="346"/>
      <c r="FL5" s="346"/>
      <c r="FM5" s="346"/>
      <c r="FN5" s="346"/>
      <c r="FO5" s="346"/>
      <c r="FP5" s="346"/>
      <c r="FQ5" s="346"/>
      <c r="FR5" s="346"/>
      <c r="FS5" s="346"/>
      <c r="FT5" s="346"/>
      <c r="FU5" s="346"/>
      <c r="FV5" s="346"/>
      <c r="FW5" s="346"/>
      <c r="FX5" s="346"/>
      <c r="FY5" s="347"/>
      <c r="FZ5" s="345" t="e">
        <f>WEEKDAY(FZ6)</f>
        <v>#VALUE!</v>
      </c>
      <c r="GA5" s="346"/>
      <c r="GB5" s="346"/>
      <c r="GC5" s="346"/>
      <c r="GD5" s="346"/>
      <c r="GE5" s="346"/>
      <c r="GF5" s="346"/>
      <c r="GG5" s="346"/>
      <c r="GH5" s="346"/>
      <c r="GI5" s="346"/>
      <c r="GJ5" s="346"/>
      <c r="GK5" s="346"/>
      <c r="GL5" s="346"/>
      <c r="GM5" s="346"/>
      <c r="GN5" s="346"/>
      <c r="GO5" s="347"/>
      <c r="GP5" s="345" t="e">
        <f>WEEKDAY(GP6)</f>
        <v>#VALUE!</v>
      </c>
      <c r="GQ5" s="346"/>
      <c r="GR5" s="346"/>
      <c r="GS5" s="346"/>
      <c r="GT5" s="346"/>
      <c r="GU5" s="346"/>
      <c r="GV5" s="346"/>
      <c r="GW5" s="346"/>
      <c r="GX5" s="346"/>
      <c r="GY5" s="346"/>
      <c r="GZ5" s="346"/>
      <c r="HA5" s="346"/>
      <c r="HB5" s="346"/>
      <c r="HC5" s="346"/>
      <c r="HD5" s="346"/>
      <c r="HE5" s="347"/>
      <c r="HF5" s="345" t="e">
        <f>WEEKDAY(HF6)</f>
        <v>#VALUE!</v>
      </c>
      <c r="HG5" s="346"/>
      <c r="HH5" s="346"/>
      <c r="HI5" s="346"/>
      <c r="HJ5" s="346"/>
      <c r="HK5" s="346"/>
      <c r="HL5" s="346"/>
      <c r="HM5" s="346"/>
      <c r="HN5" s="346"/>
      <c r="HO5" s="346"/>
      <c r="HP5" s="346"/>
      <c r="HQ5" s="346"/>
      <c r="HR5" s="346"/>
      <c r="HS5" s="346"/>
      <c r="HT5" s="346"/>
      <c r="HU5" s="347"/>
      <c r="HV5" s="345" t="e">
        <f>WEEKDAY(HV6)</f>
        <v>#VALUE!</v>
      </c>
      <c r="HW5" s="346"/>
      <c r="HX5" s="346"/>
      <c r="HY5" s="346"/>
      <c r="HZ5" s="346"/>
      <c r="IA5" s="346"/>
      <c r="IB5" s="346"/>
      <c r="IC5" s="346"/>
      <c r="ID5" s="346"/>
      <c r="IE5" s="346"/>
      <c r="IF5" s="346"/>
      <c r="IG5" s="346"/>
      <c r="IH5" s="346"/>
      <c r="II5" s="346"/>
      <c r="IJ5" s="346"/>
      <c r="IK5" s="347"/>
      <c r="IL5" s="345" t="e">
        <f>WEEKDAY(IL6)</f>
        <v>#VALUE!</v>
      </c>
      <c r="IM5" s="346"/>
      <c r="IN5" s="346"/>
      <c r="IO5" s="346"/>
      <c r="IP5" s="346"/>
      <c r="IQ5" s="346"/>
      <c r="IR5" s="346"/>
      <c r="IS5" s="346"/>
      <c r="IT5" s="346"/>
      <c r="IU5" s="346"/>
      <c r="IV5" s="346"/>
      <c r="IW5" s="346"/>
      <c r="IX5" s="346"/>
      <c r="IY5" s="346"/>
      <c r="IZ5" s="346"/>
      <c r="JA5" s="347"/>
      <c r="JB5" s="14"/>
      <c r="JC5" s="14"/>
      <c r="JD5" s="14"/>
      <c r="JE5" s="14"/>
      <c r="JF5" s="14"/>
      <c r="JP5" s="14"/>
    </row>
    <row r="6" spans="2:276" ht="21.75" thickBot="1" x14ac:dyDescent="0.4">
      <c r="B6" s="114" t="s">
        <v>111</v>
      </c>
      <c r="C6" s="87"/>
      <c r="D6" s="89" t="s">
        <v>113</v>
      </c>
      <c r="F6" s="348" t="str">
        <f>IF(C5=0," ",+C5)</f>
        <v xml:space="preserve"> </v>
      </c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349"/>
      <c r="S6" s="349"/>
      <c r="T6" s="349"/>
      <c r="U6" s="350"/>
      <c r="V6" s="348" t="str">
        <f>IF(F6=" "," ",+F6+1)</f>
        <v xml:space="preserve"> </v>
      </c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50"/>
      <c r="AL6" s="348" t="str">
        <f>IF(V6=" "," ",+V6+1)</f>
        <v xml:space="preserve"> </v>
      </c>
      <c r="AM6" s="349"/>
      <c r="AN6" s="349"/>
      <c r="AO6" s="349"/>
      <c r="AP6" s="349"/>
      <c r="AQ6" s="349"/>
      <c r="AR6" s="349"/>
      <c r="AS6" s="349"/>
      <c r="AT6" s="349"/>
      <c r="AU6" s="349"/>
      <c r="AV6" s="349"/>
      <c r="AW6" s="349"/>
      <c r="AX6" s="349"/>
      <c r="AY6" s="349"/>
      <c r="AZ6" s="349"/>
      <c r="BA6" s="350"/>
      <c r="BB6" s="348" t="str">
        <f>IF(AL6=" "," ",+AL6+1)</f>
        <v xml:space="preserve"> </v>
      </c>
      <c r="BC6" s="349"/>
      <c r="BD6" s="349"/>
      <c r="BE6" s="349"/>
      <c r="BF6" s="349"/>
      <c r="BG6" s="349"/>
      <c r="BH6" s="349"/>
      <c r="BI6" s="349"/>
      <c r="BJ6" s="349"/>
      <c r="BK6" s="349"/>
      <c r="BL6" s="349"/>
      <c r="BM6" s="349"/>
      <c r="BN6" s="349"/>
      <c r="BO6" s="349"/>
      <c r="BP6" s="349"/>
      <c r="BQ6" s="350"/>
      <c r="BR6" s="348" t="str">
        <f>IF(BB6=" "," ",+BB6+1)</f>
        <v xml:space="preserve"> </v>
      </c>
      <c r="BS6" s="349"/>
      <c r="BT6" s="349"/>
      <c r="BU6" s="349"/>
      <c r="BV6" s="349"/>
      <c r="BW6" s="349"/>
      <c r="BX6" s="349"/>
      <c r="BY6" s="349"/>
      <c r="BZ6" s="349"/>
      <c r="CA6" s="349"/>
      <c r="CB6" s="349"/>
      <c r="CC6" s="349"/>
      <c r="CD6" s="349"/>
      <c r="CE6" s="349"/>
      <c r="CF6" s="349"/>
      <c r="CG6" s="350"/>
      <c r="CH6" s="348" t="str">
        <f>IF(BR6=" "," ",+BR6+1)</f>
        <v xml:space="preserve"> </v>
      </c>
      <c r="CI6" s="349"/>
      <c r="CJ6" s="349"/>
      <c r="CK6" s="349"/>
      <c r="CL6" s="349"/>
      <c r="CM6" s="349"/>
      <c r="CN6" s="349"/>
      <c r="CO6" s="349"/>
      <c r="CP6" s="349"/>
      <c r="CQ6" s="349"/>
      <c r="CR6" s="349"/>
      <c r="CS6" s="349"/>
      <c r="CT6" s="349"/>
      <c r="CU6" s="349"/>
      <c r="CV6" s="349"/>
      <c r="CW6" s="350"/>
      <c r="CX6" s="348" t="str">
        <f>IF(CH6=" "," ",+CH6+1)</f>
        <v xml:space="preserve"> </v>
      </c>
      <c r="CY6" s="349"/>
      <c r="CZ6" s="349"/>
      <c r="DA6" s="349"/>
      <c r="DB6" s="349"/>
      <c r="DC6" s="349"/>
      <c r="DD6" s="349"/>
      <c r="DE6" s="349"/>
      <c r="DF6" s="349"/>
      <c r="DG6" s="349"/>
      <c r="DH6" s="349"/>
      <c r="DI6" s="349"/>
      <c r="DJ6" s="349"/>
      <c r="DK6" s="349"/>
      <c r="DL6" s="349"/>
      <c r="DM6" s="350"/>
      <c r="DN6" s="348" t="str">
        <f>IF(CX6=" "," ",+CX6+1)</f>
        <v xml:space="preserve"> </v>
      </c>
      <c r="DO6" s="349"/>
      <c r="DP6" s="349"/>
      <c r="DQ6" s="349"/>
      <c r="DR6" s="349"/>
      <c r="DS6" s="349"/>
      <c r="DT6" s="349"/>
      <c r="DU6" s="349"/>
      <c r="DV6" s="349"/>
      <c r="DW6" s="349"/>
      <c r="DX6" s="349"/>
      <c r="DY6" s="349"/>
      <c r="DZ6" s="349"/>
      <c r="EA6" s="349"/>
      <c r="EB6" s="349"/>
      <c r="EC6" s="350"/>
      <c r="ED6" s="348" t="str">
        <f>IF(DN6=" "," ",+DN6+1)</f>
        <v xml:space="preserve"> </v>
      </c>
      <c r="EE6" s="349"/>
      <c r="EF6" s="349"/>
      <c r="EG6" s="349"/>
      <c r="EH6" s="349"/>
      <c r="EI6" s="349"/>
      <c r="EJ6" s="349"/>
      <c r="EK6" s="349"/>
      <c r="EL6" s="349"/>
      <c r="EM6" s="349"/>
      <c r="EN6" s="349"/>
      <c r="EO6" s="349"/>
      <c r="EP6" s="349"/>
      <c r="EQ6" s="349"/>
      <c r="ER6" s="349"/>
      <c r="ES6" s="350"/>
      <c r="ET6" s="348" t="str">
        <f>IF(ED6=" "," ",+ED6+1)</f>
        <v xml:space="preserve"> </v>
      </c>
      <c r="EU6" s="349"/>
      <c r="EV6" s="349"/>
      <c r="EW6" s="349"/>
      <c r="EX6" s="349"/>
      <c r="EY6" s="349"/>
      <c r="EZ6" s="349"/>
      <c r="FA6" s="349"/>
      <c r="FB6" s="349"/>
      <c r="FC6" s="349"/>
      <c r="FD6" s="349"/>
      <c r="FE6" s="349"/>
      <c r="FF6" s="349"/>
      <c r="FG6" s="349"/>
      <c r="FH6" s="349"/>
      <c r="FI6" s="350"/>
      <c r="FJ6" s="348" t="str">
        <f>IF(ET6=" "," ",+ET6+1)</f>
        <v xml:space="preserve"> </v>
      </c>
      <c r="FK6" s="349"/>
      <c r="FL6" s="349"/>
      <c r="FM6" s="349"/>
      <c r="FN6" s="349"/>
      <c r="FO6" s="349"/>
      <c r="FP6" s="349"/>
      <c r="FQ6" s="349"/>
      <c r="FR6" s="349"/>
      <c r="FS6" s="349"/>
      <c r="FT6" s="349"/>
      <c r="FU6" s="349"/>
      <c r="FV6" s="349"/>
      <c r="FW6" s="349"/>
      <c r="FX6" s="349"/>
      <c r="FY6" s="350"/>
      <c r="FZ6" s="348" t="str">
        <f>IF(FJ6=" "," ",+FJ6+1)</f>
        <v xml:space="preserve"> </v>
      </c>
      <c r="GA6" s="349"/>
      <c r="GB6" s="349"/>
      <c r="GC6" s="349"/>
      <c r="GD6" s="349"/>
      <c r="GE6" s="349"/>
      <c r="GF6" s="349"/>
      <c r="GG6" s="349"/>
      <c r="GH6" s="349"/>
      <c r="GI6" s="349"/>
      <c r="GJ6" s="349"/>
      <c r="GK6" s="349"/>
      <c r="GL6" s="349"/>
      <c r="GM6" s="349"/>
      <c r="GN6" s="349"/>
      <c r="GO6" s="350"/>
      <c r="GP6" s="348" t="str">
        <f>IF(FZ6=" "," ",+FZ6+1)</f>
        <v xml:space="preserve"> </v>
      </c>
      <c r="GQ6" s="349"/>
      <c r="GR6" s="349"/>
      <c r="GS6" s="349"/>
      <c r="GT6" s="349"/>
      <c r="GU6" s="349"/>
      <c r="GV6" s="349"/>
      <c r="GW6" s="349"/>
      <c r="GX6" s="349"/>
      <c r="GY6" s="349"/>
      <c r="GZ6" s="349"/>
      <c r="HA6" s="349"/>
      <c r="HB6" s="349"/>
      <c r="HC6" s="349"/>
      <c r="HD6" s="349"/>
      <c r="HE6" s="350"/>
      <c r="HF6" s="348" t="str">
        <f>IF(GP6=" "," ",+GP6+1)</f>
        <v xml:space="preserve"> </v>
      </c>
      <c r="HG6" s="349"/>
      <c r="HH6" s="349"/>
      <c r="HI6" s="349"/>
      <c r="HJ6" s="349"/>
      <c r="HK6" s="349"/>
      <c r="HL6" s="349"/>
      <c r="HM6" s="349"/>
      <c r="HN6" s="349"/>
      <c r="HO6" s="349"/>
      <c r="HP6" s="349"/>
      <c r="HQ6" s="349"/>
      <c r="HR6" s="349"/>
      <c r="HS6" s="349"/>
      <c r="HT6" s="349"/>
      <c r="HU6" s="350"/>
      <c r="HV6" s="348" t="str">
        <f>IF(HF6=" "," ",+HF6+1)</f>
        <v xml:space="preserve"> </v>
      </c>
      <c r="HW6" s="349"/>
      <c r="HX6" s="349"/>
      <c r="HY6" s="349"/>
      <c r="HZ6" s="349"/>
      <c r="IA6" s="349"/>
      <c r="IB6" s="349"/>
      <c r="IC6" s="349"/>
      <c r="ID6" s="349"/>
      <c r="IE6" s="349"/>
      <c r="IF6" s="349"/>
      <c r="IG6" s="349"/>
      <c r="IH6" s="349"/>
      <c r="II6" s="349"/>
      <c r="IJ6" s="349"/>
      <c r="IK6" s="350"/>
      <c r="IL6" s="348" t="str">
        <f>IF(HV6=" "," ",+HV6+1)</f>
        <v xml:space="preserve"> </v>
      </c>
      <c r="IM6" s="349"/>
      <c r="IN6" s="349"/>
      <c r="IO6" s="349"/>
      <c r="IP6" s="349"/>
      <c r="IQ6" s="349"/>
      <c r="IR6" s="349"/>
      <c r="IS6" s="349"/>
      <c r="IT6" s="349"/>
      <c r="IU6" s="349"/>
      <c r="IV6" s="349"/>
      <c r="IW6" s="349"/>
      <c r="IX6" s="349"/>
      <c r="IY6" s="349"/>
      <c r="IZ6" s="349"/>
      <c r="JA6" s="350"/>
    </row>
    <row r="7" spans="2:276" ht="19.5" thickBot="1" x14ac:dyDescent="0.3">
      <c r="B7" s="63" t="s">
        <v>100</v>
      </c>
      <c r="C7" s="103" t="str">
        <f>IF((C6-C5)&gt;=14,VARIOS!D14," ")</f>
        <v xml:space="preserve"> </v>
      </c>
      <c r="F7" s="351" t="s">
        <v>33</v>
      </c>
      <c r="G7" s="352"/>
      <c r="H7" s="352"/>
      <c r="I7" s="352"/>
      <c r="J7" s="352"/>
      <c r="K7" s="352"/>
      <c r="L7" s="352"/>
      <c r="M7" s="353"/>
      <c r="N7" s="354" t="s">
        <v>12</v>
      </c>
      <c r="O7" s="354"/>
      <c r="P7" s="354"/>
      <c r="Q7" s="354"/>
      <c r="R7" s="354"/>
      <c r="S7" s="354"/>
      <c r="T7" s="354"/>
      <c r="U7" s="355"/>
      <c r="V7" s="356" t="s">
        <v>33</v>
      </c>
      <c r="W7" s="357"/>
      <c r="X7" s="357"/>
      <c r="Y7" s="357"/>
      <c r="Z7" s="357"/>
      <c r="AA7" s="357"/>
      <c r="AB7" s="357"/>
      <c r="AC7" s="358"/>
      <c r="AD7" s="285" t="s">
        <v>12</v>
      </c>
      <c r="AE7" s="286"/>
      <c r="AF7" s="286"/>
      <c r="AG7" s="286"/>
      <c r="AH7" s="286"/>
      <c r="AI7" s="286"/>
      <c r="AJ7" s="286"/>
      <c r="AK7" s="359"/>
      <c r="AL7" s="356" t="s">
        <v>33</v>
      </c>
      <c r="AM7" s="357"/>
      <c r="AN7" s="357"/>
      <c r="AO7" s="357"/>
      <c r="AP7" s="357"/>
      <c r="AQ7" s="357"/>
      <c r="AR7" s="357"/>
      <c r="AS7" s="358"/>
      <c r="AT7" s="285" t="s">
        <v>12</v>
      </c>
      <c r="AU7" s="286"/>
      <c r="AV7" s="286"/>
      <c r="AW7" s="286"/>
      <c r="AX7" s="286"/>
      <c r="AY7" s="286"/>
      <c r="AZ7" s="286"/>
      <c r="BA7" s="359"/>
      <c r="BB7" s="356" t="s">
        <v>33</v>
      </c>
      <c r="BC7" s="357"/>
      <c r="BD7" s="357"/>
      <c r="BE7" s="357"/>
      <c r="BF7" s="357"/>
      <c r="BG7" s="357"/>
      <c r="BH7" s="357"/>
      <c r="BI7" s="358"/>
      <c r="BJ7" s="285" t="s">
        <v>12</v>
      </c>
      <c r="BK7" s="286"/>
      <c r="BL7" s="286"/>
      <c r="BM7" s="286"/>
      <c r="BN7" s="286"/>
      <c r="BO7" s="286"/>
      <c r="BP7" s="286"/>
      <c r="BQ7" s="359"/>
      <c r="BR7" s="356" t="s">
        <v>33</v>
      </c>
      <c r="BS7" s="357"/>
      <c r="BT7" s="357"/>
      <c r="BU7" s="357"/>
      <c r="BV7" s="357"/>
      <c r="BW7" s="357"/>
      <c r="BX7" s="357"/>
      <c r="BY7" s="358"/>
      <c r="BZ7" s="285" t="s">
        <v>12</v>
      </c>
      <c r="CA7" s="286"/>
      <c r="CB7" s="286"/>
      <c r="CC7" s="286"/>
      <c r="CD7" s="286"/>
      <c r="CE7" s="286"/>
      <c r="CF7" s="286"/>
      <c r="CG7" s="359"/>
      <c r="CH7" s="356" t="s">
        <v>33</v>
      </c>
      <c r="CI7" s="357"/>
      <c r="CJ7" s="357"/>
      <c r="CK7" s="357"/>
      <c r="CL7" s="357"/>
      <c r="CM7" s="357"/>
      <c r="CN7" s="357"/>
      <c r="CO7" s="358"/>
      <c r="CP7" s="285" t="s">
        <v>12</v>
      </c>
      <c r="CQ7" s="286"/>
      <c r="CR7" s="286"/>
      <c r="CS7" s="286"/>
      <c r="CT7" s="286"/>
      <c r="CU7" s="286"/>
      <c r="CV7" s="286"/>
      <c r="CW7" s="359"/>
      <c r="CX7" s="356" t="s">
        <v>33</v>
      </c>
      <c r="CY7" s="357"/>
      <c r="CZ7" s="357"/>
      <c r="DA7" s="357"/>
      <c r="DB7" s="357"/>
      <c r="DC7" s="357"/>
      <c r="DD7" s="357"/>
      <c r="DE7" s="358"/>
      <c r="DF7" s="285" t="s">
        <v>12</v>
      </c>
      <c r="DG7" s="286"/>
      <c r="DH7" s="286"/>
      <c r="DI7" s="286"/>
      <c r="DJ7" s="286"/>
      <c r="DK7" s="286"/>
      <c r="DL7" s="286"/>
      <c r="DM7" s="359"/>
      <c r="DN7" s="356" t="s">
        <v>33</v>
      </c>
      <c r="DO7" s="357"/>
      <c r="DP7" s="357"/>
      <c r="DQ7" s="357"/>
      <c r="DR7" s="357"/>
      <c r="DS7" s="357"/>
      <c r="DT7" s="357"/>
      <c r="DU7" s="358"/>
      <c r="DV7" s="285" t="s">
        <v>12</v>
      </c>
      <c r="DW7" s="286"/>
      <c r="DX7" s="286"/>
      <c r="DY7" s="286"/>
      <c r="DZ7" s="286"/>
      <c r="EA7" s="286"/>
      <c r="EB7" s="286"/>
      <c r="EC7" s="359"/>
      <c r="ED7" s="356" t="s">
        <v>33</v>
      </c>
      <c r="EE7" s="357"/>
      <c r="EF7" s="357"/>
      <c r="EG7" s="357"/>
      <c r="EH7" s="357"/>
      <c r="EI7" s="357"/>
      <c r="EJ7" s="357"/>
      <c r="EK7" s="358"/>
      <c r="EL7" s="285" t="s">
        <v>12</v>
      </c>
      <c r="EM7" s="286"/>
      <c r="EN7" s="286"/>
      <c r="EO7" s="286"/>
      <c r="EP7" s="286"/>
      <c r="EQ7" s="286"/>
      <c r="ER7" s="286"/>
      <c r="ES7" s="359"/>
      <c r="ET7" s="356" t="s">
        <v>33</v>
      </c>
      <c r="EU7" s="357"/>
      <c r="EV7" s="357"/>
      <c r="EW7" s="357"/>
      <c r="EX7" s="357"/>
      <c r="EY7" s="357"/>
      <c r="EZ7" s="357"/>
      <c r="FA7" s="358"/>
      <c r="FB7" s="285" t="s">
        <v>12</v>
      </c>
      <c r="FC7" s="286"/>
      <c r="FD7" s="286"/>
      <c r="FE7" s="286"/>
      <c r="FF7" s="286"/>
      <c r="FG7" s="286"/>
      <c r="FH7" s="286"/>
      <c r="FI7" s="359"/>
      <c r="FJ7" s="356" t="s">
        <v>33</v>
      </c>
      <c r="FK7" s="357"/>
      <c r="FL7" s="357"/>
      <c r="FM7" s="357"/>
      <c r="FN7" s="357"/>
      <c r="FO7" s="357"/>
      <c r="FP7" s="357"/>
      <c r="FQ7" s="358"/>
      <c r="FR7" s="285" t="s">
        <v>12</v>
      </c>
      <c r="FS7" s="286"/>
      <c r="FT7" s="286"/>
      <c r="FU7" s="286"/>
      <c r="FV7" s="286"/>
      <c r="FW7" s="286"/>
      <c r="FX7" s="286"/>
      <c r="FY7" s="359"/>
      <c r="FZ7" s="356" t="s">
        <v>33</v>
      </c>
      <c r="GA7" s="357"/>
      <c r="GB7" s="357"/>
      <c r="GC7" s="357"/>
      <c r="GD7" s="357"/>
      <c r="GE7" s="357"/>
      <c r="GF7" s="357"/>
      <c r="GG7" s="358"/>
      <c r="GH7" s="285" t="s">
        <v>12</v>
      </c>
      <c r="GI7" s="286"/>
      <c r="GJ7" s="286"/>
      <c r="GK7" s="286"/>
      <c r="GL7" s="286"/>
      <c r="GM7" s="286"/>
      <c r="GN7" s="286"/>
      <c r="GO7" s="359"/>
      <c r="GP7" s="356" t="s">
        <v>33</v>
      </c>
      <c r="GQ7" s="357"/>
      <c r="GR7" s="357"/>
      <c r="GS7" s="357"/>
      <c r="GT7" s="357"/>
      <c r="GU7" s="357"/>
      <c r="GV7" s="357"/>
      <c r="GW7" s="358"/>
      <c r="GX7" s="285" t="s">
        <v>12</v>
      </c>
      <c r="GY7" s="286"/>
      <c r="GZ7" s="286"/>
      <c r="HA7" s="286"/>
      <c r="HB7" s="286"/>
      <c r="HC7" s="286"/>
      <c r="HD7" s="286"/>
      <c r="HE7" s="359"/>
      <c r="HF7" s="356" t="s">
        <v>33</v>
      </c>
      <c r="HG7" s="357"/>
      <c r="HH7" s="357"/>
      <c r="HI7" s="357"/>
      <c r="HJ7" s="357"/>
      <c r="HK7" s="357"/>
      <c r="HL7" s="357"/>
      <c r="HM7" s="358"/>
      <c r="HN7" s="285" t="s">
        <v>12</v>
      </c>
      <c r="HO7" s="286"/>
      <c r="HP7" s="286"/>
      <c r="HQ7" s="286"/>
      <c r="HR7" s="286"/>
      <c r="HS7" s="286"/>
      <c r="HT7" s="286"/>
      <c r="HU7" s="359"/>
      <c r="HV7" s="356" t="s">
        <v>33</v>
      </c>
      <c r="HW7" s="357"/>
      <c r="HX7" s="357"/>
      <c r="HY7" s="357"/>
      <c r="HZ7" s="357"/>
      <c r="IA7" s="357"/>
      <c r="IB7" s="357"/>
      <c r="IC7" s="358"/>
      <c r="ID7" s="285" t="s">
        <v>12</v>
      </c>
      <c r="IE7" s="286"/>
      <c r="IF7" s="286"/>
      <c r="IG7" s="286"/>
      <c r="IH7" s="286"/>
      <c r="II7" s="286"/>
      <c r="IJ7" s="286"/>
      <c r="IK7" s="359"/>
      <c r="IL7" s="356" t="s">
        <v>33</v>
      </c>
      <c r="IM7" s="357"/>
      <c r="IN7" s="357"/>
      <c r="IO7" s="357"/>
      <c r="IP7" s="357"/>
      <c r="IQ7" s="357"/>
      <c r="IR7" s="357"/>
      <c r="IS7" s="358"/>
      <c r="IT7" s="285" t="s">
        <v>12</v>
      </c>
      <c r="IU7" s="286"/>
      <c r="IV7" s="286"/>
      <c r="IW7" s="286"/>
      <c r="IX7" s="286"/>
      <c r="IY7" s="286"/>
      <c r="IZ7" s="286"/>
      <c r="JA7" s="359"/>
      <c r="JB7" s="356" t="s">
        <v>33</v>
      </c>
      <c r="JC7" s="357"/>
      <c r="JD7" s="285" t="s">
        <v>12</v>
      </c>
      <c r="JE7" s="286"/>
    </row>
    <row r="8" spans="2:276" ht="15.75" thickBot="1" x14ac:dyDescent="0.3">
      <c r="F8" s="360" t="s">
        <v>106</v>
      </c>
      <c r="G8" s="361"/>
      <c r="H8" s="361"/>
      <c r="I8" s="362"/>
      <c r="J8" s="360" t="s">
        <v>107</v>
      </c>
      <c r="K8" s="361"/>
      <c r="L8" s="361"/>
      <c r="M8" s="362"/>
      <c r="N8" s="363" t="s">
        <v>106</v>
      </c>
      <c r="O8" s="364"/>
      <c r="P8" s="364"/>
      <c r="Q8" s="365"/>
      <c r="R8" s="363" t="s">
        <v>107</v>
      </c>
      <c r="S8" s="364"/>
      <c r="T8" s="364"/>
      <c r="U8" s="365"/>
      <c r="V8" s="360" t="s">
        <v>106</v>
      </c>
      <c r="W8" s="361"/>
      <c r="X8" s="361"/>
      <c r="Y8" s="362"/>
      <c r="Z8" s="360" t="s">
        <v>107</v>
      </c>
      <c r="AA8" s="361"/>
      <c r="AB8" s="361"/>
      <c r="AC8" s="362"/>
      <c r="AD8" s="363" t="s">
        <v>106</v>
      </c>
      <c r="AE8" s="364"/>
      <c r="AF8" s="364"/>
      <c r="AG8" s="365"/>
      <c r="AH8" s="363" t="s">
        <v>107</v>
      </c>
      <c r="AI8" s="364"/>
      <c r="AJ8" s="364"/>
      <c r="AK8" s="365"/>
      <c r="AL8" s="360" t="s">
        <v>106</v>
      </c>
      <c r="AM8" s="361"/>
      <c r="AN8" s="361"/>
      <c r="AO8" s="362"/>
      <c r="AP8" s="360" t="s">
        <v>107</v>
      </c>
      <c r="AQ8" s="361"/>
      <c r="AR8" s="361"/>
      <c r="AS8" s="362"/>
      <c r="AT8" s="363" t="s">
        <v>106</v>
      </c>
      <c r="AU8" s="364"/>
      <c r="AV8" s="364"/>
      <c r="AW8" s="365"/>
      <c r="AX8" s="363" t="s">
        <v>107</v>
      </c>
      <c r="AY8" s="364"/>
      <c r="AZ8" s="364"/>
      <c r="BA8" s="365"/>
      <c r="BB8" s="360" t="s">
        <v>106</v>
      </c>
      <c r="BC8" s="361"/>
      <c r="BD8" s="361"/>
      <c r="BE8" s="362"/>
      <c r="BF8" s="360" t="s">
        <v>107</v>
      </c>
      <c r="BG8" s="361"/>
      <c r="BH8" s="361"/>
      <c r="BI8" s="362"/>
      <c r="BJ8" s="363" t="s">
        <v>106</v>
      </c>
      <c r="BK8" s="364"/>
      <c r="BL8" s="364"/>
      <c r="BM8" s="365"/>
      <c r="BN8" s="363" t="s">
        <v>107</v>
      </c>
      <c r="BO8" s="364"/>
      <c r="BP8" s="364"/>
      <c r="BQ8" s="365"/>
      <c r="BR8" s="360" t="s">
        <v>106</v>
      </c>
      <c r="BS8" s="361"/>
      <c r="BT8" s="361"/>
      <c r="BU8" s="362"/>
      <c r="BV8" s="360" t="s">
        <v>107</v>
      </c>
      <c r="BW8" s="361"/>
      <c r="BX8" s="361"/>
      <c r="BY8" s="362"/>
      <c r="BZ8" s="363" t="s">
        <v>106</v>
      </c>
      <c r="CA8" s="364"/>
      <c r="CB8" s="364"/>
      <c r="CC8" s="365"/>
      <c r="CD8" s="363" t="s">
        <v>107</v>
      </c>
      <c r="CE8" s="364"/>
      <c r="CF8" s="364"/>
      <c r="CG8" s="365"/>
      <c r="CH8" s="360" t="s">
        <v>106</v>
      </c>
      <c r="CI8" s="361"/>
      <c r="CJ8" s="361"/>
      <c r="CK8" s="362"/>
      <c r="CL8" s="360" t="s">
        <v>107</v>
      </c>
      <c r="CM8" s="361"/>
      <c r="CN8" s="361"/>
      <c r="CO8" s="362"/>
      <c r="CP8" s="363" t="s">
        <v>106</v>
      </c>
      <c r="CQ8" s="364"/>
      <c r="CR8" s="364"/>
      <c r="CS8" s="365"/>
      <c r="CT8" s="363" t="s">
        <v>107</v>
      </c>
      <c r="CU8" s="364"/>
      <c r="CV8" s="364"/>
      <c r="CW8" s="365"/>
      <c r="CX8" s="360" t="s">
        <v>106</v>
      </c>
      <c r="CY8" s="361"/>
      <c r="CZ8" s="361"/>
      <c r="DA8" s="362"/>
      <c r="DB8" s="360" t="s">
        <v>107</v>
      </c>
      <c r="DC8" s="361"/>
      <c r="DD8" s="361"/>
      <c r="DE8" s="362"/>
      <c r="DF8" s="363" t="s">
        <v>106</v>
      </c>
      <c r="DG8" s="364"/>
      <c r="DH8" s="364"/>
      <c r="DI8" s="365"/>
      <c r="DJ8" s="363" t="s">
        <v>107</v>
      </c>
      <c r="DK8" s="364"/>
      <c r="DL8" s="364"/>
      <c r="DM8" s="365"/>
      <c r="DN8" s="360" t="s">
        <v>106</v>
      </c>
      <c r="DO8" s="361"/>
      <c r="DP8" s="361"/>
      <c r="DQ8" s="362"/>
      <c r="DR8" s="360" t="s">
        <v>107</v>
      </c>
      <c r="DS8" s="361"/>
      <c r="DT8" s="361"/>
      <c r="DU8" s="362"/>
      <c r="DV8" s="363" t="s">
        <v>106</v>
      </c>
      <c r="DW8" s="364"/>
      <c r="DX8" s="364"/>
      <c r="DY8" s="365"/>
      <c r="DZ8" s="363" t="s">
        <v>107</v>
      </c>
      <c r="EA8" s="364"/>
      <c r="EB8" s="364"/>
      <c r="EC8" s="365"/>
      <c r="ED8" s="360" t="s">
        <v>106</v>
      </c>
      <c r="EE8" s="361"/>
      <c r="EF8" s="361"/>
      <c r="EG8" s="362"/>
      <c r="EH8" s="360" t="s">
        <v>107</v>
      </c>
      <c r="EI8" s="361"/>
      <c r="EJ8" s="361"/>
      <c r="EK8" s="362"/>
      <c r="EL8" s="363" t="s">
        <v>106</v>
      </c>
      <c r="EM8" s="364"/>
      <c r="EN8" s="364"/>
      <c r="EO8" s="365"/>
      <c r="EP8" s="363" t="s">
        <v>107</v>
      </c>
      <c r="EQ8" s="364"/>
      <c r="ER8" s="364"/>
      <c r="ES8" s="365"/>
      <c r="ET8" s="360" t="s">
        <v>106</v>
      </c>
      <c r="EU8" s="361"/>
      <c r="EV8" s="361"/>
      <c r="EW8" s="362"/>
      <c r="EX8" s="360" t="s">
        <v>107</v>
      </c>
      <c r="EY8" s="361"/>
      <c r="EZ8" s="361"/>
      <c r="FA8" s="362"/>
      <c r="FB8" s="363" t="s">
        <v>106</v>
      </c>
      <c r="FC8" s="364"/>
      <c r="FD8" s="364"/>
      <c r="FE8" s="365"/>
      <c r="FF8" s="363" t="s">
        <v>107</v>
      </c>
      <c r="FG8" s="364"/>
      <c r="FH8" s="364"/>
      <c r="FI8" s="365"/>
      <c r="FJ8" s="360" t="s">
        <v>106</v>
      </c>
      <c r="FK8" s="361"/>
      <c r="FL8" s="361"/>
      <c r="FM8" s="362"/>
      <c r="FN8" s="360" t="s">
        <v>107</v>
      </c>
      <c r="FO8" s="361"/>
      <c r="FP8" s="361"/>
      <c r="FQ8" s="362"/>
      <c r="FR8" s="363" t="s">
        <v>106</v>
      </c>
      <c r="FS8" s="364"/>
      <c r="FT8" s="364"/>
      <c r="FU8" s="365"/>
      <c r="FV8" s="363" t="s">
        <v>107</v>
      </c>
      <c r="FW8" s="364"/>
      <c r="FX8" s="364"/>
      <c r="FY8" s="365"/>
      <c r="FZ8" s="360" t="s">
        <v>106</v>
      </c>
      <c r="GA8" s="361"/>
      <c r="GB8" s="361"/>
      <c r="GC8" s="362"/>
      <c r="GD8" s="360" t="s">
        <v>107</v>
      </c>
      <c r="GE8" s="361"/>
      <c r="GF8" s="361"/>
      <c r="GG8" s="362"/>
      <c r="GH8" s="363" t="s">
        <v>106</v>
      </c>
      <c r="GI8" s="364"/>
      <c r="GJ8" s="364"/>
      <c r="GK8" s="365"/>
      <c r="GL8" s="363" t="s">
        <v>107</v>
      </c>
      <c r="GM8" s="364"/>
      <c r="GN8" s="364"/>
      <c r="GO8" s="365"/>
      <c r="GP8" s="360" t="s">
        <v>106</v>
      </c>
      <c r="GQ8" s="361"/>
      <c r="GR8" s="361"/>
      <c r="GS8" s="362"/>
      <c r="GT8" s="360" t="s">
        <v>107</v>
      </c>
      <c r="GU8" s="361"/>
      <c r="GV8" s="361"/>
      <c r="GW8" s="362"/>
      <c r="GX8" s="363" t="s">
        <v>106</v>
      </c>
      <c r="GY8" s="364"/>
      <c r="GZ8" s="364"/>
      <c r="HA8" s="365"/>
      <c r="HB8" s="363" t="s">
        <v>107</v>
      </c>
      <c r="HC8" s="364"/>
      <c r="HD8" s="364"/>
      <c r="HE8" s="365"/>
      <c r="HF8" s="360" t="s">
        <v>106</v>
      </c>
      <c r="HG8" s="361"/>
      <c r="HH8" s="361"/>
      <c r="HI8" s="362"/>
      <c r="HJ8" s="360" t="s">
        <v>107</v>
      </c>
      <c r="HK8" s="361"/>
      <c r="HL8" s="361"/>
      <c r="HM8" s="362"/>
      <c r="HN8" s="363" t="s">
        <v>106</v>
      </c>
      <c r="HO8" s="364"/>
      <c r="HP8" s="364"/>
      <c r="HQ8" s="365"/>
      <c r="HR8" s="363" t="s">
        <v>107</v>
      </c>
      <c r="HS8" s="364"/>
      <c r="HT8" s="364"/>
      <c r="HU8" s="365"/>
      <c r="HV8" s="360" t="s">
        <v>106</v>
      </c>
      <c r="HW8" s="361"/>
      <c r="HX8" s="361"/>
      <c r="HY8" s="362"/>
      <c r="HZ8" s="360" t="s">
        <v>107</v>
      </c>
      <c r="IA8" s="361"/>
      <c r="IB8" s="361"/>
      <c r="IC8" s="362"/>
      <c r="ID8" s="363" t="s">
        <v>106</v>
      </c>
      <c r="IE8" s="364"/>
      <c r="IF8" s="364"/>
      <c r="IG8" s="365"/>
      <c r="IH8" s="363" t="s">
        <v>107</v>
      </c>
      <c r="II8" s="364"/>
      <c r="IJ8" s="364"/>
      <c r="IK8" s="365"/>
      <c r="IL8" s="360" t="s">
        <v>106</v>
      </c>
      <c r="IM8" s="361"/>
      <c r="IN8" s="361"/>
      <c r="IO8" s="362"/>
      <c r="IP8" s="360" t="s">
        <v>107</v>
      </c>
      <c r="IQ8" s="361"/>
      <c r="IR8" s="361"/>
      <c r="IS8" s="362"/>
      <c r="IT8" s="363" t="s">
        <v>106</v>
      </c>
      <c r="IU8" s="364"/>
      <c r="IV8" s="364"/>
      <c r="IW8" s="365"/>
      <c r="IX8" s="363" t="s">
        <v>107</v>
      </c>
      <c r="IY8" s="364"/>
      <c r="IZ8" s="364"/>
      <c r="JA8" s="365"/>
      <c r="JB8" s="111"/>
      <c r="JC8" s="112"/>
      <c r="JD8" s="108"/>
      <c r="JE8" s="109"/>
    </row>
    <row r="9" spans="2:276" ht="54.95" customHeight="1" x14ac:dyDescent="0.25">
      <c r="B9" s="15" t="s">
        <v>14</v>
      </c>
      <c r="C9" s="99" t="s">
        <v>0</v>
      </c>
      <c r="D9" s="98" t="s">
        <v>37</v>
      </c>
      <c r="E9" s="56" t="s">
        <v>1</v>
      </c>
      <c r="F9" s="82" t="s">
        <v>104</v>
      </c>
      <c r="G9" s="83" t="s">
        <v>105</v>
      </c>
      <c r="H9" s="84" t="s">
        <v>108</v>
      </c>
      <c r="I9" s="85" t="s">
        <v>103</v>
      </c>
      <c r="J9" s="82" t="s">
        <v>104</v>
      </c>
      <c r="K9" s="83" t="s">
        <v>105</v>
      </c>
      <c r="L9" s="84" t="s">
        <v>109</v>
      </c>
      <c r="M9" s="85" t="s">
        <v>103</v>
      </c>
      <c r="N9" s="78" t="s">
        <v>104</v>
      </c>
      <c r="O9" s="79" t="s">
        <v>105</v>
      </c>
      <c r="P9" s="80" t="s">
        <v>108</v>
      </c>
      <c r="Q9" s="81" t="s">
        <v>103</v>
      </c>
      <c r="R9" s="78" t="s">
        <v>104</v>
      </c>
      <c r="S9" s="79" t="s">
        <v>105</v>
      </c>
      <c r="T9" s="80" t="s">
        <v>109</v>
      </c>
      <c r="U9" s="81" t="s">
        <v>103</v>
      </c>
      <c r="V9" s="82" t="s">
        <v>104</v>
      </c>
      <c r="W9" s="83" t="s">
        <v>105</v>
      </c>
      <c r="X9" s="84" t="s">
        <v>108</v>
      </c>
      <c r="Y9" s="85" t="s">
        <v>103</v>
      </c>
      <c r="Z9" s="82" t="s">
        <v>104</v>
      </c>
      <c r="AA9" s="83" t="s">
        <v>105</v>
      </c>
      <c r="AB9" s="84" t="s">
        <v>109</v>
      </c>
      <c r="AC9" s="85" t="s">
        <v>103</v>
      </c>
      <c r="AD9" s="78" t="s">
        <v>104</v>
      </c>
      <c r="AE9" s="79" t="s">
        <v>105</v>
      </c>
      <c r="AF9" s="80" t="s">
        <v>108</v>
      </c>
      <c r="AG9" s="81" t="s">
        <v>103</v>
      </c>
      <c r="AH9" s="78" t="s">
        <v>104</v>
      </c>
      <c r="AI9" s="79" t="s">
        <v>105</v>
      </c>
      <c r="AJ9" s="80" t="s">
        <v>109</v>
      </c>
      <c r="AK9" s="81" t="s">
        <v>103</v>
      </c>
      <c r="AL9" s="82" t="s">
        <v>104</v>
      </c>
      <c r="AM9" s="83" t="s">
        <v>105</v>
      </c>
      <c r="AN9" s="84" t="s">
        <v>108</v>
      </c>
      <c r="AO9" s="85" t="s">
        <v>103</v>
      </c>
      <c r="AP9" s="82" t="s">
        <v>104</v>
      </c>
      <c r="AQ9" s="83" t="s">
        <v>105</v>
      </c>
      <c r="AR9" s="84" t="s">
        <v>109</v>
      </c>
      <c r="AS9" s="85" t="s">
        <v>103</v>
      </c>
      <c r="AT9" s="78" t="s">
        <v>104</v>
      </c>
      <c r="AU9" s="79" t="s">
        <v>105</v>
      </c>
      <c r="AV9" s="80" t="s">
        <v>108</v>
      </c>
      <c r="AW9" s="81" t="s">
        <v>103</v>
      </c>
      <c r="AX9" s="78" t="s">
        <v>104</v>
      </c>
      <c r="AY9" s="79" t="s">
        <v>105</v>
      </c>
      <c r="AZ9" s="80" t="s">
        <v>109</v>
      </c>
      <c r="BA9" s="81" t="s">
        <v>103</v>
      </c>
      <c r="BB9" s="82" t="s">
        <v>104</v>
      </c>
      <c r="BC9" s="83" t="s">
        <v>105</v>
      </c>
      <c r="BD9" s="84" t="s">
        <v>108</v>
      </c>
      <c r="BE9" s="85" t="s">
        <v>103</v>
      </c>
      <c r="BF9" s="82" t="s">
        <v>104</v>
      </c>
      <c r="BG9" s="83" t="s">
        <v>105</v>
      </c>
      <c r="BH9" s="84" t="s">
        <v>109</v>
      </c>
      <c r="BI9" s="85" t="s">
        <v>103</v>
      </c>
      <c r="BJ9" s="78" t="s">
        <v>104</v>
      </c>
      <c r="BK9" s="79" t="s">
        <v>105</v>
      </c>
      <c r="BL9" s="80" t="s">
        <v>108</v>
      </c>
      <c r="BM9" s="81" t="s">
        <v>103</v>
      </c>
      <c r="BN9" s="78" t="s">
        <v>104</v>
      </c>
      <c r="BO9" s="79" t="s">
        <v>105</v>
      </c>
      <c r="BP9" s="80" t="s">
        <v>109</v>
      </c>
      <c r="BQ9" s="81" t="s">
        <v>103</v>
      </c>
      <c r="BR9" s="82" t="s">
        <v>104</v>
      </c>
      <c r="BS9" s="83" t="s">
        <v>105</v>
      </c>
      <c r="BT9" s="84" t="s">
        <v>108</v>
      </c>
      <c r="BU9" s="85" t="s">
        <v>103</v>
      </c>
      <c r="BV9" s="82" t="s">
        <v>104</v>
      </c>
      <c r="BW9" s="83" t="s">
        <v>105</v>
      </c>
      <c r="BX9" s="84" t="s">
        <v>109</v>
      </c>
      <c r="BY9" s="85" t="s">
        <v>103</v>
      </c>
      <c r="BZ9" s="78" t="s">
        <v>104</v>
      </c>
      <c r="CA9" s="79" t="s">
        <v>105</v>
      </c>
      <c r="CB9" s="80" t="s">
        <v>108</v>
      </c>
      <c r="CC9" s="81" t="s">
        <v>103</v>
      </c>
      <c r="CD9" s="78" t="s">
        <v>104</v>
      </c>
      <c r="CE9" s="79" t="s">
        <v>105</v>
      </c>
      <c r="CF9" s="80" t="s">
        <v>109</v>
      </c>
      <c r="CG9" s="81" t="s">
        <v>103</v>
      </c>
      <c r="CH9" s="82" t="s">
        <v>104</v>
      </c>
      <c r="CI9" s="83" t="s">
        <v>105</v>
      </c>
      <c r="CJ9" s="84" t="s">
        <v>108</v>
      </c>
      <c r="CK9" s="85" t="s">
        <v>103</v>
      </c>
      <c r="CL9" s="82" t="s">
        <v>104</v>
      </c>
      <c r="CM9" s="83" t="s">
        <v>105</v>
      </c>
      <c r="CN9" s="84" t="s">
        <v>109</v>
      </c>
      <c r="CO9" s="85" t="s">
        <v>103</v>
      </c>
      <c r="CP9" s="78" t="s">
        <v>104</v>
      </c>
      <c r="CQ9" s="79" t="s">
        <v>105</v>
      </c>
      <c r="CR9" s="80" t="s">
        <v>108</v>
      </c>
      <c r="CS9" s="81" t="s">
        <v>103</v>
      </c>
      <c r="CT9" s="78" t="s">
        <v>104</v>
      </c>
      <c r="CU9" s="79" t="s">
        <v>105</v>
      </c>
      <c r="CV9" s="80" t="s">
        <v>109</v>
      </c>
      <c r="CW9" s="81" t="s">
        <v>103</v>
      </c>
      <c r="CX9" s="82" t="s">
        <v>104</v>
      </c>
      <c r="CY9" s="83" t="s">
        <v>105</v>
      </c>
      <c r="CZ9" s="84" t="s">
        <v>108</v>
      </c>
      <c r="DA9" s="85" t="s">
        <v>103</v>
      </c>
      <c r="DB9" s="82" t="s">
        <v>104</v>
      </c>
      <c r="DC9" s="83" t="s">
        <v>105</v>
      </c>
      <c r="DD9" s="84" t="s">
        <v>109</v>
      </c>
      <c r="DE9" s="85" t="s">
        <v>103</v>
      </c>
      <c r="DF9" s="78" t="s">
        <v>104</v>
      </c>
      <c r="DG9" s="79" t="s">
        <v>105</v>
      </c>
      <c r="DH9" s="80" t="s">
        <v>108</v>
      </c>
      <c r="DI9" s="81" t="s">
        <v>103</v>
      </c>
      <c r="DJ9" s="78" t="s">
        <v>104</v>
      </c>
      <c r="DK9" s="79" t="s">
        <v>105</v>
      </c>
      <c r="DL9" s="80" t="s">
        <v>109</v>
      </c>
      <c r="DM9" s="81" t="s">
        <v>103</v>
      </c>
      <c r="DN9" s="82" t="s">
        <v>104</v>
      </c>
      <c r="DO9" s="83" t="s">
        <v>105</v>
      </c>
      <c r="DP9" s="84" t="s">
        <v>108</v>
      </c>
      <c r="DQ9" s="85" t="s">
        <v>103</v>
      </c>
      <c r="DR9" s="82" t="s">
        <v>104</v>
      </c>
      <c r="DS9" s="83" t="s">
        <v>105</v>
      </c>
      <c r="DT9" s="84" t="s">
        <v>109</v>
      </c>
      <c r="DU9" s="85" t="s">
        <v>103</v>
      </c>
      <c r="DV9" s="78" t="s">
        <v>104</v>
      </c>
      <c r="DW9" s="79" t="s">
        <v>105</v>
      </c>
      <c r="DX9" s="80" t="s">
        <v>108</v>
      </c>
      <c r="DY9" s="81" t="s">
        <v>103</v>
      </c>
      <c r="DZ9" s="78" t="s">
        <v>104</v>
      </c>
      <c r="EA9" s="79" t="s">
        <v>105</v>
      </c>
      <c r="EB9" s="80" t="s">
        <v>109</v>
      </c>
      <c r="EC9" s="81" t="s">
        <v>103</v>
      </c>
      <c r="ED9" s="82" t="s">
        <v>104</v>
      </c>
      <c r="EE9" s="83" t="s">
        <v>105</v>
      </c>
      <c r="EF9" s="84" t="s">
        <v>108</v>
      </c>
      <c r="EG9" s="85" t="s">
        <v>103</v>
      </c>
      <c r="EH9" s="82" t="s">
        <v>104</v>
      </c>
      <c r="EI9" s="83" t="s">
        <v>105</v>
      </c>
      <c r="EJ9" s="84" t="s">
        <v>109</v>
      </c>
      <c r="EK9" s="85" t="s">
        <v>103</v>
      </c>
      <c r="EL9" s="78" t="s">
        <v>104</v>
      </c>
      <c r="EM9" s="79" t="s">
        <v>105</v>
      </c>
      <c r="EN9" s="80" t="s">
        <v>108</v>
      </c>
      <c r="EO9" s="81" t="s">
        <v>103</v>
      </c>
      <c r="EP9" s="78" t="s">
        <v>104</v>
      </c>
      <c r="EQ9" s="79" t="s">
        <v>105</v>
      </c>
      <c r="ER9" s="80" t="s">
        <v>109</v>
      </c>
      <c r="ES9" s="81" t="s">
        <v>103</v>
      </c>
      <c r="ET9" s="82" t="s">
        <v>104</v>
      </c>
      <c r="EU9" s="83" t="s">
        <v>105</v>
      </c>
      <c r="EV9" s="84" t="s">
        <v>108</v>
      </c>
      <c r="EW9" s="85" t="s">
        <v>103</v>
      </c>
      <c r="EX9" s="82" t="s">
        <v>104</v>
      </c>
      <c r="EY9" s="83" t="s">
        <v>105</v>
      </c>
      <c r="EZ9" s="84" t="s">
        <v>109</v>
      </c>
      <c r="FA9" s="85" t="s">
        <v>103</v>
      </c>
      <c r="FB9" s="78" t="s">
        <v>104</v>
      </c>
      <c r="FC9" s="79" t="s">
        <v>105</v>
      </c>
      <c r="FD9" s="80" t="s">
        <v>108</v>
      </c>
      <c r="FE9" s="81" t="s">
        <v>103</v>
      </c>
      <c r="FF9" s="78" t="s">
        <v>104</v>
      </c>
      <c r="FG9" s="79" t="s">
        <v>105</v>
      </c>
      <c r="FH9" s="80" t="s">
        <v>109</v>
      </c>
      <c r="FI9" s="81" t="s">
        <v>103</v>
      </c>
      <c r="FJ9" s="82" t="s">
        <v>104</v>
      </c>
      <c r="FK9" s="83" t="s">
        <v>105</v>
      </c>
      <c r="FL9" s="84" t="s">
        <v>108</v>
      </c>
      <c r="FM9" s="85" t="s">
        <v>103</v>
      </c>
      <c r="FN9" s="82" t="s">
        <v>104</v>
      </c>
      <c r="FO9" s="83" t="s">
        <v>105</v>
      </c>
      <c r="FP9" s="84" t="s">
        <v>109</v>
      </c>
      <c r="FQ9" s="85" t="s">
        <v>103</v>
      </c>
      <c r="FR9" s="78" t="s">
        <v>104</v>
      </c>
      <c r="FS9" s="79" t="s">
        <v>105</v>
      </c>
      <c r="FT9" s="80" t="s">
        <v>108</v>
      </c>
      <c r="FU9" s="81" t="s">
        <v>103</v>
      </c>
      <c r="FV9" s="78" t="s">
        <v>104</v>
      </c>
      <c r="FW9" s="79" t="s">
        <v>105</v>
      </c>
      <c r="FX9" s="80" t="s">
        <v>109</v>
      </c>
      <c r="FY9" s="81" t="s">
        <v>103</v>
      </c>
      <c r="FZ9" s="82" t="s">
        <v>104</v>
      </c>
      <c r="GA9" s="83" t="s">
        <v>105</v>
      </c>
      <c r="GB9" s="84" t="s">
        <v>108</v>
      </c>
      <c r="GC9" s="85" t="s">
        <v>103</v>
      </c>
      <c r="GD9" s="82" t="s">
        <v>104</v>
      </c>
      <c r="GE9" s="83" t="s">
        <v>105</v>
      </c>
      <c r="GF9" s="84" t="s">
        <v>109</v>
      </c>
      <c r="GG9" s="85" t="s">
        <v>103</v>
      </c>
      <c r="GH9" s="78" t="s">
        <v>104</v>
      </c>
      <c r="GI9" s="79" t="s">
        <v>105</v>
      </c>
      <c r="GJ9" s="80" t="s">
        <v>108</v>
      </c>
      <c r="GK9" s="81" t="s">
        <v>103</v>
      </c>
      <c r="GL9" s="78" t="s">
        <v>104</v>
      </c>
      <c r="GM9" s="79" t="s">
        <v>105</v>
      </c>
      <c r="GN9" s="80" t="s">
        <v>109</v>
      </c>
      <c r="GO9" s="81" t="s">
        <v>103</v>
      </c>
      <c r="GP9" s="82" t="s">
        <v>104</v>
      </c>
      <c r="GQ9" s="83" t="s">
        <v>105</v>
      </c>
      <c r="GR9" s="84" t="s">
        <v>108</v>
      </c>
      <c r="GS9" s="85" t="s">
        <v>103</v>
      </c>
      <c r="GT9" s="82" t="s">
        <v>104</v>
      </c>
      <c r="GU9" s="83" t="s">
        <v>105</v>
      </c>
      <c r="GV9" s="84" t="s">
        <v>109</v>
      </c>
      <c r="GW9" s="85" t="s">
        <v>103</v>
      </c>
      <c r="GX9" s="78" t="s">
        <v>104</v>
      </c>
      <c r="GY9" s="79" t="s">
        <v>105</v>
      </c>
      <c r="GZ9" s="80" t="s">
        <v>108</v>
      </c>
      <c r="HA9" s="81" t="s">
        <v>103</v>
      </c>
      <c r="HB9" s="78" t="s">
        <v>104</v>
      </c>
      <c r="HC9" s="79" t="s">
        <v>105</v>
      </c>
      <c r="HD9" s="80" t="s">
        <v>109</v>
      </c>
      <c r="HE9" s="81" t="s">
        <v>103</v>
      </c>
      <c r="HF9" s="82" t="s">
        <v>104</v>
      </c>
      <c r="HG9" s="83" t="s">
        <v>105</v>
      </c>
      <c r="HH9" s="84" t="s">
        <v>108</v>
      </c>
      <c r="HI9" s="85" t="s">
        <v>103</v>
      </c>
      <c r="HJ9" s="82" t="s">
        <v>104</v>
      </c>
      <c r="HK9" s="83" t="s">
        <v>105</v>
      </c>
      <c r="HL9" s="84" t="s">
        <v>109</v>
      </c>
      <c r="HM9" s="85" t="s">
        <v>103</v>
      </c>
      <c r="HN9" s="78" t="s">
        <v>104</v>
      </c>
      <c r="HO9" s="79" t="s">
        <v>105</v>
      </c>
      <c r="HP9" s="80" t="s">
        <v>108</v>
      </c>
      <c r="HQ9" s="81" t="s">
        <v>103</v>
      </c>
      <c r="HR9" s="78" t="s">
        <v>104</v>
      </c>
      <c r="HS9" s="79" t="s">
        <v>105</v>
      </c>
      <c r="HT9" s="80" t="s">
        <v>109</v>
      </c>
      <c r="HU9" s="81" t="s">
        <v>103</v>
      </c>
      <c r="HV9" s="82" t="s">
        <v>104</v>
      </c>
      <c r="HW9" s="83" t="s">
        <v>105</v>
      </c>
      <c r="HX9" s="84" t="s">
        <v>108</v>
      </c>
      <c r="HY9" s="85" t="s">
        <v>103</v>
      </c>
      <c r="HZ9" s="82" t="s">
        <v>104</v>
      </c>
      <c r="IA9" s="83" t="s">
        <v>105</v>
      </c>
      <c r="IB9" s="84" t="s">
        <v>109</v>
      </c>
      <c r="IC9" s="85" t="s">
        <v>103</v>
      </c>
      <c r="ID9" s="78" t="s">
        <v>104</v>
      </c>
      <c r="IE9" s="79" t="s">
        <v>105</v>
      </c>
      <c r="IF9" s="80" t="s">
        <v>108</v>
      </c>
      <c r="IG9" s="81" t="s">
        <v>103</v>
      </c>
      <c r="IH9" s="78" t="s">
        <v>104</v>
      </c>
      <c r="II9" s="79" t="s">
        <v>105</v>
      </c>
      <c r="IJ9" s="80" t="s">
        <v>109</v>
      </c>
      <c r="IK9" s="81" t="s">
        <v>103</v>
      </c>
      <c r="IL9" s="82" t="s">
        <v>104</v>
      </c>
      <c r="IM9" s="83" t="s">
        <v>105</v>
      </c>
      <c r="IN9" s="84" t="s">
        <v>108</v>
      </c>
      <c r="IO9" s="85" t="s">
        <v>103</v>
      </c>
      <c r="IP9" s="82" t="s">
        <v>104</v>
      </c>
      <c r="IQ9" s="83" t="s">
        <v>105</v>
      </c>
      <c r="IR9" s="84" t="s">
        <v>109</v>
      </c>
      <c r="IS9" s="85" t="s">
        <v>103</v>
      </c>
      <c r="IT9" s="78" t="s">
        <v>104</v>
      </c>
      <c r="IU9" s="79" t="s">
        <v>105</v>
      </c>
      <c r="IV9" s="80" t="s">
        <v>108</v>
      </c>
      <c r="IW9" s="81" t="s">
        <v>103</v>
      </c>
      <c r="IX9" s="78" t="s">
        <v>104</v>
      </c>
      <c r="IY9" s="79" t="s">
        <v>105</v>
      </c>
      <c r="IZ9" s="80" t="s">
        <v>109</v>
      </c>
      <c r="JA9" s="81" t="s">
        <v>103</v>
      </c>
      <c r="JB9" s="60" t="s">
        <v>50</v>
      </c>
      <c r="JC9" s="15" t="s">
        <v>51</v>
      </c>
      <c r="JD9" s="18" t="s">
        <v>50</v>
      </c>
      <c r="JE9" s="56" t="s">
        <v>51</v>
      </c>
      <c r="JF9" s="8"/>
      <c r="JP9" s="8"/>
    </row>
    <row r="10" spans="2:276" ht="30" customHeight="1" x14ac:dyDescent="0.3">
      <c r="B10" s="39">
        <v>1</v>
      </c>
      <c r="C10" s="96" t="e">
        <f>VLOOKUP(#REF!,EMPLEADO!C:Q,15,FALSE)</f>
        <v>#REF!</v>
      </c>
      <c r="D10" s="11" t="s">
        <v>39</v>
      </c>
      <c r="E10" s="57" t="s">
        <v>63</v>
      </c>
      <c r="F10" s="69"/>
      <c r="G10" s="70"/>
      <c r="H10" s="76">
        <f t="shared" ref="H10:H31" si="0">(+G10-F10)*24</f>
        <v>0</v>
      </c>
      <c r="I10" s="66"/>
      <c r="J10" s="69"/>
      <c r="K10" s="70"/>
      <c r="L10" s="76">
        <f t="shared" ref="L10:L31" si="1">(+K10-J10)*24</f>
        <v>0</v>
      </c>
      <c r="M10" s="66"/>
      <c r="N10" s="71"/>
      <c r="O10" s="72"/>
      <c r="P10" s="76">
        <f t="shared" ref="P10:P31" si="2">(+O10-N10)*24</f>
        <v>0</v>
      </c>
      <c r="Q10" s="66"/>
      <c r="R10" s="72"/>
      <c r="S10" s="72"/>
      <c r="T10" s="76">
        <f>(+S10-R10)*24</f>
        <v>0</v>
      </c>
      <c r="U10" s="66"/>
      <c r="V10" s="69"/>
      <c r="W10" s="70"/>
      <c r="X10" s="76">
        <f t="shared" ref="X10:X31" si="3">(+W10-V10)*24</f>
        <v>0</v>
      </c>
      <c r="Y10" s="66"/>
      <c r="Z10" s="69"/>
      <c r="AA10" s="70"/>
      <c r="AB10" s="76">
        <f t="shared" ref="AB10:AB31" si="4">(+AA10-Z10)*24</f>
        <v>0</v>
      </c>
      <c r="AC10" s="66"/>
      <c r="AD10" s="71"/>
      <c r="AE10" s="93"/>
      <c r="AF10" s="76">
        <f t="shared" ref="AF10:AF31" si="5">(+AE10-AD10)*24</f>
        <v>0</v>
      </c>
      <c r="AG10" s="66"/>
      <c r="AH10" s="72"/>
      <c r="AI10" s="72"/>
      <c r="AJ10" s="94">
        <f>(+AI10-AH10)*24</f>
        <v>0</v>
      </c>
      <c r="AK10" s="66"/>
      <c r="AL10" s="69"/>
      <c r="AM10" s="70"/>
      <c r="AN10" s="76">
        <f t="shared" ref="AN10:AN31" si="6">(+AM10-AL10)*24</f>
        <v>0</v>
      </c>
      <c r="AO10" s="66"/>
      <c r="AP10" s="69"/>
      <c r="AQ10" s="70"/>
      <c r="AR10" s="76">
        <f t="shared" ref="AR10:AR31" si="7">(+AQ10-AP10)*24</f>
        <v>0</v>
      </c>
      <c r="AS10" s="66"/>
      <c r="AT10" s="69"/>
      <c r="AU10" s="70"/>
      <c r="AV10" s="76">
        <f t="shared" ref="AV10:AV31" si="8">(+AU10-AT10)*24</f>
        <v>0</v>
      </c>
      <c r="AW10" s="66"/>
      <c r="AX10" s="69"/>
      <c r="AY10" s="70"/>
      <c r="AZ10" s="76">
        <f t="shared" ref="AZ10:AZ31" si="9">(+AY10-AX10)*24</f>
        <v>0</v>
      </c>
      <c r="BA10" s="66"/>
      <c r="BB10" s="69"/>
      <c r="BC10" s="70"/>
      <c r="BD10" s="76">
        <f t="shared" ref="BD10:BD32" si="10">(+BC10-BB10)*24</f>
        <v>0</v>
      </c>
      <c r="BE10" s="66"/>
      <c r="BF10" s="69"/>
      <c r="BG10" s="70"/>
      <c r="BH10" s="76">
        <f t="shared" ref="BH10:BH32" si="11">(+BG10-BF10)*24</f>
        <v>0</v>
      </c>
      <c r="BI10" s="66"/>
      <c r="BJ10" s="69"/>
      <c r="BK10" s="70"/>
      <c r="BL10" s="76">
        <f t="shared" ref="BL10:BL32" si="12">(+BK10-BJ10)*24</f>
        <v>0</v>
      </c>
      <c r="BM10" s="66"/>
      <c r="BN10" s="69"/>
      <c r="BO10" s="70"/>
      <c r="BP10" s="76">
        <f t="shared" ref="BP10:BP32" si="13">(+BO10-BN10)*24</f>
        <v>0</v>
      </c>
      <c r="BQ10" s="66"/>
      <c r="BR10" s="69"/>
      <c r="BS10" s="70"/>
      <c r="BT10" s="76">
        <f t="shared" ref="BT10:BT32" si="14">(+BS10-BR10)*24</f>
        <v>0</v>
      </c>
      <c r="BU10" s="66"/>
      <c r="BV10" s="69"/>
      <c r="BW10" s="70"/>
      <c r="BX10" s="76">
        <f t="shared" ref="BX10:BX32" si="15">(+BW10-BV10)*24</f>
        <v>0</v>
      </c>
      <c r="BY10" s="66"/>
      <c r="BZ10" s="69"/>
      <c r="CA10" s="70"/>
      <c r="CB10" s="76">
        <f t="shared" ref="CB10:CB32" si="16">(+CA10-BZ10)*24</f>
        <v>0</v>
      </c>
      <c r="CC10" s="66"/>
      <c r="CD10" s="69"/>
      <c r="CE10" s="70"/>
      <c r="CF10" s="76">
        <f t="shared" ref="CF10:CF32" si="17">(+CE10-CD10)*24</f>
        <v>0</v>
      </c>
      <c r="CG10" s="66"/>
      <c r="CH10" s="69"/>
      <c r="CI10" s="70"/>
      <c r="CJ10" s="76">
        <f t="shared" ref="CJ10:CJ32" si="18">(+CI10-CH10)*24</f>
        <v>0</v>
      </c>
      <c r="CK10" s="66"/>
      <c r="CL10" s="69"/>
      <c r="CM10" s="70"/>
      <c r="CN10" s="76">
        <f t="shared" ref="CN10:CN32" si="19">(+CM10-CL10)*24</f>
        <v>0</v>
      </c>
      <c r="CO10" s="66"/>
      <c r="CP10" s="69"/>
      <c r="CQ10" s="70"/>
      <c r="CR10" s="76">
        <f t="shared" ref="CR10:CR32" si="20">(+CQ10-CP10)*24</f>
        <v>0</v>
      </c>
      <c r="CS10" s="66"/>
      <c r="CT10" s="69"/>
      <c r="CU10" s="70"/>
      <c r="CV10" s="76">
        <f t="shared" ref="CV10:CV32" si="21">(+CU10-CT10)*24</f>
        <v>0</v>
      </c>
      <c r="CW10" s="66"/>
      <c r="CX10" s="69"/>
      <c r="CY10" s="70"/>
      <c r="CZ10" s="76">
        <f t="shared" ref="CZ10:CZ32" si="22">(+CY10-CX10)*24</f>
        <v>0</v>
      </c>
      <c r="DA10" s="66"/>
      <c r="DB10" s="69"/>
      <c r="DC10" s="70"/>
      <c r="DD10" s="76">
        <f t="shared" ref="DD10:DD32" si="23">(+DC10-DB10)*24</f>
        <v>0</v>
      </c>
      <c r="DE10" s="66"/>
      <c r="DF10" s="69"/>
      <c r="DG10" s="70"/>
      <c r="DH10" s="76">
        <f t="shared" ref="DH10:DH32" si="24">(+DG10-DF10)*24</f>
        <v>0</v>
      </c>
      <c r="DI10" s="66"/>
      <c r="DJ10" s="69"/>
      <c r="DK10" s="70"/>
      <c r="DL10" s="76">
        <f t="shared" ref="DL10:DL32" si="25">(+DK10-DJ10)*24</f>
        <v>0</v>
      </c>
      <c r="DM10" s="66"/>
      <c r="DN10" s="69"/>
      <c r="DO10" s="70"/>
      <c r="DP10" s="76">
        <f t="shared" ref="DP10:DP32" si="26">(+DO10-DN10)*24</f>
        <v>0</v>
      </c>
      <c r="DQ10" s="66"/>
      <c r="DR10" s="69"/>
      <c r="DS10" s="70"/>
      <c r="DT10" s="76">
        <f t="shared" ref="DT10:DT32" si="27">(+DS10-DR10)*24</f>
        <v>0</v>
      </c>
      <c r="DU10" s="66"/>
      <c r="DV10" s="69"/>
      <c r="DW10" s="70"/>
      <c r="DX10" s="76">
        <f t="shared" ref="DX10:DX32" si="28">(+DW10-DV10)*24</f>
        <v>0</v>
      </c>
      <c r="DY10" s="66"/>
      <c r="DZ10" s="69"/>
      <c r="EA10" s="70"/>
      <c r="EB10" s="76">
        <f t="shared" ref="EB10:EB32" si="29">(+EA10-DZ10)*24</f>
        <v>0</v>
      </c>
      <c r="EC10" s="66"/>
      <c r="ED10" s="69"/>
      <c r="EE10" s="70"/>
      <c r="EF10" s="76">
        <f t="shared" ref="EF10:EF32" si="30">(+EE10-ED10)*24</f>
        <v>0</v>
      </c>
      <c r="EG10" s="66"/>
      <c r="EH10" s="69"/>
      <c r="EI10" s="70"/>
      <c r="EJ10" s="76">
        <f t="shared" ref="EJ10:EJ32" si="31">(+EI10-EH10)*24</f>
        <v>0</v>
      </c>
      <c r="EK10" s="66"/>
      <c r="EL10" s="69"/>
      <c r="EM10" s="70"/>
      <c r="EN10" s="76">
        <f t="shared" ref="EN10:EN32" si="32">(+EM10-EL10)*24</f>
        <v>0</v>
      </c>
      <c r="EO10" s="66"/>
      <c r="EP10" s="69"/>
      <c r="EQ10" s="70"/>
      <c r="ER10" s="76">
        <f t="shared" ref="ER10:ER32" si="33">(+EQ10-EP10)*24</f>
        <v>0</v>
      </c>
      <c r="ES10" s="66"/>
      <c r="ET10" s="69"/>
      <c r="EU10" s="70"/>
      <c r="EV10" s="76">
        <f t="shared" ref="EV10:EV32" si="34">(+EU10-ET10)*24</f>
        <v>0</v>
      </c>
      <c r="EW10" s="66"/>
      <c r="EX10" s="69"/>
      <c r="EY10" s="70"/>
      <c r="EZ10" s="76">
        <f t="shared" ref="EZ10:EZ32" si="35">(+EY10-EX10)*24</f>
        <v>0</v>
      </c>
      <c r="FA10" s="66"/>
      <c r="FB10" s="69"/>
      <c r="FC10" s="70"/>
      <c r="FD10" s="76">
        <f t="shared" ref="FD10:FD32" si="36">(+FC10-FB10)*24</f>
        <v>0</v>
      </c>
      <c r="FE10" s="66"/>
      <c r="FF10" s="69"/>
      <c r="FG10" s="70"/>
      <c r="FH10" s="76">
        <f t="shared" ref="FH10:FH32" si="37">(+FG10-FF10)*24</f>
        <v>0</v>
      </c>
      <c r="FI10" s="66"/>
      <c r="FJ10" s="69"/>
      <c r="FK10" s="70"/>
      <c r="FL10" s="76">
        <f t="shared" ref="FL10:FL32" si="38">(+FK10-FJ10)*24</f>
        <v>0</v>
      </c>
      <c r="FM10" s="66"/>
      <c r="FN10" s="69"/>
      <c r="FO10" s="70"/>
      <c r="FP10" s="76">
        <f t="shared" ref="FP10:FP32" si="39">(+FO10-FN10)*24</f>
        <v>0</v>
      </c>
      <c r="FQ10" s="66"/>
      <c r="FR10" s="69"/>
      <c r="FS10" s="70"/>
      <c r="FT10" s="76">
        <f t="shared" ref="FT10:FT32" si="40">(+FS10-FR10)*24</f>
        <v>0</v>
      </c>
      <c r="FU10" s="66"/>
      <c r="FV10" s="69"/>
      <c r="FW10" s="70"/>
      <c r="FX10" s="76">
        <f t="shared" ref="FX10:FX32" si="41">(+FW10-FV10)*24</f>
        <v>0</v>
      </c>
      <c r="FY10" s="66"/>
      <c r="FZ10" s="69"/>
      <c r="GA10" s="70"/>
      <c r="GB10" s="76">
        <f t="shared" ref="GB10:GB32" si="42">(+GA10-FZ10)*24</f>
        <v>0</v>
      </c>
      <c r="GC10" s="66"/>
      <c r="GD10" s="69"/>
      <c r="GE10" s="70"/>
      <c r="GF10" s="76">
        <f t="shared" ref="GF10:GF32" si="43">(+GE10-GD10)*24</f>
        <v>0</v>
      </c>
      <c r="GG10" s="66"/>
      <c r="GH10" s="69"/>
      <c r="GI10" s="70"/>
      <c r="GJ10" s="76">
        <f t="shared" ref="GJ10:GJ32" si="44">(+GI10-GH10)*24</f>
        <v>0</v>
      </c>
      <c r="GK10" s="66"/>
      <c r="GL10" s="69"/>
      <c r="GM10" s="70"/>
      <c r="GN10" s="76">
        <f t="shared" ref="GN10:GN32" si="45">(+GM10-GL10)*24</f>
        <v>0</v>
      </c>
      <c r="GO10" s="66"/>
      <c r="GP10" s="71"/>
      <c r="GQ10" s="70"/>
      <c r="GR10" s="76">
        <f t="shared" ref="GR10:GR32" si="46">(+GQ10-GP10)*24</f>
        <v>0</v>
      </c>
      <c r="GS10" s="66"/>
      <c r="GT10" s="69"/>
      <c r="GU10" s="70"/>
      <c r="GV10" s="76">
        <f t="shared" ref="GV10:GV32" si="47">(+GU10-GT10)*24</f>
        <v>0</v>
      </c>
      <c r="GW10" s="66"/>
      <c r="GX10" s="69"/>
      <c r="GY10" s="70"/>
      <c r="GZ10" s="76">
        <f t="shared" ref="GZ10:GZ32" si="48">(+GY10-GX10)*24</f>
        <v>0</v>
      </c>
      <c r="HA10" s="66"/>
      <c r="HB10" s="69"/>
      <c r="HC10" s="70"/>
      <c r="HD10" s="76">
        <f t="shared" ref="HD10:HD32" si="49">(+HC10-HB10)*24</f>
        <v>0</v>
      </c>
      <c r="HE10" s="66"/>
      <c r="HF10" s="69"/>
      <c r="HG10" s="70"/>
      <c r="HH10" s="76">
        <f t="shared" ref="HH10:HH32" si="50">(+HG10-HF10)*24</f>
        <v>0</v>
      </c>
      <c r="HI10" s="66"/>
      <c r="HJ10" s="69"/>
      <c r="HK10" s="70"/>
      <c r="HL10" s="76">
        <f t="shared" ref="HL10:HL32" si="51">(+HK10-HJ10)*24</f>
        <v>0</v>
      </c>
      <c r="HM10" s="66"/>
      <c r="HN10" s="69"/>
      <c r="HO10" s="70"/>
      <c r="HP10" s="76">
        <f t="shared" ref="HP10:HP32" si="52">(+HO10-HN10)*24</f>
        <v>0</v>
      </c>
      <c r="HQ10" s="66"/>
      <c r="HR10" s="69"/>
      <c r="HS10" s="70"/>
      <c r="HT10" s="76">
        <f t="shared" ref="HT10:HT32" si="53">(+HS10-HR10)*24</f>
        <v>0</v>
      </c>
      <c r="HU10" s="66"/>
      <c r="HV10" s="69"/>
      <c r="HW10" s="70"/>
      <c r="HX10" s="76">
        <f t="shared" ref="HX10:HX32" si="54">(+HW10-HV10)*24</f>
        <v>0</v>
      </c>
      <c r="HY10" s="66"/>
      <c r="HZ10" s="69"/>
      <c r="IA10" s="70"/>
      <c r="IB10" s="76">
        <f t="shared" ref="IB10:IB32" si="55">(+IA10-HZ10)*24</f>
        <v>0</v>
      </c>
      <c r="IC10" s="66"/>
      <c r="ID10" s="69"/>
      <c r="IE10" s="70"/>
      <c r="IF10" s="76">
        <f t="shared" ref="IF10:IF32" si="56">(+IE10-ID10)*24</f>
        <v>0</v>
      </c>
      <c r="IG10" s="66"/>
      <c r="IH10" s="69"/>
      <c r="II10" s="70"/>
      <c r="IJ10" s="76">
        <f t="shared" ref="IJ10:IJ32" si="57">(+II10-IH10)*24</f>
        <v>0</v>
      </c>
      <c r="IK10" s="66"/>
      <c r="IL10" s="69"/>
      <c r="IM10" s="70"/>
      <c r="IN10" s="76">
        <f t="shared" ref="IN10:IN32" si="58">(+IM10-IL10)*24</f>
        <v>0</v>
      </c>
      <c r="IO10" s="66"/>
      <c r="IP10" s="69"/>
      <c r="IQ10" s="70"/>
      <c r="IR10" s="76">
        <f t="shared" ref="IR10:IR32" si="59">(+IQ10-IP10)*24</f>
        <v>0</v>
      </c>
      <c r="IS10" s="66"/>
      <c r="IT10" s="69"/>
      <c r="IU10" s="70"/>
      <c r="IV10" s="76">
        <f t="shared" ref="IV10:IV32" si="60">(+IU10-IT10)*24</f>
        <v>0</v>
      </c>
      <c r="IW10" s="66"/>
      <c r="IX10" s="69"/>
      <c r="IY10" s="70"/>
      <c r="IZ10" s="76">
        <f t="shared" ref="IZ10:IZ32" si="61">(+IY10-IX10)*24</f>
        <v>0</v>
      </c>
      <c r="JA10" s="66"/>
      <c r="JB10" s="55" t="e">
        <f t="shared" ref="JB10:JB32" si="62">IF($F$4="F",0,+H10)+IF($V$4="F",0,+X10)+IF($AL$4="F",0,+AN10)+IF($BB$4="F",0,+BD10)+IF($BR$4="F",0,+BT10)+IF($CH$4="F",0,+CJ10)+IF($CX$4="F",0,+CZ10)+IF($DN$4="F",0,+DP10)+IF($ED$4="F",0,+EF10)+IF($ET$4="F",0,EV10)+IF($FJ$4="F",0,+FL10)+IF($FZ$4="F",0,GB10)+IF($GP$4="F",0,+GR10)+IF($HF$4="F",0,+HH10)+IF($HV$4="F",0,+HX10)+IF($IL$4="F",0,+IN10)</f>
        <v>#VALUE!</v>
      </c>
      <c r="JC10" s="55" t="e">
        <f t="shared" ref="JC10:JC32" si="63">IF($F$4="F",0,+L10)+IF($V$4="F",0,+AB10)+IF($AL$4="F",0,+AR10)+IF($BB$4="F",0,+BH10)+IF($BR$4="F",0,+BX10)+IF($CH$4="F",0,+CN10)+IF($CX$4="F",0,+DD10)+IF($DN$4="F",0,+DT10)+IF($ED$4="F",0,+EJ10)+IF($ET$4="F",0,EZ10)+IF($FJ$4="F",0,+FP10)+IF($FZ$4="F",0,GF10)+IF($GP$4="F",0,+GV10)+IF($HF$4="F",0,+HL10)+IF($HV$4="F",0,+IB10)+IF($IL$4="F",0,+IR10)</f>
        <v>#VALUE!</v>
      </c>
      <c r="JD10" s="55" t="e">
        <f t="shared" ref="JD10:JD32" si="64">IF($F$4="F",0,+P10)+IF($V$4="F",0,+AF10)+IF($AL$4="F",0,+AV10)+IF($BB$4="F",0,+BL10)+IF($BR$4="F",0,+CB10)+IF($CH$4="F",0,+CR10)+IF($CX$4="F",0,+DH10)+IF($DN$4="F",0,+DX10)+IF($ED$4="F",0,+EN10)+IF($ET$4="F",0,FD10)+IF($FJ$4="F",0,+FT10)+IF($FZ$4="F",0,GJ10)+IF($GP$4="F",0,+GZ10)+IF($HF$4="F",0,+HP10)+IF($HV$4="F",0,+IF10)+IF($IL$4="F",0,+IV10)</f>
        <v>#VALUE!</v>
      </c>
      <c r="JE10" s="55" t="e">
        <f>IF($F$4="F",0,+S10)+IF($V$4="F",0,+AJ10)+IF($AL$4="F",0,+AZ10)+IF($BB$4="F",0,+BP10)+IF($BR$4="F",0,+CF10)+IF($CH$4="F",0,+CV10)+IF($CX$4="F",0,+DL10)+IF($DN$4="F",0,+EB10)+IF($ED$4="F",0,+ER10)+IF($ET$4="F",0,FH10)+IF($FJ$4="F",0,+FX10)+IF($FZ$4="F",0,GN10)+IF($GP$4="F",0,+HD10)+IF($HF$4="F",0,+HT10)+IF($HV$4="F",0,+IJ10)+IF($IL$4="F",0,+IZ10)</f>
        <v>#VALUE!</v>
      </c>
      <c r="JF10" s="55"/>
      <c r="JP10" s="55"/>
    </row>
    <row r="11" spans="2:276" ht="40.5" customHeight="1" x14ac:dyDescent="0.3">
      <c r="B11" s="39">
        <v>2</v>
      </c>
      <c r="C11" s="96" t="e">
        <f>VLOOKUP(#REF!,EMPLEADO!C:Q,15,FALSE)</f>
        <v>#REF!</v>
      </c>
      <c r="D11" s="11" t="s">
        <v>40</v>
      </c>
      <c r="E11" s="57" t="s">
        <v>26</v>
      </c>
      <c r="F11" s="71"/>
      <c r="G11" s="72"/>
      <c r="H11" s="76">
        <f t="shared" si="0"/>
        <v>0</v>
      </c>
      <c r="I11" s="66"/>
      <c r="J11" s="69"/>
      <c r="K11" s="70"/>
      <c r="L11" s="76">
        <f t="shared" si="1"/>
        <v>0</v>
      </c>
      <c r="M11" s="66"/>
      <c r="N11" s="71"/>
      <c r="O11" s="72"/>
      <c r="P11" s="76">
        <f t="shared" si="2"/>
        <v>0</v>
      </c>
      <c r="Q11" s="66"/>
      <c r="R11" s="72"/>
      <c r="S11" s="72"/>
      <c r="T11" s="76">
        <f t="shared" ref="T11:T31" si="65">(+S11-R11)*24</f>
        <v>0</v>
      </c>
      <c r="U11" s="66"/>
      <c r="V11" s="69"/>
      <c r="W11" s="70"/>
      <c r="X11" s="76">
        <f t="shared" si="3"/>
        <v>0</v>
      </c>
      <c r="Y11" s="66"/>
      <c r="Z11" s="69"/>
      <c r="AA11" s="70"/>
      <c r="AB11" s="76">
        <f t="shared" si="4"/>
        <v>0</v>
      </c>
      <c r="AC11" s="66"/>
      <c r="AD11" s="71"/>
      <c r="AE11" s="93"/>
      <c r="AF11" s="76">
        <f t="shared" si="5"/>
        <v>0</v>
      </c>
      <c r="AG11" s="66"/>
      <c r="AH11" s="72"/>
      <c r="AI11" s="72"/>
      <c r="AJ11" s="94">
        <f t="shared" ref="AJ11:AJ31" si="66">(+AI11-AH11)*24</f>
        <v>0</v>
      </c>
      <c r="AK11" s="66"/>
      <c r="AL11" s="69"/>
      <c r="AM11" s="70"/>
      <c r="AN11" s="76">
        <f t="shared" si="6"/>
        <v>0</v>
      </c>
      <c r="AO11" s="66"/>
      <c r="AP11" s="69"/>
      <c r="AQ11" s="70"/>
      <c r="AR11" s="76">
        <f t="shared" si="7"/>
        <v>0</v>
      </c>
      <c r="AS11" s="66"/>
      <c r="AT11" s="69"/>
      <c r="AU11" s="70"/>
      <c r="AV11" s="76">
        <f t="shared" si="8"/>
        <v>0</v>
      </c>
      <c r="AW11" s="66"/>
      <c r="AX11" s="69"/>
      <c r="AY11" s="70"/>
      <c r="AZ11" s="76">
        <f t="shared" si="9"/>
        <v>0</v>
      </c>
      <c r="BA11" s="66"/>
      <c r="BB11" s="69"/>
      <c r="BC11" s="70"/>
      <c r="BD11" s="76">
        <f t="shared" si="10"/>
        <v>0</v>
      </c>
      <c r="BE11" s="66"/>
      <c r="BF11" s="69"/>
      <c r="BG11" s="70"/>
      <c r="BH11" s="76">
        <f t="shared" si="11"/>
        <v>0</v>
      </c>
      <c r="BI11" s="66"/>
      <c r="BJ11" s="69"/>
      <c r="BK11" s="70"/>
      <c r="BL11" s="76">
        <f t="shared" si="12"/>
        <v>0</v>
      </c>
      <c r="BM11" s="66"/>
      <c r="BN11" s="69"/>
      <c r="BO11" s="70"/>
      <c r="BP11" s="76">
        <f t="shared" si="13"/>
        <v>0</v>
      </c>
      <c r="BQ11" s="66"/>
      <c r="BR11" s="71"/>
      <c r="BS11" s="72"/>
      <c r="BT11" s="76">
        <f t="shared" si="14"/>
        <v>0</v>
      </c>
      <c r="BU11" s="66"/>
      <c r="BV11" s="69"/>
      <c r="BW11" s="70"/>
      <c r="BX11" s="76">
        <f t="shared" si="15"/>
        <v>0</v>
      </c>
      <c r="BY11" s="66"/>
      <c r="BZ11" s="69"/>
      <c r="CA11" s="70"/>
      <c r="CB11" s="76">
        <f t="shared" si="16"/>
        <v>0</v>
      </c>
      <c r="CC11" s="66"/>
      <c r="CD11" s="69"/>
      <c r="CE11" s="70"/>
      <c r="CF11" s="76">
        <f t="shared" si="17"/>
        <v>0</v>
      </c>
      <c r="CG11" s="66"/>
      <c r="CH11" s="69"/>
      <c r="CI11" s="70"/>
      <c r="CJ11" s="76">
        <f t="shared" si="18"/>
        <v>0</v>
      </c>
      <c r="CK11" s="66"/>
      <c r="CL11" s="69"/>
      <c r="CM11" s="70"/>
      <c r="CN11" s="76">
        <f t="shared" si="19"/>
        <v>0</v>
      </c>
      <c r="CO11" s="66"/>
      <c r="CP11" s="69"/>
      <c r="CQ11" s="70"/>
      <c r="CR11" s="76">
        <f t="shared" si="20"/>
        <v>0</v>
      </c>
      <c r="CS11" s="66"/>
      <c r="CT11" s="69"/>
      <c r="CU11" s="70"/>
      <c r="CV11" s="76">
        <f t="shared" si="21"/>
        <v>0</v>
      </c>
      <c r="CW11" s="66"/>
      <c r="CX11" s="69"/>
      <c r="CY11" s="70"/>
      <c r="CZ11" s="76">
        <f t="shared" si="22"/>
        <v>0</v>
      </c>
      <c r="DA11" s="66"/>
      <c r="DB11" s="69"/>
      <c r="DC11" s="70"/>
      <c r="DD11" s="76">
        <f t="shared" si="23"/>
        <v>0</v>
      </c>
      <c r="DE11" s="66"/>
      <c r="DF11" s="69"/>
      <c r="DG11" s="70"/>
      <c r="DH11" s="76">
        <f t="shared" si="24"/>
        <v>0</v>
      </c>
      <c r="DI11" s="66"/>
      <c r="DJ11" s="69"/>
      <c r="DK11" s="70"/>
      <c r="DL11" s="76">
        <f t="shared" si="25"/>
        <v>0</v>
      </c>
      <c r="DM11" s="66"/>
      <c r="DN11" s="69"/>
      <c r="DO11" s="70"/>
      <c r="DP11" s="76">
        <f t="shared" si="26"/>
        <v>0</v>
      </c>
      <c r="DQ11" s="66"/>
      <c r="DR11" s="69"/>
      <c r="DS11" s="70"/>
      <c r="DT11" s="76">
        <f t="shared" si="27"/>
        <v>0</v>
      </c>
      <c r="DU11" s="66"/>
      <c r="DV11" s="71"/>
      <c r="DW11" s="72"/>
      <c r="DX11" s="76">
        <f t="shared" si="28"/>
        <v>0</v>
      </c>
      <c r="DY11" s="66"/>
      <c r="DZ11" s="69"/>
      <c r="EA11" s="70"/>
      <c r="EB11" s="76">
        <f t="shared" si="29"/>
        <v>0</v>
      </c>
      <c r="EC11" s="66"/>
      <c r="ED11" s="69"/>
      <c r="EE11" s="70"/>
      <c r="EF11" s="76">
        <f t="shared" si="30"/>
        <v>0</v>
      </c>
      <c r="EG11" s="66"/>
      <c r="EH11" s="69"/>
      <c r="EI11" s="70"/>
      <c r="EJ11" s="76">
        <f t="shared" si="31"/>
        <v>0</v>
      </c>
      <c r="EK11" s="66"/>
      <c r="EL11" s="69"/>
      <c r="EM11" s="70"/>
      <c r="EN11" s="76">
        <f t="shared" si="32"/>
        <v>0</v>
      </c>
      <c r="EO11" s="66"/>
      <c r="EP11" s="69"/>
      <c r="EQ11" s="70"/>
      <c r="ER11" s="76">
        <f t="shared" si="33"/>
        <v>0</v>
      </c>
      <c r="ES11" s="66"/>
      <c r="ET11" s="69"/>
      <c r="EU11" s="70"/>
      <c r="EV11" s="76">
        <f t="shared" si="34"/>
        <v>0</v>
      </c>
      <c r="EW11" s="66"/>
      <c r="EX11" s="69"/>
      <c r="EY11" s="70"/>
      <c r="EZ11" s="76">
        <f t="shared" si="35"/>
        <v>0</v>
      </c>
      <c r="FA11" s="66"/>
      <c r="FB11" s="69"/>
      <c r="FC11" s="70"/>
      <c r="FD11" s="76">
        <f t="shared" si="36"/>
        <v>0</v>
      </c>
      <c r="FE11" s="66"/>
      <c r="FF11" s="69"/>
      <c r="FG11" s="70"/>
      <c r="FH11" s="76">
        <f t="shared" si="37"/>
        <v>0</v>
      </c>
      <c r="FI11" s="66"/>
      <c r="FJ11" s="69"/>
      <c r="FK11" s="70"/>
      <c r="FL11" s="76">
        <f t="shared" si="38"/>
        <v>0</v>
      </c>
      <c r="FM11" s="66"/>
      <c r="FN11" s="69"/>
      <c r="FO11" s="70"/>
      <c r="FP11" s="76">
        <f t="shared" si="39"/>
        <v>0</v>
      </c>
      <c r="FQ11" s="66"/>
      <c r="FR11" s="69"/>
      <c r="FS11" s="70"/>
      <c r="FT11" s="76">
        <f t="shared" si="40"/>
        <v>0</v>
      </c>
      <c r="FU11" s="66"/>
      <c r="FV11" s="69"/>
      <c r="FW11" s="70"/>
      <c r="FX11" s="76">
        <f t="shared" si="41"/>
        <v>0</v>
      </c>
      <c r="FY11" s="66"/>
      <c r="FZ11" s="69"/>
      <c r="GA11" s="70"/>
      <c r="GB11" s="76">
        <f t="shared" si="42"/>
        <v>0</v>
      </c>
      <c r="GC11" s="66"/>
      <c r="GD11" s="69"/>
      <c r="GE11" s="70"/>
      <c r="GF11" s="76">
        <f t="shared" si="43"/>
        <v>0</v>
      </c>
      <c r="GG11" s="66"/>
      <c r="GH11" s="69"/>
      <c r="GI11" s="70"/>
      <c r="GJ11" s="76">
        <f t="shared" si="44"/>
        <v>0</v>
      </c>
      <c r="GK11" s="66"/>
      <c r="GL11" s="69"/>
      <c r="GM11" s="70"/>
      <c r="GN11" s="76">
        <f t="shared" si="45"/>
        <v>0</v>
      </c>
      <c r="GO11" s="66"/>
      <c r="GP11" s="71"/>
      <c r="GQ11" s="72"/>
      <c r="GR11" s="76">
        <f t="shared" si="46"/>
        <v>0</v>
      </c>
      <c r="GS11" s="66"/>
      <c r="GT11" s="69"/>
      <c r="GU11" s="70"/>
      <c r="GV11" s="76">
        <f t="shared" si="47"/>
        <v>0</v>
      </c>
      <c r="GW11" s="66"/>
      <c r="GX11" s="69"/>
      <c r="GY11" s="70"/>
      <c r="GZ11" s="76">
        <f t="shared" si="48"/>
        <v>0</v>
      </c>
      <c r="HA11" s="66"/>
      <c r="HB11" s="69"/>
      <c r="HC11" s="70"/>
      <c r="HD11" s="76">
        <f t="shared" si="49"/>
        <v>0</v>
      </c>
      <c r="HE11" s="66"/>
      <c r="HF11" s="71"/>
      <c r="HG11" s="72"/>
      <c r="HH11" s="76">
        <f t="shared" si="50"/>
        <v>0</v>
      </c>
      <c r="HI11" s="66"/>
      <c r="HJ11" s="69"/>
      <c r="HK11" s="70"/>
      <c r="HL11" s="76">
        <f t="shared" si="51"/>
        <v>0</v>
      </c>
      <c r="HM11" s="66"/>
      <c r="HN11" s="69"/>
      <c r="HO11" s="70"/>
      <c r="HP11" s="76">
        <f t="shared" si="52"/>
        <v>0</v>
      </c>
      <c r="HQ11" s="66"/>
      <c r="HR11" s="69"/>
      <c r="HS11" s="70"/>
      <c r="HT11" s="76">
        <f t="shared" si="53"/>
        <v>0</v>
      </c>
      <c r="HU11" s="66"/>
      <c r="HV11" s="71"/>
      <c r="HW11" s="72"/>
      <c r="HX11" s="94">
        <f t="shared" si="54"/>
        <v>0</v>
      </c>
      <c r="HY11" s="66"/>
      <c r="HZ11" s="69"/>
      <c r="IA11" s="70"/>
      <c r="IB11" s="76">
        <f t="shared" si="55"/>
        <v>0</v>
      </c>
      <c r="IC11" s="66"/>
      <c r="ID11" s="69"/>
      <c r="IE11" s="70"/>
      <c r="IF11" s="76">
        <f t="shared" si="56"/>
        <v>0</v>
      </c>
      <c r="IG11" s="66"/>
      <c r="IH11" s="69"/>
      <c r="II11" s="70"/>
      <c r="IJ11" s="76">
        <f t="shared" si="57"/>
        <v>0</v>
      </c>
      <c r="IK11" s="66"/>
      <c r="IL11" s="69"/>
      <c r="IM11" s="70"/>
      <c r="IN11" s="76">
        <f t="shared" si="58"/>
        <v>0</v>
      </c>
      <c r="IO11" s="66"/>
      <c r="IP11" s="69"/>
      <c r="IQ11" s="70"/>
      <c r="IR11" s="76">
        <f t="shared" si="59"/>
        <v>0</v>
      </c>
      <c r="IS11" s="66"/>
      <c r="IT11" s="69"/>
      <c r="IU11" s="70"/>
      <c r="IV11" s="76">
        <f t="shared" si="60"/>
        <v>0</v>
      </c>
      <c r="IW11" s="66"/>
      <c r="IX11" s="69"/>
      <c r="IY11" s="70"/>
      <c r="IZ11" s="76">
        <f t="shared" si="61"/>
        <v>0</v>
      </c>
      <c r="JA11" s="66"/>
      <c r="JB11" s="55" t="e">
        <f t="shared" si="62"/>
        <v>#VALUE!</v>
      </c>
      <c r="JC11" s="55" t="e">
        <f t="shared" si="63"/>
        <v>#VALUE!</v>
      </c>
      <c r="JD11" s="55" t="e">
        <f t="shared" si="64"/>
        <v>#VALUE!</v>
      </c>
      <c r="JE11" s="55" t="e">
        <f>IF($F$4="F",0,+S11)+IF($V$4="F",0,+AJ11)+IF($AL$4="F",0,+AZ11)+IF($BB$4="F",0,+BP11)+IF($BR$4="F",0,+CF11)+IF($CH$4="F",0,+CV11)+IF($CX$4="F",0,+DL11)+IF($DN$4="F",0,+EB11)+IF($ED$4="F",0,+ER11)+IF($ET$4="F",0,FH11)+IF($FJ$4="F",0,+FX11)+IF($FZ$4="F",0,GN11)+IF($GP$4="F",0,+HD11)+IF($HF$4="F",0,+HT11)+IF($HV$4="F",0,+IJ11)+IF($IL$4="F",0,+IZ11)</f>
        <v>#VALUE!</v>
      </c>
      <c r="JF11" s="55"/>
      <c r="JP11" s="55"/>
    </row>
    <row r="12" spans="2:276" ht="30" customHeight="1" x14ac:dyDescent="0.3">
      <c r="B12" s="39">
        <v>3</v>
      </c>
      <c r="C12" s="96" t="e">
        <f>VLOOKUP(#REF!,EMPLEADO!C:Q,15,FALSE)</f>
        <v>#REF!</v>
      </c>
      <c r="D12" s="11" t="s">
        <v>38</v>
      </c>
      <c r="E12" s="57" t="s">
        <v>24</v>
      </c>
      <c r="F12" s="69"/>
      <c r="G12" s="70"/>
      <c r="H12" s="76">
        <f t="shared" si="0"/>
        <v>0</v>
      </c>
      <c r="I12" s="66"/>
      <c r="J12" s="69"/>
      <c r="K12" s="70"/>
      <c r="L12" s="76">
        <f t="shared" si="1"/>
        <v>0</v>
      </c>
      <c r="M12" s="66"/>
      <c r="N12" s="69"/>
      <c r="O12" s="70"/>
      <c r="P12" s="76">
        <f t="shared" si="2"/>
        <v>0</v>
      </c>
      <c r="Q12" s="66"/>
      <c r="R12" s="72"/>
      <c r="S12" s="72"/>
      <c r="T12" s="76">
        <f t="shared" si="65"/>
        <v>0</v>
      </c>
      <c r="U12" s="66"/>
      <c r="V12" s="69"/>
      <c r="W12" s="70"/>
      <c r="X12" s="76">
        <f t="shared" si="3"/>
        <v>0</v>
      </c>
      <c r="Y12" s="66"/>
      <c r="Z12" s="69"/>
      <c r="AA12" s="70"/>
      <c r="AB12" s="76">
        <f t="shared" si="4"/>
        <v>0</v>
      </c>
      <c r="AC12" s="66"/>
      <c r="AD12" s="69"/>
      <c r="AE12" s="70"/>
      <c r="AF12" s="76">
        <f t="shared" si="5"/>
        <v>0</v>
      </c>
      <c r="AG12" s="66"/>
      <c r="AH12" s="72"/>
      <c r="AI12" s="72"/>
      <c r="AJ12" s="94">
        <f t="shared" si="66"/>
        <v>0</v>
      </c>
      <c r="AK12" s="66"/>
      <c r="AL12" s="69"/>
      <c r="AM12" s="70"/>
      <c r="AN12" s="76">
        <f t="shared" si="6"/>
        <v>0</v>
      </c>
      <c r="AO12" s="66"/>
      <c r="AP12" s="69"/>
      <c r="AQ12" s="70"/>
      <c r="AR12" s="76">
        <f t="shared" si="7"/>
        <v>0</v>
      </c>
      <c r="AS12" s="66"/>
      <c r="AT12" s="69"/>
      <c r="AU12" s="70"/>
      <c r="AV12" s="76">
        <f t="shared" si="8"/>
        <v>0</v>
      </c>
      <c r="AW12" s="66"/>
      <c r="AX12" s="69"/>
      <c r="AY12" s="70"/>
      <c r="AZ12" s="76">
        <f t="shared" si="9"/>
        <v>0</v>
      </c>
      <c r="BA12" s="66"/>
      <c r="BB12" s="69"/>
      <c r="BC12" s="70"/>
      <c r="BD12" s="76">
        <f t="shared" si="10"/>
        <v>0</v>
      </c>
      <c r="BE12" s="66"/>
      <c r="BF12" s="69"/>
      <c r="BG12" s="70"/>
      <c r="BH12" s="76">
        <f t="shared" si="11"/>
        <v>0</v>
      </c>
      <c r="BI12" s="66"/>
      <c r="BJ12" s="69"/>
      <c r="BK12" s="70"/>
      <c r="BL12" s="76">
        <f t="shared" si="12"/>
        <v>0</v>
      </c>
      <c r="BM12" s="66"/>
      <c r="BN12" s="69"/>
      <c r="BO12" s="70"/>
      <c r="BP12" s="76">
        <f t="shared" si="13"/>
        <v>0</v>
      </c>
      <c r="BQ12" s="66"/>
      <c r="BR12" s="69"/>
      <c r="BS12" s="70"/>
      <c r="BT12" s="76">
        <f t="shared" si="14"/>
        <v>0</v>
      </c>
      <c r="BU12" s="66"/>
      <c r="BV12" s="69"/>
      <c r="BW12" s="70"/>
      <c r="BX12" s="76">
        <f t="shared" si="15"/>
        <v>0</v>
      </c>
      <c r="BY12" s="66"/>
      <c r="BZ12" s="69"/>
      <c r="CA12" s="70"/>
      <c r="CB12" s="76">
        <f t="shared" si="16"/>
        <v>0</v>
      </c>
      <c r="CC12" s="66"/>
      <c r="CD12" s="69"/>
      <c r="CE12" s="70"/>
      <c r="CF12" s="76">
        <f t="shared" si="17"/>
        <v>0</v>
      </c>
      <c r="CG12" s="66"/>
      <c r="CH12" s="71"/>
      <c r="CI12" s="72"/>
      <c r="CJ12" s="76">
        <f t="shared" si="18"/>
        <v>0</v>
      </c>
      <c r="CK12" s="66"/>
      <c r="CL12" s="69"/>
      <c r="CM12" s="70"/>
      <c r="CN12" s="76">
        <f t="shared" si="19"/>
        <v>0</v>
      </c>
      <c r="CO12" s="66"/>
      <c r="CP12" s="69"/>
      <c r="CQ12" s="70"/>
      <c r="CR12" s="76">
        <f t="shared" si="20"/>
        <v>0</v>
      </c>
      <c r="CS12" s="66"/>
      <c r="CT12" s="69"/>
      <c r="CU12" s="70"/>
      <c r="CV12" s="76">
        <f t="shared" si="21"/>
        <v>0</v>
      </c>
      <c r="CW12" s="66"/>
      <c r="CX12" s="69"/>
      <c r="CY12" s="70"/>
      <c r="CZ12" s="76">
        <f t="shared" si="22"/>
        <v>0</v>
      </c>
      <c r="DA12" s="66"/>
      <c r="DB12" s="69"/>
      <c r="DC12" s="70"/>
      <c r="DD12" s="76">
        <f t="shared" si="23"/>
        <v>0</v>
      </c>
      <c r="DE12" s="66"/>
      <c r="DF12" s="69"/>
      <c r="DG12" s="70"/>
      <c r="DH12" s="76">
        <f t="shared" si="24"/>
        <v>0</v>
      </c>
      <c r="DI12" s="66"/>
      <c r="DJ12" s="69"/>
      <c r="DK12" s="70"/>
      <c r="DL12" s="76">
        <f t="shared" si="25"/>
        <v>0</v>
      </c>
      <c r="DM12" s="66"/>
      <c r="DN12" s="69"/>
      <c r="DO12" s="70"/>
      <c r="DP12" s="76">
        <f t="shared" si="26"/>
        <v>0</v>
      </c>
      <c r="DQ12" s="66"/>
      <c r="DR12" s="69"/>
      <c r="DS12" s="70"/>
      <c r="DT12" s="76">
        <f t="shared" si="27"/>
        <v>0</v>
      </c>
      <c r="DU12" s="66"/>
      <c r="DV12" s="69"/>
      <c r="DW12" s="70"/>
      <c r="DX12" s="76">
        <f t="shared" si="28"/>
        <v>0</v>
      </c>
      <c r="DY12" s="66"/>
      <c r="DZ12" s="69"/>
      <c r="EA12" s="70"/>
      <c r="EB12" s="76">
        <f t="shared" si="29"/>
        <v>0</v>
      </c>
      <c r="EC12" s="66"/>
      <c r="ED12" s="69"/>
      <c r="EE12" s="70"/>
      <c r="EF12" s="76">
        <f t="shared" si="30"/>
        <v>0</v>
      </c>
      <c r="EG12" s="66"/>
      <c r="EH12" s="69"/>
      <c r="EI12" s="70"/>
      <c r="EJ12" s="76">
        <f t="shared" si="31"/>
        <v>0</v>
      </c>
      <c r="EK12" s="66"/>
      <c r="EL12" s="69"/>
      <c r="EM12" s="70"/>
      <c r="EN12" s="76">
        <f t="shared" si="32"/>
        <v>0</v>
      </c>
      <c r="EO12" s="66"/>
      <c r="EP12" s="69"/>
      <c r="EQ12" s="70"/>
      <c r="ER12" s="76">
        <f t="shared" si="33"/>
        <v>0</v>
      </c>
      <c r="ES12" s="66"/>
      <c r="ET12" s="69"/>
      <c r="EU12" s="70"/>
      <c r="EV12" s="76">
        <f t="shared" si="34"/>
        <v>0</v>
      </c>
      <c r="EW12" s="66"/>
      <c r="EX12" s="69"/>
      <c r="EY12" s="70"/>
      <c r="EZ12" s="76">
        <f t="shared" si="35"/>
        <v>0</v>
      </c>
      <c r="FA12" s="66"/>
      <c r="FB12" s="69"/>
      <c r="FC12" s="70"/>
      <c r="FD12" s="76">
        <f t="shared" si="36"/>
        <v>0</v>
      </c>
      <c r="FE12" s="66"/>
      <c r="FF12" s="69"/>
      <c r="FG12" s="70"/>
      <c r="FH12" s="76">
        <f t="shared" si="37"/>
        <v>0</v>
      </c>
      <c r="FI12" s="66"/>
      <c r="FJ12" s="69"/>
      <c r="FK12" s="70"/>
      <c r="FL12" s="76">
        <f t="shared" si="38"/>
        <v>0</v>
      </c>
      <c r="FM12" s="66"/>
      <c r="FN12" s="69"/>
      <c r="FO12" s="70"/>
      <c r="FP12" s="76">
        <f t="shared" si="39"/>
        <v>0</v>
      </c>
      <c r="FQ12" s="66"/>
      <c r="FR12" s="69"/>
      <c r="FS12" s="70"/>
      <c r="FT12" s="76">
        <f t="shared" si="40"/>
        <v>0</v>
      </c>
      <c r="FU12" s="66"/>
      <c r="FV12" s="69"/>
      <c r="FW12" s="70"/>
      <c r="FX12" s="76">
        <f t="shared" si="41"/>
        <v>0</v>
      </c>
      <c r="FY12" s="66"/>
      <c r="FZ12" s="69"/>
      <c r="GA12" s="70"/>
      <c r="GB12" s="76">
        <f t="shared" si="42"/>
        <v>0</v>
      </c>
      <c r="GC12" s="66"/>
      <c r="GD12" s="69"/>
      <c r="GE12" s="70"/>
      <c r="GF12" s="76">
        <f t="shared" si="43"/>
        <v>0</v>
      </c>
      <c r="GG12" s="66"/>
      <c r="GH12" s="69"/>
      <c r="GI12" s="70"/>
      <c r="GJ12" s="76">
        <f t="shared" si="44"/>
        <v>0</v>
      </c>
      <c r="GK12" s="66"/>
      <c r="GL12" s="69"/>
      <c r="GM12" s="70"/>
      <c r="GN12" s="76">
        <f t="shared" si="45"/>
        <v>0</v>
      </c>
      <c r="GO12" s="66"/>
      <c r="GP12" s="69"/>
      <c r="GQ12" s="70"/>
      <c r="GR12" s="76">
        <f t="shared" si="46"/>
        <v>0</v>
      </c>
      <c r="GS12" s="66"/>
      <c r="GT12" s="69"/>
      <c r="GU12" s="70"/>
      <c r="GV12" s="76">
        <f t="shared" si="47"/>
        <v>0</v>
      </c>
      <c r="GW12" s="66"/>
      <c r="GX12" s="69"/>
      <c r="GY12" s="70"/>
      <c r="GZ12" s="76">
        <f t="shared" si="48"/>
        <v>0</v>
      </c>
      <c r="HA12" s="66"/>
      <c r="HB12" s="69"/>
      <c r="HC12" s="70"/>
      <c r="HD12" s="76">
        <f t="shared" si="49"/>
        <v>0</v>
      </c>
      <c r="HE12" s="66"/>
      <c r="HF12" s="69"/>
      <c r="HG12" s="70"/>
      <c r="HH12" s="76">
        <f t="shared" si="50"/>
        <v>0</v>
      </c>
      <c r="HI12" s="66"/>
      <c r="HJ12" s="69"/>
      <c r="HK12" s="70"/>
      <c r="HL12" s="76">
        <f t="shared" si="51"/>
        <v>0</v>
      </c>
      <c r="HM12" s="66"/>
      <c r="HN12" s="69"/>
      <c r="HO12" s="70"/>
      <c r="HP12" s="76">
        <f t="shared" si="52"/>
        <v>0</v>
      </c>
      <c r="HQ12" s="66"/>
      <c r="HR12" s="69"/>
      <c r="HS12" s="70"/>
      <c r="HT12" s="76">
        <f t="shared" si="53"/>
        <v>0</v>
      </c>
      <c r="HU12" s="66"/>
      <c r="HV12" s="69"/>
      <c r="HW12" s="70"/>
      <c r="HX12" s="76">
        <f t="shared" si="54"/>
        <v>0</v>
      </c>
      <c r="HY12" s="66"/>
      <c r="HZ12" s="69"/>
      <c r="IA12" s="70"/>
      <c r="IB12" s="76">
        <f t="shared" si="55"/>
        <v>0</v>
      </c>
      <c r="IC12" s="66"/>
      <c r="ID12" s="69"/>
      <c r="IE12" s="70"/>
      <c r="IF12" s="76">
        <f t="shared" si="56"/>
        <v>0</v>
      </c>
      <c r="IG12" s="66"/>
      <c r="IH12" s="69"/>
      <c r="II12" s="70"/>
      <c r="IJ12" s="76">
        <f t="shared" si="57"/>
        <v>0</v>
      </c>
      <c r="IK12" s="66"/>
      <c r="IL12" s="69"/>
      <c r="IM12" s="70"/>
      <c r="IN12" s="76">
        <f t="shared" si="58"/>
        <v>0</v>
      </c>
      <c r="IO12" s="66"/>
      <c r="IP12" s="69"/>
      <c r="IQ12" s="70"/>
      <c r="IR12" s="76">
        <f t="shared" si="59"/>
        <v>0</v>
      </c>
      <c r="IS12" s="66"/>
      <c r="IT12" s="69"/>
      <c r="IU12" s="70"/>
      <c r="IV12" s="76">
        <f t="shared" si="60"/>
        <v>0</v>
      </c>
      <c r="IW12" s="66"/>
      <c r="IX12" s="69"/>
      <c r="IY12" s="70"/>
      <c r="IZ12" s="76">
        <f t="shared" si="61"/>
        <v>0</v>
      </c>
      <c r="JA12" s="66"/>
      <c r="JB12" s="55" t="e">
        <f t="shared" si="62"/>
        <v>#VALUE!</v>
      </c>
      <c r="JC12" s="55" t="e">
        <f t="shared" si="63"/>
        <v>#VALUE!</v>
      </c>
      <c r="JD12" s="55" t="e">
        <f t="shared" si="64"/>
        <v>#VALUE!</v>
      </c>
      <c r="JE12" s="55" t="e">
        <f>IF($F$4="F",0,+S12)+IF($V$4="F",0,+AJ12)+IF($AL$4="F",0,+AZ12)+IF($BB$4="F",0,+BP12)+IF($BR$4="F",0,+CF12)+IF($CH$4="F",0,+CV12)+IF($CX$4="F",0,+DL12)+IF($DN$4="F",0,+EB12)+IF($ED$4="F",0,+ER12)+IF($ET$4="F",0,FH12)+IF($FJ$4="F",0,+FX12)+IF($FZ$4="F",0,GN12)+IF($GP$4="F",0,+HD12)+IF($HF$4="F",0,+HT12)+IF($HV$4="F",0,+IJ12)+IF($IL$4="F",0,+IZ12)</f>
        <v>#VALUE!</v>
      </c>
      <c r="JF12" s="55"/>
      <c r="JP12" s="55"/>
    </row>
    <row r="13" spans="2:276" ht="30" customHeight="1" x14ac:dyDescent="0.3">
      <c r="B13" s="39">
        <v>4</v>
      </c>
      <c r="C13" s="96" t="e">
        <f>VLOOKUP(#REF!,EMPLEADO!C:Q,15,FALSE)</f>
        <v>#REF!</v>
      </c>
      <c r="D13" s="11" t="s">
        <v>41</v>
      </c>
      <c r="E13" s="57" t="s">
        <v>18</v>
      </c>
      <c r="F13" s="71"/>
      <c r="G13" s="72"/>
      <c r="H13" s="76">
        <f t="shared" si="0"/>
        <v>0</v>
      </c>
      <c r="I13" s="66"/>
      <c r="J13" s="69"/>
      <c r="K13" s="70"/>
      <c r="L13" s="76">
        <f t="shared" si="1"/>
        <v>0</v>
      </c>
      <c r="M13" s="66"/>
      <c r="N13" s="71"/>
      <c r="O13" s="72"/>
      <c r="P13" s="76">
        <f t="shared" si="2"/>
        <v>0</v>
      </c>
      <c r="Q13" s="66"/>
      <c r="R13" s="72"/>
      <c r="S13" s="72"/>
      <c r="T13" s="76">
        <f t="shared" si="65"/>
        <v>0</v>
      </c>
      <c r="U13" s="66"/>
      <c r="V13" s="69"/>
      <c r="W13" s="70"/>
      <c r="X13" s="76">
        <f t="shared" si="3"/>
        <v>0</v>
      </c>
      <c r="Y13" s="66"/>
      <c r="Z13" s="69"/>
      <c r="AA13" s="70"/>
      <c r="AB13" s="76">
        <f t="shared" si="4"/>
        <v>0</v>
      </c>
      <c r="AC13" s="66"/>
      <c r="AD13" s="69"/>
      <c r="AE13" s="70"/>
      <c r="AF13" s="76">
        <f t="shared" si="5"/>
        <v>0</v>
      </c>
      <c r="AG13" s="66"/>
      <c r="AH13" s="72"/>
      <c r="AI13" s="72"/>
      <c r="AJ13" s="94">
        <f t="shared" si="66"/>
        <v>0</v>
      </c>
      <c r="AK13" s="66"/>
      <c r="AL13" s="69"/>
      <c r="AM13" s="70"/>
      <c r="AN13" s="76">
        <f t="shared" si="6"/>
        <v>0</v>
      </c>
      <c r="AO13" s="66"/>
      <c r="AP13" s="69"/>
      <c r="AQ13" s="70"/>
      <c r="AR13" s="76">
        <f t="shared" si="7"/>
        <v>0</v>
      </c>
      <c r="AS13" s="66"/>
      <c r="AT13" s="69"/>
      <c r="AU13" s="70"/>
      <c r="AV13" s="76">
        <f t="shared" si="8"/>
        <v>0</v>
      </c>
      <c r="AW13" s="66"/>
      <c r="AX13" s="69"/>
      <c r="AY13" s="70"/>
      <c r="AZ13" s="76">
        <f t="shared" si="9"/>
        <v>0</v>
      </c>
      <c r="BA13" s="66"/>
      <c r="BB13" s="69"/>
      <c r="BC13" s="70"/>
      <c r="BD13" s="76">
        <f t="shared" si="10"/>
        <v>0</v>
      </c>
      <c r="BE13" s="66"/>
      <c r="BF13" s="69"/>
      <c r="BG13" s="70"/>
      <c r="BH13" s="76">
        <f t="shared" si="11"/>
        <v>0</v>
      </c>
      <c r="BI13" s="66"/>
      <c r="BJ13" s="69"/>
      <c r="BK13" s="70"/>
      <c r="BL13" s="76">
        <f t="shared" si="12"/>
        <v>0</v>
      </c>
      <c r="BM13" s="66"/>
      <c r="BN13" s="69"/>
      <c r="BO13" s="70"/>
      <c r="BP13" s="76">
        <f t="shared" si="13"/>
        <v>0</v>
      </c>
      <c r="BQ13" s="66"/>
      <c r="BR13" s="69"/>
      <c r="BS13" s="70"/>
      <c r="BT13" s="76">
        <f t="shared" si="14"/>
        <v>0</v>
      </c>
      <c r="BU13" s="66"/>
      <c r="BV13" s="69"/>
      <c r="BW13" s="70"/>
      <c r="BX13" s="76">
        <f t="shared" si="15"/>
        <v>0</v>
      </c>
      <c r="BY13" s="66"/>
      <c r="BZ13" s="69"/>
      <c r="CA13" s="70"/>
      <c r="CB13" s="76">
        <f t="shared" si="16"/>
        <v>0</v>
      </c>
      <c r="CC13" s="66"/>
      <c r="CD13" s="69"/>
      <c r="CE13" s="70"/>
      <c r="CF13" s="76">
        <f t="shared" si="17"/>
        <v>0</v>
      </c>
      <c r="CG13" s="66"/>
      <c r="CH13" s="69"/>
      <c r="CI13" s="70"/>
      <c r="CJ13" s="76">
        <f t="shared" si="18"/>
        <v>0</v>
      </c>
      <c r="CK13" s="66"/>
      <c r="CL13" s="69"/>
      <c r="CM13" s="70"/>
      <c r="CN13" s="76">
        <f t="shared" si="19"/>
        <v>0</v>
      </c>
      <c r="CO13" s="66"/>
      <c r="CP13" s="69"/>
      <c r="CQ13" s="70"/>
      <c r="CR13" s="76">
        <f t="shared" si="20"/>
        <v>0</v>
      </c>
      <c r="CS13" s="66"/>
      <c r="CT13" s="69"/>
      <c r="CU13" s="70"/>
      <c r="CV13" s="76">
        <f t="shared" si="21"/>
        <v>0</v>
      </c>
      <c r="CW13" s="66"/>
      <c r="CX13" s="69"/>
      <c r="CY13" s="70"/>
      <c r="CZ13" s="76">
        <f t="shared" si="22"/>
        <v>0</v>
      </c>
      <c r="DA13" s="66"/>
      <c r="DB13" s="69"/>
      <c r="DC13" s="70"/>
      <c r="DD13" s="76">
        <f t="shared" si="23"/>
        <v>0</v>
      </c>
      <c r="DE13" s="66"/>
      <c r="DF13" s="69"/>
      <c r="DG13" s="70"/>
      <c r="DH13" s="76">
        <f t="shared" si="24"/>
        <v>0</v>
      </c>
      <c r="DI13" s="66"/>
      <c r="DJ13" s="69"/>
      <c r="DK13" s="70"/>
      <c r="DL13" s="76">
        <f t="shared" si="25"/>
        <v>0</v>
      </c>
      <c r="DM13" s="66"/>
      <c r="DN13" s="69"/>
      <c r="DO13" s="70"/>
      <c r="DP13" s="76">
        <f t="shared" si="26"/>
        <v>0</v>
      </c>
      <c r="DQ13" s="66"/>
      <c r="DR13" s="69"/>
      <c r="DS13" s="70"/>
      <c r="DT13" s="76">
        <f t="shared" si="27"/>
        <v>0</v>
      </c>
      <c r="DU13" s="66"/>
      <c r="DV13" s="69"/>
      <c r="DW13" s="70"/>
      <c r="DX13" s="76">
        <f t="shared" si="28"/>
        <v>0</v>
      </c>
      <c r="DY13" s="66"/>
      <c r="DZ13" s="69"/>
      <c r="EA13" s="70"/>
      <c r="EB13" s="76">
        <f t="shared" si="29"/>
        <v>0</v>
      </c>
      <c r="EC13" s="66"/>
      <c r="ED13" s="69"/>
      <c r="EE13" s="70"/>
      <c r="EF13" s="76">
        <f t="shared" si="30"/>
        <v>0</v>
      </c>
      <c r="EG13" s="66"/>
      <c r="EH13" s="69"/>
      <c r="EI13" s="70"/>
      <c r="EJ13" s="76">
        <f t="shared" si="31"/>
        <v>0</v>
      </c>
      <c r="EK13" s="66"/>
      <c r="EL13" s="69"/>
      <c r="EM13" s="70"/>
      <c r="EN13" s="76">
        <f t="shared" si="32"/>
        <v>0</v>
      </c>
      <c r="EO13" s="66"/>
      <c r="EP13" s="69"/>
      <c r="EQ13" s="70"/>
      <c r="ER13" s="76">
        <f t="shared" si="33"/>
        <v>0</v>
      </c>
      <c r="ES13" s="66"/>
      <c r="ET13" s="69"/>
      <c r="EU13" s="70"/>
      <c r="EV13" s="76">
        <f t="shared" si="34"/>
        <v>0</v>
      </c>
      <c r="EW13" s="66"/>
      <c r="EX13" s="69"/>
      <c r="EY13" s="70"/>
      <c r="EZ13" s="76">
        <f t="shared" si="35"/>
        <v>0</v>
      </c>
      <c r="FA13" s="66"/>
      <c r="FB13" s="69"/>
      <c r="FC13" s="70"/>
      <c r="FD13" s="76">
        <f t="shared" si="36"/>
        <v>0</v>
      </c>
      <c r="FE13" s="66"/>
      <c r="FF13" s="69"/>
      <c r="FG13" s="70"/>
      <c r="FH13" s="76">
        <f t="shared" si="37"/>
        <v>0</v>
      </c>
      <c r="FI13" s="66"/>
      <c r="FJ13" s="69"/>
      <c r="FK13" s="70"/>
      <c r="FL13" s="76">
        <f t="shared" si="38"/>
        <v>0</v>
      </c>
      <c r="FM13" s="66"/>
      <c r="FN13" s="69"/>
      <c r="FO13" s="70"/>
      <c r="FP13" s="76">
        <f t="shared" si="39"/>
        <v>0</v>
      </c>
      <c r="FQ13" s="66"/>
      <c r="FR13" s="69"/>
      <c r="FS13" s="70"/>
      <c r="FT13" s="76">
        <f t="shared" si="40"/>
        <v>0</v>
      </c>
      <c r="FU13" s="66"/>
      <c r="FV13" s="69"/>
      <c r="FW13" s="70"/>
      <c r="FX13" s="76">
        <f t="shared" si="41"/>
        <v>0</v>
      </c>
      <c r="FY13" s="66"/>
      <c r="FZ13" s="69"/>
      <c r="GA13" s="70"/>
      <c r="GB13" s="76">
        <f t="shared" si="42"/>
        <v>0</v>
      </c>
      <c r="GC13" s="66"/>
      <c r="GD13" s="69"/>
      <c r="GE13" s="70"/>
      <c r="GF13" s="76">
        <f t="shared" si="43"/>
        <v>0</v>
      </c>
      <c r="GG13" s="66"/>
      <c r="GH13" s="69"/>
      <c r="GI13" s="70"/>
      <c r="GJ13" s="76">
        <f t="shared" si="44"/>
        <v>0</v>
      </c>
      <c r="GK13" s="66"/>
      <c r="GL13" s="69"/>
      <c r="GM13" s="70"/>
      <c r="GN13" s="76">
        <f t="shared" si="45"/>
        <v>0</v>
      </c>
      <c r="GO13" s="66"/>
      <c r="GP13" s="69"/>
      <c r="GQ13" s="70"/>
      <c r="GR13" s="76">
        <f t="shared" si="46"/>
        <v>0</v>
      </c>
      <c r="GS13" s="66"/>
      <c r="GT13" s="69"/>
      <c r="GU13" s="70"/>
      <c r="GV13" s="76">
        <f t="shared" si="47"/>
        <v>0</v>
      </c>
      <c r="GW13" s="66"/>
      <c r="GX13" s="69"/>
      <c r="GY13" s="70"/>
      <c r="GZ13" s="76">
        <f t="shared" si="48"/>
        <v>0</v>
      </c>
      <c r="HA13" s="66"/>
      <c r="HB13" s="69"/>
      <c r="HC13" s="70"/>
      <c r="HD13" s="76">
        <f t="shared" si="49"/>
        <v>0</v>
      </c>
      <c r="HE13" s="66"/>
      <c r="HF13" s="69"/>
      <c r="HG13" s="70"/>
      <c r="HH13" s="76">
        <f t="shared" si="50"/>
        <v>0</v>
      </c>
      <c r="HI13" s="66"/>
      <c r="HJ13" s="69"/>
      <c r="HK13" s="70"/>
      <c r="HL13" s="76">
        <f t="shared" si="51"/>
        <v>0</v>
      </c>
      <c r="HM13" s="66"/>
      <c r="HN13" s="69"/>
      <c r="HO13" s="70"/>
      <c r="HP13" s="76">
        <f t="shared" si="52"/>
        <v>0</v>
      </c>
      <c r="HQ13" s="66"/>
      <c r="HR13" s="69"/>
      <c r="HS13" s="70"/>
      <c r="HT13" s="76">
        <f t="shared" si="53"/>
        <v>0</v>
      </c>
      <c r="HU13" s="66"/>
      <c r="HV13" s="69"/>
      <c r="HW13" s="70"/>
      <c r="HX13" s="76">
        <f t="shared" si="54"/>
        <v>0</v>
      </c>
      <c r="HY13" s="66"/>
      <c r="HZ13" s="69"/>
      <c r="IA13" s="70"/>
      <c r="IB13" s="76">
        <f t="shared" si="55"/>
        <v>0</v>
      </c>
      <c r="IC13" s="66"/>
      <c r="ID13" s="69"/>
      <c r="IE13" s="70"/>
      <c r="IF13" s="76">
        <f t="shared" si="56"/>
        <v>0</v>
      </c>
      <c r="IG13" s="66"/>
      <c r="IH13" s="69"/>
      <c r="II13" s="70"/>
      <c r="IJ13" s="76">
        <f t="shared" si="57"/>
        <v>0</v>
      </c>
      <c r="IK13" s="66"/>
      <c r="IL13" s="69"/>
      <c r="IM13" s="70"/>
      <c r="IN13" s="76">
        <f t="shared" si="58"/>
        <v>0</v>
      </c>
      <c r="IO13" s="66"/>
      <c r="IP13" s="69"/>
      <c r="IQ13" s="70"/>
      <c r="IR13" s="76">
        <f t="shared" si="59"/>
        <v>0</v>
      </c>
      <c r="IS13" s="66"/>
      <c r="IT13" s="69"/>
      <c r="IU13" s="70"/>
      <c r="IV13" s="76">
        <f t="shared" si="60"/>
        <v>0</v>
      </c>
      <c r="IW13" s="66"/>
      <c r="IX13" s="69"/>
      <c r="IY13" s="70"/>
      <c r="IZ13" s="76">
        <f t="shared" si="61"/>
        <v>0</v>
      </c>
      <c r="JA13" s="66"/>
      <c r="JB13" s="55" t="e">
        <f t="shared" si="62"/>
        <v>#VALUE!</v>
      </c>
      <c r="JC13" s="55" t="e">
        <f t="shared" si="63"/>
        <v>#VALUE!</v>
      </c>
      <c r="JD13" s="55" t="e">
        <f t="shared" si="64"/>
        <v>#VALUE!</v>
      </c>
      <c r="JE13" s="55" t="e">
        <f>IF($F$4="F",0,+S13)+IF($V$4="F",0,+AJ13)+IF($AL$4="F",0,+AZ13)+IF($BB$4="F",0,+BP13)+IF($BR$4="F",0,+CF13)+IF($CH$4="F",0,+CV13)+IF($CX$4="F",0,+DL13)+IF($DN$4="F",0,+EB13)+IF($ED$4="F",0,+ER13)+IF($ET$4="F",0,FH13)+IF($FJ$4="F",0,+FX13)+IF($FZ$4="F",0,GN13)+IF($GP$4="F",0,+HD13)+IF($HF$4="F",0,+HT13)+IF($HV$4="F",0,+IJ13)+IF($IL$4="F",0,+IZ13)</f>
        <v>#VALUE!</v>
      </c>
      <c r="JF13" s="55"/>
      <c r="JP13" s="55"/>
    </row>
    <row r="14" spans="2:276" ht="30" customHeight="1" x14ac:dyDescent="0.3">
      <c r="B14" s="39">
        <v>5</v>
      </c>
      <c r="C14" s="96" t="e">
        <f>VLOOKUP(#REF!,EMPLEADO!C:Q,15,FALSE)</f>
        <v>#REF!</v>
      </c>
      <c r="D14" s="11" t="s">
        <v>42</v>
      </c>
      <c r="E14" s="57" t="s">
        <v>18</v>
      </c>
      <c r="F14" s="69"/>
      <c r="G14" s="70"/>
      <c r="H14" s="76">
        <f t="shared" si="0"/>
        <v>0</v>
      </c>
      <c r="I14" s="66"/>
      <c r="J14" s="69"/>
      <c r="K14" s="70"/>
      <c r="L14" s="76">
        <f t="shared" si="1"/>
        <v>0</v>
      </c>
      <c r="M14" s="66"/>
      <c r="N14" s="71"/>
      <c r="O14" s="72"/>
      <c r="P14" s="76">
        <f t="shared" si="2"/>
        <v>0</v>
      </c>
      <c r="Q14" s="66"/>
      <c r="R14" s="72"/>
      <c r="S14" s="72"/>
      <c r="T14" s="76">
        <f t="shared" si="65"/>
        <v>0</v>
      </c>
      <c r="U14" s="66"/>
      <c r="V14" s="69"/>
      <c r="W14" s="70"/>
      <c r="X14" s="76">
        <f t="shared" si="3"/>
        <v>0</v>
      </c>
      <c r="Y14" s="66"/>
      <c r="Z14" s="69"/>
      <c r="AA14" s="70"/>
      <c r="AB14" s="76">
        <f t="shared" si="4"/>
        <v>0</v>
      </c>
      <c r="AC14" s="66"/>
      <c r="AD14" s="69"/>
      <c r="AE14" s="70"/>
      <c r="AF14" s="76">
        <f t="shared" si="5"/>
        <v>0</v>
      </c>
      <c r="AG14" s="66"/>
      <c r="AH14" s="72"/>
      <c r="AI14" s="72"/>
      <c r="AJ14" s="94">
        <f t="shared" si="66"/>
        <v>0</v>
      </c>
      <c r="AK14" s="66"/>
      <c r="AL14" s="69"/>
      <c r="AM14" s="70"/>
      <c r="AN14" s="76">
        <f t="shared" si="6"/>
        <v>0</v>
      </c>
      <c r="AO14" s="66"/>
      <c r="AP14" s="69"/>
      <c r="AQ14" s="70"/>
      <c r="AR14" s="76">
        <f t="shared" si="7"/>
        <v>0</v>
      </c>
      <c r="AS14" s="66"/>
      <c r="AT14" s="69"/>
      <c r="AU14" s="70"/>
      <c r="AV14" s="76">
        <f t="shared" si="8"/>
        <v>0</v>
      </c>
      <c r="AW14" s="66"/>
      <c r="AX14" s="69"/>
      <c r="AY14" s="70"/>
      <c r="AZ14" s="76">
        <f t="shared" si="9"/>
        <v>0</v>
      </c>
      <c r="BA14" s="66"/>
      <c r="BB14" s="69"/>
      <c r="BC14" s="70"/>
      <c r="BD14" s="76">
        <f t="shared" si="10"/>
        <v>0</v>
      </c>
      <c r="BE14" s="66"/>
      <c r="BF14" s="69"/>
      <c r="BG14" s="70"/>
      <c r="BH14" s="76">
        <f t="shared" si="11"/>
        <v>0</v>
      </c>
      <c r="BI14" s="66"/>
      <c r="BJ14" s="69"/>
      <c r="BK14" s="70"/>
      <c r="BL14" s="76">
        <f t="shared" si="12"/>
        <v>0</v>
      </c>
      <c r="BM14" s="66"/>
      <c r="BN14" s="69"/>
      <c r="BO14" s="70"/>
      <c r="BP14" s="76">
        <f t="shared" si="13"/>
        <v>0</v>
      </c>
      <c r="BQ14" s="66"/>
      <c r="BR14" s="69"/>
      <c r="BS14" s="70"/>
      <c r="BT14" s="76">
        <f t="shared" si="14"/>
        <v>0</v>
      </c>
      <c r="BU14" s="66"/>
      <c r="BV14" s="69"/>
      <c r="BW14" s="70"/>
      <c r="BX14" s="76">
        <f t="shared" si="15"/>
        <v>0</v>
      </c>
      <c r="BY14" s="66"/>
      <c r="BZ14" s="69"/>
      <c r="CA14" s="70"/>
      <c r="CB14" s="76">
        <f t="shared" si="16"/>
        <v>0</v>
      </c>
      <c r="CC14" s="66"/>
      <c r="CD14" s="69"/>
      <c r="CE14" s="70"/>
      <c r="CF14" s="76">
        <f t="shared" si="17"/>
        <v>0</v>
      </c>
      <c r="CG14" s="66"/>
      <c r="CH14" s="69"/>
      <c r="CI14" s="70"/>
      <c r="CJ14" s="76">
        <f t="shared" si="18"/>
        <v>0</v>
      </c>
      <c r="CK14" s="66"/>
      <c r="CL14" s="69"/>
      <c r="CM14" s="70"/>
      <c r="CN14" s="76">
        <f t="shared" si="19"/>
        <v>0</v>
      </c>
      <c r="CO14" s="66"/>
      <c r="CP14" s="69"/>
      <c r="CQ14" s="70"/>
      <c r="CR14" s="76">
        <f t="shared" si="20"/>
        <v>0</v>
      </c>
      <c r="CS14" s="66"/>
      <c r="CT14" s="69"/>
      <c r="CU14" s="70"/>
      <c r="CV14" s="76">
        <f t="shared" si="21"/>
        <v>0</v>
      </c>
      <c r="CW14" s="66"/>
      <c r="CX14" s="69"/>
      <c r="CY14" s="70"/>
      <c r="CZ14" s="76">
        <f t="shared" si="22"/>
        <v>0</v>
      </c>
      <c r="DA14" s="66"/>
      <c r="DB14" s="69"/>
      <c r="DC14" s="70"/>
      <c r="DD14" s="76">
        <f t="shared" si="23"/>
        <v>0</v>
      </c>
      <c r="DE14" s="66"/>
      <c r="DF14" s="69"/>
      <c r="DG14" s="70"/>
      <c r="DH14" s="76">
        <f t="shared" si="24"/>
        <v>0</v>
      </c>
      <c r="DI14" s="66"/>
      <c r="DJ14" s="69"/>
      <c r="DK14" s="70"/>
      <c r="DL14" s="76">
        <f t="shared" si="25"/>
        <v>0</v>
      </c>
      <c r="DM14" s="66"/>
      <c r="DN14" s="69"/>
      <c r="DO14" s="70"/>
      <c r="DP14" s="76">
        <f t="shared" si="26"/>
        <v>0</v>
      </c>
      <c r="DQ14" s="66"/>
      <c r="DR14" s="69"/>
      <c r="DS14" s="70"/>
      <c r="DT14" s="76">
        <f t="shared" si="27"/>
        <v>0</v>
      </c>
      <c r="DU14" s="66"/>
      <c r="DV14" s="69"/>
      <c r="DW14" s="70"/>
      <c r="DX14" s="76">
        <f t="shared" si="28"/>
        <v>0</v>
      </c>
      <c r="DY14" s="66"/>
      <c r="DZ14" s="69"/>
      <c r="EA14" s="70"/>
      <c r="EB14" s="76">
        <f t="shared" si="29"/>
        <v>0</v>
      </c>
      <c r="EC14" s="66"/>
      <c r="ED14" s="69"/>
      <c r="EE14" s="70"/>
      <c r="EF14" s="76">
        <f t="shared" si="30"/>
        <v>0</v>
      </c>
      <c r="EG14" s="66"/>
      <c r="EH14" s="69"/>
      <c r="EI14" s="70"/>
      <c r="EJ14" s="76">
        <f t="shared" si="31"/>
        <v>0</v>
      </c>
      <c r="EK14" s="66"/>
      <c r="EL14" s="69"/>
      <c r="EM14" s="70"/>
      <c r="EN14" s="76">
        <f t="shared" si="32"/>
        <v>0</v>
      </c>
      <c r="EO14" s="66"/>
      <c r="EP14" s="69"/>
      <c r="EQ14" s="70"/>
      <c r="ER14" s="76">
        <f t="shared" si="33"/>
        <v>0</v>
      </c>
      <c r="ES14" s="66"/>
      <c r="ET14" s="69"/>
      <c r="EU14" s="70"/>
      <c r="EV14" s="76">
        <f t="shared" si="34"/>
        <v>0</v>
      </c>
      <c r="EW14" s="66"/>
      <c r="EX14" s="69"/>
      <c r="EY14" s="70"/>
      <c r="EZ14" s="76">
        <f t="shared" si="35"/>
        <v>0</v>
      </c>
      <c r="FA14" s="66"/>
      <c r="FB14" s="69"/>
      <c r="FC14" s="70"/>
      <c r="FD14" s="76">
        <f t="shared" si="36"/>
        <v>0</v>
      </c>
      <c r="FE14" s="66"/>
      <c r="FF14" s="69"/>
      <c r="FG14" s="70"/>
      <c r="FH14" s="76">
        <f t="shared" si="37"/>
        <v>0</v>
      </c>
      <c r="FI14" s="66"/>
      <c r="FJ14" s="69"/>
      <c r="FK14" s="70"/>
      <c r="FL14" s="76">
        <f t="shared" si="38"/>
        <v>0</v>
      </c>
      <c r="FM14" s="66"/>
      <c r="FN14" s="69"/>
      <c r="FO14" s="70"/>
      <c r="FP14" s="76">
        <f t="shared" si="39"/>
        <v>0</v>
      </c>
      <c r="FQ14" s="66"/>
      <c r="FR14" s="69"/>
      <c r="FS14" s="70"/>
      <c r="FT14" s="76">
        <f t="shared" si="40"/>
        <v>0</v>
      </c>
      <c r="FU14" s="66"/>
      <c r="FV14" s="69"/>
      <c r="FW14" s="70"/>
      <c r="FX14" s="76">
        <f t="shared" si="41"/>
        <v>0</v>
      </c>
      <c r="FY14" s="66"/>
      <c r="FZ14" s="69"/>
      <c r="GA14" s="70"/>
      <c r="GB14" s="76">
        <f t="shared" si="42"/>
        <v>0</v>
      </c>
      <c r="GC14" s="66"/>
      <c r="GD14" s="69"/>
      <c r="GE14" s="70"/>
      <c r="GF14" s="76">
        <f t="shared" si="43"/>
        <v>0</v>
      </c>
      <c r="GG14" s="66"/>
      <c r="GH14" s="69"/>
      <c r="GI14" s="70"/>
      <c r="GJ14" s="76">
        <f t="shared" si="44"/>
        <v>0</v>
      </c>
      <c r="GK14" s="66"/>
      <c r="GL14" s="69"/>
      <c r="GM14" s="70"/>
      <c r="GN14" s="76">
        <f t="shared" si="45"/>
        <v>0</v>
      </c>
      <c r="GO14" s="66"/>
      <c r="GP14" s="69"/>
      <c r="GQ14" s="70"/>
      <c r="GR14" s="76">
        <f t="shared" si="46"/>
        <v>0</v>
      </c>
      <c r="GS14" s="66"/>
      <c r="GT14" s="69"/>
      <c r="GU14" s="70"/>
      <c r="GV14" s="76">
        <f t="shared" si="47"/>
        <v>0</v>
      </c>
      <c r="GW14" s="66"/>
      <c r="GX14" s="69"/>
      <c r="GY14" s="70"/>
      <c r="GZ14" s="76">
        <f t="shared" si="48"/>
        <v>0</v>
      </c>
      <c r="HA14" s="66"/>
      <c r="HB14" s="69"/>
      <c r="HC14" s="70"/>
      <c r="HD14" s="76">
        <f t="shared" si="49"/>
        <v>0</v>
      </c>
      <c r="HE14" s="66"/>
      <c r="HF14" s="69"/>
      <c r="HG14" s="70"/>
      <c r="HH14" s="76">
        <f t="shared" si="50"/>
        <v>0</v>
      </c>
      <c r="HI14" s="66"/>
      <c r="HJ14" s="69"/>
      <c r="HK14" s="70"/>
      <c r="HL14" s="76">
        <f t="shared" si="51"/>
        <v>0</v>
      </c>
      <c r="HM14" s="66"/>
      <c r="HN14" s="69"/>
      <c r="HO14" s="70"/>
      <c r="HP14" s="76">
        <f t="shared" si="52"/>
        <v>0</v>
      </c>
      <c r="HQ14" s="66"/>
      <c r="HR14" s="69"/>
      <c r="HS14" s="70"/>
      <c r="HT14" s="76">
        <f t="shared" si="53"/>
        <v>0</v>
      </c>
      <c r="HU14" s="66"/>
      <c r="HV14" s="69"/>
      <c r="HW14" s="70"/>
      <c r="HX14" s="76">
        <f t="shared" si="54"/>
        <v>0</v>
      </c>
      <c r="HY14" s="66"/>
      <c r="HZ14" s="69"/>
      <c r="IA14" s="70"/>
      <c r="IB14" s="76">
        <f t="shared" si="55"/>
        <v>0</v>
      </c>
      <c r="IC14" s="66"/>
      <c r="ID14" s="69"/>
      <c r="IE14" s="70"/>
      <c r="IF14" s="76">
        <f t="shared" si="56"/>
        <v>0</v>
      </c>
      <c r="IG14" s="66"/>
      <c r="IH14" s="69"/>
      <c r="II14" s="70"/>
      <c r="IJ14" s="76">
        <f t="shared" si="57"/>
        <v>0</v>
      </c>
      <c r="IK14" s="66"/>
      <c r="IL14" s="69"/>
      <c r="IM14" s="70"/>
      <c r="IN14" s="76">
        <f t="shared" si="58"/>
        <v>0</v>
      </c>
      <c r="IO14" s="66"/>
      <c r="IP14" s="69"/>
      <c r="IQ14" s="70"/>
      <c r="IR14" s="76">
        <f t="shared" si="59"/>
        <v>0</v>
      </c>
      <c r="IS14" s="66"/>
      <c r="IT14" s="69"/>
      <c r="IU14" s="70"/>
      <c r="IV14" s="76">
        <f t="shared" si="60"/>
        <v>0</v>
      </c>
      <c r="IW14" s="66"/>
      <c r="IX14" s="69"/>
      <c r="IY14" s="70"/>
      <c r="IZ14" s="76">
        <f t="shared" si="61"/>
        <v>0</v>
      </c>
      <c r="JA14" s="66"/>
      <c r="JB14" s="55" t="e">
        <f t="shared" si="62"/>
        <v>#VALUE!</v>
      </c>
      <c r="JC14" s="55" t="e">
        <f t="shared" si="63"/>
        <v>#VALUE!</v>
      </c>
      <c r="JD14" s="55" t="e">
        <f t="shared" si="64"/>
        <v>#VALUE!</v>
      </c>
      <c r="JE14" s="55" t="e">
        <f>IF($F$4="F",0,+S14)+IF($V$4="F",0,+AJ14)+IF($AL$4="F",0,+AZ14)+IF($BB$4="F",0,+BP14)+IF($BR$4="F",0,+CF14)+IF($CH$4="F",0,+CV14)+IF($CX$4="F",0,+DL14)+IF($DN$4="F",0,+EB14)+IF($ED$4="F",0,+ER14)+IF($ET$4="F",0,FH14)+IF($FJ$4="F",0,+FX14)+IF($FZ$4="F",0,GN14)+IF($GP$4="F",0,+HD14)+IF($HF$4="F",0,+HT14)+IF($HV$4="F",0,+IJ14)+IF($IL$4="F",0,+IZ14)</f>
        <v>#VALUE!</v>
      </c>
      <c r="JF14" s="55"/>
      <c r="JP14" s="55"/>
    </row>
    <row r="15" spans="2:276" ht="30" customHeight="1" x14ac:dyDescent="0.3">
      <c r="B15" s="39">
        <v>6</v>
      </c>
      <c r="C15" s="96" t="e">
        <f>VLOOKUP(#REF!,EMPLEADO!C:Q,15,FALSE)</f>
        <v>#REF!</v>
      </c>
      <c r="D15" s="11" t="s">
        <v>43</v>
      </c>
      <c r="E15" s="57" t="s">
        <v>18</v>
      </c>
      <c r="F15" s="71"/>
      <c r="G15" s="72"/>
      <c r="H15" s="76">
        <f t="shared" si="0"/>
        <v>0</v>
      </c>
      <c r="I15" s="66"/>
      <c r="J15" s="69"/>
      <c r="K15" s="70"/>
      <c r="L15" s="76">
        <f t="shared" si="1"/>
        <v>0</v>
      </c>
      <c r="M15" s="66"/>
      <c r="N15" s="71"/>
      <c r="O15" s="72"/>
      <c r="P15" s="76">
        <f t="shared" si="2"/>
        <v>0</v>
      </c>
      <c r="Q15" s="66"/>
      <c r="R15" s="72"/>
      <c r="S15" s="72"/>
      <c r="T15" s="76">
        <f t="shared" si="65"/>
        <v>0</v>
      </c>
      <c r="U15" s="66"/>
      <c r="V15" s="69"/>
      <c r="W15" s="70"/>
      <c r="X15" s="76">
        <f t="shared" si="3"/>
        <v>0</v>
      </c>
      <c r="Y15" s="66"/>
      <c r="Z15" s="69"/>
      <c r="AA15" s="70"/>
      <c r="AB15" s="76">
        <f t="shared" si="4"/>
        <v>0</v>
      </c>
      <c r="AC15" s="66"/>
      <c r="AD15" s="69"/>
      <c r="AE15" s="70"/>
      <c r="AF15" s="76">
        <f t="shared" si="5"/>
        <v>0</v>
      </c>
      <c r="AG15" s="66"/>
      <c r="AH15" s="72"/>
      <c r="AI15" s="72"/>
      <c r="AJ15" s="94">
        <f t="shared" si="66"/>
        <v>0</v>
      </c>
      <c r="AK15" s="66"/>
      <c r="AL15" s="69"/>
      <c r="AM15" s="70"/>
      <c r="AN15" s="76">
        <f t="shared" si="6"/>
        <v>0</v>
      </c>
      <c r="AO15" s="66"/>
      <c r="AP15" s="69"/>
      <c r="AQ15" s="70"/>
      <c r="AR15" s="76">
        <f t="shared" si="7"/>
        <v>0</v>
      </c>
      <c r="AS15" s="66"/>
      <c r="AT15" s="69"/>
      <c r="AU15" s="70"/>
      <c r="AV15" s="76">
        <f t="shared" si="8"/>
        <v>0</v>
      </c>
      <c r="AW15" s="66"/>
      <c r="AX15" s="69"/>
      <c r="AY15" s="70"/>
      <c r="AZ15" s="76">
        <f t="shared" si="9"/>
        <v>0</v>
      </c>
      <c r="BA15" s="66"/>
      <c r="BB15" s="69"/>
      <c r="BC15" s="70"/>
      <c r="BD15" s="76">
        <f t="shared" si="10"/>
        <v>0</v>
      </c>
      <c r="BE15" s="66"/>
      <c r="BF15" s="69"/>
      <c r="BG15" s="70"/>
      <c r="BH15" s="76">
        <f t="shared" si="11"/>
        <v>0</v>
      </c>
      <c r="BI15" s="66"/>
      <c r="BJ15" s="69"/>
      <c r="BK15" s="70"/>
      <c r="BL15" s="76">
        <f t="shared" si="12"/>
        <v>0</v>
      </c>
      <c r="BM15" s="66"/>
      <c r="BN15" s="69"/>
      <c r="BO15" s="70"/>
      <c r="BP15" s="76">
        <f t="shared" si="13"/>
        <v>0</v>
      </c>
      <c r="BQ15" s="66"/>
      <c r="BR15" s="69"/>
      <c r="BS15" s="70"/>
      <c r="BT15" s="76">
        <f t="shared" si="14"/>
        <v>0</v>
      </c>
      <c r="BU15" s="66"/>
      <c r="BV15" s="69"/>
      <c r="BW15" s="70"/>
      <c r="BX15" s="76">
        <f t="shared" si="15"/>
        <v>0</v>
      </c>
      <c r="BY15" s="66"/>
      <c r="BZ15" s="69"/>
      <c r="CA15" s="70"/>
      <c r="CB15" s="76">
        <f t="shared" si="16"/>
        <v>0</v>
      </c>
      <c r="CC15" s="66"/>
      <c r="CD15" s="69"/>
      <c r="CE15" s="70"/>
      <c r="CF15" s="76">
        <f t="shared" si="17"/>
        <v>0</v>
      </c>
      <c r="CG15" s="66"/>
      <c r="CH15" s="69"/>
      <c r="CI15" s="70"/>
      <c r="CJ15" s="76">
        <f t="shared" si="18"/>
        <v>0</v>
      </c>
      <c r="CK15" s="66"/>
      <c r="CL15" s="69"/>
      <c r="CM15" s="70"/>
      <c r="CN15" s="76">
        <f t="shared" si="19"/>
        <v>0</v>
      </c>
      <c r="CO15" s="66"/>
      <c r="CP15" s="69"/>
      <c r="CQ15" s="70"/>
      <c r="CR15" s="76">
        <f t="shared" si="20"/>
        <v>0</v>
      </c>
      <c r="CS15" s="66"/>
      <c r="CT15" s="69"/>
      <c r="CU15" s="70"/>
      <c r="CV15" s="76">
        <f t="shared" si="21"/>
        <v>0</v>
      </c>
      <c r="CW15" s="66"/>
      <c r="CX15" s="69"/>
      <c r="CY15" s="70"/>
      <c r="CZ15" s="76">
        <f t="shared" si="22"/>
        <v>0</v>
      </c>
      <c r="DA15" s="66"/>
      <c r="DB15" s="69"/>
      <c r="DC15" s="70"/>
      <c r="DD15" s="76">
        <f t="shared" si="23"/>
        <v>0</v>
      </c>
      <c r="DE15" s="66"/>
      <c r="DF15" s="69"/>
      <c r="DG15" s="70"/>
      <c r="DH15" s="76">
        <f t="shared" si="24"/>
        <v>0</v>
      </c>
      <c r="DI15" s="66"/>
      <c r="DJ15" s="69"/>
      <c r="DK15" s="70"/>
      <c r="DL15" s="76">
        <f t="shared" si="25"/>
        <v>0</v>
      </c>
      <c r="DM15" s="66"/>
      <c r="DN15" s="69"/>
      <c r="DO15" s="70"/>
      <c r="DP15" s="76">
        <f t="shared" si="26"/>
        <v>0</v>
      </c>
      <c r="DQ15" s="66"/>
      <c r="DR15" s="69"/>
      <c r="DS15" s="70"/>
      <c r="DT15" s="76">
        <f t="shared" si="27"/>
        <v>0</v>
      </c>
      <c r="DU15" s="66"/>
      <c r="DV15" s="69"/>
      <c r="DW15" s="70"/>
      <c r="DX15" s="76">
        <f t="shared" si="28"/>
        <v>0</v>
      </c>
      <c r="DY15" s="66"/>
      <c r="DZ15" s="69"/>
      <c r="EA15" s="70"/>
      <c r="EB15" s="76">
        <f t="shared" si="29"/>
        <v>0</v>
      </c>
      <c r="EC15" s="66"/>
      <c r="ED15" s="69"/>
      <c r="EE15" s="70"/>
      <c r="EF15" s="76">
        <f t="shared" si="30"/>
        <v>0</v>
      </c>
      <c r="EG15" s="66"/>
      <c r="EH15" s="69"/>
      <c r="EI15" s="70"/>
      <c r="EJ15" s="76">
        <f t="shared" si="31"/>
        <v>0</v>
      </c>
      <c r="EK15" s="66"/>
      <c r="EL15" s="69"/>
      <c r="EM15" s="70"/>
      <c r="EN15" s="76">
        <f t="shared" si="32"/>
        <v>0</v>
      </c>
      <c r="EO15" s="66"/>
      <c r="EP15" s="69"/>
      <c r="EQ15" s="70"/>
      <c r="ER15" s="76">
        <f t="shared" si="33"/>
        <v>0</v>
      </c>
      <c r="ES15" s="66"/>
      <c r="ET15" s="69"/>
      <c r="EU15" s="70"/>
      <c r="EV15" s="76">
        <f t="shared" si="34"/>
        <v>0</v>
      </c>
      <c r="EW15" s="66"/>
      <c r="EX15" s="69"/>
      <c r="EY15" s="70"/>
      <c r="EZ15" s="76">
        <f t="shared" si="35"/>
        <v>0</v>
      </c>
      <c r="FA15" s="66"/>
      <c r="FB15" s="69"/>
      <c r="FC15" s="70"/>
      <c r="FD15" s="76">
        <f t="shared" si="36"/>
        <v>0</v>
      </c>
      <c r="FE15" s="66"/>
      <c r="FF15" s="69"/>
      <c r="FG15" s="70"/>
      <c r="FH15" s="76">
        <f t="shared" si="37"/>
        <v>0</v>
      </c>
      <c r="FI15" s="66"/>
      <c r="FJ15" s="69"/>
      <c r="FK15" s="70"/>
      <c r="FL15" s="76">
        <f t="shared" si="38"/>
        <v>0</v>
      </c>
      <c r="FM15" s="66"/>
      <c r="FN15" s="69"/>
      <c r="FO15" s="70"/>
      <c r="FP15" s="76">
        <f t="shared" si="39"/>
        <v>0</v>
      </c>
      <c r="FQ15" s="66"/>
      <c r="FR15" s="69"/>
      <c r="FS15" s="70"/>
      <c r="FT15" s="76">
        <f t="shared" si="40"/>
        <v>0</v>
      </c>
      <c r="FU15" s="66"/>
      <c r="FV15" s="69"/>
      <c r="FW15" s="70"/>
      <c r="FX15" s="76">
        <f t="shared" si="41"/>
        <v>0</v>
      </c>
      <c r="FY15" s="66"/>
      <c r="FZ15" s="69"/>
      <c r="GA15" s="70"/>
      <c r="GB15" s="76">
        <f t="shared" si="42"/>
        <v>0</v>
      </c>
      <c r="GC15" s="66"/>
      <c r="GD15" s="69"/>
      <c r="GE15" s="70"/>
      <c r="GF15" s="76">
        <f t="shared" si="43"/>
        <v>0</v>
      </c>
      <c r="GG15" s="66"/>
      <c r="GH15" s="69"/>
      <c r="GI15" s="70"/>
      <c r="GJ15" s="76">
        <f t="shared" si="44"/>
        <v>0</v>
      </c>
      <c r="GK15" s="66"/>
      <c r="GL15" s="69"/>
      <c r="GM15" s="70"/>
      <c r="GN15" s="76">
        <f t="shared" si="45"/>
        <v>0</v>
      </c>
      <c r="GO15" s="66"/>
      <c r="GP15" s="69"/>
      <c r="GQ15" s="70"/>
      <c r="GR15" s="76">
        <f t="shared" si="46"/>
        <v>0</v>
      </c>
      <c r="GS15" s="66"/>
      <c r="GT15" s="69"/>
      <c r="GU15" s="70"/>
      <c r="GV15" s="76">
        <f t="shared" si="47"/>
        <v>0</v>
      </c>
      <c r="GW15" s="66"/>
      <c r="GX15" s="69"/>
      <c r="GY15" s="70"/>
      <c r="GZ15" s="76">
        <f t="shared" si="48"/>
        <v>0</v>
      </c>
      <c r="HA15" s="66"/>
      <c r="HB15" s="69"/>
      <c r="HC15" s="70"/>
      <c r="HD15" s="76">
        <f t="shared" si="49"/>
        <v>0</v>
      </c>
      <c r="HE15" s="66"/>
      <c r="HF15" s="69"/>
      <c r="HG15" s="70"/>
      <c r="HH15" s="76">
        <f t="shared" si="50"/>
        <v>0</v>
      </c>
      <c r="HI15" s="66"/>
      <c r="HJ15" s="69"/>
      <c r="HK15" s="70"/>
      <c r="HL15" s="76">
        <f t="shared" si="51"/>
        <v>0</v>
      </c>
      <c r="HM15" s="66"/>
      <c r="HN15" s="69"/>
      <c r="HO15" s="70"/>
      <c r="HP15" s="76">
        <f t="shared" si="52"/>
        <v>0</v>
      </c>
      <c r="HQ15" s="66"/>
      <c r="HR15" s="69"/>
      <c r="HS15" s="70"/>
      <c r="HT15" s="76">
        <f t="shared" si="53"/>
        <v>0</v>
      </c>
      <c r="HU15" s="66"/>
      <c r="HV15" s="69"/>
      <c r="HW15" s="70"/>
      <c r="HX15" s="76">
        <f t="shared" si="54"/>
        <v>0</v>
      </c>
      <c r="HY15" s="66"/>
      <c r="HZ15" s="69"/>
      <c r="IA15" s="70"/>
      <c r="IB15" s="76">
        <f t="shared" si="55"/>
        <v>0</v>
      </c>
      <c r="IC15" s="66"/>
      <c r="ID15" s="69"/>
      <c r="IE15" s="70"/>
      <c r="IF15" s="76">
        <f t="shared" si="56"/>
        <v>0</v>
      </c>
      <c r="IG15" s="66"/>
      <c r="IH15" s="69"/>
      <c r="II15" s="70"/>
      <c r="IJ15" s="76">
        <f t="shared" si="57"/>
        <v>0</v>
      </c>
      <c r="IK15" s="66"/>
      <c r="IL15" s="69"/>
      <c r="IM15" s="70"/>
      <c r="IN15" s="76">
        <f t="shared" si="58"/>
        <v>0</v>
      </c>
      <c r="IO15" s="66"/>
      <c r="IP15" s="69"/>
      <c r="IQ15" s="70"/>
      <c r="IR15" s="76">
        <f t="shared" si="59"/>
        <v>0</v>
      </c>
      <c r="IS15" s="66"/>
      <c r="IT15" s="69"/>
      <c r="IU15" s="70"/>
      <c r="IV15" s="76">
        <f t="shared" si="60"/>
        <v>0</v>
      </c>
      <c r="IW15" s="66"/>
      <c r="IX15" s="69"/>
      <c r="IY15" s="70"/>
      <c r="IZ15" s="76">
        <f t="shared" si="61"/>
        <v>0</v>
      </c>
      <c r="JA15" s="66"/>
      <c r="JB15" s="55" t="e">
        <f t="shared" si="62"/>
        <v>#VALUE!</v>
      </c>
      <c r="JC15" s="55" t="e">
        <f t="shared" si="63"/>
        <v>#VALUE!</v>
      </c>
      <c r="JD15" s="55" t="e">
        <f t="shared" si="64"/>
        <v>#VALUE!</v>
      </c>
      <c r="JE15" s="55" t="e">
        <f>IF($F$4="F",0,+T15)+IF($V$4="F",0,+AJ15)+IF($AL$4="F",0,+AZ15)+IF($BB$4="F",0,+BP15)+IF($BR$4="F",0,+CF15)+IF($CH$4="F",0,+CV15)+IF($CX$4="F",0,+DL15)+IF($DN$4="F",0,+EB15)+IF($ED$4="F",0,+ER15)+IF($ET$4="F",0,FH15)+IF($FJ$4="F",0,+FX15)+IF($FZ$4="F",0,GN15)+IF($GP$4="F",0,+HD15)+IF($HF$4="F",0,+HT15)+IF($HV$4="F",0,+IJ15)+IF($IL$4="F",0,+IZ15)</f>
        <v>#VALUE!</v>
      </c>
      <c r="JF15" s="55"/>
      <c r="JP15" s="55"/>
    </row>
    <row r="16" spans="2:276" ht="30" customHeight="1" x14ac:dyDescent="0.3">
      <c r="B16" s="39">
        <v>7</v>
      </c>
      <c r="C16" s="96" t="e">
        <f>VLOOKUP(#REF!,EMPLEADO!C:Q,15,FALSE)</f>
        <v>#REF!</v>
      </c>
      <c r="D16" s="11" t="s">
        <v>44</v>
      </c>
      <c r="E16" s="57" t="s">
        <v>18</v>
      </c>
      <c r="F16" s="69"/>
      <c r="G16" s="70"/>
      <c r="H16" s="76">
        <f t="shared" si="0"/>
        <v>0</v>
      </c>
      <c r="I16" s="66"/>
      <c r="J16" s="69"/>
      <c r="K16" s="70"/>
      <c r="L16" s="76">
        <f t="shared" si="1"/>
        <v>0</v>
      </c>
      <c r="M16" s="66"/>
      <c r="N16" s="71"/>
      <c r="O16" s="72"/>
      <c r="P16" s="76">
        <f t="shared" si="2"/>
        <v>0</v>
      </c>
      <c r="Q16" s="66"/>
      <c r="R16" s="72"/>
      <c r="S16" s="72"/>
      <c r="T16" s="76">
        <f t="shared" si="65"/>
        <v>0</v>
      </c>
      <c r="U16" s="66"/>
      <c r="V16" s="69"/>
      <c r="W16" s="70"/>
      <c r="X16" s="76">
        <f t="shared" si="3"/>
        <v>0</v>
      </c>
      <c r="Y16" s="66"/>
      <c r="Z16" s="69"/>
      <c r="AA16" s="70"/>
      <c r="AB16" s="76">
        <f t="shared" si="4"/>
        <v>0</v>
      </c>
      <c r="AC16" s="66"/>
      <c r="AD16" s="69"/>
      <c r="AE16" s="70"/>
      <c r="AF16" s="76">
        <f t="shared" si="5"/>
        <v>0</v>
      </c>
      <c r="AG16" s="66"/>
      <c r="AH16" s="72"/>
      <c r="AI16" s="72"/>
      <c r="AJ16" s="94">
        <f t="shared" si="66"/>
        <v>0</v>
      </c>
      <c r="AK16" s="66"/>
      <c r="AL16" s="69"/>
      <c r="AM16" s="70"/>
      <c r="AN16" s="76">
        <f t="shared" si="6"/>
        <v>0</v>
      </c>
      <c r="AO16" s="66"/>
      <c r="AP16" s="69"/>
      <c r="AQ16" s="70"/>
      <c r="AR16" s="76">
        <f t="shared" si="7"/>
        <v>0</v>
      </c>
      <c r="AS16" s="66"/>
      <c r="AT16" s="69"/>
      <c r="AU16" s="70"/>
      <c r="AV16" s="76">
        <f t="shared" si="8"/>
        <v>0</v>
      </c>
      <c r="AW16" s="66"/>
      <c r="AX16" s="69"/>
      <c r="AY16" s="70"/>
      <c r="AZ16" s="76">
        <f t="shared" si="9"/>
        <v>0</v>
      </c>
      <c r="BA16" s="66"/>
      <c r="BB16" s="69"/>
      <c r="BC16" s="70"/>
      <c r="BD16" s="76">
        <f t="shared" si="10"/>
        <v>0</v>
      </c>
      <c r="BE16" s="66"/>
      <c r="BF16" s="69"/>
      <c r="BG16" s="70"/>
      <c r="BH16" s="76">
        <f t="shared" si="11"/>
        <v>0</v>
      </c>
      <c r="BI16" s="66"/>
      <c r="BJ16" s="69"/>
      <c r="BK16" s="70"/>
      <c r="BL16" s="76">
        <f t="shared" si="12"/>
        <v>0</v>
      </c>
      <c r="BM16" s="66"/>
      <c r="BN16" s="69"/>
      <c r="BO16" s="70"/>
      <c r="BP16" s="76">
        <f t="shared" si="13"/>
        <v>0</v>
      </c>
      <c r="BQ16" s="66"/>
      <c r="BR16" s="69"/>
      <c r="BS16" s="70"/>
      <c r="BT16" s="76">
        <f t="shared" si="14"/>
        <v>0</v>
      </c>
      <c r="BU16" s="66"/>
      <c r="BV16" s="69"/>
      <c r="BW16" s="70"/>
      <c r="BX16" s="76">
        <f t="shared" si="15"/>
        <v>0</v>
      </c>
      <c r="BY16" s="66"/>
      <c r="BZ16" s="69"/>
      <c r="CA16" s="70"/>
      <c r="CB16" s="76">
        <f t="shared" si="16"/>
        <v>0</v>
      </c>
      <c r="CC16" s="66"/>
      <c r="CD16" s="69"/>
      <c r="CE16" s="70"/>
      <c r="CF16" s="76">
        <f t="shared" si="17"/>
        <v>0</v>
      </c>
      <c r="CG16" s="66"/>
      <c r="CH16" s="69"/>
      <c r="CI16" s="70"/>
      <c r="CJ16" s="76">
        <f t="shared" si="18"/>
        <v>0</v>
      </c>
      <c r="CK16" s="66"/>
      <c r="CL16" s="69"/>
      <c r="CM16" s="70"/>
      <c r="CN16" s="76">
        <f t="shared" si="19"/>
        <v>0</v>
      </c>
      <c r="CO16" s="66"/>
      <c r="CP16" s="69"/>
      <c r="CQ16" s="70"/>
      <c r="CR16" s="76">
        <f t="shared" si="20"/>
        <v>0</v>
      </c>
      <c r="CS16" s="66"/>
      <c r="CT16" s="69"/>
      <c r="CU16" s="70"/>
      <c r="CV16" s="76">
        <f t="shared" si="21"/>
        <v>0</v>
      </c>
      <c r="CW16" s="66"/>
      <c r="CX16" s="69"/>
      <c r="CY16" s="70"/>
      <c r="CZ16" s="76">
        <f t="shared" si="22"/>
        <v>0</v>
      </c>
      <c r="DA16" s="66"/>
      <c r="DB16" s="69"/>
      <c r="DC16" s="70"/>
      <c r="DD16" s="76">
        <f t="shared" si="23"/>
        <v>0</v>
      </c>
      <c r="DE16" s="66"/>
      <c r="DF16" s="69"/>
      <c r="DG16" s="70"/>
      <c r="DH16" s="76">
        <f t="shared" si="24"/>
        <v>0</v>
      </c>
      <c r="DI16" s="66"/>
      <c r="DJ16" s="69"/>
      <c r="DK16" s="70"/>
      <c r="DL16" s="76">
        <f t="shared" si="25"/>
        <v>0</v>
      </c>
      <c r="DM16" s="66"/>
      <c r="DN16" s="69"/>
      <c r="DO16" s="70"/>
      <c r="DP16" s="76">
        <f t="shared" si="26"/>
        <v>0</v>
      </c>
      <c r="DQ16" s="66"/>
      <c r="DR16" s="69"/>
      <c r="DS16" s="70"/>
      <c r="DT16" s="76">
        <f t="shared" si="27"/>
        <v>0</v>
      </c>
      <c r="DU16" s="66"/>
      <c r="DV16" s="69"/>
      <c r="DW16" s="70"/>
      <c r="DX16" s="76">
        <f t="shared" si="28"/>
        <v>0</v>
      </c>
      <c r="DY16" s="66"/>
      <c r="DZ16" s="69"/>
      <c r="EA16" s="70"/>
      <c r="EB16" s="76">
        <f t="shared" si="29"/>
        <v>0</v>
      </c>
      <c r="EC16" s="66"/>
      <c r="ED16" s="69"/>
      <c r="EE16" s="70"/>
      <c r="EF16" s="76">
        <f t="shared" si="30"/>
        <v>0</v>
      </c>
      <c r="EG16" s="66"/>
      <c r="EH16" s="69"/>
      <c r="EI16" s="70"/>
      <c r="EJ16" s="76">
        <f t="shared" si="31"/>
        <v>0</v>
      </c>
      <c r="EK16" s="66"/>
      <c r="EL16" s="69"/>
      <c r="EM16" s="70"/>
      <c r="EN16" s="76">
        <f t="shared" si="32"/>
        <v>0</v>
      </c>
      <c r="EO16" s="66"/>
      <c r="EP16" s="69"/>
      <c r="EQ16" s="70"/>
      <c r="ER16" s="76">
        <f t="shared" si="33"/>
        <v>0</v>
      </c>
      <c r="ES16" s="66"/>
      <c r="ET16" s="69"/>
      <c r="EU16" s="70"/>
      <c r="EV16" s="76">
        <f t="shared" si="34"/>
        <v>0</v>
      </c>
      <c r="EW16" s="66"/>
      <c r="EX16" s="69"/>
      <c r="EY16" s="70"/>
      <c r="EZ16" s="76">
        <f t="shared" si="35"/>
        <v>0</v>
      </c>
      <c r="FA16" s="66"/>
      <c r="FB16" s="69"/>
      <c r="FC16" s="70"/>
      <c r="FD16" s="76">
        <f t="shared" si="36"/>
        <v>0</v>
      </c>
      <c r="FE16" s="66"/>
      <c r="FF16" s="69"/>
      <c r="FG16" s="70"/>
      <c r="FH16" s="76">
        <f t="shared" si="37"/>
        <v>0</v>
      </c>
      <c r="FI16" s="66"/>
      <c r="FJ16" s="69"/>
      <c r="FK16" s="70"/>
      <c r="FL16" s="76">
        <f t="shared" si="38"/>
        <v>0</v>
      </c>
      <c r="FM16" s="66"/>
      <c r="FN16" s="69"/>
      <c r="FO16" s="70"/>
      <c r="FP16" s="76">
        <f t="shared" si="39"/>
        <v>0</v>
      </c>
      <c r="FQ16" s="66"/>
      <c r="FR16" s="69"/>
      <c r="FS16" s="70"/>
      <c r="FT16" s="76">
        <f t="shared" si="40"/>
        <v>0</v>
      </c>
      <c r="FU16" s="66"/>
      <c r="FV16" s="69"/>
      <c r="FW16" s="70"/>
      <c r="FX16" s="76">
        <f t="shared" si="41"/>
        <v>0</v>
      </c>
      <c r="FY16" s="66"/>
      <c r="FZ16" s="69"/>
      <c r="GA16" s="70"/>
      <c r="GB16" s="76">
        <f t="shared" si="42"/>
        <v>0</v>
      </c>
      <c r="GC16" s="66"/>
      <c r="GD16" s="69"/>
      <c r="GE16" s="70"/>
      <c r="GF16" s="76">
        <f t="shared" si="43"/>
        <v>0</v>
      </c>
      <c r="GG16" s="66"/>
      <c r="GH16" s="69"/>
      <c r="GI16" s="70"/>
      <c r="GJ16" s="76">
        <f t="shared" si="44"/>
        <v>0</v>
      </c>
      <c r="GK16" s="66"/>
      <c r="GL16" s="69"/>
      <c r="GM16" s="70"/>
      <c r="GN16" s="76">
        <f t="shared" si="45"/>
        <v>0</v>
      </c>
      <c r="GO16" s="66"/>
      <c r="GP16" s="69"/>
      <c r="GQ16" s="70"/>
      <c r="GR16" s="76">
        <f t="shared" si="46"/>
        <v>0</v>
      </c>
      <c r="GS16" s="66"/>
      <c r="GT16" s="69"/>
      <c r="GU16" s="70"/>
      <c r="GV16" s="76">
        <f t="shared" si="47"/>
        <v>0</v>
      </c>
      <c r="GW16" s="66"/>
      <c r="GX16" s="69"/>
      <c r="GY16" s="70"/>
      <c r="GZ16" s="76">
        <f t="shared" si="48"/>
        <v>0</v>
      </c>
      <c r="HA16" s="66"/>
      <c r="HB16" s="69"/>
      <c r="HC16" s="70"/>
      <c r="HD16" s="76">
        <f t="shared" si="49"/>
        <v>0</v>
      </c>
      <c r="HE16" s="66"/>
      <c r="HF16" s="69"/>
      <c r="HG16" s="70"/>
      <c r="HH16" s="76">
        <f t="shared" si="50"/>
        <v>0</v>
      </c>
      <c r="HI16" s="66"/>
      <c r="HJ16" s="69"/>
      <c r="HK16" s="70"/>
      <c r="HL16" s="76">
        <f t="shared" si="51"/>
        <v>0</v>
      </c>
      <c r="HM16" s="66"/>
      <c r="HN16" s="69"/>
      <c r="HO16" s="70"/>
      <c r="HP16" s="76">
        <f t="shared" si="52"/>
        <v>0</v>
      </c>
      <c r="HQ16" s="66"/>
      <c r="HR16" s="69"/>
      <c r="HS16" s="70"/>
      <c r="HT16" s="76">
        <f t="shared" si="53"/>
        <v>0</v>
      </c>
      <c r="HU16" s="66"/>
      <c r="HV16" s="69"/>
      <c r="HW16" s="70"/>
      <c r="HX16" s="76">
        <f t="shared" si="54"/>
        <v>0</v>
      </c>
      <c r="HY16" s="66"/>
      <c r="HZ16" s="69"/>
      <c r="IA16" s="70"/>
      <c r="IB16" s="76">
        <f t="shared" si="55"/>
        <v>0</v>
      </c>
      <c r="IC16" s="66"/>
      <c r="ID16" s="69"/>
      <c r="IE16" s="70"/>
      <c r="IF16" s="76">
        <f t="shared" si="56"/>
        <v>0</v>
      </c>
      <c r="IG16" s="66"/>
      <c r="IH16" s="69"/>
      <c r="II16" s="70"/>
      <c r="IJ16" s="76">
        <f t="shared" si="57"/>
        <v>0</v>
      </c>
      <c r="IK16" s="66"/>
      <c r="IL16" s="69"/>
      <c r="IM16" s="70"/>
      <c r="IN16" s="76">
        <f t="shared" si="58"/>
        <v>0</v>
      </c>
      <c r="IO16" s="66"/>
      <c r="IP16" s="69"/>
      <c r="IQ16" s="70"/>
      <c r="IR16" s="76">
        <f t="shared" si="59"/>
        <v>0</v>
      </c>
      <c r="IS16" s="66"/>
      <c r="IT16" s="69"/>
      <c r="IU16" s="70"/>
      <c r="IV16" s="76">
        <f t="shared" si="60"/>
        <v>0</v>
      </c>
      <c r="IW16" s="66"/>
      <c r="IX16" s="69"/>
      <c r="IY16" s="70"/>
      <c r="IZ16" s="76">
        <f t="shared" si="61"/>
        <v>0</v>
      </c>
      <c r="JA16" s="66"/>
      <c r="JB16" s="55" t="e">
        <f t="shared" si="62"/>
        <v>#VALUE!</v>
      </c>
      <c r="JC16" s="55" t="e">
        <f t="shared" si="63"/>
        <v>#VALUE!</v>
      </c>
      <c r="JD16" s="55" t="e">
        <f t="shared" si="64"/>
        <v>#VALUE!</v>
      </c>
      <c r="JE16" s="55" t="e">
        <f t="shared" ref="JE16:JE32" si="67">IF($F$4="F",0,+S16)+IF($V$4="F",0,+AJ16)+IF($AL$4="F",0,+AZ16)+IF($BB$4="F",0,+BP16)+IF($BR$4="F",0,+CF16)+IF($CH$4="F",0,+CV16)+IF($CX$4="F",0,+DL16)+IF($DN$4="F",0,+EB16)+IF($ED$4="F",0,+ER16)+IF($ET$4="F",0,FH16)+IF($FJ$4="F",0,+FX16)+IF($FZ$4="F",0,GN16)+IF($GP$4="F",0,+HD16)+IF($HF$4="F",0,+HT16)+IF($HV$4="F",0,+IJ16)+IF($IL$4="F",0,+IZ16)</f>
        <v>#VALUE!</v>
      </c>
      <c r="JF16" s="55"/>
      <c r="JP16" s="55"/>
    </row>
    <row r="17" spans="2:276" ht="30" customHeight="1" x14ac:dyDescent="0.3">
      <c r="B17" s="39">
        <v>8</v>
      </c>
      <c r="C17" s="96" t="e">
        <f>VLOOKUP(#REF!,EMPLEADO!C:Q,15,FALSE)</f>
        <v>#REF!</v>
      </c>
      <c r="D17" s="11" t="s">
        <v>53</v>
      </c>
      <c r="E17" s="57" t="s">
        <v>21</v>
      </c>
      <c r="F17" s="69"/>
      <c r="G17" s="70"/>
      <c r="H17" s="76">
        <f t="shared" si="0"/>
        <v>0</v>
      </c>
      <c r="I17" s="66"/>
      <c r="J17" s="69"/>
      <c r="K17" s="70"/>
      <c r="L17" s="76">
        <f t="shared" si="1"/>
        <v>0</v>
      </c>
      <c r="M17" s="66"/>
      <c r="N17" s="71"/>
      <c r="O17" s="72"/>
      <c r="P17" s="76">
        <f t="shared" si="2"/>
        <v>0</v>
      </c>
      <c r="Q17" s="66"/>
      <c r="R17" s="72"/>
      <c r="S17" s="72"/>
      <c r="T17" s="76">
        <f t="shared" si="65"/>
        <v>0</v>
      </c>
      <c r="U17" s="66"/>
      <c r="V17" s="69"/>
      <c r="W17" s="70"/>
      <c r="X17" s="76">
        <f t="shared" si="3"/>
        <v>0</v>
      </c>
      <c r="Y17" s="66"/>
      <c r="Z17" s="69"/>
      <c r="AA17" s="70"/>
      <c r="AB17" s="76">
        <f t="shared" si="4"/>
        <v>0</v>
      </c>
      <c r="AC17" s="66"/>
      <c r="AD17" s="69"/>
      <c r="AE17" s="70"/>
      <c r="AF17" s="76">
        <f t="shared" si="5"/>
        <v>0</v>
      </c>
      <c r="AG17" s="66"/>
      <c r="AH17" s="72"/>
      <c r="AI17" s="72"/>
      <c r="AJ17" s="94">
        <f t="shared" si="66"/>
        <v>0</v>
      </c>
      <c r="AK17" s="66"/>
      <c r="AL17" s="69"/>
      <c r="AM17" s="70"/>
      <c r="AN17" s="76">
        <f t="shared" si="6"/>
        <v>0</v>
      </c>
      <c r="AO17" s="66"/>
      <c r="AP17" s="69"/>
      <c r="AQ17" s="70"/>
      <c r="AR17" s="76">
        <f t="shared" si="7"/>
        <v>0</v>
      </c>
      <c r="AS17" s="66"/>
      <c r="AT17" s="69"/>
      <c r="AU17" s="70"/>
      <c r="AV17" s="76">
        <f t="shared" si="8"/>
        <v>0</v>
      </c>
      <c r="AW17" s="66"/>
      <c r="AX17" s="69"/>
      <c r="AY17" s="70"/>
      <c r="AZ17" s="76">
        <f t="shared" si="9"/>
        <v>0</v>
      </c>
      <c r="BA17" s="66"/>
      <c r="BB17" s="69"/>
      <c r="BC17" s="70"/>
      <c r="BD17" s="76">
        <f t="shared" si="10"/>
        <v>0</v>
      </c>
      <c r="BE17" s="66"/>
      <c r="BF17" s="69"/>
      <c r="BG17" s="70"/>
      <c r="BH17" s="76">
        <f t="shared" si="11"/>
        <v>0</v>
      </c>
      <c r="BI17" s="66"/>
      <c r="BJ17" s="69"/>
      <c r="BK17" s="70"/>
      <c r="BL17" s="76">
        <f t="shared" si="12"/>
        <v>0</v>
      </c>
      <c r="BM17" s="66"/>
      <c r="BN17" s="69"/>
      <c r="BO17" s="70"/>
      <c r="BP17" s="76">
        <f t="shared" si="13"/>
        <v>0</v>
      </c>
      <c r="BQ17" s="66"/>
      <c r="BR17" s="69"/>
      <c r="BS17" s="70"/>
      <c r="BT17" s="76">
        <f t="shared" si="14"/>
        <v>0</v>
      </c>
      <c r="BU17" s="66"/>
      <c r="BV17" s="69"/>
      <c r="BW17" s="70"/>
      <c r="BX17" s="76">
        <f t="shared" si="15"/>
        <v>0</v>
      </c>
      <c r="BY17" s="66"/>
      <c r="BZ17" s="69"/>
      <c r="CA17" s="70"/>
      <c r="CB17" s="76">
        <f t="shared" si="16"/>
        <v>0</v>
      </c>
      <c r="CC17" s="66"/>
      <c r="CD17" s="69"/>
      <c r="CE17" s="70"/>
      <c r="CF17" s="76">
        <f t="shared" si="17"/>
        <v>0</v>
      </c>
      <c r="CG17" s="66"/>
      <c r="CH17" s="69"/>
      <c r="CI17" s="70"/>
      <c r="CJ17" s="76">
        <f t="shared" si="18"/>
        <v>0</v>
      </c>
      <c r="CK17" s="66"/>
      <c r="CL17" s="69"/>
      <c r="CM17" s="70"/>
      <c r="CN17" s="76">
        <f t="shared" si="19"/>
        <v>0</v>
      </c>
      <c r="CO17" s="66"/>
      <c r="CP17" s="69"/>
      <c r="CQ17" s="70"/>
      <c r="CR17" s="76">
        <f t="shared" si="20"/>
        <v>0</v>
      </c>
      <c r="CS17" s="66"/>
      <c r="CT17" s="69"/>
      <c r="CU17" s="70"/>
      <c r="CV17" s="76">
        <f t="shared" si="21"/>
        <v>0</v>
      </c>
      <c r="CW17" s="66"/>
      <c r="CX17" s="69"/>
      <c r="CY17" s="70"/>
      <c r="CZ17" s="76">
        <f t="shared" si="22"/>
        <v>0</v>
      </c>
      <c r="DA17" s="66"/>
      <c r="DB17" s="69"/>
      <c r="DC17" s="70"/>
      <c r="DD17" s="76">
        <f t="shared" si="23"/>
        <v>0</v>
      </c>
      <c r="DE17" s="66"/>
      <c r="DF17" s="69"/>
      <c r="DG17" s="70"/>
      <c r="DH17" s="76">
        <f t="shared" si="24"/>
        <v>0</v>
      </c>
      <c r="DI17" s="66"/>
      <c r="DJ17" s="69"/>
      <c r="DK17" s="70"/>
      <c r="DL17" s="76">
        <f t="shared" si="25"/>
        <v>0</v>
      </c>
      <c r="DM17" s="66"/>
      <c r="DN17" s="69"/>
      <c r="DO17" s="70"/>
      <c r="DP17" s="76">
        <f t="shared" si="26"/>
        <v>0</v>
      </c>
      <c r="DQ17" s="66"/>
      <c r="DR17" s="69"/>
      <c r="DS17" s="70"/>
      <c r="DT17" s="76">
        <f t="shared" si="27"/>
        <v>0</v>
      </c>
      <c r="DU17" s="66"/>
      <c r="DV17" s="69"/>
      <c r="DW17" s="70"/>
      <c r="DX17" s="76">
        <f t="shared" si="28"/>
        <v>0</v>
      </c>
      <c r="DY17" s="66"/>
      <c r="DZ17" s="69"/>
      <c r="EA17" s="70"/>
      <c r="EB17" s="76">
        <f t="shared" si="29"/>
        <v>0</v>
      </c>
      <c r="EC17" s="66"/>
      <c r="ED17" s="69"/>
      <c r="EE17" s="70"/>
      <c r="EF17" s="76">
        <f t="shared" si="30"/>
        <v>0</v>
      </c>
      <c r="EG17" s="66"/>
      <c r="EH17" s="69"/>
      <c r="EI17" s="70"/>
      <c r="EJ17" s="76">
        <f t="shared" si="31"/>
        <v>0</v>
      </c>
      <c r="EK17" s="66"/>
      <c r="EL17" s="69"/>
      <c r="EM17" s="70"/>
      <c r="EN17" s="76">
        <f t="shared" si="32"/>
        <v>0</v>
      </c>
      <c r="EO17" s="66"/>
      <c r="EP17" s="69"/>
      <c r="EQ17" s="70"/>
      <c r="ER17" s="76">
        <f t="shared" si="33"/>
        <v>0</v>
      </c>
      <c r="ES17" s="66"/>
      <c r="ET17" s="69"/>
      <c r="EU17" s="70"/>
      <c r="EV17" s="76">
        <f t="shared" si="34"/>
        <v>0</v>
      </c>
      <c r="EW17" s="66"/>
      <c r="EX17" s="69"/>
      <c r="EY17" s="70"/>
      <c r="EZ17" s="76">
        <f t="shared" si="35"/>
        <v>0</v>
      </c>
      <c r="FA17" s="66"/>
      <c r="FB17" s="69"/>
      <c r="FC17" s="70"/>
      <c r="FD17" s="76">
        <f t="shared" si="36"/>
        <v>0</v>
      </c>
      <c r="FE17" s="66"/>
      <c r="FF17" s="69"/>
      <c r="FG17" s="70"/>
      <c r="FH17" s="76">
        <f t="shared" si="37"/>
        <v>0</v>
      </c>
      <c r="FI17" s="66"/>
      <c r="FJ17" s="69"/>
      <c r="FK17" s="70"/>
      <c r="FL17" s="76">
        <f t="shared" si="38"/>
        <v>0</v>
      </c>
      <c r="FM17" s="66"/>
      <c r="FN17" s="69"/>
      <c r="FO17" s="70"/>
      <c r="FP17" s="76">
        <f t="shared" si="39"/>
        <v>0</v>
      </c>
      <c r="FQ17" s="66"/>
      <c r="FR17" s="69"/>
      <c r="FS17" s="70"/>
      <c r="FT17" s="76">
        <f t="shared" si="40"/>
        <v>0</v>
      </c>
      <c r="FU17" s="66"/>
      <c r="FV17" s="69"/>
      <c r="FW17" s="70"/>
      <c r="FX17" s="76">
        <f t="shared" si="41"/>
        <v>0</v>
      </c>
      <c r="FY17" s="66"/>
      <c r="FZ17" s="69"/>
      <c r="GA17" s="70"/>
      <c r="GB17" s="76">
        <f t="shared" si="42"/>
        <v>0</v>
      </c>
      <c r="GC17" s="66"/>
      <c r="GD17" s="69"/>
      <c r="GE17" s="70"/>
      <c r="GF17" s="76">
        <f t="shared" si="43"/>
        <v>0</v>
      </c>
      <c r="GG17" s="66"/>
      <c r="GH17" s="69"/>
      <c r="GI17" s="70"/>
      <c r="GJ17" s="76">
        <f t="shared" si="44"/>
        <v>0</v>
      </c>
      <c r="GK17" s="66"/>
      <c r="GL17" s="69"/>
      <c r="GM17" s="70"/>
      <c r="GN17" s="76">
        <f t="shared" si="45"/>
        <v>0</v>
      </c>
      <c r="GO17" s="66"/>
      <c r="GP17" s="69"/>
      <c r="GQ17" s="70"/>
      <c r="GR17" s="76">
        <f t="shared" si="46"/>
        <v>0</v>
      </c>
      <c r="GS17" s="66"/>
      <c r="GT17" s="69"/>
      <c r="GU17" s="70"/>
      <c r="GV17" s="76">
        <f t="shared" si="47"/>
        <v>0</v>
      </c>
      <c r="GW17" s="66"/>
      <c r="GX17" s="69"/>
      <c r="GY17" s="70"/>
      <c r="GZ17" s="76">
        <f t="shared" si="48"/>
        <v>0</v>
      </c>
      <c r="HA17" s="66"/>
      <c r="HB17" s="69"/>
      <c r="HC17" s="70"/>
      <c r="HD17" s="76">
        <f t="shared" si="49"/>
        <v>0</v>
      </c>
      <c r="HE17" s="66"/>
      <c r="HF17" s="69"/>
      <c r="HG17" s="70"/>
      <c r="HH17" s="76">
        <f t="shared" si="50"/>
        <v>0</v>
      </c>
      <c r="HI17" s="66"/>
      <c r="HJ17" s="69"/>
      <c r="HK17" s="70"/>
      <c r="HL17" s="76">
        <f t="shared" si="51"/>
        <v>0</v>
      </c>
      <c r="HM17" s="66"/>
      <c r="HN17" s="69"/>
      <c r="HO17" s="70"/>
      <c r="HP17" s="76">
        <f t="shared" si="52"/>
        <v>0</v>
      </c>
      <c r="HQ17" s="66"/>
      <c r="HR17" s="69"/>
      <c r="HS17" s="70"/>
      <c r="HT17" s="76">
        <f t="shared" si="53"/>
        <v>0</v>
      </c>
      <c r="HU17" s="66"/>
      <c r="HV17" s="69"/>
      <c r="HW17" s="70"/>
      <c r="HX17" s="76">
        <f t="shared" si="54"/>
        <v>0</v>
      </c>
      <c r="HY17" s="66"/>
      <c r="HZ17" s="69"/>
      <c r="IA17" s="70"/>
      <c r="IB17" s="76">
        <f t="shared" si="55"/>
        <v>0</v>
      </c>
      <c r="IC17" s="66"/>
      <c r="ID17" s="69"/>
      <c r="IE17" s="70"/>
      <c r="IF17" s="76">
        <f t="shared" si="56"/>
        <v>0</v>
      </c>
      <c r="IG17" s="66"/>
      <c r="IH17" s="69"/>
      <c r="II17" s="70"/>
      <c r="IJ17" s="76">
        <f t="shared" si="57"/>
        <v>0</v>
      </c>
      <c r="IK17" s="66"/>
      <c r="IL17" s="69"/>
      <c r="IM17" s="70"/>
      <c r="IN17" s="76">
        <f t="shared" si="58"/>
        <v>0</v>
      </c>
      <c r="IO17" s="66"/>
      <c r="IP17" s="69"/>
      <c r="IQ17" s="70"/>
      <c r="IR17" s="76">
        <f t="shared" si="59"/>
        <v>0</v>
      </c>
      <c r="IS17" s="66"/>
      <c r="IT17" s="69"/>
      <c r="IU17" s="70"/>
      <c r="IV17" s="76">
        <f t="shared" si="60"/>
        <v>0</v>
      </c>
      <c r="IW17" s="66"/>
      <c r="IX17" s="69"/>
      <c r="IY17" s="70"/>
      <c r="IZ17" s="76">
        <f t="shared" si="61"/>
        <v>0</v>
      </c>
      <c r="JA17" s="66"/>
      <c r="JB17" s="55" t="e">
        <f t="shared" si="62"/>
        <v>#VALUE!</v>
      </c>
      <c r="JC17" s="55" t="e">
        <f t="shared" si="63"/>
        <v>#VALUE!</v>
      </c>
      <c r="JD17" s="55" t="e">
        <f t="shared" si="64"/>
        <v>#VALUE!</v>
      </c>
      <c r="JE17" s="55" t="e">
        <f t="shared" si="67"/>
        <v>#VALUE!</v>
      </c>
      <c r="JF17" s="55"/>
      <c r="JP17" s="55"/>
    </row>
    <row r="18" spans="2:276" ht="30" customHeight="1" x14ac:dyDescent="0.3">
      <c r="B18" s="39">
        <v>9</v>
      </c>
      <c r="C18" s="96" t="e">
        <f>VLOOKUP(#REF!,EMPLEADO!C:Q,15,FALSE)</f>
        <v>#REF!</v>
      </c>
      <c r="D18" s="28" t="s">
        <v>55</v>
      </c>
      <c r="E18" s="58" t="s">
        <v>18</v>
      </c>
      <c r="F18" s="69"/>
      <c r="G18" s="70"/>
      <c r="H18" s="76">
        <f t="shared" si="0"/>
        <v>0</v>
      </c>
      <c r="I18" s="66"/>
      <c r="J18" s="69"/>
      <c r="K18" s="70"/>
      <c r="L18" s="76">
        <f t="shared" si="1"/>
        <v>0</v>
      </c>
      <c r="M18" s="66"/>
      <c r="N18" s="71"/>
      <c r="O18" s="72"/>
      <c r="P18" s="76">
        <f t="shared" si="2"/>
        <v>0</v>
      </c>
      <c r="Q18" s="66"/>
      <c r="R18" s="72"/>
      <c r="S18" s="72"/>
      <c r="T18" s="76">
        <f t="shared" si="65"/>
        <v>0</v>
      </c>
      <c r="U18" s="66"/>
      <c r="V18" s="69"/>
      <c r="W18" s="70"/>
      <c r="X18" s="76">
        <f t="shared" si="3"/>
        <v>0</v>
      </c>
      <c r="Y18" s="66"/>
      <c r="Z18" s="69"/>
      <c r="AA18" s="70"/>
      <c r="AB18" s="76">
        <f t="shared" si="4"/>
        <v>0</v>
      </c>
      <c r="AC18" s="66"/>
      <c r="AD18" s="69"/>
      <c r="AE18" s="70"/>
      <c r="AF18" s="76">
        <f t="shared" si="5"/>
        <v>0</v>
      </c>
      <c r="AG18" s="66"/>
      <c r="AH18" s="72"/>
      <c r="AI18" s="72"/>
      <c r="AJ18" s="94">
        <f t="shared" si="66"/>
        <v>0</v>
      </c>
      <c r="AK18" s="66"/>
      <c r="AL18" s="69"/>
      <c r="AM18" s="70"/>
      <c r="AN18" s="76">
        <f t="shared" si="6"/>
        <v>0</v>
      </c>
      <c r="AO18" s="66"/>
      <c r="AP18" s="69"/>
      <c r="AQ18" s="70"/>
      <c r="AR18" s="76">
        <f t="shared" si="7"/>
        <v>0</v>
      </c>
      <c r="AS18" s="66"/>
      <c r="AT18" s="69"/>
      <c r="AU18" s="70"/>
      <c r="AV18" s="76">
        <f t="shared" si="8"/>
        <v>0</v>
      </c>
      <c r="AW18" s="66"/>
      <c r="AX18" s="69"/>
      <c r="AY18" s="70"/>
      <c r="AZ18" s="76">
        <f t="shared" si="9"/>
        <v>0</v>
      </c>
      <c r="BA18" s="66"/>
      <c r="BB18" s="69"/>
      <c r="BC18" s="70"/>
      <c r="BD18" s="76">
        <f t="shared" si="10"/>
        <v>0</v>
      </c>
      <c r="BE18" s="66"/>
      <c r="BF18" s="69"/>
      <c r="BG18" s="70"/>
      <c r="BH18" s="76">
        <f t="shared" si="11"/>
        <v>0</v>
      </c>
      <c r="BI18" s="66"/>
      <c r="BJ18" s="69"/>
      <c r="BK18" s="70"/>
      <c r="BL18" s="76">
        <f t="shared" si="12"/>
        <v>0</v>
      </c>
      <c r="BM18" s="66"/>
      <c r="BN18" s="69"/>
      <c r="BO18" s="70"/>
      <c r="BP18" s="76">
        <f t="shared" si="13"/>
        <v>0</v>
      </c>
      <c r="BQ18" s="66"/>
      <c r="BR18" s="69"/>
      <c r="BS18" s="70"/>
      <c r="BT18" s="76">
        <f t="shared" si="14"/>
        <v>0</v>
      </c>
      <c r="BU18" s="66"/>
      <c r="BV18" s="69"/>
      <c r="BW18" s="70"/>
      <c r="BX18" s="76">
        <f t="shared" si="15"/>
        <v>0</v>
      </c>
      <c r="BY18" s="66"/>
      <c r="BZ18" s="69"/>
      <c r="CA18" s="70"/>
      <c r="CB18" s="76">
        <f t="shared" si="16"/>
        <v>0</v>
      </c>
      <c r="CC18" s="66"/>
      <c r="CD18" s="69"/>
      <c r="CE18" s="70"/>
      <c r="CF18" s="76">
        <f t="shared" si="17"/>
        <v>0</v>
      </c>
      <c r="CG18" s="66"/>
      <c r="CH18" s="69"/>
      <c r="CI18" s="70"/>
      <c r="CJ18" s="76">
        <f t="shared" si="18"/>
        <v>0</v>
      </c>
      <c r="CK18" s="66"/>
      <c r="CL18" s="69"/>
      <c r="CM18" s="70"/>
      <c r="CN18" s="76">
        <f t="shared" si="19"/>
        <v>0</v>
      </c>
      <c r="CO18" s="66"/>
      <c r="CP18" s="69"/>
      <c r="CQ18" s="70"/>
      <c r="CR18" s="76">
        <f t="shared" si="20"/>
        <v>0</v>
      </c>
      <c r="CS18" s="66"/>
      <c r="CT18" s="69"/>
      <c r="CU18" s="70"/>
      <c r="CV18" s="76">
        <f t="shared" si="21"/>
        <v>0</v>
      </c>
      <c r="CW18" s="66"/>
      <c r="CX18" s="69"/>
      <c r="CY18" s="70"/>
      <c r="CZ18" s="76">
        <f t="shared" si="22"/>
        <v>0</v>
      </c>
      <c r="DA18" s="66"/>
      <c r="DB18" s="69"/>
      <c r="DC18" s="70"/>
      <c r="DD18" s="76">
        <f t="shared" si="23"/>
        <v>0</v>
      </c>
      <c r="DE18" s="66"/>
      <c r="DF18" s="69"/>
      <c r="DG18" s="70"/>
      <c r="DH18" s="76">
        <f t="shared" si="24"/>
        <v>0</v>
      </c>
      <c r="DI18" s="66"/>
      <c r="DJ18" s="69"/>
      <c r="DK18" s="70"/>
      <c r="DL18" s="76">
        <f t="shared" si="25"/>
        <v>0</v>
      </c>
      <c r="DM18" s="66"/>
      <c r="DN18" s="69"/>
      <c r="DO18" s="70"/>
      <c r="DP18" s="76">
        <f t="shared" si="26"/>
        <v>0</v>
      </c>
      <c r="DQ18" s="66"/>
      <c r="DR18" s="69"/>
      <c r="DS18" s="70"/>
      <c r="DT18" s="76">
        <f t="shared" si="27"/>
        <v>0</v>
      </c>
      <c r="DU18" s="66"/>
      <c r="DV18" s="69"/>
      <c r="DW18" s="70"/>
      <c r="DX18" s="76">
        <f t="shared" si="28"/>
        <v>0</v>
      </c>
      <c r="DY18" s="66"/>
      <c r="DZ18" s="69"/>
      <c r="EA18" s="70"/>
      <c r="EB18" s="76">
        <f t="shared" si="29"/>
        <v>0</v>
      </c>
      <c r="EC18" s="66"/>
      <c r="ED18" s="69"/>
      <c r="EE18" s="70"/>
      <c r="EF18" s="76">
        <f t="shared" si="30"/>
        <v>0</v>
      </c>
      <c r="EG18" s="66"/>
      <c r="EH18" s="69"/>
      <c r="EI18" s="70"/>
      <c r="EJ18" s="76">
        <f t="shared" si="31"/>
        <v>0</v>
      </c>
      <c r="EK18" s="66"/>
      <c r="EL18" s="69"/>
      <c r="EM18" s="70"/>
      <c r="EN18" s="76">
        <f t="shared" si="32"/>
        <v>0</v>
      </c>
      <c r="EO18" s="66"/>
      <c r="EP18" s="69"/>
      <c r="EQ18" s="70"/>
      <c r="ER18" s="76">
        <f t="shared" si="33"/>
        <v>0</v>
      </c>
      <c r="ES18" s="66"/>
      <c r="ET18" s="69"/>
      <c r="EU18" s="70"/>
      <c r="EV18" s="76">
        <f t="shared" si="34"/>
        <v>0</v>
      </c>
      <c r="EW18" s="66"/>
      <c r="EX18" s="69"/>
      <c r="EY18" s="70"/>
      <c r="EZ18" s="76">
        <f t="shared" si="35"/>
        <v>0</v>
      </c>
      <c r="FA18" s="66"/>
      <c r="FB18" s="69"/>
      <c r="FC18" s="70"/>
      <c r="FD18" s="76">
        <f t="shared" si="36"/>
        <v>0</v>
      </c>
      <c r="FE18" s="66"/>
      <c r="FF18" s="69"/>
      <c r="FG18" s="70"/>
      <c r="FH18" s="76">
        <f t="shared" si="37"/>
        <v>0</v>
      </c>
      <c r="FI18" s="66"/>
      <c r="FJ18" s="69"/>
      <c r="FK18" s="70"/>
      <c r="FL18" s="76">
        <f t="shared" si="38"/>
        <v>0</v>
      </c>
      <c r="FM18" s="66"/>
      <c r="FN18" s="69"/>
      <c r="FO18" s="70"/>
      <c r="FP18" s="76">
        <f t="shared" si="39"/>
        <v>0</v>
      </c>
      <c r="FQ18" s="66"/>
      <c r="FR18" s="69"/>
      <c r="FS18" s="70"/>
      <c r="FT18" s="76">
        <f t="shared" si="40"/>
        <v>0</v>
      </c>
      <c r="FU18" s="66"/>
      <c r="FV18" s="69"/>
      <c r="FW18" s="70"/>
      <c r="FX18" s="76">
        <f t="shared" si="41"/>
        <v>0</v>
      </c>
      <c r="FY18" s="66"/>
      <c r="FZ18" s="69"/>
      <c r="GA18" s="70"/>
      <c r="GB18" s="76">
        <f t="shared" si="42"/>
        <v>0</v>
      </c>
      <c r="GC18" s="66"/>
      <c r="GD18" s="69"/>
      <c r="GE18" s="70"/>
      <c r="GF18" s="76">
        <f t="shared" si="43"/>
        <v>0</v>
      </c>
      <c r="GG18" s="66"/>
      <c r="GH18" s="69"/>
      <c r="GI18" s="70"/>
      <c r="GJ18" s="76">
        <f t="shared" si="44"/>
        <v>0</v>
      </c>
      <c r="GK18" s="66"/>
      <c r="GL18" s="69"/>
      <c r="GM18" s="70"/>
      <c r="GN18" s="76">
        <f t="shared" si="45"/>
        <v>0</v>
      </c>
      <c r="GO18" s="66"/>
      <c r="GP18" s="69"/>
      <c r="GQ18" s="70"/>
      <c r="GR18" s="76">
        <f t="shared" si="46"/>
        <v>0</v>
      </c>
      <c r="GS18" s="66"/>
      <c r="GT18" s="69"/>
      <c r="GU18" s="70"/>
      <c r="GV18" s="76">
        <f t="shared" si="47"/>
        <v>0</v>
      </c>
      <c r="GW18" s="66"/>
      <c r="GX18" s="69"/>
      <c r="GY18" s="70"/>
      <c r="GZ18" s="76">
        <f t="shared" si="48"/>
        <v>0</v>
      </c>
      <c r="HA18" s="66"/>
      <c r="HB18" s="69"/>
      <c r="HC18" s="70"/>
      <c r="HD18" s="76">
        <f t="shared" si="49"/>
        <v>0</v>
      </c>
      <c r="HE18" s="66"/>
      <c r="HF18" s="69"/>
      <c r="HG18" s="70"/>
      <c r="HH18" s="76">
        <f t="shared" si="50"/>
        <v>0</v>
      </c>
      <c r="HI18" s="66"/>
      <c r="HJ18" s="69"/>
      <c r="HK18" s="70"/>
      <c r="HL18" s="76">
        <f t="shared" si="51"/>
        <v>0</v>
      </c>
      <c r="HM18" s="66"/>
      <c r="HN18" s="69"/>
      <c r="HO18" s="70"/>
      <c r="HP18" s="76">
        <f t="shared" si="52"/>
        <v>0</v>
      </c>
      <c r="HQ18" s="66"/>
      <c r="HR18" s="69"/>
      <c r="HS18" s="70"/>
      <c r="HT18" s="76">
        <f t="shared" si="53"/>
        <v>0</v>
      </c>
      <c r="HU18" s="66"/>
      <c r="HV18" s="69"/>
      <c r="HW18" s="70"/>
      <c r="HX18" s="76">
        <f t="shared" si="54"/>
        <v>0</v>
      </c>
      <c r="HY18" s="66"/>
      <c r="HZ18" s="69"/>
      <c r="IA18" s="70"/>
      <c r="IB18" s="76">
        <f t="shared" si="55"/>
        <v>0</v>
      </c>
      <c r="IC18" s="66"/>
      <c r="ID18" s="69"/>
      <c r="IE18" s="70"/>
      <c r="IF18" s="76">
        <f t="shared" si="56"/>
        <v>0</v>
      </c>
      <c r="IG18" s="66"/>
      <c r="IH18" s="69"/>
      <c r="II18" s="70"/>
      <c r="IJ18" s="76">
        <f t="shared" si="57"/>
        <v>0</v>
      </c>
      <c r="IK18" s="66"/>
      <c r="IL18" s="69"/>
      <c r="IM18" s="70"/>
      <c r="IN18" s="76">
        <f t="shared" si="58"/>
        <v>0</v>
      </c>
      <c r="IO18" s="66"/>
      <c r="IP18" s="69"/>
      <c r="IQ18" s="70"/>
      <c r="IR18" s="76">
        <f t="shared" si="59"/>
        <v>0</v>
      </c>
      <c r="IS18" s="66"/>
      <c r="IT18" s="69"/>
      <c r="IU18" s="70"/>
      <c r="IV18" s="76">
        <f t="shared" si="60"/>
        <v>0</v>
      </c>
      <c r="IW18" s="66"/>
      <c r="IX18" s="69"/>
      <c r="IY18" s="70"/>
      <c r="IZ18" s="76">
        <f t="shared" si="61"/>
        <v>0</v>
      </c>
      <c r="JA18" s="66"/>
      <c r="JB18" s="55" t="e">
        <f t="shared" si="62"/>
        <v>#VALUE!</v>
      </c>
      <c r="JC18" s="55" t="e">
        <f t="shared" si="63"/>
        <v>#VALUE!</v>
      </c>
      <c r="JD18" s="55" t="e">
        <f t="shared" si="64"/>
        <v>#VALUE!</v>
      </c>
      <c r="JE18" s="55" t="e">
        <f t="shared" si="67"/>
        <v>#VALUE!</v>
      </c>
      <c r="JF18" s="55"/>
      <c r="JP18" s="55"/>
    </row>
    <row r="19" spans="2:276" ht="30" customHeight="1" x14ac:dyDescent="0.3">
      <c r="B19" s="39">
        <v>10</v>
      </c>
      <c r="C19" s="96" t="e">
        <f>VLOOKUP(#REF!,EMPLEADO!C:Q,15,FALSE)</f>
        <v>#REF!</v>
      </c>
      <c r="D19" s="28" t="s">
        <v>57</v>
      </c>
      <c r="E19" s="58" t="s">
        <v>18</v>
      </c>
      <c r="F19" s="69"/>
      <c r="G19" s="70"/>
      <c r="H19" s="76">
        <f t="shared" si="0"/>
        <v>0</v>
      </c>
      <c r="I19" s="66"/>
      <c r="J19" s="69"/>
      <c r="K19" s="70"/>
      <c r="L19" s="76">
        <f t="shared" si="1"/>
        <v>0</v>
      </c>
      <c r="M19" s="66"/>
      <c r="N19" s="71"/>
      <c r="O19" s="72"/>
      <c r="P19" s="76">
        <f t="shared" si="2"/>
        <v>0</v>
      </c>
      <c r="Q19" s="66"/>
      <c r="R19" s="72"/>
      <c r="S19" s="72"/>
      <c r="T19" s="76">
        <f t="shared" si="65"/>
        <v>0</v>
      </c>
      <c r="U19" s="66"/>
      <c r="V19" s="69"/>
      <c r="W19" s="70"/>
      <c r="X19" s="76">
        <f t="shared" si="3"/>
        <v>0</v>
      </c>
      <c r="Y19" s="66"/>
      <c r="Z19" s="69"/>
      <c r="AA19" s="70"/>
      <c r="AB19" s="76">
        <f t="shared" si="4"/>
        <v>0</v>
      </c>
      <c r="AC19" s="66"/>
      <c r="AD19" s="69"/>
      <c r="AE19" s="70"/>
      <c r="AF19" s="76">
        <f t="shared" si="5"/>
        <v>0</v>
      </c>
      <c r="AG19" s="66"/>
      <c r="AH19" s="72"/>
      <c r="AI19" s="72"/>
      <c r="AJ19" s="94">
        <f t="shared" si="66"/>
        <v>0</v>
      </c>
      <c r="AK19" s="66"/>
      <c r="AL19" s="69"/>
      <c r="AM19" s="70"/>
      <c r="AN19" s="76">
        <f t="shared" si="6"/>
        <v>0</v>
      </c>
      <c r="AO19" s="66"/>
      <c r="AP19" s="69"/>
      <c r="AQ19" s="70"/>
      <c r="AR19" s="76">
        <f t="shared" si="7"/>
        <v>0</v>
      </c>
      <c r="AS19" s="66"/>
      <c r="AT19" s="69"/>
      <c r="AU19" s="70"/>
      <c r="AV19" s="76">
        <f t="shared" si="8"/>
        <v>0</v>
      </c>
      <c r="AW19" s="66"/>
      <c r="AX19" s="69"/>
      <c r="AY19" s="70"/>
      <c r="AZ19" s="76">
        <f t="shared" si="9"/>
        <v>0</v>
      </c>
      <c r="BA19" s="66"/>
      <c r="BB19" s="69"/>
      <c r="BC19" s="70"/>
      <c r="BD19" s="76">
        <f t="shared" si="10"/>
        <v>0</v>
      </c>
      <c r="BE19" s="66"/>
      <c r="BF19" s="69"/>
      <c r="BG19" s="70"/>
      <c r="BH19" s="76">
        <f t="shared" si="11"/>
        <v>0</v>
      </c>
      <c r="BI19" s="66"/>
      <c r="BJ19" s="69"/>
      <c r="BK19" s="70"/>
      <c r="BL19" s="76">
        <f t="shared" si="12"/>
        <v>0</v>
      </c>
      <c r="BM19" s="66"/>
      <c r="BN19" s="69"/>
      <c r="BO19" s="70"/>
      <c r="BP19" s="76">
        <f t="shared" si="13"/>
        <v>0</v>
      </c>
      <c r="BQ19" s="66"/>
      <c r="BR19" s="69"/>
      <c r="BS19" s="70"/>
      <c r="BT19" s="76">
        <f t="shared" si="14"/>
        <v>0</v>
      </c>
      <c r="BU19" s="66"/>
      <c r="BV19" s="69"/>
      <c r="BW19" s="70"/>
      <c r="BX19" s="76">
        <f t="shared" si="15"/>
        <v>0</v>
      </c>
      <c r="BY19" s="66"/>
      <c r="BZ19" s="69"/>
      <c r="CA19" s="70"/>
      <c r="CB19" s="76">
        <f t="shared" si="16"/>
        <v>0</v>
      </c>
      <c r="CC19" s="66"/>
      <c r="CD19" s="69"/>
      <c r="CE19" s="70"/>
      <c r="CF19" s="76">
        <f t="shared" si="17"/>
        <v>0</v>
      </c>
      <c r="CG19" s="66"/>
      <c r="CH19" s="69"/>
      <c r="CI19" s="70"/>
      <c r="CJ19" s="76">
        <f t="shared" si="18"/>
        <v>0</v>
      </c>
      <c r="CK19" s="66"/>
      <c r="CL19" s="69"/>
      <c r="CM19" s="70"/>
      <c r="CN19" s="76">
        <f t="shared" si="19"/>
        <v>0</v>
      </c>
      <c r="CO19" s="66"/>
      <c r="CP19" s="69"/>
      <c r="CQ19" s="70"/>
      <c r="CR19" s="76">
        <f t="shared" si="20"/>
        <v>0</v>
      </c>
      <c r="CS19" s="66"/>
      <c r="CT19" s="69"/>
      <c r="CU19" s="70"/>
      <c r="CV19" s="76">
        <f t="shared" si="21"/>
        <v>0</v>
      </c>
      <c r="CW19" s="66"/>
      <c r="CX19" s="69"/>
      <c r="CY19" s="70"/>
      <c r="CZ19" s="76">
        <f t="shared" si="22"/>
        <v>0</v>
      </c>
      <c r="DA19" s="66"/>
      <c r="DB19" s="69"/>
      <c r="DC19" s="70"/>
      <c r="DD19" s="76">
        <f t="shared" si="23"/>
        <v>0</v>
      </c>
      <c r="DE19" s="66"/>
      <c r="DF19" s="69"/>
      <c r="DG19" s="70"/>
      <c r="DH19" s="76">
        <f t="shared" si="24"/>
        <v>0</v>
      </c>
      <c r="DI19" s="66"/>
      <c r="DJ19" s="69"/>
      <c r="DK19" s="70"/>
      <c r="DL19" s="76">
        <f t="shared" si="25"/>
        <v>0</v>
      </c>
      <c r="DM19" s="66"/>
      <c r="DN19" s="69"/>
      <c r="DO19" s="70"/>
      <c r="DP19" s="76">
        <f t="shared" si="26"/>
        <v>0</v>
      </c>
      <c r="DQ19" s="66"/>
      <c r="DR19" s="69"/>
      <c r="DS19" s="70"/>
      <c r="DT19" s="76">
        <f t="shared" si="27"/>
        <v>0</v>
      </c>
      <c r="DU19" s="66"/>
      <c r="DV19" s="69"/>
      <c r="DW19" s="70"/>
      <c r="DX19" s="76">
        <f t="shared" si="28"/>
        <v>0</v>
      </c>
      <c r="DY19" s="66"/>
      <c r="DZ19" s="69"/>
      <c r="EA19" s="70"/>
      <c r="EB19" s="76">
        <f t="shared" si="29"/>
        <v>0</v>
      </c>
      <c r="EC19" s="66"/>
      <c r="ED19" s="69"/>
      <c r="EE19" s="70"/>
      <c r="EF19" s="76">
        <f t="shared" si="30"/>
        <v>0</v>
      </c>
      <c r="EG19" s="66"/>
      <c r="EH19" s="69"/>
      <c r="EI19" s="70"/>
      <c r="EJ19" s="76">
        <f t="shared" si="31"/>
        <v>0</v>
      </c>
      <c r="EK19" s="66"/>
      <c r="EL19" s="69"/>
      <c r="EM19" s="70"/>
      <c r="EN19" s="76">
        <f t="shared" si="32"/>
        <v>0</v>
      </c>
      <c r="EO19" s="66"/>
      <c r="EP19" s="69"/>
      <c r="EQ19" s="70"/>
      <c r="ER19" s="76">
        <f t="shared" si="33"/>
        <v>0</v>
      </c>
      <c r="ES19" s="66"/>
      <c r="ET19" s="69"/>
      <c r="EU19" s="70"/>
      <c r="EV19" s="76">
        <f t="shared" si="34"/>
        <v>0</v>
      </c>
      <c r="EW19" s="66"/>
      <c r="EX19" s="69"/>
      <c r="EY19" s="70"/>
      <c r="EZ19" s="76">
        <f t="shared" si="35"/>
        <v>0</v>
      </c>
      <c r="FA19" s="66"/>
      <c r="FB19" s="69"/>
      <c r="FC19" s="70"/>
      <c r="FD19" s="76">
        <f t="shared" si="36"/>
        <v>0</v>
      </c>
      <c r="FE19" s="66"/>
      <c r="FF19" s="69"/>
      <c r="FG19" s="70"/>
      <c r="FH19" s="76">
        <f t="shared" si="37"/>
        <v>0</v>
      </c>
      <c r="FI19" s="66"/>
      <c r="FJ19" s="69"/>
      <c r="FK19" s="70"/>
      <c r="FL19" s="76">
        <f t="shared" si="38"/>
        <v>0</v>
      </c>
      <c r="FM19" s="66"/>
      <c r="FN19" s="69"/>
      <c r="FO19" s="70"/>
      <c r="FP19" s="76">
        <f t="shared" si="39"/>
        <v>0</v>
      </c>
      <c r="FQ19" s="66"/>
      <c r="FR19" s="69"/>
      <c r="FS19" s="70"/>
      <c r="FT19" s="76">
        <f t="shared" si="40"/>
        <v>0</v>
      </c>
      <c r="FU19" s="66"/>
      <c r="FV19" s="69"/>
      <c r="FW19" s="70"/>
      <c r="FX19" s="76">
        <f t="shared" si="41"/>
        <v>0</v>
      </c>
      <c r="FY19" s="66"/>
      <c r="FZ19" s="69"/>
      <c r="GA19" s="70"/>
      <c r="GB19" s="76">
        <f t="shared" si="42"/>
        <v>0</v>
      </c>
      <c r="GC19" s="66"/>
      <c r="GD19" s="69"/>
      <c r="GE19" s="70"/>
      <c r="GF19" s="76">
        <f t="shared" si="43"/>
        <v>0</v>
      </c>
      <c r="GG19" s="66"/>
      <c r="GH19" s="69"/>
      <c r="GI19" s="70"/>
      <c r="GJ19" s="76">
        <f t="shared" si="44"/>
        <v>0</v>
      </c>
      <c r="GK19" s="66"/>
      <c r="GL19" s="69"/>
      <c r="GM19" s="70"/>
      <c r="GN19" s="76">
        <f t="shared" si="45"/>
        <v>0</v>
      </c>
      <c r="GO19" s="66"/>
      <c r="GP19" s="69"/>
      <c r="GQ19" s="70"/>
      <c r="GR19" s="76">
        <f t="shared" si="46"/>
        <v>0</v>
      </c>
      <c r="GS19" s="66"/>
      <c r="GT19" s="69"/>
      <c r="GU19" s="70"/>
      <c r="GV19" s="76">
        <f t="shared" si="47"/>
        <v>0</v>
      </c>
      <c r="GW19" s="66"/>
      <c r="GX19" s="69"/>
      <c r="GY19" s="70"/>
      <c r="GZ19" s="76">
        <f t="shared" si="48"/>
        <v>0</v>
      </c>
      <c r="HA19" s="66"/>
      <c r="HB19" s="69"/>
      <c r="HC19" s="70"/>
      <c r="HD19" s="76">
        <f t="shared" si="49"/>
        <v>0</v>
      </c>
      <c r="HE19" s="66"/>
      <c r="HF19" s="69"/>
      <c r="HG19" s="70"/>
      <c r="HH19" s="76">
        <f t="shared" si="50"/>
        <v>0</v>
      </c>
      <c r="HI19" s="66"/>
      <c r="HJ19" s="69"/>
      <c r="HK19" s="70"/>
      <c r="HL19" s="76">
        <f t="shared" si="51"/>
        <v>0</v>
      </c>
      <c r="HM19" s="66"/>
      <c r="HN19" s="69"/>
      <c r="HO19" s="70"/>
      <c r="HP19" s="76">
        <f t="shared" si="52"/>
        <v>0</v>
      </c>
      <c r="HQ19" s="66"/>
      <c r="HR19" s="69"/>
      <c r="HS19" s="70"/>
      <c r="HT19" s="76">
        <f t="shared" si="53"/>
        <v>0</v>
      </c>
      <c r="HU19" s="66"/>
      <c r="HV19" s="69"/>
      <c r="HW19" s="70"/>
      <c r="HX19" s="76">
        <f t="shared" si="54"/>
        <v>0</v>
      </c>
      <c r="HY19" s="66"/>
      <c r="HZ19" s="69"/>
      <c r="IA19" s="70"/>
      <c r="IB19" s="76">
        <f t="shared" si="55"/>
        <v>0</v>
      </c>
      <c r="IC19" s="66"/>
      <c r="ID19" s="69"/>
      <c r="IE19" s="70"/>
      <c r="IF19" s="76">
        <f t="shared" si="56"/>
        <v>0</v>
      </c>
      <c r="IG19" s="66"/>
      <c r="IH19" s="69"/>
      <c r="II19" s="70"/>
      <c r="IJ19" s="76">
        <f t="shared" si="57"/>
        <v>0</v>
      </c>
      <c r="IK19" s="66"/>
      <c r="IL19" s="69"/>
      <c r="IM19" s="70"/>
      <c r="IN19" s="76">
        <f t="shared" si="58"/>
        <v>0</v>
      </c>
      <c r="IO19" s="66"/>
      <c r="IP19" s="69"/>
      <c r="IQ19" s="70"/>
      <c r="IR19" s="76">
        <f t="shared" si="59"/>
        <v>0</v>
      </c>
      <c r="IS19" s="66"/>
      <c r="IT19" s="69"/>
      <c r="IU19" s="70"/>
      <c r="IV19" s="76">
        <f t="shared" si="60"/>
        <v>0</v>
      </c>
      <c r="IW19" s="66"/>
      <c r="IX19" s="69"/>
      <c r="IY19" s="70"/>
      <c r="IZ19" s="76">
        <f t="shared" si="61"/>
        <v>0</v>
      </c>
      <c r="JA19" s="66"/>
      <c r="JB19" s="55" t="e">
        <f t="shared" si="62"/>
        <v>#VALUE!</v>
      </c>
      <c r="JC19" s="55" t="e">
        <f t="shared" si="63"/>
        <v>#VALUE!</v>
      </c>
      <c r="JD19" s="55" t="e">
        <f t="shared" si="64"/>
        <v>#VALUE!</v>
      </c>
      <c r="JE19" s="55" t="e">
        <f t="shared" si="67"/>
        <v>#VALUE!</v>
      </c>
      <c r="JF19" s="55"/>
      <c r="JP19" s="55"/>
    </row>
    <row r="20" spans="2:276" ht="30" customHeight="1" x14ac:dyDescent="0.3">
      <c r="B20" s="39">
        <v>11</v>
      </c>
      <c r="C20" s="96" t="e">
        <f>VLOOKUP(#REF!,EMPLEADO!C:Q,15,FALSE)</f>
        <v>#REF!</v>
      </c>
      <c r="D20" s="29" t="s">
        <v>60</v>
      </c>
      <c r="E20" s="59" t="s">
        <v>18</v>
      </c>
      <c r="F20" s="69"/>
      <c r="G20" s="70"/>
      <c r="H20" s="76">
        <f t="shared" si="0"/>
        <v>0</v>
      </c>
      <c r="I20" s="66"/>
      <c r="J20" s="69"/>
      <c r="K20" s="70"/>
      <c r="L20" s="76">
        <f t="shared" si="1"/>
        <v>0</v>
      </c>
      <c r="M20" s="66"/>
      <c r="N20" s="71"/>
      <c r="O20" s="72"/>
      <c r="P20" s="76">
        <f t="shared" si="2"/>
        <v>0</v>
      </c>
      <c r="Q20" s="66"/>
      <c r="R20" s="72"/>
      <c r="S20" s="72"/>
      <c r="T20" s="76">
        <f t="shared" si="65"/>
        <v>0</v>
      </c>
      <c r="U20" s="66"/>
      <c r="V20" s="69"/>
      <c r="W20" s="70"/>
      <c r="X20" s="76">
        <f t="shared" si="3"/>
        <v>0</v>
      </c>
      <c r="Y20" s="66"/>
      <c r="Z20" s="69"/>
      <c r="AA20" s="70"/>
      <c r="AB20" s="76">
        <f t="shared" si="4"/>
        <v>0</v>
      </c>
      <c r="AC20" s="66"/>
      <c r="AD20" s="69"/>
      <c r="AE20" s="70"/>
      <c r="AF20" s="76">
        <f t="shared" si="5"/>
        <v>0</v>
      </c>
      <c r="AG20" s="66"/>
      <c r="AH20" s="72"/>
      <c r="AI20" s="72"/>
      <c r="AJ20" s="94">
        <f t="shared" si="66"/>
        <v>0</v>
      </c>
      <c r="AK20" s="66"/>
      <c r="AL20" s="69"/>
      <c r="AM20" s="70"/>
      <c r="AN20" s="76">
        <f t="shared" si="6"/>
        <v>0</v>
      </c>
      <c r="AO20" s="66"/>
      <c r="AP20" s="69"/>
      <c r="AQ20" s="70"/>
      <c r="AR20" s="76">
        <f t="shared" si="7"/>
        <v>0</v>
      </c>
      <c r="AS20" s="66"/>
      <c r="AT20" s="69"/>
      <c r="AU20" s="70"/>
      <c r="AV20" s="76">
        <f t="shared" si="8"/>
        <v>0</v>
      </c>
      <c r="AW20" s="66"/>
      <c r="AX20" s="69"/>
      <c r="AY20" s="70"/>
      <c r="AZ20" s="76">
        <f t="shared" si="9"/>
        <v>0</v>
      </c>
      <c r="BA20" s="66"/>
      <c r="BB20" s="69"/>
      <c r="BC20" s="70"/>
      <c r="BD20" s="76">
        <f t="shared" si="10"/>
        <v>0</v>
      </c>
      <c r="BE20" s="66"/>
      <c r="BF20" s="69"/>
      <c r="BG20" s="70"/>
      <c r="BH20" s="76">
        <f t="shared" si="11"/>
        <v>0</v>
      </c>
      <c r="BI20" s="66"/>
      <c r="BJ20" s="69"/>
      <c r="BK20" s="70"/>
      <c r="BL20" s="76">
        <f t="shared" si="12"/>
        <v>0</v>
      </c>
      <c r="BM20" s="66"/>
      <c r="BN20" s="69"/>
      <c r="BO20" s="70"/>
      <c r="BP20" s="76">
        <f t="shared" si="13"/>
        <v>0</v>
      </c>
      <c r="BQ20" s="66"/>
      <c r="BR20" s="69"/>
      <c r="BS20" s="70"/>
      <c r="BT20" s="76">
        <f t="shared" si="14"/>
        <v>0</v>
      </c>
      <c r="BU20" s="66"/>
      <c r="BV20" s="69"/>
      <c r="BW20" s="70"/>
      <c r="BX20" s="76">
        <f t="shared" si="15"/>
        <v>0</v>
      </c>
      <c r="BY20" s="66"/>
      <c r="BZ20" s="69"/>
      <c r="CA20" s="70"/>
      <c r="CB20" s="76">
        <f t="shared" si="16"/>
        <v>0</v>
      </c>
      <c r="CC20" s="66"/>
      <c r="CD20" s="69"/>
      <c r="CE20" s="70"/>
      <c r="CF20" s="76">
        <f t="shared" si="17"/>
        <v>0</v>
      </c>
      <c r="CG20" s="66"/>
      <c r="CH20" s="69"/>
      <c r="CI20" s="70"/>
      <c r="CJ20" s="76">
        <f t="shared" si="18"/>
        <v>0</v>
      </c>
      <c r="CK20" s="66"/>
      <c r="CL20" s="69"/>
      <c r="CM20" s="70"/>
      <c r="CN20" s="76">
        <f t="shared" si="19"/>
        <v>0</v>
      </c>
      <c r="CO20" s="66"/>
      <c r="CP20" s="69"/>
      <c r="CQ20" s="70"/>
      <c r="CR20" s="76">
        <f t="shared" si="20"/>
        <v>0</v>
      </c>
      <c r="CS20" s="66"/>
      <c r="CT20" s="69"/>
      <c r="CU20" s="70"/>
      <c r="CV20" s="76">
        <f t="shared" si="21"/>
        <v>0</v>
      </c>
      <c r="CW20" s="66"/>
      <c r="CX20" s="69"/>
      <c r="CY20" s="70"/>
      <c r="CZ20" s="76">
        <f t="shared" si="22"/>
        <v>0</v>
      </c>
      <c r="DA20" s="66"/>
      <c r="DB20" s="69"/>
      <c r="DC20" s="70"/>
      <c r="DD20" s="76">
        <f t="shared" si="23"/>
        <v>0</v>
      </c>
      <c r="DE20" s="66"/>
      <c r="DF20" s="69"/>
      <c r="DG20" s="70"/>
      <c r="DH20" s="76">
        <f t="shared" si="24"/>
        <v>0</v>
      </c>
      <c r="DI20" s="66"/>
      <c r="DJ20" s="69"/>
      <c r="DK20" s="70"/>
      <c r="DL20" s="76">
        <f t="shared" si="25"/>
        <v>0</v>
      </c>
      <c r="DM20" s="66"/>
      <c r="DN20" s="69"/>
      <c r="DO20" s="70"/>
      <c r="DP20" s="76">
        <f t="shared" si="26"/>
        <v>0</v>
      </c>
      <c r="DQ20" s="66"/>
      <c r="DR20" s="69"/>
      <c r="DS20" s="70"/>
      <c r="DT20" s="76">
        <f t="shared" si="27"/>
        <v>0</v>
      </c>
      <c r="DU20" s="66"/>
      <c r="DV20" s="69"/>
      <c r="DW20" s="70"/>
      <c r="DX20" s="76">
        <f t="shared" si="28"/>
        <v>0</v>
      </c>
      <c r="DY20" s="66"/>
      <c r="DZ20" s="69"/>
      <c r="EA20" s="70"/>
      <c r="EB20" s="76">
        <f t="shared" si="29"/>
        <v>0</v>
      </c>
      <c r="EC20" s="66"/>
      <c r="ED20" s="69"/>
      <c r="EE20" s="70"/>
      <c r="EF20" s="76">
        <f t="shared" si="30"/>
        <v>0</v>
      </c>
      <c r="EG20" s="66"/>
      <c r="EH20" s="69"/>
      <c r="EI20" s="70"/>
      <c r="EJ20" s="76">
        <f t="shared" si="31"/>
        <v>0</v>
      </c>
      <c r="EK20" s="66"/>
      <c r="EL20" s="69"/>
      <c r="EM20" s="70"/>
      <c r="EN20" s="76">
        <f t="shared" si="32"/>
        <v>0</v>
      </c>
      <c r="EO20" s="66"/>
      <c r="EP20" s="69"/>
      <c r="EQ20" s="70"/>
      <c r="ER20" s="76">
        <f t="shared" si="33"/>
        <v>0</v>
      </c>
      <c r="ES20" s="66"/>
      <c r="ET20" s="69"/>
      <c r="EU20" s="70"/>
      <c r="EV20" s="76">
        <f t="shared" si="34"/>
        <v>0</v>
      </c>
      <c r="EW20" s="66"/>
      <c r="EX20" s="69"/>
      <c r="EY20" s="70"/>
      <c r="EZ20" s="76">
        <f t="shared" si="35"/>
        <v>0</v>
      </c>
      <c r="FA20" s="66"/>
      <c r="FB20" s="69"/>
      <c r="FC20" s="70"/>
      <c r="FD20" s="76">
        <f t="shared" si="36"/>
        <v>0</v>
      </c>
      <c r="FE20" s="66"/>
      <c r="FF20" s="69"/>
      <c r="FG20" s="70"/>
      <c r="FH20" s="76">
        <f t="shared" si="37"/>
        <v>0</v>
      </c>
      <c r="FI20" s="66"/>
      <c r="FJ20" s="69"/>
      <c r="FK20" s="70"/>
      <c r="FL20" s="76">
        <f t="shared" si="38"/>
        <v>0</v>
      </c>
      <c r="FM20" s="66"/>
      <c r="FN20" s="69"/>
      <c r="FO20" s="70"/>
      <c r="FP20" s="76">
        <f t="shared" si="39"/>
        <v>0</v>
      </c>
      <c r="FQ20" s="66"/>
      <c r="FR20" s="69"/>
      <c r="FS20" s="70"/>
      <c r="FT20" s="76">
        <f t="shared" si="40"/>
        <v>0</v>
      </c>
      <c r="FU20" s="66"/>
      <c r="FV20" s="69"/>
      <c r="FW20" s="70"/>
      <c r="FX20" s="76">
        <f t="shared" si="41"/>
        <v>0</v>
      </c>
      <c r="FY20" s="66"/>
      <c r="FZ20" s="69"/>
      <c r="GA20" s="70"/>
      <c r="GB20" s="76">
        <f t="shared" si="42"/>
        <v>0</v>
      </c>
      <c r="GC20" s="66"/>
      <c r="GD20" s="69"/>
      <c r="GE20" s="70"/>
      <c r="GF20" s="76">
        <f t="shared" si="43"/>
        <v>0</v>
      </c>
      <c r="GG20" s="66"/>
      <c r="GH20" s="69"/>
      <c r="GI20" s="70"/>
      <c r="GJ20" s="76">
        <f t="shared" si="44"/>
        <v>0</v>
      </c>
      <c r="GK20" s="66"/>
      <c r="GL20" s="69"/>
      <c r="GM20" s="70"/>
      <c r="GN20" s="76">
        <f t="shared" si="45"/>
        <v>0</v>
      </c>
      <c r="GO20" s="66"/>
      <c r="GP20" s="69"/>
      <c r="GQ20" s="70"/>
      <c r="GR20" s="76">
        <f t="shared" si="46"/>
        <v>0</v>
      </c>
      <c r="GS20" s="66"/>
      <c r="GT20" s="69"/>
      <c r="GU20" s="70"/>
      <c r="GV20" s="76">
        <f t="shared" si="47"/>
        <v>0</v>
      </c>
      <c r="GW20" s="66"/>
      <c r="GX20" s="69"/>
      <c r="GY20" s="70"/>
      <c r="GZ20" s="76">
        <f t="shared" si="48"/>
        <v>0</v>
      </c>
      <c r="HA20" s="66"/>
      <c r="HB20" s="69"/>
      <c r="HC20" s="70"/>
      <c r="HD20" s="76">
        <f t="shared" si="49"/>
        <v>0</v>
      </c>
      <c r="HE20" s="66"/>
      <c r="HF20" s="69"/>
      <c r="HG20" s="70"/>
      <c r="HH20" s="76">
        <f t="shared" si="50"/>
        <v>0</v>
      </c>
      <c r="HI20" s="66"/>
      <c r="HJ20" s="69"/>
      <c r="HK20" s="70"/>
      <c r="HL20" s="76">
        <f t="shared" si="51"/>
        <v>0</v>
      </c>
      <c r="HM20" s="66"/>
      <c r="HN20" s="69"/>
      <c r="HO20" s="70"/>
      <c r="HP20" s="76">
        <f t="shared" si="52"/>
        <v>0</v>
      </c>
      <c r="HQ20" s="66"/>
      <c r="HR20" s="69"/>
      <c r="HS20" s="70"/>
      <c r="HT20" s="76">
        <f t="shared" si="53"/>
        <v>0</v>
      </c>
      <c r="HU20" s="66"/>
      <c r="HV20" s="69"/>
      <c r="HW20" s="70"/>
      <c r="HX20" s="76">
        <f t="shared" si="54"/>
        <v>0</v>
      </c>
      <c r="HY20" s="66"/>
      <c r="HZ20" s="69"/>
      <c r="IA20" s="70"/>
      <c r="IB20" s="76">
        <f t="shared" si="55"/>
        <v>0</v>
      </c>
      <c r="IC20" s="66"/>
      <c r="ID20" s="69"/>
      <c r="IE20" s="70"/>
      <c r="IF20" s="76">
        <f t="shared" si="56"/>
        <v>0</v>
      </c>
      <c r="IG20" s="66"/>
      <c r="IH20" s="69"/>
      <c r="II20" s="70"/>
      <c r="IJ20" s="76">
        <f t="shared" si="57"/>
        <v>0</v>
      </c>
      <c r="IK20" s="66"/>
      <c r="IL20" s="69"/>
      <c r="IM20" s="70"/>
      <c r="IN20" s="76">
        <f t="shared" si="58"/>
        <v>0</v>
      </c>
      <c r="IO20" s="66"/>
      <c r="IP20" s="69"/>
      <c r="IQ20" s="70"/>
      <c r="IR20" s="76">
        <f t="shared" si="59"/>
        <v>0</v>
      </c>
      <c r="IS20" s="66"/>
      <c r="IT20" s="69"/>
      <c r="IU20" s="70"/>
      <c r="IV20" s="76">
        <f t="shared" si="60"/>
        <v>0</v>
      </c>
      <c r="IW20" s="66"/>
      <c r="IX20" s="69"/>
      <c r="IY20" s="70"/>
      <c r="IZ20" s="76">
        <f t="shared" si="61"/>
        <v>0</v>
      </c>
      <c r="JA20" s="66"/>
      <c r="JB20" s="55" t="e">
        <f t="shared" si="62"/>
        <v>#VALUE!</v>
      </c>
      <c r="JC20" s="55" t="e">
        <f t="shared" si="63"/>
        <v>#VALUE!</v>
      </c>
      <c r="JD20" s="55" t="e">
        <f t="shared" si="64"/>
        <v>#VALUE!</v>
      </c>
      <c r="JE20" s="55" t="e">
        <f t="shared" si="67"/>
        <v>#VALUE!</v>
      </c>
      <c r="JF20" s="55"/>
      <c r="JP20" s="55"/>
    </row>
    <row r="21" spans="2:276" ht="30" customHeight="1" x14ac:dyDescent="0.3">
      <c r="B21" s="39">
        <v>12</v>
      </c>
      <c r="C21" s="96" t="e">
        <f>VLOOKUP(#REF!,EMPLEADO!C:Q,15,FALSE)</f>
        <v>#REF!</v>
      </c>
      <c r="D21" s="29" t="s">
        <v>61</v>
      </c>
      <c r="E21" s="59" t="s">
        <v>18</v>
      </c>
      <c r="F21" s="69"/>
      <c r="G21" s="70"/>
      <c r="H21" s="76">
        <f t="shared" si="0"/>
        <v>0</v>
      </c>
      <c r="I21" s="66"/>
      <c r="J21" s="69"/>
      <c r="K21" s="70"/>
      <c r="L21" s="76">
        <f t="shared" si="1"/>
        <v>0</v>
      </c>
      <c r="M21" s="66"/>
      <c r="N21" s="71"/>
      <c r="O21" s="72"/>
      <c r="P21" s="76">
        <f t="shared" si="2"/>
        <v>0</v>
      </c>
      <c r="Q21" s="66"/>
      <c r="R21" s="72"/>
      <c r="S21" s="72"/>
      <c r="T21" s="76">
        <f t="shared" si="65"/>
        <v>0</v>
      </c>
      <c r="U21" s="66"/>
      <c r="V21" s="69"/>
      <c r="W21" s="70"/>
      <c r="X21" s="76">
        <f t="shared" si="3"/>
        <v>0</v>
      </c>
      <c r="Y21" s="66"/>
      <c r="Z21" s="69"/>
      <c r="AA21" s="70"/>
      <c r="AB21" s="76">
        <f t="shared" si="4"/>
        <v>0</v>
      </c>
      <c r="AC21" s="66"/>
      <c r="AD21" s="69"/>
      <c r="AE21" s="70"/>
      <c r="AF21" s="76">
        <f t="shared" si="5"/>
        <v>0</v>
      </c>
      <c r="AG21" s="66"/>
      <c r="AH21" s="72"/>
      <c r="AI21" s="72"/>
      <c r="AJ21" s="94">
        <f t="shared" si="66"/>
        <v>0</v>
      </c>
      <c r="AK21" s="66"/>
      <c r="AL21" s="69"/>
      <c r="AM21" s="70"/>
      <c r="AN21" s="76">
        <f t="shared" si="6"/>
        <v>0</v>
      </c>
      <c r="AO21" s="66"/>
      <c r="AP21" s="69"/>
      <c r="AQ21" s="70"/>
      <c r="AR21" s="76">
        <f t="shared" si="7"/>
        <v>0</v>
      </c>
      <c r="AS21" s="66"/>
      <c r="AT21" s="69"/>
      <c r="AU21" s="70"/>
      <c r="AV21" s="76">
        <f t="shared" si="8"/>
        <v>0</v>
      </c>
      <c r="AW21" s="66"/>
      <c r="AX21" s="69"/>
      <c r="AY21" s="70"/>
      <c r="AZ21" s="76">
        <f t="shared" si="9"/>
        <v>0</v>
      </c>
      <c r="BA21" s="66"/>
      <c r="BB21" s="69"/>
      <c r="BC21" s="70"/>
      <c r="BD21" s="76">
        <f t="shared" si="10"/>
        <v>0</v>
      </c>
      <c r="BE21" s="66"/>
      <c r="BF21" s="69"/>
      <c r="BG21" s="70"/>
      <c r="BH21" s="76">
        <f t="shared" si="11"/>
        <v>0</v>
      </c>
      <c r="BI21" s="66"/>
      <c r="BJ21" s="69"/>
      <c r="BK21" s="70"/>
      <c r="BL21" s="76">
        <f t="shared" si="12"/>
        <v>0</v>
      </c>
      <c r="BM21" s="66"/>
      <c r="BN21" s="69"/>
      <c r="BO21" s="70"/>
      <c r="BP21" s="76">
        <f t="shared" si="13"/>
        <v>0</v>
      </c>
      <c r="BQ21" s="66"/>
      <c r="BR21" s="69"/>
      <c r="BS21" s="70"/>
      <c r="BT21" s="76">
        <f t="shared" si="14"/>
        <v>0</v>
      </c>
      <c r="BU21" s="66"/>
      <c r="BV21" s="69"/>
      <c r="BW21" s="70"/>
      <c r="BX21" s="76">
        <f t="shared" si="15"/>
        <v>0</v>
      </c>
      <c r="BY21" s="66"/>
      <c r="BZ21" s="69"/>
      <c r="CA21" s="70"/>
      <c r="CB21" s="76">
        <f t="shared" si="16"/>
        <v>0</v>
      </c>
      <c r="CC21" s="66"/>
      <c r="CD21" s="69"/>
      <c r="CE21" s="70"/>
      <c r="CF21" s="76">
        <f t="shared" si="17"/>
        <v>0</v>
      </c>
      <c r="CG21" s="66"/>
      <c r="CH21" s="69"/>
      <c r="CI21" s="70"/>
      <c r="CJ21" s="76">
        <f t="shared" si="18"/>
        <v>0</v>
      </c>
      <c r="CK21" s="66"/>
      <c r="CL21" s="69"/>
      <c r="CM21" s="70"/>
      <c r="CN21" s="76">
        <f t="shared" si="19"/>
        <v>0</v>
      </c>
      <c r="CO21" s="66"/>
      <c r="CP21" s="69"/>
      <c r="CQ21" s="70"/>
      <c r="CR21" s="76">
        <f t="shared" si="20"/>
        <v>0</v>
      </c>
      <c r="CS21" s="66"/>
      <c r="CT21" s="69"/>
      <c r="CU21" s="70"/>
      <c r="CV21" s="76">
        <f t="shared" si="21"/>
        <v>0</v>
      </c>
      <c r="CW21" s="66"/>
      <c r="CX21" s="69"/>
      <c r="CY21" s="70"/>
      <c r="CZ21" s="76">
        <f t="shared" si="22"/>
        <v>0</v>
      </c>
      <c r="DA21" s="66"/>
      <c r="DB21" s="69"/>
      <c r="DC21" s="70"/>
      <c r="DD21" s="76">
        <f t="shared" si="23"/>
        <v>0</v>
      </c>
      <c r="DE21" s="66"/>
      <c r="DF21" s="69"/>
      <c r="DG21" s="70"/>
      <c r="DH21" s="76">
        <f t="shared" si="24"/>
        <v>0</v>
      </c>
      <c r="DI21" s="66"/>
      <c r="DJ21" s="69"/>
      <c r="DK21" s="70"/>
      <c r="DL21" s="76">
        <f t="shared" si="25"/>
        <v>0</v>
      </c>
      <c r="DM21" s="66"/>
      <c r="DN21" s="69"/>
      <c r="DO21" s="70"/>
      <c r="DP21" s="76">
        <f t="shared" si="26"/>
        <v>0</v>
      </c>
      <c r="DQ21" s="66"/>
      <c r="DR21" s="69"/>
      <c r="DS21" s="70"/>
      <c r="DT21" s="76">
        <f t="shared" si="27"/>
        <v>0</v>
      </c>
      <c r="DU21" s="66"/>
      <c r="DV21" s="69"/>
      <c r="DW21" s="70"/>
      <c r="DX21" s="76">
        <f t="shared" si="28"/>
        <v>0</v>
      </c>
      <c r="DY21" s="66"/>
      <c r="DZ21" s="69"/>
      <c r="EA21" s="70"/>
      <c r="EB21" s="76">
        <f t="shared" si="29"/>
        <v>0</v>
      </c>
      <c r="EC21" s="66"/>
      <c r="ED21" s="69"/>
      <c r="EE21" s="70"/>
      <c r="EF21" s="76">
        <f t="shared" si="30"/>
        <v>0</v>
      </c>
      <c r="EG21" s="66"/>
      <c r="EH21" s="69"/>
      <c r="EI21" s="70"/>
      <c r="EJ21" s="76">
        <f t="shared" si="31"/>
        <v>0</v>
      </c>
      <c r="EK21" s="66"/>
      <c r="EL21" s="69"/>
      <c r="EM21" s="70"/>
      <c r="EN21" s="76">
        <f t="shared" si="32"/>
        <v>0</v>
      </c>
      <c r="EO21" s="66"/>
      <c r="EP21" s="69"/>
      <c r="EQ21" s="70"/>
      <c r="ER21" s="76">
        <f t="shared" si="33"/>
        <v>0</v>
      </c>
      <c r="ES21" s="66"/>
      <c r="ET21" s="69"/>
      <c r="EU21" s="70"/>
      <c r="EV21" s="76">
        <f t="shared" si="34"/>
        <v>0</v>
      </c>
      <c r="EW21" s="66"/>
      <c r="EX21" s="69"/>
      <c r="EY21" s="70"/>
      <c r="EZ21" s="76">
        <f t="shared" si="35"/>
        <v>0</v>
      </c>
      <c r="FA21" s="66"/>
      <c r="FB21" s="69"/>
      <c r="FC21" s="70"/>
      <c r="FD21" s="76">
        <f t="shared" si="36"/>
        <v>0</v>
      </c>
      <c r="FE21" s="66"/>
      <c r="FF21" s="69"/>
      <c r="FG21" s="70"/>
      <c r="FH21" s="76">
        <f t="shared" si="37"/>
        <v>0</v>
      </c>
      <c r="FI21" s="66"/>
      <c r="FJ21" s="69"/>
      <c r="FK21" s="70"/>
      <c r="FL21" s="76">
        <f t="shared" si="38"/>
        <v>0</v>
      </c>
      <c r="FM21" s="66"/>
      <c r="FN21" s="69"/>
      <c r="FO21" s="70"/>
      <c r="FP21" s="76">
        <f t="shared" si="39"/>
        <v>0</v>
      </c>
      <c r="FQ21" s="66"/>
      <c r="FR21" s="69"/>
      <c r="FS21" s="70"/>
      <c r="FT21" s="76">
        <f t="shared" si="40"/>
        <v>0</v>
      </c>
      <c r="FU21" s="66"/>
      <c r="FV21" s="69"/>
      <c r="FW21" s="70"/>
      <c r="FX21" s="76">
        <f t="shared" si="41"/>
        <v>0</v>
      </c>
      <c r="FY21" s="66"/>
      <c r="FZ21" s="69"/>
      <c r="GA21" s="70"/>
      <c r="GB21" s="76">
        <f t="shared" si="42"/>
        <v>0</v>
      </c>
      <c r="GC21" s="66"/>
      <c r="GD21" s="69"/>
      <c r="GE21" s="70"/>
      <c r="GF21" s="76">
        <f t="shared" si="43"/>
        <v>0</v>
      </c>
      <c r="GG21" s="66"/>
      <c r="GH21" s="69"/>
      <c r="GI21" s="70"/>
      <c r="GJ21" s="76">
        <f t="shared" si="44"/>
        <v>0</v>
      </c>
      <c r="GK21" s="66"/>
      <c r="GL21" s="69"/>
      <c r="GM21" s="70"/>
      <c r="GN21" s="76">
        <f t="shared" si="45"/>
        <v>0</v>
      </c>
      <c r="GO21" s="66"/>
      <c r="GP21" s="69"/>
      <c r="GQ21" s="70"/>
      <c r="GR21" s="76">
        <f t="shared" si="46"/>
        <v>0</v>
      </c>
      <c r="GS21" s="66"/>
      <c r="GT21" s="69"/>
      <c r="GU21" s="70"/>
      <c r="GV21" s="76">
        <f t="shared" si="47"/>
        <v>0</v>
      </c>
      <c r="GW21" s="66"/>
      <c r="GX21" s="69"/>
      <c r="GY21" s="70"/>
      <c r="GZ21" s="76">
        <f t="shared" si="48"/>
        <v>0</v>
      </c>
      <c r="HA21" s="66"/>
      <c r="HB21" s="69"/>
      <c r="HC21" s="70"/>
      <c r="HD21" s="76">
        <f t="shared" si="49"/>
        <v>0</v>
      </c>
      <c r="HE21" s="66"/>
      <c r="HF21" s="69"/>
      <c r="HG21" s="70"/>
      <c r="HH21" s="76">
        <f t="shared" si="50"/>
        <v>0</v>
      </c>
      <c r="HI21" s="66"/>
      <c r="HJ21" s="69"/>
      <c r="HK21" s="70"/>
      <c r="HL21" s="76">
        <f t="shared" si="51"/>
        <v>0</v>
      </c>
      <c r="HM21" s="66"/>
      <c r="HN21" s="69"/>
      <c r="HO21" s="70"/>
      <c r="HP21" s="76">
        <f t="shared" si="52"/>
        <v>0</v>
      </c>
      <c r="HQ21" s="66"/>
      <c r="HR21" s="69"/>
      <c r="HS21" s="70"/>
      <c r="HT21" s="76">
        <f t="shared" si="53"/>
        <v>0</v>
      </c>
      <c r="HU21" s="66"/>
      <c r="HV21" s="69"/>
      <c r="HW21" s="70"/>
      <c r="HX21" s="76">
        <f t="shared" si="54"/>
        <v>0</v>
      </c>
      <c r="HY21" s="66"/>
      <c r="HZ21" s="69"/>
      <c r="IA21" s="70"/>
      <c r="IB21" s="76">
        <f t="shared" si="55"/>
        <v>0</v>
      </c>
      <c r="IC21" s="66"/>
      <c r="ID21" s="69"/>
      <c r="IE21" s="70"/>
      <c r="IF21" s="76">
        <f t="shared" si="56"/>
        <v>0</v>
      </c>
      <c r="IG21" s="66"/>
      <c r="IH21" s="69"/>
      <c r="II21" s="70"/>
      <c r="IJ21" s="76">
        <f t="shared" si="57"/>
        <v>0</v>
      </c>
      <c r="IK21" s="66"/>
      <c r="IL21" s="69"/>
      <c r="IM21" s="70"/>
      <c r="IN21" s="76">
        <f t="shared" si="58"/>
        <v>0</v>
      </c>
      <c r="IO21" s="66"/>
      <c r="IP21" s="69"/>
      <c r="IQ21" s="70"/>
      <c r="IR21" s="76">
        <f t="shared" si="59"/>
        <v>0</v>
      </c>
      <c r="IS21" s="66"/>
      <c r="IT21" s="69"/>
      <c r="IU21" s="70"/>
      <c r="IV21" s="76">
        <f t="shared" si="60"/>
        <v>0</v>
      </c>
      <c r="IW21" s="66"/>
      <c r="IX21" s="69"/>
      <c r="IY21" s="70"/>
      <c r="IZ21" s="76">
        <f t="shared" si="61"/>
        <v>0</v>
      </c>
      <c r="JA21" s="66"/>
      <c r="JB21" s="55" t="e">
        <f t="shared" si="62"/>
        <v>#VALUE!</v>
      </c>
      <c r="JC21" s="55" t="e">
        <f t="shared" si="63"/>
        <v>#VALUE!</v>
      </c>
      <c r="JD21" s="55" t="e">
        <f t="shared" si="64"/>
        <v>#VALUE!</v>
      </c>
      <c r="JE21" s="55" t="e">
        <f t="shared" si="67"/>
        <v>#VALUE!</v>
      </c>
      <c r="JF21" s="55"/>
      <c r="JP21" s="55"/>
    </row>
    <row r="22" spans="2:276" ht="30" customHeight="1" x14ac:dyDescent="0.3">
      <c r="B22" s="39">
        <v>13</v>
      </c>
      <c r="C22" s="96" t="e">
        <f>VLOOKUP(#REF!,EMPLEADO!C:Q,15,FALSE)</f>
        <v>#REF!</v>
      </c>
      <c r="D22" s="28" t="s">
        <v>62</v>
      </c>
      <c r="E22" s="58" t="s">
        <v>18</v>
      </c>
      <c r="F22" s="71"/>
      <c r="G22" s="72"/>
      <c r="H22" s="76">
        <f t="shared" si="0"/>
        <v>0</v>
      </c>
      <c r="I22" s="66"/>
      <c r="J22" s="69"/>
      <c r="K22" s="70"/>
      <c r="L22" s="76">
        <f t="shared" si="1"/>
        <v>0</v>
      </c>
      <c r="M22" s="66"/>
      <c r="N22" s="71"/>
      <c r="O22" s="72"/>
      <c r="P22" s="76">
        <f t="shared" si="2"/>
        <v>0</v>
      </c>
      <c r="Q22" s="66"/>
      <c r="R22" s="72"/>
      <c r="S22" s="72"/>
      <c r="T22" s="76">
        <f t="shared" si="65"/>
        <v>0</v>
      </c>
      <c r="U22" s="66"/>
      <c r="V22" s="69"/>
      <c r="W22" s="70"/>
      <c r="X22" s="76">
        <f t="shared" si="3"/>
        <v>0</v>
      </c>
      <c r="Y22" s="66"/>
      <c r="Z22" s="69"/>
      <c r="AA22" s="70"/>
      <c r="AB22" s="76">
        <f t="shared" si="4"/>
        <v>0</v>
      </c>
      <c r="AC22" s="66"/>
      <c r="AD22" s="69"/>
      <c r="AE22" s="70"/>
      <c r="AF22" s="76">
        <f t="shared" si="5"/>
        <v>0</v>
      </c>
      <c r="AG22" s="66"/>
      <c r="AH22" s="72"/>
      <c r="AI22" s="72"/>
      <c r="AJ22" s="94">
        <f t="shared" si="66"/>
        <v>0</v>
      </c>
      <c r="AK22" s="66"/>
      <c r="AL22" s="69"/>
      <c r="AM22" s="70"/>
      <c r="AN22" s="76">
        <f t="shared" si="6"/>
        <v>0</v>
      </c>
      <c r="AO22" s="66"/>
      <c r="AP22" s="69"/>
      <c r="AQ22" s="70"/>
      <c r="AR22" s="76">
        <f t="shared" si="7"/>
        <v>0</v>
      </c>
      <c r="AS22" s="66"/>
      <c r="AT22" s="69"/>
      <c r="AU22" s="70"/>
      <c r="AV22" s="76">
        <f t="shared" si="8"/>
        <v>0</v>
      </c>
      <c r="AW22" s="66"/>
      <c r="AX22" s="69"/>
      <c r="AY22" s="70"/>
      <c r="AZ22" s="76">
        <f t="shared" si="9"/>
        <v>0</v>
      </c>
      <c r="BA22" s="66"/>
      <c r="BB22" s="69"/>
      <c r="BC22" s="70"/>
      <c r="BD22" s="76">
        <f t="shared" si="10"/>
        <v>0</v>
      </c>
      <c r="BE22" s="66"/>
      <c r="BF22" s="69"/>
      <c r="BG22" s="70"/>
      <c r="BH22" s="76">
        <f t="shared" si="11"/>
        <v>0</v>
      </c>
      <c r="BI22" s="66"/>
      <c r="BJ22" s="69"/>
      <c r="BK22" s="70"/>
      <c r="BL22" s="76">
        <f t="shared" si="12"/>
        <v>0</v>
      </c>
      <c r="BM22" s="66"/>
      <c r="BN22" s="69"/>
      <c r="BO22" s="70"/>
      <c r="BP22" s="76">
        <f t="shared" si="13"/>
        <v>0</v>
      </c>
      <c r="BQ22" s="66"/>
      <c r="BR22" s="69"/>
      <c r="BS22" s="70"/>
      <c r="BT22" s="76">
        <f t="shared" si="14"/>
        <v>0</v>
      </c>
      <c r="BU22" s="66"/>
      <c r="BV22" s="69"/>
      <c r="BW22" s="70"/>
      <c r="BX22" s="76">
        <f t="shared" si="15"/>
        <v>0</v>
      </c>
      <c r="BY22" s="66"/>
      <c r="BZ22" s="69"/>
      <c r="CA22" s="70"/>
      <c r="CB22" s="76">
        <f t="shared" si="16"/>
        <v>0</v>
      </c>
      <c r="CC22" s="66"/>
      <c r="CD22" s="69"/>
      <c r="CE22" s="70"/>
      <c r="CF22" s="76">
        <f t="shared" si="17"/>
        <v>0</v>
      </c>
      <c r="CG22" s="66"/>
      <c r="CH22" s="69"/>
      <c r="CI22" s="70"/>
      <c r="CJ22" s="76">
        <f t="shared" si="18"/>
        <v>0</v>
      </c>
      <c r="CK22" s="66"/>
      <c r="CL22" s="69"/>
      <c r="CM22" s="70"/>
      <c r="CN22" s="76">
        <f t="shared" si="19"/>
        <v>0</v>
      </c>
      <c r="CO22" s="66"/>
      <c r="CP22" s="69"/>
      <c r="CQ22" s="70"/>
      <c r="CR22" s="76">
        <f t="shared" si="20"/>
        <v>0</v>
      </c>
      <c r="CS22" s="66"/>
      <c r="CT22" s="69"/>
      <c r="CU22" s="70"/>
      <c r="CV22" s="76">
        <f t="shared" si="21"/>
        <v>0</v>
      </c>
      <c r="CW22" s="66"/>
      <c r="CX22" s="69"/>
      <c r="CY22" s="70"/>
      <c r="CZ22" s="76">
        <f t="shared" si="22"/>
        <v>0</v>
      </c>
      <c r="DA22" s="66"/>
      <c r="DB22" s="69"/>
      <c r="DC22" s="70"/>
      <c r="DD22" s="76">
        <f t="shared" si="23"/>
        <v>0</v>
      </c>
      <c r="DE22" s="66"/>
      <c r="DF22" s="69"/>
      <c r="DG22" s="70"/>
      <c r="DH22" s="76">
        <f t="shared" si="24"/>
        <v>0</v>
      </c>
      <c r="DI22" s="66"/>
      <c r="DJ22" s="69"/>
      <c r="DK22" s="70"/>
      <c r="DL22" s="76">
        <f t="shared" si="25"/>
        <v>0</v>
      </c>
      <c r="DM22" s="66"/>
      <c r="DN22" s="69"/>
      <c r="DO22" s="70"/>
      <c r="DP22" s="76">
        <f t="shared" si="26"/>
        <v>0</v>
      </c>
      <c r="DQ22" s="66"/>
      <c r="DR22" s="69"/>
      <c r="DS22" s="70"/>
      <c r="DT22" s="76">
        <f t="shared" si="27"/>
        <v>0</v>
      </c>
      <c r="DU22" s="66"/>
      <c r="DV22" s="69"/>
      <c r="DW22" s="70"/>
      <c r="DX22" s="76">
        <f t="shared" si="28"/>
        <v>0</v>
      </c>
      <c r="DY22" s="66"/>
      <c r="DZ22" s="69"/>
      <c r="EA22" s="70"/>
      <c r="EB22" s="76">
        <f t="shared" si="29"/>
        <v>0</v>
      </c>
      <c r="EC22" s="66"/>
      <c r="ED22" s="69"/>
      <c r="EE22" s="70"/>
      <c r="EF22" s="76">
        <f t="shared" si="30"/>
        <v>0</v>
      </c>
      <c r="EG22" s="66"/>
      <c r="EH22" s="69"/>
      <c r="EI22" s="70"/>
      <c r="EJ22" s="76">
        <f t="shared" si="31"/>
        <v>0</v>
      </c>
      <c r="EK22" s="66"/>
      <c r="EL22" s="69"/>
      <c r="EM22" s="70"/>
      <c r="EN22" s="76">
        <f t="shared" si="32"/>
        <v>0</v>
      </c>
      <c r="EO22" s="66"/>
      <c r="EP22" s="69"/>
      <c r="EQ22" s="70"/>
      <c r="ER22" s="76">
        <f t="shared" si="33"/>
        <v>0</v>
      </c>
      <c r="ES22" s="66"/>
      <c r="ET22" s="69"/>
      <c r="EU22" s="70"/>
      <c r="EV22" s="76">
        <f t="shared" si="34"/>
        <v>0</v>
      </c>
      <c r="EW22" s="66"/>
      <c r="EX22" s="69"/>
      <c r="EY22" s="70"/>
      <c r="EZ22" s="76">
        <f t="shared" si="35"/>
        <v>0</v>
      </c>
      <c r="FA22" s="66"/>
      <c r="FB22" s="69"/>
      <c r="FC22" s="70"/>
      <c r="FD22" s="76">
        <f t="shared" si="36"/>
        <v>0</v>
      </c>
      <c r="FE22" s="66"/>
      <c r="FF22" s="69"/>
      <c r="FG22" s="70"/>
      <c r="FH22" s="76">
        <f t="shared" si="37"/>
        <v>0</v>
      </c>
      <c r="FI22" s="66"/>
      <c r="FJ22" s="69"/>
      <c r="FK22" s="70"/>
      <c r="FL22" s="76">
        <f t="shared" si="38"/>
        <v>0</v>
      </c>
      <c r="FM22" s="66"/>
      <c r="FN22" s="69"/>
      <c r="FO22" s="70"/>
      <c r="FP22" s="76">
        <f t="shared" si="39"/>
        <v>0</v>
      </c>
      <c r="FQ22" s="66"/>
      <c r="FR22" s="69"/>
      <c r="FS22" s="70"/>
      <c r="FT22" s="76">
        <f t="shared" si="40"/>
        <v>0</v>
      </c>
      <c r="FU22" s="66"/>
      <c r="FV22" s="69"/>
      <c r="FW22" s="70"/>
      <c r="FX22" s="76">
        <f t="shared" si="41"/>
        <v>0</v>
      </c>
      <c r="FY22" s="66"/>
      <c r="FZ22" s="69"/>
      <c r="GA22" s="70"/>
      <c r="GB22" s="76">
        <f t="shared" si="42"/>
        <v>0</v>
      </c>
      <c r="GC22" s="66"/>
      <c r="GD22" s="69"/>
      <c r="GE22" s="70"/>
      <c r="GF22" s="76">
        <f t="shared" si="43"/>
        <v>0</v>
      </c>
      <c r="GG22" s="66"/>
      <c r="GH22" s="69"/>
      <c r="GI22" s="70"/>
      <c r="GJ22" s="76">
        <f t="shared" si="44"/>
        <v>0</v>
      </c>
      <c r="GK22" s="66"/>
      <c r="GL22" s="69"/>
      <c r="GM22" s="70"/>
      <c r="GN22" s="76">
        <f t="shared" si="45"/>
        <v>0</v>
      </c>
      <c r="GO22" s="66"/>
      <c r="GP22" s="69"/>
      <c r="GQ22" s="70"/>
      <c r="GR22" s="76">
        <f t="shared" si="46"/>
        <v>0</v>
      </c>
      <c r="GS22" s="66"/>
      <c r="GT22" s="69"/>
      <c r="GU22" s="70"/>
      <c r="GV22" s="76">
        <f t="shared" si="47"/>
        <v>0</v>
      </c>
      <c r="GW22" s="66"/>
      <c r="GX22" s="69"/>
      <c r="GY22" s="70"/>
      <c r="GZ22" s="76">
        <f t="shared" si="48"/>
        <v>0</v>
      </c>
      <c r="HA22" s="66"/>
      <c r="HB22" s="69"/>
      <c r="HC22" s="70"/>
      <c r="HD22" s="76">
        <f t="shared" si="49"/>
        <v>0</v>
      </c>
      <c r="HE22" s="66"/>
      <c r="HF22" s="69"/>
      <c r="HG22" s="70"/>
      <c r="HH22" s="76">
        <f t="shared" si="50"/>
        <v>0</v>
      </c>
      <c r="HI22" s="66"/>
      <c r="HJ22" s="69"/>
      <c r="HK22" s="70"/>
      <c r="HL22" s="76">
        <f t="shared" si="51"/>
        <v>0</v>
      </c>
      <c r="HM22" s="66"/>
      <c r="HN22" s="69"/>
      <c r="HO22" s="70"/>
      <c r="HP22" s="76">
        <f t="shared" si="52"/>
        <v>0</v>
      </c>
      <c r="HQ22" s="66"/>
      <c r="HR22" s="69"/>
      <c r="HS22" s="70"/>
      <c r="HT22" s="76">
        <f t="shared" si="53"/>
        <v>0</v>
      </c>
      <c r="HU22" s="66"/>
      <c r="HV22" s="69"/>
      <c r="HW22" s="70"/>
      <c r="HX22" s="76">
        <f t="shared" si="54"/>
        <v>0</v>
      </c>
      <c r="HY22" s="66"/>
      <c r="HZ22" s="69"/>
      <c r="IA22" s="70"/>
      <c r="IB22" s="76">
        <f t="shared" si="55"/>
        <v>0</v>
      </c>
      <c r="IC22" s="66"/>
      <c r="ID22" s="69"/>
      <c r="IE22" s="70"/>
      <c r="IF22" s="76">
        <f t="shared" si="56"/>
        <v>0</v>
      </c>
      <c r="IG22" s="66"/>
      <c r="IH22" s="69"/>
      <c r="II22" s="70"/>
      <c r="IJ22" s="76">
        <f t="shared" si="57"/>
        <v>0</v>
      </c>
      <c r="IK22" s="66"/>
      <c r="IL22" s="69"/>
      <c r="IM22" s="70"/>
      <c r="IN22" s="76">
        <f t="shared" si="58"/>
        <v>0</v>
      </c>
      <c r="IO22" s="66"/>
      <c r="IP22" s="69"/>
      <c r="IQ22" s="70"/>
      <c r="IR22" s="76">
        <f t="shared" si="59"/>
        <v>0</v>
      </c>
      <c r="IS22" s="66"/>
      <c r="IT22" s="69"/>
      <c r="IU22" s="70"/>
      <c r="IV22" s="76">
        <f t="shared" si="60"/>
        <v>0</v>
      </c>
      <c r="IW22" s="66"/>
      <c r="IX22" s="69"/>
      <c r="IY22" s="70"/>
      <c r="IZ22" s="76">
        <f t="shared" si="61"/>
        <v>0</v>
      </c>
      <c r="JA22" s="66"/>
      <c r="JB22" s="55" t="e">
        <f t="shared" si="62"/>
        <v>#VALUE!</v>
      </c>
      <c r="JC22" s="55" t="e">
        <f t="shared" si="63"/>
        <v>#VALUE!</v>
      </c>
      <c r="JD22" s="55" t="e">
        <f t="shared" si="64"/>
        <v>#VALUE!</v>
      </c>
      <c r="JE22" s="55" t="e">
        <f t="shared" si="67"/>
        <v>#VALUE!</v>
      </c>
      <c r="JF22" s="55"/>
      <c r="JP22" s="55"/>
    </row>
    <row r="23" spans="2:276" ht="30" customHeight="1" x14ac:dyDescent="0.3">
      <c r="B23" s="39">
        <v>14</v>
      </c>
      <c r="C23" s="96" t="e">
        <f>VLOOKUP(#REF!,EMPLEADO!C:Q,15,FALSE)</f>
        <v>#REF!</v>
      </c>
      <c r="D23" s="28" t="s">
        <v>85</v>
      </c>
      <c r="E23" s="58" t="s">
        <v>18</v>
      </c>
      <c r="F23" s="69"/>
      <c r="G23" s="70"/>
      <c r="H23" s="76">
        <f t="shared" si="0"/>
        <v>0</v>
      </c>
      <c r="I23" s="66"/>
      <c r="J23" s="69"/>
      <c r="K23" s="70"/>
      <c r="L23" s="76">
        <f t="shared" si="1"/>
        <v>0</v>
      </c>
      <c r="M23" s="66"/>
      <c r="N23" s="71"/>
      <c r="O23" s="72"/>
      <c r="P23" s="76">
        <f t="shared" si="2"/>
        <v>0</v>
      </c>
      <c r="Q23" s="66"/>
      <c r="R23" s="72"/>
      <c r="S23" s="72"/>
      <c r="T23" s="76">
        <f t="shared" si="65"/>
        <v>0</v>
      </c>
      <c r="U23" s="66"/>
      <c r="V23" s="69"/>
      <c r="W23" s="70"/>
      <c r="X23" s="76">
        <f t="shared" si="3"/>
        <v>0</v>
      </c>
      <c r="Y23" s="66"/>
      <c r="Z23" s="69"/>
      <c r="AA23" s="70"/>
      <c r="AB23" s="76">
        <f t="shared" si="4"/>
        <v>0</v>
      </c>
      <c r="AC23" s="66"/>
      <c r="AD23" s="69"/>
      <c r="AE23" s="70"/>
      <c r="AF23" s="76">
        <f t="shared" si="5"/>
        <v>0</v>
      </c>
      <c r="AG23" s="66"/>
      <c r="AH23" s="72"/>
      <c r="AI23" s="72"/>
      <c r="AJ23" s="94">
        <f t="shared" si="66"/>
        <v>0</v>
      </c>
      <c r="AK23" s="66"/>
      <c r="AL23" s="69"/>
      <c r="AM23" s="70"/>
      <c r="AN23" s="76">
        <f t="shared" si="6"/>
        <v>0</v>
      </c>
      <c r="AO23" s="66"/>
      <c r="AP23" s="69"/>
      <c r="AQ23" s="70"/>
      <c r="AR23" s="76">
        <f t="shared" si="7"/>
        <v>0</v>
      </c>
      <c r="AS23" s="66"/>
      <c r="AT23" s="69"/>
      <c r="AU23" s="70"/>
      <c r="AV23" s="76">
        <f t="shared" si="8"/>
        <v>0</v>
      </c>
      <c r="AW23" s="66"/>
      <c r="AX23" s="69"/>
      <c r="AY23" s="70"/>
      <c r="AZ23" s="76">
        <f t="shared" si="9"/>
        <v>0</v>
      </c>
      <c r="BA23" s="66"/>
      <c r="BB23" s="69"/>
      <c r="BC23" s="70"/>
      <c r="BD23" s="76">
        <f t="shared" si="10"/>
        <v>0</v>
      </c>
      <c r="BE23" s="66"/>
      <c r="BF23" s="69"/>
      <c r="BG23" s="70"/>
      <c r="BH23" s="76">
        <f t="shared" si="11"/>
        <v>0</v>
      </c>
      <c r="BI23" s="66"/>
      <c r="BJ23" s="69"/>
      <c r="BK23" s="70"/>
      <c r="BL23" s="76">
        <f t="shared" si="12"/>
        <v>0</v>
      </c>
      <c r="BM23" s="66"/>
      <c r="BN23" s="69"/>
      <c r="BO23" s="70"/>
      <c r="BP23" s="76">
        <f t="shared" si="13"/>
        <v>0</v>
      </c>
      <c r="BQ23" s="66"/>
      <c r="BR23" s="69"/>
      <c r="BS23" s="70"/>
      <c r="BT23" s="76">
        <f t="shared" si="14"/>
        <v>0</v>
      </c>
      <c r="BU23" s="66"/>
      <c r="BV23" s="69"/>
      <c r="BW23" s="70"/>
      <c r="BX23" s="76">
        <f t="shared" si="15"/>
        <v>0</v>
      </c>
      <c r="BY23" s="66"/>
      <c r="BZ23" s="69"/>
      <c r="CA23" s="70"/>
      <c r="CB23" s="76">
        <f t="shared" si="16"/>
        <v>0</v>
      </c>
      <c r="CC23" s="66"/>
      <c r="CD23" s="69"/>
      <c r="CE23" s="70"/>
      <c r="CF23" s="76">
        <f t="shared" si="17"/>
        <v>0</v>
      </c>
      <c r="CG23" s="66"/>
      <c r="CH23" s="69"/>
      <c r="CI23" s="70"/>
      <c r="CJ23" s="76">
        <f t="shared" si="18"/>
        <v>0</v>
      </c>
      <c r="CK23" s="66"/>
      <c r="CL23" s="69"/>
      <c r="CM23" s="70"/>
      <c r="CN23" s="76">
        <f t="shared" si="19"/>
        <v>0</v>
      </c>
      <c r="CO23" s="66"/>
      <c r="CP23" s="69"/>
      <c r="CQ23" s="70"/>
      <c r="CR23" s="76">
        <f t="shared" si="20"/>
        <v>0</v>
      </c>
      <c r="CS23" s="66"/>
      <c r="CT23" s="69"/>
      <c r="CU23" s="70"/>
      <c r="CV23" s="76">
        <f t="shared" si="21"/>
        <v>0</v>
      </c>
      <c r="CW23" s="66"/>
      <c r="CX23" s="69"/>
      <c r="CY23" s="70"/>
      <c r="CZ23" s="76">
        <f t="shared" si="22"/>
        <v>0</v>
      </c>
      <c r="DA23" s="66"/>
      <c r="DB23" s="69"/>
      <c r="DC23" s="70"/>
      <c r="DD23" s="76">
        <f t="shared" si="23"/>
        <v>0</v>
      </c>
      <c r="DE23" s="66"/>
      <c r="DF23" s="69"/>
      <c r="DG23" s="70"/>
      <c r="DH23" s="76">
        <f t="shared" si="24"/>
        <v>0</v>
      </c>
      <c r="DI23" s="66"/>
      <c r="DJ23" s="69"/>
      <c r="DK23" s="70"/>
      <c r="DL23" s="76">
        <f t="shared" si="25"/>
        <v>0</v>
      </c>
      <c r="DM23" s="66"/>
      <c r="DN23" s="69"/>
      <c r="DO23" s="70"/>
      <c r="DP23" s="76">
        <f t="shared" si="26"/>
        <v>0</v>
      </c>
      <c r="DQ23" s="66"/>
      <c r="DR23" s="69"/>
      <c r="DS23" s="70"/>
      <c r="DT23" s="76">
        <f t="shared" si="27"/>
        <v>0</v>
      </c>
      <c r="DU23" s="66"/>
      <c r="DV23" s="69"/>
      <c r="DW23" s="70"/>
      <c r="DX23" s="76">
        <f t="shared" si="28"/>
        <v>0</v>
      </c>
      <c r="DY23" s="66"/>
      <c r="DZ23" s="69"/>
      <c r="EA23" s="70"/>
      <c r="EB23" s="76">
        <f t="shared" si="29"/>
        <v>0</v>
      </c>
      <c r="EC23" s="66"/>
      <c r="ED23" s="69"/>
      <c r="EE23" s="70"/>
      <c r="EF23" s="76">
        <f t="shared" si="30"/>
        <v>0</v>
      </c>
      <c r="EG23" s="66"/>
      <c r="EH23" s="69"/>
      <c r="EI23" s="70"/>
      <c r="EJ23" s="76">
        <f t="shared" si="31"/>
        <v>0</v>
      </c>
      <c r="EK23" s="66"/>
      <c r="EL23" s="69"/>
      <c r="EM23" s="70"/>
      <c r="EN23" s="76">
        <f t="shared" si="32"/>
        <v>0</v>
      </c>
      <c r="EO23" s="66"/>
      <c r="EP23" s="69"/>
      <c r="EQ23" s="70"/>
      <c r="ER23" s="76">
        <f t="shared" si="33"/>
        <v>0</v>
      </c>
      <c r="ES23" s="66"/>
      <c r="ET23" s="69"/>
      <c r="EU23" s="70"/>
      <c r="EV23" s="76">
        <f t="shared" si="34"/>
        <v>0</v>
      </c>
      <c r="EW23" s="66"/>
      <c r="EX23" s="69"/>
      <c r="EY23" s="70"/>
      <c r="EZ23" s="76">
        <f t="shared" si="35"/>
        <v>0</v>
      </c>
      <c r="FA23" s="66"/>
      <c r="FB23" s="69"/>
      <c r="FC23" s="70"/>
      <c r="FD23" s="76">
        <f t="shared" si="36"/>
        <v>0</v>
      </c>
      <c r="FE23" s="66"/>
      <c r="FF23" s="69"/>
      <c r="FG23" s="70"/>
      <c r="FH23" s="76">
        <f t="shared" si="37"/>
        <v>0</v>
      </c>
      <c r="FI23" s="66"/>
      <c r="FJ23" s="69"/>
      <c r="FK23" s="70"/>
      <c r="FL23" s="76">
        <f t="shared" si="38"/>
        <v>0</v>
      </c>
      <c r="FM23" s="66"/>
      <c r="FN23" s="69"/>
      <c r="FO23" s="70"/>
      <c r="FP23" s="76">
        <f t="shared" si="39"/>
        <v>0</v>
      </c>
      <c r="FQ23" s="66"/>
      <c r="FR23" s="69"/>
      <c r="FS23" s="70"/>
      <c r="FT23" s="76">
        <f t="shared" si="40"/>
        <v>0</v>
      </c>
      <c r="FU23" s="66"/>
      <c r="FV23" s="69"/>
      <c r="FW23" s="70"/>
      <c r="FX23" s="76">
        <f t="shared" si="41"/>
        <v>0</v>
      </c>
      <c r="FY23" s="66"/>
      <c r="FZ23" s="69"/>
      <c r="GA23" s="70"/>
      <c r="GB23" s="76">
        <f t="shared" si="42"/>
        <v>0</v>
      </c>
      <c r="GC23" s="66"/>
      <c r="GD23" s="69"/>
      <c r="GE23" s="70"/>
      <c r="GF23" s="76">
        <f t="shared" si="43"/>
        <v>0</v>
      </c>
      <c r="GG23" s="66"/>
      <c r="GH23" s="69"/>
      <c r="GI23" s="70"/>
      <c r="GJ23" s="76">
        <f t="shared" si="44"/>
        <v>0</v>
      </c>
      <c r="GK23" s="66"/>
      <c r="GL23" s="69"/>
      <c r="GM23" s="70"/>
      <c r="GN23" s="76">
        <f t="shared" si="45"/>
        <v>0</v>
      </c>
      <c r="GO23" s="66"/>
      <c r="GP23" s="69"/>
      <c r="GQ23" s="70"/>
      <c r="GR23" s="76">
        <f t="shared" si="46"/>
        <v>0</v>
      </c>
      <c r="GS23" s="66"/>
      <c r="GT23" s="69"/>
      <c r="GU23" s="70"/>
      <c r="GV23" s="76">
        <f t="shared" si="47"/>
        <v>0</v>
      </c>
      <c r="GW23" s="66"/>
      <c r="GX23" s="69"/>
      <c r="GY23" s="70"/>
      <c r="GZ23" s="76">
        <f t="shared" si="48"/>
        <v>0</v>
      </c>
      <c r="HA23" s="66"/>
      <c r="HB23" s="69"/>
      <c r="HC23" s="70"/>
      <c r="HD23" s="76">
        <f t="shared" si="49"/>
        <v>0</v>
      </c>
      <c r="HE23" s="66"/>
      <c r="HF23" s="69"/>
      <c r="HG23" s="70"/>
      <c r="HH23" s="76">
        <f t="shared" si="50"/>
        <v>0</v>
      </c>
      <c r="HI23" s="66"/>
      <c r="HJ23" s="69"/>
      <c r="HK23" s="70"/>
      <c r="HL23" s="76">
        <f t="shared" si="51"/>
        <v>0</v>
      </c>
      <c r="HM23" s="66"/>
      <c r="HN23" s="69"/>
      <c r="HO23" s="70"/>
      <c r="HP23" s="76">
        <f t="shared" si="52"/>
        <v>0</v>
      </c>
      <c r="HQ23" s="66"/>
      <c r="HR23" s="69"/>
      <c r="HS23" s="70"/>
      <c r="HT23" s="76">
        <f t="shared" si="53"/>
        <v>0</v>
      </c>
      <c r="HU23" s="66"/>
      <c r="HV23" s="69"/>
      <c r="HW23" s="70"/>
      <c r="HX23" s="76">
        <f t="shared" si="54"/>
        <v>0</v>
      </c>
      <c r="HY23" s="66"/>
      <c r="HZ23" s="69"/>
      <c r="IA23" s="70"/>
      <c r="IB23" s="76">
        <f t="shared" si="55"/>
        <v>0</v>
      </c>
      <c r="IC23" s="66"/>
      <c r="ID23" s="69"/>
      <c r="IE23" s="70"/>
      <c r="IF23" s="76">
        <f t="shared" si="56"/>
        <v>0</v>
      </c>
      <c r="IG23" s="66"/>
      <c r="IH23" s="69"/>
      <c r="II23" s="70"/>
      <c r="IJ23" s="76">
        <f t="shared" si="57"/>
        <v>0</v>
      </c>
      <c r="IK23" s="66"/>
      <c r="IL23" s="69"/>
      <c r="IM23" s="70"/>
      <c r="IN23" s="76">
        <f t="shared" si="58"/>
        <v>0</v>
      </c>
      <c r="IO23" s="66"/>
      <c r="IP23" s="69"/>
      <c r="IQ23" s="70"/>
      <c r="IR23" s="76">
        <f t="shared" si="59"/>
        <v>0</v>
      </c>
      <c r="IS23" s="66"/>
      <c r="IT23" s="69"/>
      <c r="IU23" s="70"/>
      <c r="IV23" s="76">
        <f t="shared" si="60"/>
        <v>0</v>
      </c>
      <c r="IW23" s="66"/>
      <c r="IX23" s="69"/>
      <c r="IY23" s="70"/>
      <c r="IZ23" s="76">
        <f t="shared" si="61"/>
        <v>0</v>
      </c>
      <c r="JA23" s="66"/>
      <c r="JB23" s="55" t="e">
        <f t="shared" si="62"/>
        <v>#VALUE!</v>
      </c>
      <c r="JC23" s="55" t="e">
        <f t="shared" si="63"/>
        <v>#VALUE!</v>
      </c>
      <c r="JD23" s="55" t="e">
        <f t="shared" si="64"/>
        <v>#VALUE!</v>
      </c>
      <c r="JE23" s="55" t="e">
        <f t="shared" si="67"/>
        <v>#VALUE!</v>
      </c>
      <c r="JF23" s="55"/>
      <c r="JP23" s="55"/>
    </row>
    <row r="24" spans="2:276" ht="30" customHeight="1" x14ac:dyDescent="0.3">
      <c r="B24" s="39">
        <v>15</v>
      </c>
      <c r="C24" s="96" t="e">
        <f>VLOOKUP(#REF!,EMPLEADO!C:Q,15,FALSE)</f>
        <v>#REF!</v>
      </c>
      <c r="D24" s="27" t="s">
        <v>84</v>
      </c>
      <c r="E24" s="58" t="s">
        <v>63</v>
      </c>
      <c r="F24" s="69"/>
      <c r="G24" s="70"/>
      <c r="H24" s="76">
        <f t="shared" si="0"/>
        <v>0</v>
      </c>
      <c r="I24" s="66"/>
      <c r="J24" s="69"/>
      <c r="K24" s="70"/>
      <c r="L24" s="76">
        <f t="shared" si="1"/>
        <v>0</v>
      </c>
      <c r="M24" s="66"/>
      <c r="N24" s="71"/>
      <c r="O24" s="72"/>
      <c r="P24" s="76">
        <f t="shared" si="2"/>
        <v>0</v>
      </c>
      <c r="Q24" s="66"/>
      <c r="R24" s="72"/>
      <c r="S24" s="72"/>
      <c r="T24" s="76">
        <f t="shared" si="65"/>
        <v>0</v>
      </c>
      <c r="U24" s="66"/>
      <c r="V24" s="69"/>
      <c r="W24" s="70"/>
      <c r="X24" s="76">
        <f t="shared" si="3"/>
        <v>0</v>
      </c>
      <c r="Y24" s="66"/>
      <c r="Z24" s="69"/>
      <c r="AA24" s="70"/>
      <c r="AB24" s="76">
        <f t="shared" si="4"/>
        <v>0</v>
      </c>
      <c r="AC24" s="66"/>
      <c r="AD24" s="69"/>
      <c r="AE24" s="70"/>
      <c r="AF24" s="76">
        <f t="shared" si="5"/>
        <v>0</v>
      </c>
      <c r="AG24" s="66"/>
      <c r="AH24" s="72"/>
      <c r="AI24" s="72"/>
      <c r="AJ24" s="94">
        <f t="shared" si="66"/>
        <v>0</v>
      </c>
      <c r="AK24" s="66"/>
      <c r="AL24" s="69"/>
      <c r="AM24" s="70"/>
      <c r="AN24" s="76">
        <f t="shared" si="6"/>
        <v>0</v>
      </c>
      <c r="AO24" s="66"/>
      <c r="AP24" s="69"/>
      <c r="AQ24" s="70"/>
      <c r="AR24" s="76">
        <f t="shared" si="7"/>
        <v>0</v>
      </c>
      <c r="AS24" s="66"/>
      <c r="AT24" s="69"/>
      <c r="AU24" s="70"/>
      <c r="AV24" s="76">
        <f t="shared" si="8"/>
        <v>0</v>
      </c>
      <c r="AW24" s="66"/>
      <c r="AX24" s="69"/>
      <c r="AY24" s="70"/>
      <c r="AZ24" s="76">
        <f t="shared" si="9"/>
        <v>0</v>
      </c>
      <c r="BA24" s="66"/>
      <c r="BB24" s="69"/>
      <c r="BC24" s="70"/>
      <c r="BD24" s="76">
        <f t="shared" si="10"/>
        <v>0</v>
      </c>
      <c r="BE24" s="66"/>
      <c r="BF24" s="69"/>
      <c r="BG24" s="70"/>
      <c r="BH24" s="76">
        <f t="shared" si="11"/>
        <v>0</v>
      </c>
      <c r="BI24" s="66"/>
      <c r="BJ24" s="69"/>
      <c r="BK24" s="70"/>
      <c r="BL24" s="76">
        <f t="shared" si="12"/>
        <v>0</v>
      </c>
      <c r="BM24" s="66"/>
      <c r="BN24" s="69"/>
      <c r="BO24" s="70"/>
      <c r="BP24" s="76">
        <f t="shared" si="13"/>
        <v>0</v>
      </c>
      <c r="BQ24" s="66"/>
      <c r="BR24" s="69"/>
      <c r="BS24" s="70"/>
      <c r="BT24" s="76">
        <f t="shared" si="14"/>
        <v>0</v>
      </c>
      <c r="BU24" s="66"/>
      <c r="BV24" s="69"/>
      <c r="BW24" s="70"/>
      <c r="BX24" s="76">
        <f t="shared" si="15"/>
        <v>0</v>
      </c>
      <c r="BY24" s="66"/>
      <c r="BZ24" s="69"/>
      <c r="CA24" s="70"/>
      <c r="CB24" s="76">
        <f t="shared" si="16"/>
        <v>0</v>
      </c>
      <c r="CC24" s="66"/>
      <c r="CD24" s="69"/>
      <c r="CE24" s="70"/>
      <c r="CF24" s="76">
        <f t="shared" si="17"/>
        <v>0</v>
      </c>
      <c r="CG24" s="66"/>
      <c r="CH24" s="69"/>
      <c r="CI24" s="70"/>
      <c r="CJ24" s="76">
        <f t="shared" si="18"/>
        <v>0</v>
      </c>
      <c r="CK24" s="66"/>
      <c r="CL24" s="69"/>
      <c r="CM24" s="70"/>
      <c r="CN24" s="76">
        <f t="shared" si="19"/>
        <v>0</v>
      </c>
      <c r="CO24" s="66"/>
      <c r="CP24" s="69"/>
      <c r="CQ24" s="70"/>
      <c r="CR24" s="76">
        <f t="shared" si="20"/>
        <v>0</v>
      </c>
      <c r="CS24" s="66"/>
      <c r="CT24" s="69"/>
      <c r="CU24" s="70"/>
      <c r="CV24" s="76">
        <f t="shared" si="21"/>
        <v>0</v>
      </c>
      <c r="CW24" s="66"/>
      <c r="CX24" s="69"/>
      <c r="CY24" s="70"/>
      <c r="CZ24" s="76">
        <f t="shared" si="22"/>
        <v>0</v>
      </c>
      <c r="DA24" s="66"/>
      <c r="DB24" s="69"/>
      <c r="DC24" s="70"/>
      <c r="DD24" s="76">
        <f t="shared" si="23"/>
        <v>0</v>
      </c>
      <c r="DE24" s="66"/>
      <c r="DF24" s="69"/>
      <c r="DG24" s="70"/>
      <c r="DH24" s="76">
        <f t="shared" si="24"/>
        <v>0</v>
      </c>
      <c r="DI24" s="66"/>
      <c r="DJ24" s="69"/>
      <c r="DK24" s="70"/>
      <c r="DL24" s="76">
        <f t="shared" si="25"/>
        <v>0</v>
      </c>
      <c r="DM24" s="66"/>
      <c r="DN24" s="69"/>
      <c r="DO24" s="70"/>
      <c r="DP24" s="76">
        <f t="shared" si="26"/>
        <v>0</v>
      </c>
      <c r="DQ24" s="66"/>
      <c r="DR24" s="69"/>
      <c r="DS24" s="70"/>
      <c r="DT24" s="76">
        <f t="shared" si="27"/>
        <v>0</v>
      </c>
      <c r="DU24" s="66"/>
      <c r="DV24" s="69"/>
      <c r="DW24" s="70"/>
      <c r="DX24" s="76">
        <f t="shared" si="28"/>
        <v>0</v>
      </c>
      <c r="DY24" s="66"/>
      <c r="DZ24" s="69"/>
      <c r="EA24" s="70"/>
      <c r="EB24" s="76">
        <f t="shared" si="29"/>
        <v>0</v>
      </c>
      <c r="EC24" s="66"/>
      <c r="ED24" s="69"/>
      <c r="EE24" s="70"/>
      <c r="EF24" s="76">
        <f t="shared" si="30"/>
        <v>0</v>
      </c>
      <c r="EG24" s="66"/>
      <c r="EH24" s="69"/>
      <c r="EI24" s="70"/>
      <c r="EJ24" s="76">
        <f t="shared" si="31"/>
        <v>0</v>
      </c>
      <c r="EK24" s="66"/>
      <c r="EL24" s="69"/>
      <c r="EM24" s="70"/>
      <c r="EN24" s="76">
        <f t="shared" si="32"/>
        <v>0</v>
      </c>
      <c r="EO24" s="66"/>
      <c r="EP24" s="69"/>
      <c r="EQ24" s="70"/>
      <c r="ER24" s="76">
        <f t="shared" si="33"/>
        <v>0</v>
      </c>
      <c r="ES24" s="66"/>
      <c r="ET24" s="69"/>
      <c r="EU24" s="70"/>
      <c r="EV24" s="76">
        <f t="shared" si="34"/>
        <v>0</v>
      </c>
      <c r="EW24" s="66"/>
      <c r="EX24" s="69"/>
      <c r="EY24" s="70"/>
      <c r="EZ24" s="76">
        <f t="shared" si="35"/>
        <v>0</v>
      </c>
      <c r="FA24" s="66"/>
      <c r="FB24" s="69"/>
      <c r="FC24" s="70"/>
      <c r="FD24" s="76">
        <f t="shared" si="36"/>
        <v>0</v>
      </c>
      <c r="FE24" s="66"/>
      <c r="FF24" s="69"/>
      <c r="FG24" s="70"/>
      <c r="FH24" s="76">
        <f t="shared" si="37"/>
        <v>0</v>
      </c>
      <c r="FI24" s="66"/>
      <c r="FJ24" s="69"/>
      <c r="FK24" s="70"/>
      <c r="FL24" s="76">
        <f t="shared" si="38"/>
        <v>0</v>
      </c>
      <c r="FM24" s="66"/>
      <c r="FN24" s="69"/>
      <c r="FO24" s="70"/>
      <c r="FP24" s="76">
        <f t="shared" si="39"/>
        <v>0</v>
      </c>
      <c r="FQ24" s="66"/>
      <c r="FR24" s="69"/>
      <c r="FS24" s="70"/>
      <c r="FT24" s="76">
        <f t="shared" si="40"/>
        <v>0</v>
      </c>
      <c r="FU24" s="66"/>
      <c r="FV24" s="69"/>
      <c r="FW24" s="70"/>
      <c r="FX24" s="76">
        <f t="shared" si="41"/>
        <v>0</v>
      </c>
      <c r="FY24" s="66"/>
      <c r="FZ24" s="69"/>
      <c r="GA24" s="70"/>
      <c r="GB24" s="76">
        <f t="shared" si="42"/>
        <v>0</v>
      </c>
      <c r="GC24" s="66"/>
      <c r="GD24" s="69"/>
      <c r="GE24" s="70"/>
      <c r="GF24" s="76">
        <f t="shared" si="43"/>
        <v>0</v>
      </c>
      <c r="GG24" s="66"/>
      <c r="GH24" s="69"/>
      <c r="GI24" s="70"/>
      <c r="GJ24" s="76">
        <f t="shared" si="44"/>
        <v>0</v>
      </c>
      <c r="GK24" s="66"/>
      <c r="GL24" s="69"/>
      <c r="GM24" s="70"/>
      <c r="GN24" s="76">
        <f t="shared" si="45"/>
        <v>0</v>
      </c>
      <c r="GO24" s="66"/>
      <c r="GP24" s="69"/>
      <c r="GQ24" s="70"/>
      <c r="GR24" s="76">
        <f t="shared" si="46"/>
        <v>0</v>
      </c>
      <c r="GS24" s="66"/>
      <c r="GT24" s="69"/>
      <c r="GU24" s="70"/>
      <c r="GV24" s="76">
        <f t="shared" si="47"/>
        <v>0</v>
      </c>
      <c r="GW24" s="66"/>
      <c r="GX24" s="69"/>
      <c r="GY24" s="70"/>
      <c r="GZ24" s="76">
        <f t="shared" si="48"/>
        <v>0</v>
      </c>
      <c r="HA24" s="66"/>
      <c r="HB24" s="69"/>
      <c r="HC24" s="70"/>
      <c r="HD24" s="76">
        <f t="shared" si="49"/>
        <v>0</v>
      </c>
      <c r="HE24" s="66"/>
      <c r="HF24" s="69"/>
      <c r="HG24" s="70"/>
      <c r="HH24" s="76">
        <f t="shared" si="50"/>
        <v>0</v>
      </c>
      <c r="HI24" s="66"/>
      <c r="HJ24" s="69"/>
      <c r="HK24" s="70"/>
      <c r="HL24" s="76">
        <f t="shared" si="51"/>
        <v>0</v>
      </c>
      <c r="HM24" s="66"/>
      <c r="HN24" s="69"/>
      <c r="HO24" s="70"/>
      <c r="HP24" s="76">
        <f t="shared" si="52"/>
        <v>0</v>
      </c>
      <c r="HQ24" s="66"/>
      <c r="HR24" s="69"/>
      <c r="HS24" s="70"/>
      <c r="HT24" s="76">
        <f t="shared" si="53"/>
        <v>0</v>
      </c>
      <c r="HU24" s="66"/>
      <c r="HV24" s="69"/>
      <c r="HW24" s="70"/>
      <c r="HX24" s="76">
        <f t="shared" si="54"/>
        <v>0</v>
      </c>
      <c r="HY24" s="66"/>
      <c r="HZ24" s="69"/>
      <c r="IA24" s="70"/>
      <c r="IB24" s="76">
        <f t="shared" si="55"/>
        <v>0</v>
      </c>
      <c r="IC24" s="66"/>
      <c r="ID24" s="69"/>
      <c r="IE24" s="70"/>
      <c r="IF24" s="76">
        <f t="shared" si="56"/>
        <v>0</v>
      </c>
      <c r="IG24" s="66"/>
      <c r="IH24" s="69"/>
      <c r="II24" s="70"/>
      <c r="IJ24" s="76">
        <f t="shared" si="57"/>
        <v>0</v>
      </c>
      <c r="IK24" s="66"/>
      <c r="IL24" s="69"/>
      <c r="IM24" s="70"/>
      <c r="IN24" s="76">
        <f t="shared" si="58"/>
        <v>0</v>
      </c>
      <c r="IO24" s="66"/>
      <c r="IP24" s="69"/>
      <c r="IQ24" s="70"/>
      <c r="IR24" s="76">
        <f t="shared" si="59"/>
        <v>0</v>
      </c>
      <c r="IS24" s="66"/>
      <c r="IT24" s="69"/>
      <c r="IU24" s="70"/>
      <c r="IV24" s="76">
        <f t="shared" si="60"/>
        <v>0</v>
      </c>
      <c r="IW24" s="66"/>
      <c r="IX24" s="69"/>
      <c r="IY24" s="70"/>
      <c r="IZ24" s="76">
        <f t="shared" si="61"/>
        <v>0</v>
      </c>
      <c r="JA24" s="66"/>
      <c r="JB24" s="55" t="e">
        <f t="shared" si="62"/>
        <v>#VALUE!</v>
      </c>
      <c r="JC24" s="55" t="e">
        <f t="shared" si="63"/>
        <v>#VALUE!</v>
      </c>
      <c r="JD24" s="55" t="e">
        <f t="shared" si="64"/>
        <v>#VALUE!</v>
      </c>
      <c r="JE24" s="55" t="e">
        <f t="shared" si="67"/>
        <v>#VALUE!</v>
      </c>
      <c r="JF24" s="55"/>
      <c r="JP24" s="55"/>
    </row>
    <row r="25" spans="2:276" ht="30" customHeight="1" x14ac:dyDescent="0.3">
      <c r="B25" s="39">
        <v>16</v>
      </c>
      <c r="C25" s="96" t="e">
        <f>VLOOKUP(#REF!,EMPLEADO!C:Q,15,FALSE)</f>
        <v>#REF!</v>
      </c>
      <c r="D25" s="27" t="s">
        <v>86</v>
      </c>
      <c r="E25" s="58" t="s">
        <v>18</v>
      </c>
      <c r="F25" s="69"/>
      <c r="G25" s="70"/>
      <c r="H25" s="76">
        <f t="shared" si="0"/>
        <v>0</v>
      </c>
      <c r="I25" s="66"/>
      <c r="J25" s="69"/>
      <c r="K25" s="70"/>
      <c r="L25" s="76">
        <f t="shared" si="1"/>
        <v>0</v>
      </c>
      <c r="M25" s="66"/>
      <c r="N25" s="71"/>
      <c r="O25" s="72"/>
      <c r="P25" s="76">
        <f t="shared" si="2"/>
        <v>0</v>
      </c>
      <c r="Q25" s="66"/>
      <c r="R25" s="72"/>
      <c r="S25" s="72"/>
      <c r="T25" s="76">
        <f t="shared" si="65"/>
        <v>0</v>
      </c>
      <c r="U25" s="66"/>
      <c r="V25" s="69"/>
      <c r="W25" s="70"/>
      <c r="X25" s="76">
        <f t="shared" si="3"/>
        <v>0</v>
      </c>
      <c r="Y25" s="66"/>
      <c r="Z25" s="69"/>
      <c r="AA25" s="70"/>
      <c r="AB25" s="76">
        <f t="shared" si="4"/>
        <v>0</v>
      </c>
      <c r="AC25" s="66"/>
      <c r="AD25" s="69"/>
      <c r="AE25" s="70"/>
      <c r="AF25" s="76">
        <f t="shared" si="5"/>
        <v>0</v>
      </c>
      <c r="AG25" s="66"/>
      <c r="AH25" s="72"/>
      <c r="AI25" s="72"/>
      <c r="AJ25" s="94">
        <f t="shared" si="66"/>
        <v>0</v>
      </c>
      <c r="AK25" s="66"/>
      <c r="AL25" s="69"/>
      <c r="AM25" s="70"/>
      <c r="AN25" s="76">
        <f t="shared" si="6"/>
        <v>0</v>
      </c>
      <c r="AO25" s="66"/>
      <c r="AP25" s="69"/>
      <c r="AQ25" s="70"/>
      <c r="AR25" s="76">
        <f t="shared" si="7"/>
        <v>0</v>
      </c>
      <c r="AS25" s="66"/>
      <c r="AT25" s="69"/>
      <c r="AU25" s="70"/>
      <c r="AV25" s="76">
        <f t="shared" si="8"/>
        <v>0</v>
      </c>
      <c r="AW25" s="66"/>
      <c r="AX25" s="69"/>
      <c r="AY25" s="70"/>
      <c r="AZ25" s="76">
        <f t="shared" si="9"/>
        <v>0</v>
      </c>
      <c r="BA25" s="66"/>
      <c r="BB25" s="69"/>
      <c r="BC25" s="70"/>
      <c r="BD25" s="76">
        <f t="shared" si="10"/>
        <v>0</v>
      </c>
      <c r="BE25" s="66"/>
      <c r="BF25" s="69"/>
      <c r="BG25" s="70"/>
      <c r="BH25" s="76">
        <f t="shared" si="11"/>
        <v>0</v>
      </c>
      <c r="BI25" s="66"/>
      <c r="BJ25" s="69"/>
      <c r="BK25" s="70"/>
      <c r="BL25" s="76">
        <f t="shared" si="12"/>
        <v>0</v>
      </c>
      <c r="BM25" s="66"/>
      <c r="BN25" s="69"/>
      <c r="BO25" s="70"/>
      <c r="BP25" s="76">
        <f t="shared" si="13"/>
        <v>0</v>
      </c>
      <c r="BQ25" s="66"/>
      <c r="BR25" s="69"/>
      <c r="BS25" s="70"/>
      <c r="BT25" s="76">
        <f t="shared" si="14"/>
        <v>0</v>
      </c>
      <c r="BU25" s="66"/>
      <c r="BV25" s="69"/>
      <c r="BW25" s="70"/>
      <c r="BX25" s="76">
        <f t="shared" si="15"/>
        <v>0</v>
      </c>
      <c r="BY25" s="66"/>
      <c r="BZ25" s="69"/>
      <c r="CA25" s="70"/>
      <c r="CB25" s="76">
        <f t="shared" si="16"/>
        <v>0</v>
      </c>
      <c r="CC25" s="66"/>
      <c r="CD25" s="69"/>
      <c r="CE25" s="70"/>
      <c r="CF25" s="76">
        <f t="shared" si="17"/>
        <v>0</v>
      </c>
      <c r="CG25" s="66"/>
      <c r="CH25" s="69"/>
      <c r="CI25" s="70"/>
      <c r="CJ25" s="76">
        <f t="shared" si="18"/>
        <v>0</v>
      </c>
      <c r="CK25" s="66"/>
      <c r="CL25" s="69"/>
      <c r="CM25" s="70"/>
      <c r="CN25" s="76">
        <f t="shared" si="19"/>
        <v>0</v>
      </c>
      <c r="CO25" s="66"/>
      <c r="CP25" s="69"/>
      <c r="CQ25" s="70"/>
      <c r="CR25" s="76">
        <f t="shared" si="20"/>
        <v>0</v>
      </c>
      <c r="CS25" s="66"/>
      <c r="CT25" s="69"/>
      <c r="CU25" s="70"/>
      <c r="CV25" s="76">
        <f t="shared" si="21"/>
        <v>0</v>
      </c>
      <c r="CW25" s="66"/>
      <c r="CX25" s="69"/>
      <c r="CY25" s="70"/>
      <c r="CZ25" s="76">
        <f t="shared" si="22"/>
        <v>0</v>
      </c>
      <c r="DA25" s="66"/>
      <c r="DB25" s="69"/>
      <c r="DC25" s="70"/>
      <c r="DD25" s="76">
        <f t="shared" si="23"/>
        <v>0</v>
      </c>
      <c r="DE25" s="66"/>
      <c r="DF25" s="69"/>
      <c r="DG25" s="70"/>
      <c r="DH25" s="76">
        <f t="shared" si="24"/>
        <v>0</v>
      </c>
      <c r="DI25" s="66"/>
      <c r="DJ25" s="69"/>
      <c r="DK25" s="70"/>
      <c r="DL25" s="76">
        <f t="shared" si="25"/>
        <v>0</v>
      </c>
      <c r="DM25" s="66"/>
      <c r="DN25" s="69"/>
      <c r="DO25" s="70"/>
      <c r="DP25" s="76">
        <f t="shared" si="26"/>
        <v>0</v>
      </c>
      <c r="DQ25" s="66"/>
      <c r="DR25" s="69"/>
      <c r="DS25" s="70"/>
      <c r="DT25" s="76">
        <f t="shared" si="27"/>
        <v>0</v>
      </c>
      <c r="DU25" s="66"/>
      <c r="DV25" s="69"/>
      <c r="DW25" s="70"/>
      <c r="DX25" s="76">
        <f t="shared" si="28"/>
        <v>0</v>
      </c>
      <c r="DY25" s="66"/>
      <c r="DZ25" s="69"/>
      <c r="EA25" s="70"/>
      <c r="EB25" s="76">
        <f t="shared" si="29"/>
        <v>0</v>
      </c>
      <c r="EC25" s="66"/>
      <c r="ED25" s="69"/>
      <c r="EE25" s="70"/>
      <c r="EF25" s="76">
        <f t="shared" si="30"/>
        <v>0</v>
      </c>
      <c r="EG25" s="66"/>
      <c r="EH25" s="69"/>
      <c r="EI25" s="70"/>
      <c r="EJ25" s="76">
        <f t="shared" si="31"/>
        <v>0</v>
      </c>
      <c r="EK25" s="66"/>
      <c r="EL25" s="69"/>
      <c r="EM25" s="70"/>
      <c r="EN25" s="76">
        <f t="shared" si="32"/>
        <v>0</v>
      </c>
      <c r="EO25" s="66"/>
      <c r="EP25" s="69"/>
      <c r="EQ25" s="70"/>
      <c r="ER25" s="76">
        <f t="shared" si="33"/>
        <v>0</v>
      </c>
      <c r="ES25" s="66"/>
      <c r="ET25" s="69"/>
      <c r="EU25" s="70"/>
      <c r="EV25" s="76">
        <f t="shared" si="34"/>
        <v>0</v>
      </c>
      <c r="EW25" s="66"/>
      <c r="EX25" s="69"/>
      <c r="EY25" s="70"/>
      <c r="EZ25" s="76">
        <f t="shared" si="35"/>
        <v>0</v>
      </c>
      <c r="FA25" s="66"/>
      <c r="FB25" s="69"/>
      <c r="FC25" s="70"/>
      <c r="FD25" s="76">
        <f t="shared" si="36"/>
        <v>0</v>
      </c>
      <c r="FE25" s="66"/>
      <c r="FF25" s="69"/>
      <c r="FG25" s="70"/>
      <c r="FH25" s="76">
        <f t="shared" si="37"/>
        <v>0</v>
      </c>
      <c r="FI25" s="66"/>
      <c r="FJ25" s="69"/>
      <c r="FK25" s="70"/>
      <c r="FL25" s="76">
        <f t="shared" si="38"/>
        <v>0</v>
      </c>
      <c r="FM25" s="66"/>
      <c r="FN25" s="69"/>
      <c r="FO25" s="70"/>
      <c r="FP25" s="76">
        <f t="shared" si="39"/>
        <v>0</v>
      </c>
      <c r="FQ25" s="66"/>
      <c r="FR25" s="69"/>
      <c r="FS25" s="70"/>
      <c r="FT25" s="76">
        <f t="shared" si="40"/>
        <v>0</v>
      </c>
      <c r="FU25" s="66"/>
      <c r="FV25" s="69"/>
      <c r="FW25" s="70"/>
      <c r="FX25" s="76">
        <f t="shared" si="41"/>
        <v>0</v>
      </c>
      <c r="FY25" s="66"/>
      <c r="FZ25" s="69"/>
      <c r="GA25" s="70"/>
      <c r="GB25" s="76">
        <f t="shared" si="42"/>
        <v>0</v>
      </c>
      <c r="GC25" s="66"/>
      <c r="GD25" s="69"/>
      <c r="GE25" s="70"/>
      <c r="GF25" s="76">
        <f t="shared" si="43"/>
        <v>0</v>
      </c>
      <c r="GG25" s="66"/>
      <c r="GH25" s="69"/>
      <c r="GI25" s="70"/>
      <c r="GJ25" s="76">
        <f t="shared" si="44"/>
        <v>0</v>
      </c>
      <c r="GK25" s="66"/>
      <c r="GL25" s="69"/>
      <c r="GM25" s="70"/>
      <c r="GN25" s="76">
        <f t="shared" si="45"/>
        <v>0</v>
      </c>
      <c r="GO25" s="66"/>
      <c r="GP25" s="69"/>
      <c r="GQ25" s="70"/>
      <c r="GR25" s="76">
        <f t="shared" si="46"/>
        <v>0</v>
      </c>
      <c r="GS25" s="66"/>
      <c r="GT25" s="69"/>
      <c r="GU25" s="70"/>
      <c r="GV25" s="76">
        <f t="shared" si="47"/>
        <v>0</v>
      </c>
      <c r="GW25" s="66"/>
      <c r="GX25" s="69"/>
      <c r="GY25" s="70"/>
      <c r="GZ25" s="76">
        <f t="shared" si="48"/>
        <v>0</v>
      </c>
      <c r="HA25" s="66"/>
      <c r="HB25" s="69"/>
      <c r="HC25" s="70"/>
      <c r="HD25" s="76">
        <f t="shared" si="49"/>
        <v>0</v>
      </c>
      <c r="HE25" s="66"/>
      <c r="HF25" s="69"/>
      <c r="HG25" s="70"/>
      <c r="HH25" s="76">
        <f t="shared" si="50"/>
        <v>0</v>
      </c>
      <c r="HI25" s="66"/>
      <c r="HJ25" s="69"/>
      <c r="HK25" s="70"/>
      <c r="HL25" s="76">
        <f t="shared" si="51"/>
        <v>0</v>
      </c>
      <c r="HM25" s="66"/>
      <c r="HN25" s="69"/>
      <c r="HO25" s="70"/>
      <c r="HP25" s="76">
        <f t="shared" si="52"/>
        <v>0</v>
      </c>
      <c r="HQ25" s="66"/>
      <c r="HR25" s="69"/>
      <c r="HS25" s="70"/>
      <c r="HT25" s="76">
        <f t="shared" si="53"/>
        <v>0</v>
      </c>
      <c r="HU25" s="66"/>
      <c r="HV25" s="69"/>
      <c r="HW25" s="70"/>
      <c r="HX25" s="76">
        <f t="shared" si="54"/>
        <v>0</v>
      </c>
      <c r="HY25" s="66"/>
      <c r="HZ25" s="69"/>
      <c r="IA25" s="70"/>
      <c r="IB25" s="76">
        <f t="shared" si="55"/>
        <v>0</v>
      </c>
      <c r="IC25" s="66"/>
      <c r="ID25" s="69"/>
      <c r="IE25" s="70"/>
      <c r="IF25" s="76">
        <f t="shared" si="56"/>
        <v>0</v>
      </c>
      <c r="IG25" s="66"/>
      <c r="IH25" s="69"/>
      <c r="II25" s="70"/>
      <c r="IJ25" s="76">
        <f t="shared" si="57"/>
        <v>0</v>
      </c>
      <c r="IK25" s="66"/>
      <c r="IL25" s="69"/>
      <c r="IM25" s="70"/>
      <c r="IN25" s="76">
        <f t="shared" si="58"/>
        <v>0</v>
      </c>
      <c r="IO25" s="66"/>
      <c r="IP25" s="69"/>
      <c r="IQ25" s="70"/>
      <c r="IR25" s="76">
        <f t="shared" si="59"/>
        <v>0</v>
      </c>
      <c r="IS25" s="66"/>
      <c r="IT25" s="69"/>
      <c r="IU25" s="70"/>
      <c r="IV25" s="76">
        <f t="shared" si="60"/>
        <v>0</v>
      </c>
      <c r="IW25" s="66"/>
      <c r="IX25" s="69"/>
      <c r="IY25" s="70"/>
      <c r="IZ25" s="76">
        <f t="shared" si="61"/>
        <v>0</v>
      </c>
      <c r="JA25" s="66"/>
      <c r="JB25" s="55" t="e">
        <f t="shared" si="62"/>
        <v>#VALUE!</v>
      </c>
      <c r="JC25" s="55" t="e">
        <f t="shared" si="63"/>
        <v>#VALUE!</v>
      </c>
      <c r="JD25" s="55" t="e">
        <f t="shared" si="64"/>
        <v>#VALUE!</v>
      </c>
      <c r="JE25" s="55" t="e">
        <f t="shared" si="67"/>
        <v>#VALUE!</v>
      </c>
      <c r="JF25" s="55"/>
      <c r="JP25" s="55"/>
    </row>
    <row r="26" spans="2:276" ht="30" customHeight="1" x14ac:dyDescent="0.3">
      <c r="B26" s="39">
        <v>17</v>
      </c>
      <c r="C26" s="96" t="e">
        <f>VLOOKUP(#REF!,EMPLEADO!C:Q,15,FALSE)</f>
        <v>#REF!</v>
      </c>
      <c r="D26" s="27" t="s">
        <v>87</v>
      </c>
      <c r="E26" s="59" t="s">
        <v>18</v>
      </c>
      <c r="F26" s="71"/>
      <c r="G26" s="72"/>
      <c r="H26" s="76">
        <f t="shared" si="0"/>
        <v>0</v>
      </c>
      <c r="I26" s="66"/>
      <c r="J26" s="69"/>
      <c r="K26" s="70"/>
      <c r="L26" s="76">
        <f t="shared" si="1"/>
        <v>0</v>
      </c>
      <c r="M26" s="66"/>
      <c r="N26" s="71"/>
      <c r="O26" s="72"/>
      <c r="P26" s="76">
        <f t="shared" si="2"/>
        <v>0</v>
      </c>
      <c r="Q26" s="66"/>
      <c r="R26" s="72"/>
      <c r="S26" s="72"/>
      <c r="T26" s="76">
        <f t="shared" si="65"/>
        <v>0</v>
      </c>
      <c r="U26" s="66"/>
      <c r="V26" s="69"/>
      <c r="W26" s="70"/>
      <c r="X26" s="76">
        <f t="shared" si="3"/>
        <v>0</v>
      </c>
      <c r="Y26" s="66"/>
      <c r="Z26" s="69"/>
      <c r="AA26" s="70"/>
      <c r="AB26" s="76">
        <f t="shared" si="4"/>
        <v>0</v>
      </c>
      <c r="AC26" s="66"/>
      <c r="AD26" s="69"/>
      <c r="AE26" s="70"/>
      <c r="AF26" s="76">
        <f t="shared" si="5"/>
        <v>0</v>
      </c>
      <c r="AG26" s="66"/>
      <c r="AH26" s="72"/>
      <c r="AI26" s="72"/>
      <c r="AJ26" s="94">
        <f t="shared" si="66"/>
        <v>0</v>
      </c>
      <c r="AK26" s="66"/>
      <c r="AL26" s="69"/>
      <c r="AM26" s="70"/>
      <c r="AN26" s="76">
        <f t="shared" si="6"/>
        <v>0</v>
      </c>
      <c r="AO26" s="66"/>
      <c r="AP26" s="69"/>
      <c r="AQ26" s="70"/>
      <c r="AR26" s="76">
        <f t="shared" si="7"/>
        <v>0</v>
      </c>
      <c r="AS26" s="66"/>
      <c r="AT26" s="69"/>
      <c r="AU26" s="70"/>
      <c r="AV26" s="76">
        <f t="shared" si="8"/>
        <v>0</v>
      </c>
      <c r="AW26" s="66"/>
      <c r="AX26" s="69"/>
      <c r="AY26" s="70"/>
      <c r="AZ26" s="76">
        <f t="shared" si="9"/>
        <v>0</v>
      </c>
      <c r="BA26" s="66"/>
      <c r="BB26" s="69"/>
      <c r="BC26" s="70"/>
      <c r="BD26" s="76">
        <f t="shared" si="10"/>
        <v>0</v>
      </c>
      <c r="BE26" s="66"/>
      <c r="BF26" s="69"/>
      <c r="BG26" s="70"/>
      <c r="BH26" s="76">
        <f t="shared" si="11"/>
        <v>0</v>
      </c>
      <c r="BI26" s="66"/>
      <c r="BJ26" s="69"/>
      <c r="BK26" s="70"/>
      <c r="BL26" s="76">
        <f t="shared" si="12"/>
        <v>0</v>
      </c>
      <c r="BM26" s="66"/>
      <c r="BN26" s="69"/>
      <c r="BO26" s="70"/>
      <c r="BP26" s="76">
        <f t="shared" si="13"/>
        <v>0</v>
      </c>
      <c r="BQ26" s="66"/>
      <c r="BR26" s="69"/>
      <c r="BS26" s="70"/>
      <c r="BT26" s="76">
        <f t="shared" si="14"/>
        <v>0</v>
      </c>
      <c r="BU26" s="66"/>
      <c r="BV26" s="69"/>
      <c r="BW26" s="70"/>
      <c r="BX26" s="76">
        <f t="shared" si="15"/>
        <v>0</v>
      </c>
      <c r="BY26" s="66"/>
      <c r="BZ26" s="69"/>
      <c r="CA26" s="70"/>
      <c r="CB26" s="76">
        <f t="shared" si="16"/>
        <v>0</v>
      </c>
      <c r="CC26" s="66"/>
      <c r="CD26" s="69"/>
      <c r="CE26" s="70"/>
      <c r="CF26" s="76">
        <f t="shared" si="17"/>
        <v>0</v>
      </c>
      <c r="CG26" s="66"/>
      <c r="CH26" s="69"/>
      <c r="CI26" s="70"/>
      <c r="CJ26" s="76">
        <f t="shared" si="18"/>
        <v>0</v>
      </c>
      <c r="CK26" s="66"/>
      <c r="CL26" s="69"/>
      <c r="CM26" s="70"/>
      <c r="CN26" s="76">
        <f t="shared" si="19"/>
        <v>0</v>
      </c>
      <c r="CO26" s="66"/>
      <c r="CP26" s="69"/>
      <c r="CQ26" s="70"/>
      <c r="CR26" s="76">
        <f t="shared" si="20"/>
        <v>0</v>
      </c>
      <c r="CS26" s="66"/>
      <c r="CT26" s="69"/>
      <c r="CU26" s="70"/>
      <c r="CV26" s="76">
        <f t="shared" si="21"/>
        <v>0</v>
      </c>
      <c r="CW26" s="66"/>
      <c r="CX26" s="69"/>
      <c r="CY26" s="70"/>
      <c r="CZ26" s="76">
        <f t="shared" si="22"/>
        <v>0</v>
      </c>
      <c r="DA26" s="66"/>
      <c r="DB26" s="69"/>
      <c r="DC26" s="70"/>
      <c r="DD26" s="76">
        <f t="shared" si="23"/>
        <v>0</v>
      </c>
      <c r="DE26" s="66"/>
      <c r="DF26" s="69"/>
      <c r="DG26" s="70"/>
      <c r="DH26" s="76">
        <f t="shared" si="24"/>
        <v>0</v>
      </c>
      <c r="DI26" s="66"/>
      <c r="DJ26" s="69"/>
      <c r="DK26" s="70"/>
      <c r="DL26" s="76">
        <f t="shared" si="25"/>
        <v>0</v>
      </c>
      <c r="DM26" s="66"/>
      <c r="DN26" s="69"/>
      <c r="DO26" s="70"/>
      <c r="DP26" s="76">
        <f t="shared" si="26"/>
        <v>0</v>
      </c>
      <c r="DQ26" s="66"/>
      <c r="DR26" s="69"/>
      <c r="DS26" s="70"/>
      <c r="DT26" s="76">
        <f t="shared" si="27"/>
        <v>0</v>
      </c>
      <c r="DU26" s="66"/>
      <c r="DV26" s="69"/>
      <c r="DW26" s="70"/>
      <c r="DX26" s="76">
        <f t="shared" si="28"/>
        <v>0</v>
      </c>
      <c r="DY26" s="66"/>
      <c r="DZ26" s="69"/>
      <c r="EA26" s="70"/>
      <c r="EB26" s="76">
        <f t="shared" si="29"/>
        <v>0</v>
      </c>
      <c r="EC26" s="66"/>
      <c r="ED26" s="69"/>
      <c r="EE26" s="70"/>
      <c r="EF26" s="76">
        <f t="shared" si="30"/>
        <v>0</v>
      </c>
      <c r="EG26" s="66"/>
      <c r="EH26" s="69"/>
      <c r="EI26" s="70"/>
      <c r="EJ26" s="76">
        <f t="shared" si="31"/>
        <v>0</v>
      </c>
      <c r="EK26" s="66"/>
      <c r="EL26" s="69"/>
      <c r="EM26" s="70"/>
      <c r="EN26" s="76">
        <f t="shared" si="32"/>
        <v>0</v>
      </c>
      <c r="EO26" s="66"/>
      <c r="EP26" s="69"/>
      <c r="EQ26" s="70"/>
      <c r="ER26" s="76">
        <f t="shared" si="33"/>
        <v>0</v>
      </c>
      <c r="ES26" s="66"/>
      <c r="ET26" s="69"/>
      <c r="EU26" s="70"/>
      <c r="EV26" s="76">
        <f t="shared" si="34"/>
        <v>0</v>
      </c>
      <c r="EW26" s="66"/>
      <c r="EX26" s="69"/>
      <c r="EY26" s="70"/>
      <c r="EZ26" s="76">
        <f t="shared" si="35"/>
        <v>0</v>
      </c>
      <c r="FA26" s="66"/>
      <c r="FB26" s="69"/>
      <c r="FC26" s="70"/>
      <c r="FD26" s="76">
        <f t="shared" si="36"/>
        <v>0</v>
      </c>
      <c r="FE26" s="66"/>
      <c r="FF26" s="69"/>
      <c r="FG26" s="70"/>
      <c r="FH26" s="76">
        <f t="shared" si="37"/>
        <v>0</v>
      </c>
      <c r="FI26" s="66"/>
      <c r="FJ26" s="69"/>
      <c r="FK26" s="70"/>
      <c r="FL26" s="76">
        <f t="shared" si="38"/>
        <v>0</v>
      </c>
      <c r="FM26" s="66"/>
      <c r="FN26" s="69"/>
      <c r="FO26" s="70"/>
      <c r="FP26" s="76">
        <f t="shared" si="39"/>
        <v>0</v>
      </c>
      <c r="FQ26" s="66"/>
      <c r="FR26" s="69"/>
      <c r="FS26" s="70"/>
      <c r="FT26" s="76">
        <f t="shared" si="40"/>
        <v>0</v>
      </c>
      <c r="FU26" s="66"/>
      <c r="FV26" s="69"/>
      <c r="FW26" s="70"/>
      <c r="FX26" s="76">
        <f t="shared" si="41"/>
        <v>0</v>
      </c>
      <c r="FY26" s="66"/>
      <c r="FZ26" s="69"/>
      <c r="GA26" s="70"/>
      <c r="GB26" s="76">
        <f t="shared" si="42"/>
        <v>0</v>
      </c>
      <c r="GC26" s="66"/>
      <c r="GD26" s="69"/>
      <c r="GE26" s="70"/>
      <c r="GF26" s="76">
        <f t="shared" si="43"/>
        <v>0</v>
      </c>
      <c r="GG26" s="66"/>
      <c r="GH26" s="69"/>
      <c r="GI26" s="70"/>
      <c r="GJ26" s="76">
        <f t="shared" si="44"/>
        <v>0</v>
      </c>
      <c r="GK26" s="66"/>
      <c r="GL26" s="69"/>
      <c r="GM26" s="70"/>
      <c r="GN26" s="76">
        <f t="shared" si="45"/>
        <v>0</v>
      </c>
      <c r="GO26" s="66"/>
      <c r="GP26" s="69"/>
      <c r="GQ26" s="70"/>
      <c r="GR26" s="76">
        <f t="shared" si="46"/>
        <v>0</v>
      </c>
      <c r="GS26" s="66"/>
      <c r="GT26" s="69"/>
      <c r="GU26" s="70"/>
      <c r="GV26" s="76">
        <f t="shared" si="47"/>
        <v>0</v>
      </c>
      <c r="GW26" s="66"/>
      <c r="GX26" s="69"/>
      <c r="GY26" s="70"/>
      <c r="GZ26" s="76">
        <f t="shared" si="48"/>
        <v>0</v>
      </c>
      <c r="HA26" s="66"/>
      <c r="HB26" s="69"/>
      <c r="HC26" s="70"/>
      <c r="HD26" s="76">
        <f t="shared" si="49"/>
        <v>0</v>
      </c>
      <c r="HE26" s="66"/>
      <c r="HF26" s="69"/>
      <c r="HG26" s="70"/>
      <c r="HH26" s="76">
        <f t="shared" si="50"/>
        <v>0</v>
      </c>
      <c r="HI26" s="66"/>
      <c r="HJ26" s="69"/>
      <c r="HK26" s="70"/>
      <c r="HL26" s="76">
        <f t="shared" si="51"/>
        <v>0</v>
      </c>
      <c r="HM26" s="66"/>
      <c r="HN26" s="69"/>
      <c r="HO26" s="70"/>
      <c r="HP26" s="76">
        <f t="shared" si="52"/>
        <v>0</v>
      </c>
      <c r="HQ26" s="66"/>
      <c r="HR26" s="69"/>
      <c r="HS26" s="70"/>
      <c r="HT26" s="76">
        <f t="shared" si="53"/>
        <v>0</v>
      </c>
      <c r="HU26" s="66"/>
      <c r="HV26" s="69"/>
      <c r="HW26" s="70"/>
      <c r="HX26" s="76">
        <f t="shared" si="54"/>
        <v>0</v>
      </c>
      <c r="HY26" s="66"/>
      <c r="HZ26" s="69"/>
      <c r="IA26" s="70"/>
      <c r="IB26" s="76">
        <f t="shared" si="55"/>
        <v>0</v>
      </c>
      <c r="IC26" s="66"/>
      <c r="ID26" s="69"/>
      <c r="IE26" s="70"/>
      <c r="IF26" s="76">
        <f t="shared" si="56"/>
        <v>0</v>
      </c>
      <c r="IG26" s="66"/>
      <c r="IH26" s="69"/>
      <c r="II26" s="70"/>
      <c r="IJ26" s="76">
        <f t="shared" si="57"/>
        <v>0</v>
      </c>
      <c r="IK26" s="66"/>
      <c r="IL26" s="69"/>
      <c r="IM26" s="70"/>
      <c r="IN26" s="76">
        <f t="shared" si="58"/>
        <v>0</v>
      </c>
      <c r="IO26" s="66"/>
      <c r="IP26" s="69"/>
      <c r="IQ26" s="70"/>
      <c r="IR26" s="76">
        <f t="shared" si="59"/>
        <v>0</v>
      </c>
      <c r="IS26" s="66"/>
      <c r="IT26" s="69"/>
      <c r="IU26" s="70"/>
      <c r="IV26" s="76">
        <f t="shared" si="60"/>
        <v>0</v>
      </c>
      <c r="IW26" s="66"/>
      <c r="IX26" s="69"/>
      <c r="IY26" s="70"/>
      <c r="IZ26" s="76">
        <f t="shared" si="61"/>
        <v>0</v>
      </c>
      <c r="JA26" s="66"/>
      <c r="JB26" s="55" t="e">
        <f t="shared" si="62"/>
        <v>#VALUE!</v>
      </c>
      <c r="JC26" s="55" t="e">
        <f t="shared" si="63"/>
        <v>#VALUE!</v>
      </c>
      <c r="JD26" s="55" t="e">
        <f t="shared" si="64"/>
        <v>#VALUE!</v>
      </c>
      <c r="JE26" s="55" t="e">
        <f t="shared" si="67"/>
        <v>#VALUE!</v>
      </c>
      <c r="JF26" s="55"/>
      <c r="JP26" s="55"/>
    </row>
    <row r="27" spans="2:276" ht="30" customHeight="1" x14ac:dyDescent="0.3">
      <c r="B27" s="39">
        <v>18</v>
      </c>
      <c r="C27" s="96" t="e">
        <f>VLOOKUP(#REF!,EMPLEADO!C:Q,15,FALSE)</f>
        <v>#REF!</v>
      </c>
      <c r="D27" s="27" t="s">
        <v>90</v>
      </c>
      <c r="E27" s="59" t="s">
        <v>18</v>
      </c>
      <c r="F27" s="71"/>
      <c r="G27" s="72"/>
      <c r="H27" s="76">
        <f t="shared" si="0"/>
        <v>0</v>
      </c>
      <c r="I27" s="66"/>
      <c r="J27" s="69"/>
      <c r="K27" s="70"/>
      <c r="L27" s="76">
        <f t="shared" si="1"/>
        <v>0</v>
      </c>
      <c r="M27" s="66"/>
      <c r="N27" s="71"/>
      <c r="O27" s="72"/>
      <c r="P27" s="76">
        <f t="shared" si="2"/>
        <v>0</v>
      </c>
      <c r="Q27" s="66"/>
      <c r="R27" s="72"/>
      <c r="S27" s="72"/>
      <c r="T27" s="76">
        <f t="shared" si="65"/>
        <v>0</v>
      </c>
      <c r="U27" s="66"/>
      <c r="V27" s="69"/>
      <c r="W27" s="70"/>
      <c r="X27" s="76">
        <f t="shared" si="3"/>
        <v>0</v>
      </c>
      <c r="Y27" s="66"/>
      <c r="Z27" s="69"/>
      <c r="AA27" s="70"/>
      <c r="AB27" s="76">
        <f t="shared" si="4"/>
        <v>0</v>
      </c>
      <c r="AC27" s="66"/>
      <c r="AD27" s="69"/>
      <c r="AE27" s="70"/>
      <c r="AF27" s="76">
        <f t="shared" si="5"/>
        <v>0</v>
      </c>
      <c r="AG27" s="66"/>
      <c r="AH27" s="72"/>
      <c r="AI27" s="72"/>
      <c r="AJ27" s="94">
        <f t="shared" si="66"/>
        <v>0</v>
      </c>
      <c r="AK27" s="66"/>
      <c r="AL27" s="69"/>
      <c r="AM27" s="70"/>
      <c r="AN27" s="76">
        <f t="shared" si="6"/>
        <v>0</v>
      </c>
      <c r="AO27" s="66"/>
      <c r="AP27" s="69"/>
      <c r="AQ27" s="70"/>
      <c r="AR27" s="76">
        <f t="shared" si="7"/>
        <v>0</v>
      </c>
      <c r="AS27" s="66"/>
      <c r="AT27" s="69"/>
      <c r="AU27" s="70"/>
      <c r="AV27" s="76">
        <f t="shared" si="8"/>
        <v>0</v>
      </c>
      <c r="AW27" s="66"/>
      <c r="AX27" s="69"/>
      <c r="AY27" s="70"/>
      <c r="AZ27" s="76">
        <f t="shared" si="9"/>
        <v>0</v>
      </c>
      <c r="BA27" s="66"/>
      <c r="BB27" s="69"/>
      <c r="BC27" s="70"/>
      <c r="BD27" s="76">
        <f t="shared" si="10"/>
        <v>0</v>
      </c>
      <c r="BE27" s="66"/>
      <c r="BF27" s="69"/>
      <c r="BG27" s="70"/>
      <c r="BH27" s="76">
        <f t="shared" si="11"/>
        <v>0</v>
      </c>
      <c r="BI27" s="66"/>
      <c r="BJ27" s="69"/>
      <c r="BK27" s="70"/>
      <c r="BL27" s="76">
        <f t="shared" si="12"/>
        <v>0</v>
      </c>
      <c r="BM27" s="66"/>
      <c r="BN27" s="69"/>
      <c r="BO27" s="70"/>
      <c r="BP27" s="76">
        <f t="shared" si="13"/>
        <v>0</v>
      </c>
      <c r="BQ27" s="66"/>
      <c r="BR27" s="69"/>
      <c r="BS27" s="70"/>
      <c r="BT27" s="76">
        <f t="shared" si="14"/>
        <v>0</v>
      </c>
      <c r="BU27" s="66"/>
      <c r="BV27" s="69"/>
      <c r="BW27" s="70"/>
      <c r="BX27" s="76">
        <f t="shared" si="15"/>
        <v>0</v>
      </c>
      <c r="BY27" s="66"/>
      <c r="BZ27" s="69"/>
      <c r="CA27" s="70"/>
      <c r="CB27" s="76">
        <f t="shared" si="16"/>
        <v>0</v>
      </c>
      <c r="CC27" s="66"/>
      <c r="CD27" s="69"/>
      <c r="CE27" s="70"/>
      <c r="CF27" s="76">
        <f t="shared" si="17"/>
        <v>0</v>
      </c>
      <c r="CG27" s="66"/>
      <c r="CH27" s="69"/>
      <c r="CI27" s="70"/>
      <c r="CJ27" s="76">
        <f t="shared" si="18"/>
        <v>0</v>
      </c>
      <c r="CK27" s="66"/>
      <c r="CL27" s="69"/>
      <c r="CM27" s="70"/>
      <c r="CN27" s="76">
        <f t="shared" si="19"/>
        <v>0</v>
      </c>
      <c r="CO27" s="66"/>
      <c r="CP27" s="69"/>
      <c r="CQ27" s="70"/>
      <c r="CR27" s="76">
        <f t="shared" si="20"/>
        <v>0</v>
      </c>
      <c r="CS27" s="66"/>
      <c r="CT27" s="69"/>
      <c r="CU27" s="70"/>
      <c r="CV27" s="76">
        <f t="shared" si="21"/>
        <v>0</v>
      </c>
      <c r="CW27" s="66"/>
      <c r="CX27" s="69"/>
      <c r="CY27" s="70"/>
      <c r="CZ27" s="76">
        <f t="shared" si="22"/>
        <v>0</v>
      </c>
      <c r="DA27" s="66"/>
      <c r="DB27" s="69"/>
      <c r="DC27" s="70"/>
      <c r="DD27" s="76">
        <f t="shared" si="23"/>
        <v>0</v>
      </c>
      <c r="DE27" s="66"/>
      <c r="DF27" s="69"/>
      <c r="DG27" s="70"/>
      <c r="DH27" s="76">
        <f t="shared" si="24"/>
        <v>0</v>
      </c>
      <c r="DI27" s="66"/>
      <c r="DJ27" s="69"/>
      <c r="DK27" s="70"/>
      <c r="DL27" s="76">
        <f t="shared" si="25"/>
        <v>0</v>
      </c>
      <c r="DM27" s="66"/>
      <c r="DN27" s="69"/>
      <c r="DO27" s="70"/>
      <c r="DP27" s="76">
        <f t="shared" si="26"/>
        <v>0</v>
      </c>
      <c r="DQ27" s="66"/>
      <c r="DR27" s="69"/>
      <c r="DS27" s="70"/>
      <c r="DT27" s="76">
        <f t="shared" si="27"/>
        <v>0</v>
      </c>
      <c r="DU27" s="66"/>
      <c r="DV27" s="69"/>
      <c r="DW27" s="70"/>
      <c r="DX27" s="76">
        <f t="shared" si="28"/>
        <v>0</v>
      </c>
      <c r="DY27" s="66"/>
      <c r="DZ27" s="69"/>
      <c r="EA27" s="70"/>
      <c r="EB27" s="76">
        <f t="shared" si="29"/>
        <v>0</v>
      </c>
      <c r="EC27" s="66"/>
      <c r="ED27" s="69"/>
      <c r="EE27" s="70"/>
      <c r="EF27" s="76">
        <f t="shared" si="30"/>
        <v>0</v>
      </c>
      <c r="EG27" s="66"/>
      <c r="EH27" s="69"/>
      <c r="EI27" s="70"/>
      <c r="EJ27" s="76">
        <f t="shared" si="31"/>
        <v>0</v>
      </c>
      <c r="EK27" s="66"/>
      <c r="EL27" s="69"/>
      <c r="EM27" s="70"/>
      <c r="EN27" s="76">
        <f t="shared" si="32"/>
        <v>0</v>
      </c>
      <c r="EO27" s="66"/>
      <c r="EP27" s="69"/>
      <c r="EQ27" s="70"/>
      <c r="ER27" s="76">
        <f t="shared" si="33"/>
        <v>0</v>
      </c>
      <c r="ES27" s="66"/>
      <c r="ET27" s="69"/>
      <c r="EU27" s="70"/>
      <c r="EV27" s="76">
        <f t="shared" si="34"/>
        <v>0</v>
      </c>
      <c r="EW27" s="66"/>
      <c r="EX27" s="69"/>
      <c r="EY27" s="70"/>
      <c r="EZ27" s="76">
        <f t="shared" si="35"/>
        <v>0</v>
      </c>
      <c r="FA27" s="66"/>
      <c r="FB27" s="69"/>
      <c r="FC27" s="70"/>
      <c r="FD27" s="76">
        <f t="shared" si="36"/>
        <v>0</v>
      </c>
      <c r="FE27" s="66"/>
      <c r="FF27" s="69"/>
      <c r="FG27" s="70"/>
      <c r="FH27" s="76">
        <f t="shared" si="37"/>
        <v>0</v>
      </c>
      <c r="FI27" s="66"/>
      <c r="FJ27" s="69"/>
      <c r="FK27" s="70"/>
      <c r="FL27" s="76">
        <f t="shared" si="38"/>
        <v>0</v>
      </c>
      <c r="FM27" s="66"/>
      <c r="FN27" s="69"/>
      <c r="FO27" s="70"/>
      <c r="FP27" s="76">
        <f t="shared" si="39"/>
        <v>0</v>
      </c>
      <c r="FQ27" s="66"/>
      <c r="FR27" s="69"/>
      <c r="FS27" s="70"/>
      <c r="FT27" s="76">
        <f t="shared" si="40"/>
        <v>0</v>
      </c>
      <c r="FU27" s="66"/>
      <c r="FV27" s="69"/>
      <c r="FW27" s="70"/>
      <c r="FX27" s="76">
        <f t="shared" si="41"/>
        <v>0</v>
      </c>
      <c r="FY27" s="66"/>
      <c r="FZ27" s="69"/>
      <c r="GA27" s="70"/>
      <c r="GB27" s="76">
        <f t="shared" si="42"/>
        <v>0</v>
      </c>
      <c r="GC27" s="66"/>
      <c r="GD27" s="69"/>
      <c r="GE27" s="70"/>
      <c r="GF27" s="76">
        <f t="shared" si="43"/>
        <v>0</v>
      </c>
      <c r="GG27" s="66"/>
      <c r="GH27" s="69"/>
      <c r="GI27" s="70"/>
      <c r="GJ27" s="76">
        <f t="shared" si="44"/>
        <v>0</v>
      </c>
      <c r="GK27" s="66"/>
      <c r="GL27" s="69"/>
      <c r="GM27" s="70"/>
      <c r="GN27" s="76">
        <f t="shared" si="45"/>
        <v>0</v>
      </c>
      <c r="GO27" s="66"/>
      <c r="GP27" s="69"/>
      <c r="GQ27" s="70"/>
      <c r="GR27" s="76">
        <f t="shared" si="46"/>
        <v>0</v>
      </c>
      <c r="GS27" s="66"/>
      <c r="GT27" s="69"/>
      <c r="GU27" s="70"/>
      <c r="GV27" s="76">
        <f t="shared" si="47"/>
        <v>0</v>
      </c>
      <c r="GW27" s="66"/>
      <c r="GX27" s="69"/>
      <c r="GY27" s="70"/>
      <c r="GZ27" s="76">
        <f t="shared" si="48"/>
        <v>0</v>
      </c>
      <c r="HA27" s="66"/>
      <c r="HB27" s="69"/>
      <c r="HC27" s="70"/>
      <c r="HD27" s="76">
        <f t="shared" si="49"/>
        <v>0</v>
      </c>
      <c r="HE27" s="66"/>
      <c r="HF27" s="69"/>
      <c r="HG27" s="70"/>
      <c r="HH27" s="76">
        <f t="shared" si="50"/>
        <v>0</v>
      </c>
      <c r="HI27" s="66"/>
      <c r="HJ27" s="69"/>
      <c r="HK27" s="70"/>
      <c r="HL27" s="76">
        <f t="shared" si="51"/>
        <v>0</v>
      </c>
      <c r="HM27" s="66"/>
      <c r="HN27" s="69"/>
      <c r="HO27" s="70"/>
      <c r="HP27" s="76">
        <f t="shared" si="52"/>
        <v>0</v>
      </c>
      <c r="HQ27" s="66"/>
      <c r="HR27" s="69"/>
      <c r="HS27" s="70"/>
      <c r="HT27" s="76">
        <f t="shared" si="53"/>
        <v>0</v>
      </c>
      <c r="HU27" s="66"/>
      <c r="HV27" s="69"/>
      <c r="HW27" s="70"/>
      <c r="HX27" s="76">
        <f t="shared" si="54"/>
        <v>0</v>
      </c>
      <c r="HY27" s="66"/>
      <c r="HZ27" s="69"/>
      <c r="IA27" s="70"/>
      <c r="IB27" s="76">
        <f t="shared" si="55"/>
        <v>0</v>
      </c>
      <c r="IC27" s="66"/>
      <c r="ID27" s="69"/>
      <c r="IE27" s="70"/>
      <c r="IF27" s="76">
        <f t="shared" si="56"/>
        <v>0</v>
      </c>
      <c r="IG27" s="66"/>
      <c r="IH27" s="69"/>
      <c r="II27" s="70"/>
      <c r="IJ27" s="76">
        <f t="shared" si="57"/>
        <v>0</v>
      </c>
      <c r="IK27" s="66"/>
      <c r="IL27" s="69"/>
      <c r="IM27" s="70"/>
      <c r="IN27" s="76">
        <f t="shared" si="58"/>
        <v>0</v>
      </c>
      <c r="IO27" s="66"/>
      <c r="IP27" s="69"/>
      <c r="IQ27" s="70"/>
      <c r="IR27" s="76">
        <f t="shared" si="59"/>
        <v>0</v>
      </c>
      <c r="IS27" s="66"/>
      <c r="IT27" s="69"/>
      <c r="IU27" s="70"/>
      <c r="IV27" s="76">
        <f t="shared" si="60"/>
        <v>0</v>
      </c>
      <c r="IW27" s="66"/>
      <c r="IX27" s="69"/>
      <c r="IY27" s="70"/>
      <c r="IZ27" s="76">
        <f t="shared" si="61"/>
        <v>0</v>
      </c>
      <c r="JA27" s="66"/>
      <c r="JB27" s="55" t="e">
        <f t="shared" si="62"/>
        <v>#VALUE!</v>
      </c>
      <c r="JC27" s="55" t="e">
        <f t="shared" si="63"/>
        <v>#VALUE!</v>
      </c>
      <c r="JD27" s="55" t="e">
        <f t="shared" si="64"/>
        <v>#VALUE!</v>
      </c>
      <c r="JE27" s="55" t="e">
        <f t="shared" si="67"/>
        <v>#VALUE!</v>
      </c>
      <c r="JF27" s="55"/>
      <c r="JP27" s="55"/>
    </row>
    <row r="28" spans="2:276" ht="30" customHeight="1" x14ac:dyDescent="0.3">
      <c r="B28" s="39">
        <v>19</v>
      </c>
      <c r="C28" s="96" t="e">
        <f>VLOOKUP(#REF!,EMPLEADO!C:Q,15,FALSE)</f>
        <v>#REF!</v>
      </c>
      <c r="D28" s="27" t="s">
        <v>92</v>
      </c>
      <c r="E28" s="59" t="s">
        <v>18</v>
      </c>
      <c r="F28" s="71"/>
      <c r="G28" s="72"/>
      <c r="H28" s="76">
        <f t="shared" si="0"/>
        <v>0</v>
      </c>
      <c r="I28" s="66"/>
      <c r="J28" s="69"/>
      <c r="K28" s="70"/>
      <c r="L28" s="76">
        <f t="shared" si="1"/>
        <v>0</v>
      </c>
      <c r="M28" s="66"/>
      <c r="N28" s="71"/>
      <c r="O28" s="72"/>
      <c r="P28" s="76">
        <f t="shared" si="2"/>
        <v>0</v>
      </c>
      <c r="Q28" s="66"/>
      <c r="R28" s="72"/>
      <c r="S28" s="72"/>
      <c r="T28" s="76">
        <f t="shared" si="65"/>
        <v>0</v>
      </c>
      <c r="U28" s="66"/>
      <c r="V28" s="69"/>
      <c r="W28" s="70"/>
      <c r="X28" s="76">
        <f t="shared" si="3"/>
        <v>0</v>
      </c>
      <c r="Y28" s="66"/>
      <c r="Z28" s="69"/>
      <c r="AA28" s="70"/>
      <c r="AB28" s="76">
        <f t="shared" si="4"/>
        <v>0</v>
      </c>
      <c r="AC28" s="66"/>
      <c r="AD28" s="69"/>
      <c r="AE28" s="70"/>
      <c r="AF28" s="76">
        <f t="shared" si="5"/>
        <v>0</v>
      </c>
      <c r="AG28" s="66"/>
      <c r="AH28" s="72"/>
      <c r="AI28" s="72"/>
      <c r="AJ28" s="94">
        <f t="shared" si="66"/>
        <v>0</v>
      </c>
      <c r="AK28" s="66"/>
      <c r="AL28" s="69"/>
      <c r="AM28" s="70"/>
      <c r="AN28" s="76">
        <f t="shared" si="6"/>
        <v>0</v>
      </c>
      <c r="AO28" s="66"/>
      <c r="AP28" s="69"/>
      <c r="AQ28" s="70"/>
      <c r="AR28" s="76">
        <f t="shared" si="7"/>
        <v>0</v>
      </c>
      <c r="AS28" s="66"/>
      <c r="AT28" s="69"/>
      <c r="AU28" s="70"/>
      <c r="AV28" s="76">
        <f t="shared" si="8"/>
        <v>0</v>
      </c>
      <c r="AW28" s="66"/>
      <c r="AX28" s="69"/>
      <c r="AY28" s="70"/>
      <c r="AZ28" s="76">
        <f t="shared" si="9"/>
        <v>0</v>
      </c>
      <c r="BA28" s="66"/>
      <c r="BB28" s="69"/>
      <c r="BC28" s="70"/>
      <c r="BD28" s="76">
        <f t="shared" si="10"/>
        <v>0</v>
      </c>
      <c r="BE28" s="66"/>
      <c r="BF28" s="69"/>
      <c r="BG28" s="70"/>
      <c r="BH28" s="76">
        <f t="shared" si="11"/>
        <v>0</v>
      </c>
      <c r="BI28" s="66"/>
      <c r="BJ28" s="69"/>
      <c r="BK28" s="70"/>
      <c r="BL28" s="76">
        <f t="shared" si="12"/>
        <v>0</v>
      </c>
      <c r="BM28" s="66"/>
      <c r="BN28" s="69"/>
      <c r="BO28" s="70"/>
      <c r="BP28" s="76">
        <f t="shared" si="13"/>
        <v>0</v>
      </c>
      <c r="BQ28" s="66"/>
      <c r="BR28" s="69"/>
      <c r="BS28" s="70"/>
      <c r="BT28" s="76">
        <f t="shared" si="14"/>
        <v>0</v>
      </c>
      <c r="BU28" s="66"/>
      <c r="BV28" s="69"/>
      <c r="BW28" s="70"/>
      <c r="BX28" s="76">
        <f t="shared" si="15"/>
        <v>0</v>
      </c>
      <c r="BY28" s="66"/>
      <c r="BZ28" s="69"/>
      <c r="CA28" s="70"/>
      <c r="CB28" s="76">
        <f t="shared" si="16"/>
        <v>0</v>
      </c>
      <c r="CC28" s="66"/>
      <c r="CD28" s="69"/>
      <c r="CE28" s="70"/>
      <c r="CF28" s="76">
        <f t="shared" si="17"/>
        <v>0</v>
      </c>
      <c r="CG28" s="66"/>
      <c r="CH28" s="69"/>
      <c r="CI28" s="70"/>
      <c r="CJ28" s="76">
        <f t="shared" si="18"/>
        <v>0</v>
      </c>
      <c r="CK28" s="66"/>
      <c r="CL28" s="69"/>
      <c r="CM28" s="70"/>
      <c r="CN28" s="76">
        <f t="shared" si="19"/>
        <v>0</v>
      </c>
      <c r="CO28" s="66"/>
      <c r="CP28" s="69"/>
      <c r="CQ28" s="70"/>
      <c r="CR28" s="76">
        <f t="shared" si="20"/>
        <v>0</v>
      </c>
      <c r="CS28" s="66"/>
      <c r="CT28" s="69"/>
      <c r="CU28" s="70"/>
      <c r="CV28" s="76">
        <f t="shared" si="21"/>
        <v>0</v>
      </c>
      <c r="CW28" s="66"/>
      <c r="CX28" s="69"/>
      <c r="CY28" s="70"/>
      <c r="CZ28" s="76">
        <f t="shared" si="22"/>
        <v>0</v>
      </c>
      <c r="DA28" s="66"/>
      <c r="DB28" s="69"/>
      <c r="DC28" s="70"/>
      <c r="DD28" s="76">
        <f t="shared" si="23"/>
        <v>0</v>
      </c>
      <c r="DE28" s="66"/>
      <c r="DF28" s="69"/>
      <c r="DG28" s="70"/>
      <c r="DH28" s="76">
        <f t="shared" si="24"/>
        <v>0</v>
      </c>
      <c r="DI28" s="66"/>
      <c r="DJ28" s="69"/>
      <c r="DK28" s="70"/>
      <c r="DL28" s="76">
        <f t="shared" si="25"/>
        <v>0</v>
      </c>
      <c r="DM28" s="66"/>
      <c r="DN28" s="69"/>
      <c r="DO28" s="70"/>
      <c r="DP28" s="76">
        <f t="shared" si="26"/>
        <v>0</v>
      </c>
      <c r="DQ28" s="66"/>
      <c r="DR28" s="69"/>
      <c r="DS28" s="70"/>
      <c r="DT28" s="76">
        <f t="shared" si="27"/>
        <v>0</v>
      </c>
      <c r="DU28" s="66"/>
      <c r="DV28" s="69"/>
      <c r="DW28" s="70"/>
      <c r="DX28" s="76">
        <f t="shared" si="28"/>
        <v>0</v>
      </c>
      <c r="DY28" s="66"/>
      <c r="DZ28" s="69"/>
      <c r="EA28" s="70"/>
      <c r="EB28" s="76">
        <f t="shared" si="29"/>
        <v>0</v>
      </c>
      <c r="EC28" s="66"/>
      <c r="ED28" s="69"/>
      <c r="EE28" s="70"/>
      <c r="EF28" s="76">
        <f t="shared" si="30"/>
        <v>0</v>
      </c>
      <c r="EG28" s="66"/>
      <c r="EH28" s="69"/>
      <c r="EI28" s="70"/>
      <c r="EJ28" s="76">
        <f t="shared" si="31"/>
        <v>0</v>
      </c>
      <c r="EK28" s="66"/>
      <c r="EL28" s="69"/>
      <c r="EM28" s="70"/>
      <c r="EN28" s="76">
        <f t="shared" si="32"/>
        <v>0</v>
      </c>
      <c r="EO28" s="66"/>
      <c r="EP28" s="69"/>
      <c r="EQ28" s="70"/>
      <c r="ER28" s="76">
        <f t="shared" si="33"/>
        <v>0</v>
      </c>
      <c r="ES28" s="66"/>
      <c r="ET28" s="69"/>
      <c r="EU28" s="70"/>
      <c r="EV28" s="76">
        <f t="shared" si="34"/>
        <v>0</v>
      </c>
      <c r="EW28" s="66"/>
      <c r="EX28" s="69"/>
      <c r="EY28" s="70"/>
      <c r="EZ28" s="76">
        <f t="shared" si="35"/>
        <v>0</v>
      </c>
      <c r="FA28" s="66"/>
      <c r="FB28" s="69"/>
      <c r="FC28" s="70"/>
      <c r="FD28" s="76">
        <f t="shared" si="36"/>
        <v>0</v>
      </c>
      <c r="FE28" s="66"/>
      <c r="FF28" s="69"/>
      <c r="FG28" s="70"/>
      <c r="FH28" s="76">
        <f t="shared" si="37"/>
        <v>0</v>
      </c>
      <c r="FI28" s="66"/>
      <c r="FJ28" s="69"/>
      <c r="FK28" s="70"/>
      <c r="FL28" s="76">
        <f t="shared" si="38"/>
        <v>0</v>
      </c>
      <c r="FM28" s="66"/>
      <c r="FN28" s="69"/>
      <c r="FO28" s="70"/>
      <c r="FP28" s="76">
        <f t="shared" si="39"/>
        <v>0</v>
      </c>
      <c r="FQ28" s="66"/>
      <c r="FR28" s="69"/>
      <c r="FS28" s="70"/>
      <c r="FT28" s="76">
        <f t="shared" si="40"/>
        <v>0</v>
      </c>
      <c r="FU28" s="66"/>
      <c r="FV28" s="69"/>
      <c r="FW28" s="70"/>
      <c r="FX28" s="76">
        <f t="shared" si="41"/>
        <v>0</v>
      </c>
      <c r="FY28" s="66"/>
      <c r="FZ28" s="69"/>
      <c r="GA28" s="70"/>
      <c r="GB28" s="76">
        <f t="shared" si="42"/>
        <v>0</v>
      </c>
      <c r="GC28" s="66"/>
      <c r="GD28" s="69"/>
      <c r="GE28" s="70"/>
      <c r="GF28" s="76">
        <f t="shared" si="43"/>
        <v>0</v>
      </c>
      <c r="GG28" s="66"/>
      <c r="GH28" s="69"/>
      <c r="GI28" s="70"/>
      <c r="GJ28" s="76">
        <f t="shared" si="44"/>
        <v>0</v>
      </c>
      <c r="GK28" s="66"/>
      <c r="GL28" s="69"/>
      <c r="GM28" s="70"/>
      <c r="GN28" s="76">
        <f t="shared" si="45"/>
        <v>0</v>
      </c>
      <c r="GO28" s="66"/>
      <c r="GP28" s="69"/>
      <c r="GQ28" s="70"/>
      <c r="GR28" s="76">
        <f t="shared" si="46"/>
        <v>0</v>
      </c>
      <c r="GS28" s="66"/>
      <c r="GT28" s="69"/>
      <c r="GU28" s="70"/>
      <c r="GV28" s="76">
        <f t="shared" si="47"/>
        <v>0</v>
      </c>
      <c r="GW28" s="66"/>
      <c r="GX28" s="69"/>
      <c r="GY28" s="70"/>
      <c r="GZ28" s="76">
        <f t="shared" si="48"/>
        <v>0</v>
      </c>
      <c r="HA28" s="66"/>
      <c r="HB28" s="69"/>
      <c r="HC28" s="70"/>
      <c r="HD28" s="76">
        <f t="shared" si="49"/>
        <v>0</v>
      </c>
      <c r="HE28" s="66"/>
      <c r="HF28" s="69"/>
      <c r="HG28" s="70"/>
      <c r="HH28" s="76">
        <f t="shared" si="50"/>
        <v>0</v>
      </c>
      <c r="HI28" s="66"/>
      <c r="HJ28" s="69"/>
      <c r="HK28" s="70"/>
      <c r="HL28" s="76">
        <f t="shared" si="51"/>
        <v>0</v>
      </c>
      <c r="HM28" s="66"/>
      <c r="HN28" s="69"/>
      <c r="HO28" s="70"/>
      <c r="HP28" s="76">
        <f t="shared" si="52"/>
        <v>0</v>
      </c>
      <c r="HQ28" s="66"/>
      <c r="HR28" s="69"/>
      <c r="HS28" s="70"/>
      <c r="HT28" s="76">
        <f t="shared" si="53"/>
        <v>0</v>
      </c>
      <c r="HU28" s="66"/>
      <c r="HV28" s="69"/>
      <c r="HW28" s="70"/>
      <c r="HX28" s="76">
        <f t="shared" si="54"/>
        <v>0</v>
      </c>
      <c r="HY28" s="66"/>
      <c r="HZ28" s="69"/>
      <c r="IA28" s="70"/>
      <c r="IB28" s="76">
        <f t="shared" si="55"/>
        <v>0</v>
      </c>
      <c r="IC28" s="66"/>
      <c r="ID28" s="69"/>
      <c r="IE28" s="70"/>
      <c r="IF28" s="76">
        <f t="shared" si="56"/>
        <v>0</v>
      </c>
      <c r="IG28" s="66"/>
      <c r="IH28" s="69"/>
      <c r="II28" s="70"/>
      <c r="IJ28" s="76">
        <f t="shared" si="57"/>
        <v>0</v>
      </c>
      <c r="IK28" s="66"/>
      <c r="IL28" s="69"/>
      <c r="IM28" s="70"/>
      <c r="IN28" s="76">
        <f t="shared" si="58"/>
        <v>0</v>
      </c>
      <c r="IO28" s="66"/>
      <c r="IP28" s="69"/>
      <c r="IQ28" s="70"/>
      <c r="IR28" s="76">
        <f t="shared" si="59"/>
        <v>0</v>
      </c>
      <c r="IS28" s="66"/>
      <c r="IT28" s="69"/>
      <c r="IU28" s="70"/>
      <c r="IV28" s="76">
        <f t="shared" si="60"/>
        <v>0</v>
      </c>
      <c r="IW28" s="66"/>
      <c r="IX28" s="69"/>
      <c r="IY28" s="70"/>
      <c r="IZ28" s="76">
        <f t="shared" si="61"/>
        <v>0</v>
      </c>
      <c r="JA28" s="66"/>
      <c r="JB28" s="55" t="e">
        <f t="shared" si="62"/>
        <v>#VALUE!</v>
      </c>
      <c r="JC28" s="55" t="e">
        <f t="shared" si="63"/>
        <v>#VALUE!</v>
      </c>
      <c r="JD28" s="55" t="e">
        <f t="shared" si="64"/>
        <v>#VALUE!</v>
      </c>
      <c r="JE28" s="55" t="e">
        <f t="shared" si="67"/>
        <v>#VALUE!</v>
      </c>
      <c r="JF28" s="55"/>
      <c r="JP28" s="55"/>
    </row>
    <row r="29" spans="2:276" ht="30" customHeight="1" x14ac:dyDescent="0.3">
      <c r="B29" s="39">
        <v>20</v>
      </c>
      <c r="C29" s="96" t="e">
        <f>VLOOKUP(#REF!,EMPLEADO!C:Q,15,FALSE)</f>
        <v>#REF!</v>
      </c>
      <c r="D29" s="27" t="s">
        <v>93</v>
      </c>
      <c r="E29" s="59" t="s">
        <v>18</v>
      </c>
      <c r="F29" s="69"/>
      <c r="G29" s="70"/>
      <c r="H29" s="76">
        <f t="shared" si="0"/>
        <v>0</v>
      </c>
      <c r="I29" s="66"/>
      <c r="J29" s="69"/>
      <c r="K29" s="70"/>
      <c r="L29" s="76">
        <f t="shared" si="1"/>
        <v>0</v>
      </c>
      <c r="M29" s="66"/>
      <c r="N29" s="71"/>
      <c r="O29" s="72"/>
      <c r="P29" s="76">
        <f t="shared" si="2"/>
        <v>0</v>
      </c>
      <c r="Q29" s="66"/>
      <c r="R29" s="72"/>
      <c r="S29" s="72"/>
      <c r="T29" s="76">
        <f t="shared" si="65"/>
        <v>0</v>
      </c>
      <c r="U29" s="66"/>
      <c r="V29" s="69"/>
      <c r="W29" s="70"/>
      <c r="X29" s="76">
        <f t="shared" si="3"/>
        <v>0</v>
      </c>
      <c r="Y29" s="66"/>
      <c r="Z29" s="69"/>
      <c r="AA29" s="70"/>
      <c r="AB29" s="76">
        <f t="shared" si="4"/>
        <v>0</v>
      </c>
      <c r="AC29" s="66"/>
      <c r="AD29" s="69"/>
      <c r="AE29" s="70"/>
      <c r="AF29" s="76">
        <f t="shared" si="5"/>
        <v>0</v>
      </c>
      <c r="AG29" s="66"/>
      <c r="AH29" s="72"/>
      <c r="AI29" s="72"/>
      <c r="AJ29" s="94">
        <f t="shared" si="66"/>
        <v>0</v>
      </c>
      <c r="AK29" s="66"/>
      <c r="AL29" s="69"/>
      <c r="AM29" s="70"/>
      <c r="AN29" s="76">
        <f t="shared" si="6"/>
        <v>0</v>
      </c>
      <c r="AO29" s="66"/>
      <c r="AP29" s="69"/>
      <c r="AQ29" s="70"/>
      <c r="AR29" s="76">
        <f t="shared" si="7"/>
        <v>0</v>
      </c>
      <c r="AS29" s="66"/>
      <c r="AT29" s="69"/>
      <c r="AU29" s="70"/>
      <c r="AV29" s="76">
        <f t="shared" si="8"/>
        <v>0</v>
      </c>
      <c r="AW29" s="66"/>
      <c r="AX29" s="69"/>
      <c r="AY29" s="70"/>
      <c r="AZ29" s="76">
        <f t="shared" si="9"/>
        <v>0</v>
      </c>
      <c r="BA29" s="66"/>
      <c r="BB29" s="69"/>
      <c r="BC29" s="70"/>
      <c r="BD29" s="76">
        <f t="shared" si="10"/>
        <v>0</v>
      </c>
      <c r="BE29" s="66"/>
      <c r="BF29" s="69"/>
      <c r="BG29" s="70"/>
      <c r="BH29" s="76">
        <f t="shared" si="11"/>
        <v>0</v>
      </c>
      <c r="BI29" s="66"/>
      <c r="BJ29" s="69"/>
      <c r="BK29" s="70"/>
      <c r="BL29" s="76">
        <f t="shared" si="12"/>
        <v>0</v>
      </c>
      <c r="BM29" s="66"/>
      <c r="BN29" s="69"/>
      <c r="BO29" s="70"/>
      <c r="BP29" s="76">
        <f t="shared" si="13"/>
        <v>0</v>
      </c>
      <c r="BQ29" s="66"/>
      <c r="BR29" s="69"/>
      <c r="BS29" s="70"/>
      <c r="BT29" s="76">
        <f t="shared" si="14"/>
        <v>0</v>
      </c>
      <c r="BU29" s="66"/>
      <c r="BV29" s="69"/>
      <c r="BW29" s="70"/>
      <c r="BX29" s="76">
        <f t="shared" si="15"/>
        <v>0</v>
      </c>
      <c r="BY29" s="66"/>
      <c r="BZ29" s="69"/>
      <c r="CA29" s="70"/>
      <c r="CB29" s="76">
        <f t="shared" si="16"/>
        <v>0</v>
      </c>
      <c r="CC29" s="66"/>
      <c r="CD29" s="69"/>
      <c r="CE29" s="70"/>
      <c r="CF29" s="76">
        <f t="shared" si="17"/>
        <v>0</v>
      </c>
      <c r="CG29" s="66"/>
      <c r="CH29" s="69"/>
      <c r="CI29" s="70"/>
      <c r="CJ29" s="76">
        <f t="shared" si="18"/>
        <v>0</v>
      </c>
      <c r="CK29" s="66"/>
      <c r="CL29" s="69"/>
      <c r="CM29" s="70"/>
      <c r="CN29" s="76">
        <f t="shared" si="19"/>
        <v>0</v>
      </c>
      <c r="CO29" s="66"/>
      <c r="CP29" s="69"/>
      <c r="CQ29" s="70"/>
      <c r="CR29" s="76">
        <f t="shared" si="20"/>
        <v>0</v>
      </c>
      <c r="CS29" s="66"/>
      <c r="CT29" s="69"/>
      <c r="CU29" s="70"/>
      <c r="CV29" s="76">
        <f t="shared" si="21"/>
        <v>0</v>
      </c>
      <c r="CW29" s="66"/>
      <c r="CX29" s="69"/>
      <c r="CY29" s="70"/>
      <c r="CZ29" s="76">
        <f t="shared" si="22"/>
        <v>0</v>
      </c>
      <c r="DA29" s="66"/>
      <c r="DB29" s="69"/>
      <c r="DC29" s="70"/>
      <c r="DD29" s="76">
        <f t="shared" si="23"/>
        <v>0</v>
      </c>
      <c r="DE29" s="66"/>
      <c r="DF29" s="69"/>
      <c r="DG29" s="70"/>
      <c r="DH29" s="76">
        <f t="shared" si="24"/>
        <v>0</v>
      </c>
      <c r="DI29" s="66"/>
      <c r="DJ29" s="69"/>
      <c r="DK29" s="70"/>
      <c r="DL29" s="76">
        <f t="shared" si="25"/>
        <v>0</v>
      </c>
      <c r="DM29" s="66"/>
      <c r="DN29" s="69"/>
      <c r="DO29" s="70"/>
      <c r="DP29" s="76">
        <f t="shared" si="26"/>
        <v>0</v>
      </c>
      <c r="DQ29" s="66"/>
      <c r="DR29" s="69"/>
      <c r="DS29" s="70"/>
      <c r="DT29" s="76">
        <f t="shared" si="27"/>
        <v>0</v>
      </c>
      <c r="DU29" s="66"/>
      <c r="DV29" s="69"/>
      <c r="DW29" s="70"/>
      <c r="DX29" s="76">
        <f t="shared" si="28"/>
        <v>0</v>
      </c>
      <c r="DY29" s="66"/>
      <c r="DZ29" s="69"/>
      <c r="EA29" s="70"/>
      <c r="EB29" s="76">
        <f t="shared" si="29"/>
        <v>0</v>
      </c>
      <c r="EC29" s="66"/>
      <c r="ED29" s="69"/>
      <c r="EE29" s="70"/>
      <c r="EF29" s="76">
        <f t="shared" si="30"/>
        <v>0</v>
      </c>
      <c r="EG29" s="66"/>
      <c r="EH29" s="69"/>
      <c r="EI29" s="70"/>
      <c r="EJ29" s="76">
        <f t="shared" si="31"/>
        <v>0</v>
      </c>
      <c r="EK29" s="66"/>
      <c r="EL29" s="69"/>
      <c r="EM29" s="70"/>
      <c r="EN29" s="76">
        <f t="shared" si="32"/>
        <v>0</v>
      </c>
      <c r="EO29" s="66"/>
      <c r="EP29" s="69"/>
      <c r="EQ29" s="70"/>
      <c r="ER29" s="76">
        <f t="shared" si="33"/>
        <v>0</v>
      </c>
      <c r="ES29" s="66"/>
      <c r="ET29" s="69"/>
      <c r="EU29" s="70"/>
      <c r="EV29" s="76">
        <f t="shared" si="34"/>
        <v>0</v>
      </c>
      <c r="EW29" s="66"/>
      <c r="EX29" s="69"/>
      <c r="EY29" s="70"/>
      <c r="EZ29" s="76">
        <f t="shared" si="35"/>
        <v>0</v>
      </c>
      <c r="FA29" s="66"/>
      <c r="FB29" s="69"/>
      <c r="FC29" s="70"/>
      <c r="FD29" s="76">
        <f t="shared" si="36"/>
        <v>0</v>
      </c>
      <c r="FE29" s="66"/>
      <c r="FF29" s="69"/>
      <c r="FG29" s="70"/>
      <c r="FH29" s="76">
        <f t="shared" si="37"/>
        <v>0</v>
      </c>
      <c r="FI29" s="66"/>
      <c r="FJ29" s="69"/>
      <c r="FK29" s="70"/>
      <c r="FL29" s="76">
        <f t="shared" si="38"/>
        <v>0</v>
      </c>
      <c r="FM29" s="66"/>
      <c r="FN29" s="69"/>
      <c r="FO29" s="70"/>
      <c r="FP29" s="76">
        <f t="shared" si="39"/>
        <v>0</v>
      </c>
      <c r="FQ29" s="66"/>
      <c r="FR29" s="69"/>
      <c r="FS29" s="70"/>
      <c r="FT29" s="76">
        <f t="shared" si="40"/>
        <v>0</v>
      </c>
      <c r="FU29" s="66"/>
      <c r="FV29" s="69"/>
      <c r="FW29" s="70"/>
      <c r="FX29" s="76">
        <f t="shared" si="41"/>
        <v>0</v>
      </c>
      <c r="FY29" s="66"/>
      <c r="FZ29" s="69"/>
      <c r="GA29" s="70"/>
      <c r="GB29" s="76">
        <f t="shared" si="42"/>
        <v>0</v>
      </c>
      <c r="GC29" s="66"/>
      <c r="GD29" s="69"/>
      <c r="GE29" s="70"/>
      <c r="GF29" s="76">
        <f t="shared" si="43"/>
        <v>0</v>
      </c>
      <c r="GG29" s="66"/>
      <c r="GH29" s="69"/>
      <c r="GI29" s="70"/>
      <c r="GJ29" s="76">
        <f t="shared" si="44"/>
        <v>0</v>
      </c>
      <c r="GK29" s="66"/>
      <c r="GL29" s="69"/>
      <c r="GM29" s="70"/>
      <c r="GN29" s="76">
        <f t="shared" si="45"/>
        <v>0</v>
      </c>
      <c r="GO29" s="66"/>
      <c r="GP29" s="69"/>
      <c r="GQ29" s="70"/>
      <c r="GR29" s="76">
        <f t="shared" si="46"/>
        <v>0</v>
      </c>
      <c r="GS29" s="66"/>
      <c r="GT29" s="69"/>
      <c r="GU29" s="70"/>
      <c r="GV29" s="76">
        <f t="shared" si="47"/>
        <v>0</v>
      </c>
      <c r="GW29" s="66"/>
      <c r="GX29" s="69"/>
      <c r="GY29" s="70"/>
      <c r="GZ29" s="76">
        <f t="shared" si="48"/>
        <v>0</v>
      </c>
      <c r="HA29" s="66"/>
      <c r="HB29" s="69"/>
      <c r="HC29" s="70"/>
      <c r="HD29" s="76">
        <f t="shared" si="49"/>
        <v>0</v>
      </c>
      <c r="HE29" s="66"/>
      <c r="HF29" s="69"/>
      <c r="HG29" s="70"/>
      <c r="HH29" s="76">
        <f t="shared" si="50"/>
        <v>0</v>
      </c>
      <c r="HI29" s="66"/>
      <c r="HJ29" s="69"/>
      <c r="HK29" s="70"/>
      <c r="HL29" s="76">
        <f t="shared" si="51"/>
        <v>0</v>
      </c>
      <c r="HM29" s="66"/>
      <c r="HN29" s="69"/>
      <c r="HO29" s="70"/>
      <c r="HP29" s="76">
        <f t="shared" si="52"/>
        <v>0</v>
      </c>
      <c r="HQ29" s="66"/>
      <c r="HR29" s="69"/>
      <c r="HS29" s="70"/>
      <c r="HT29" s="76">
        <f t="shared" si="53"/>
        <v>0</v>
      </c>
      <c r="HU29" s="66"/>
      <c r="HV29" s="69"/>
      <c r="HW29" s="70"/>
      <c r="HX29" s="76">
        <f t="shared" si="54"/>
        <v>0</v>
      </c>
      <c r="HY29" s="66"/>
      <c r="HZ29" s="69"/>
      <c r="IA29" s="70"/>
      <c r="IB29" s="76">
        <f t="shared" si="55"/>
        <v>0</v>
      </c>
      <c r="IC29" s="66"/>
      <c r="ID29" s="69"/>
      <c r="IE29" s="70"/>
      <c r="IF29" s="76">
        <f t="shared" si="56"/>
        <v>0</v>
      </c>
      <c r="IG29" s="66"/>
      <c r="IH29" s="69"/>
      <c r="II29" s="70"/>
      <c r="IJ29" s="76">
        <f t="shared" si="57"/>
        <v>0</v>
      </c>
      <c r="IK29" s="66"/>
      <c r="IL29" s="69"/>
      <c r="IM29" s="70"/>
      <c r="IN29" s="76">
        <f t="shared" si="58"/>
        <v>0</v>
      </c>
      <c r="IO29" s="66"/>
      <c r="IP29" s="69"/>
      <c r="IQ29" s="70"/>
      <c r="IR29" s="76">
        <f t="shared" si="59"/>
        <v>0</v>
      </c>
      <c r="IS29" s="66"/>
      <c r="IT29" s="69"/>
      <c r="IU29" s="70"/>
      <c r="IV29" s="76">
        <f t="shared" si="60"/>
        <v>0</v>
      </c>
      <c r="IW29" s="66"/>
      <c r="IX29" s="69"/>
      <c r="IY29" s="70"/>
      <c r="IZ29" s="76">
        <f t="shared" si="61"/>
        <v>0</v>
      </c>
      <c r="JA29" s="66"/>
      <c r="JB29" s="55" t="e">
        <f t="shared" si="62"/>
        <v>#VALUE!</v>
      </c>
      <c r="JC29" s="55" t="e">
        <f t="shared" si="63"/>
        <v>#VALUE!</v>
      </c>
      <c r="JD29" s="55" t="e">
        <f t="shared" si="64"/>
        <v>#VALUE!</v>
      </c>
      <c r="JE29" s="55" t="e">
        <f t="shared" si="67"/>
        <v>#VALUE!</v>
      </c>
      <c r="JF29" s="55"/>
      <c r="JP29" s="55"/>
    </row>
    <row r="30" spans="2:276" ht="30" customHeight="1" x14ac:dyDescent="0.3">
      <c r="B30" s="39">
        <v>21</v>
      </c>
      <c r="C30" s="96" t="e">
        <f>VLOOKUP(#REF!,EMPLEADO!C:Q,15,FALSE)</f>
        <v>#REF!</v>
      </c>
      <c r="D30" s="27" t="s">
        <v>94</v>
      </c>
      <c r="E30" s="59" t="s">
        <v>18</v>
      </c>
      <c r="F30" s="69"/>
      <c r="G30" s="70"/>
      <c r="H30" s="76">
        <f t="shared" si="0"/>
        <v>0</v>
      </c>
      <c r="I30" s="66"/>
      <c r="J30" s="69"/>
      <c r="K30" s="70"/>
      <c r="L30" s="76">
        <f t="shared" si="1"/>
        <v>0</v>
      </c>
      <c r="M30" s="66"/>
      <c r="N30" s="71"/>
      <c r="O30" s="72"/>
      <c r="P30" s="76">
        <f t="shared" si="2"/>
        <v>0</v>
      </c>
      <c r="Q30" s="66"/>
      <c r="R30" s="72"/>
      <c r="S30" s="72"/>
      <c r="T30" s="76">
        <f t="shared" si="65"/>
        <v>0</v>
      </c>
      <c r="U30" s="66"/>
      <c r="V30" s="69"/>
      <c r="W30" s="70"/>
      <c r="X30" s="76">
        <f t="shared" si="3"/>
        <v>0</v>
      </c>
      <c r="Y30" s="66"/>
      <c r="Z30" s="69"/>
      <c r="AA30" s="70"/>
      <c r="AB30" s="76">
        <f t="shared" si="4"/>
        <v>0</v>
      </c>
      <c r="AC30" s="66"/>
      <c r="AD30" s="69"/>
      <c r="AE30" s="70"/>
      <c r="AF30" s="76">
        <f t="shared" si="5"/>
        <v>0</v>
      </c>
      <c r="AG30" s="66"/>
      <c r="AH30" s="72"/>
      <c r="AI30" s="72"/>
      <c r="AJ30" s="94">
        <f t="shared" si="66"/>
        <v>0</v>
      </c>
      <c r="AK30" s="66"/>
      <c r="AL30" s="69"/>
      <c r="AM30" s="70"/>
      <c r="AN30" s="76">
        <f t="shared" si="6"/>
        <v>0</v>
      </c>
      <c r="AO30" s="66"/>
      <c r="AP30" s="69"/>
      <c r="AQ30" s="70"/>
      <c r="AR30" s="76">
        <f t="shared" si="7"/>
        <v>0</v>
      </c>
      <c r="AS30" s="66"/>
      <c r="AT30" s="69"/>
      <c r="AU30" s="70"/>
      <c r="AV30" s="76">
        <f t="shared" si="8"/>
        <v>0</v>
      </c>
      <c r="AW30" s="66"/>
      <c r="AX30" s="69"/>
      <c r="AY30" s="70"/>
      <c r="AZ30" s="76">
        <f t="shared" si="9"/>
        <v>0</v>
      </c>
      <c r="BA30" s="66"/>
      <c r="BB30" s="69"/>
      <c r="BC30" s="70"/>
      <c r="BD30" s="76">
        <f t="shared" si="10"/>
        <v>0</v>
      </c>
      <c r="BE30" s="66"/>
      <c r="BF30" s="69"/>
      <c r="BG30" s="70"/>
      <c r="BH30" s="76">
        <f t="shared" si="11"/>
        <v>0</v>
      </c>
      <c r="BI30" s="66"/>
      <c r="BJ30" s="69"/>
      <c r="BK30" s="70"/>
      <c r="BL30" s="76">
        <f t="shared" si="12"/>
        <v>0</v>
      </c>
      <c r="BM30" s="66"/>
      <c r="BN30" s="69"/>
      <c r="BO30" s="70"/>
      <c r="BP30" s="76">
        <f t="shared" si="13"/>
        <v>0</v>
      </c>
      <c r="BQ30" s="66"/>
      <c r="BR30" s="69"/>
      <c r="BS30" s="70"/>
      <c r="BT30" s="76">
        <f t="shared" si="14"/>
        <v>0</v>
      </c>
      <c r="BU30" s="66"/>
      <c r="BV30" s="69"/>
      <c r="BW30" s="70"/>
      <c r="BX30" s="76">
        <f t="shared" si="15"/>
        <v>0</v>
      </c>
      <c r="BY30" s="66"/>
      <c r="BZ30" s="69"/>
      <c r="CA30" s="70"/>
      <c r="CB30" s="76">
        <f t="shared" si="16"/>
        <v>0</v>
      </c>
      <c r="CC30" s="66"/>
      <c r="CD30" s="69"/>
      <c r="CE30" s="70"/>
      <c r="CF30" s="76">
        <f t="shared" si="17"/>
        <v>0</v>
      </c>
      <c r="CG30" s="66"/>
      <c r="CH30" s="69"/>
      <c r="CI30" s="70"/>
      <c r="CJ30" s="76">
        <f t="shared" si="18"/>
        <v>0</v>
      </c>
      <c r="CK30" s="66"/>
      <c r="CL30" s="69"/>
      <c r="CM30" s="70"/>
      <c r="CN30" s="76">
        <f t="shared" si="19"/>
        <v>0</v>
      </c>
      <c r="CO30" s="66"/>
      <c r="CP30" s="69"/>
      <c r="CQ30" s="70"/>
      <c r="CR30" s="76">
        <f t="shared" si="20"/>
        <v>0</v>
      </c>
      <c r="CS30" s="66"/>
      <c r="CT30" s="69"/>
      <c r="CU30" s="70"/>
      <c r="CV30" s="76">
        <f t="shared" si="21"/>
        <v>0</v>
      </c>
      <c r="CW30" s="66"/>
      <c r="CX30" s="69"/>
      <c r="CY30" s="70"/>
      <c r="CZ30" s="76">
        <f t="shared" si="22"/>
        <v>0</v>
      </c>
      <c r="DA30" s="66"/>
      <c r="DB30" s="69"/>
      <c r="DC30" s="70"/>
      <c r="DD30" s="76">
        <f t="shared" si="23"/>
        <v>0</v>
      </c>
      <c r="DE30" s="66"/>
      <c r="DF30" s="69"/>
      <c r="DG30" s="70"/>
      <c r="DH30" s="76">
        <f t="shared" si="24"/>
        <v>0</v>
      </c>
      <c r="DI30" s="66"/>
      <c r="DJ30" s="69"/>
      <c r="DK30" s="70"/>
      <c r="DL30" s="76">
        <f t="shared" si="25"/>
        <v>0</v>
      </c>
      <c r="DM30" s="66"/>
      <c r="DN30" s="69"/>
      <c r="DO30" s="70"/>
      <c r="DP30" s="76">
        <f t="shared" si="26"/>
        <v>0</v>
      </c>
      <c r="DQ30" s="66"/>
      <c r="DR30" s="69"/>
      <c r="DS30" s="70"/>
      <c r="DT30" s="76">
        <f t="shared" si="27"/>
        <v>0</v>
      </c>
      <c r="DU30" s="66"/>
      <c r="DV30" s="69"/>
      <c r="DW30" s="70"/>
      <c r="DX30" s="76">
        <f t="shared" si="28"/>
        <v>0</v>
      </c>
      <c r="DY30" s="66"/>
      <c r="DZ30" s="69"/>
      <c r="EA30" s="70"/>
      <c r="EB30" s="76">
        <f t="shared" si="29"/>
        <v>0</v>
      </c>
      <c r="EC30" s="66"/>
      <c r="ED30" s="69"/>
      <c r="EE30" s="70"/>
      <c r="EF30" s="76">
        <f t="shared" si="30"/>
        <v>0</v>
      </c>
      <c r="EG30" s="66"/>
      <c r="EH30" s="69"/>
      <c r="EI30" s="70"/>
      <c r="EJ30" s="76">
        <f t="shared" si="31"/>
        <v>0</v>
      </c>
      <c r="EK30" s="66"/>
      <c r="EL30" s="69"/>
      <c r="EM30" s="70"/>
      <c r="EN30" s="76">
        <f t="shared" si="32"/>
        <v>0</v>
      </c>
      <c r="EO30" s="66"/>
      <c r="EP30" s="69"/>
      <c r="EQ30" s="70"/>
      <c r="ER30" s="76">
        <f t="shared" si="33"/>
        <v>0</v>
      </c>
      <c r="ES30" s="66"/>
      <c r="ET30" s="69"/>
      <c r="EU30" s="70"/>
      <c r="EV30" s="76">
        <f t="shared" si="34"/>
        <v>0</v>
      </c>
      <c r="EW30" s="66"/>
      <c r="EX30" s="69"/>
      <c r="EY30" s="70"/>
      <c r="EZ30" s="76">
        <f t="shared" si="35"/>
        <v>0</v>
      </c>
      <c r="FA30" s="66"/>
      <c r="FB30" s="69"/>
      <c r="FC30" s="70"/>
      <c r="FD30" s="76">
        <f t="shared" si="36"/>
        <v>0</v>
      </c>
      <c r="FE30" s="66"/>
      <c r="FF30" s="69"/>
      <c r="FG30" s="70"/>
      <c r="FH30" s="76">
        <f t="shared" si="37"/>
        <v>0</v>
      </c>
      <c r="FI30" s="66"/>
      <c r="FJ30" s="69"/>
      <c r="FK30" s="70"/>
      <c r="FL30" s="76">
        <f t="shared" si="38"/>
        <v>0</v>
      </c>
      <c r="FM30" s="66"/>
      <c r="FN30" s="69"/>
      <c r="FO30" s="70"/>
      <c r="FP30" s="76">
        <f t="shared" si="39"/>
        <v>0</v>
      </c>
      <c r="FQ30" s="66"/>
      <c r="FR30" s="69"/>
      <c r="FS30" s="70"/>
      <c r="FT30" s="76">
        <f t="shared" si="40"/>
        <v>0</v>
      </c>
      <c r="FU30" s="66"/>
      <c r="FV30" s="69"/>
      <c r="FW30" s="70"/>
      <c r="FX30" s="76">
        <f t="shared" si="41"/>
        <v>0</v>
      </c>
      <c r="FY30" s="66"/>
      <c r="FZ30" s="69"/>
      <c r="GA30" s="70"/>
      <c r="GB30" s="76">
        <f t="shared" si="42"/>
        <v>0</v>
      </c>
      <c r="GC30" s="66"/>
      <c r="GD30" s="69"/>
      <c r="GE30" s="70"/>
      <c r="GF30" s="76">
        <f t="shared" si="43"/>
        <v>0</v>
      </c>
      <c r="GG30" s="66"/>
      <c r="GH30" s="69"/>
      <c r="GI30" s="70"/>
      <c r="GJ30" s="76">
        <f t="shared" si="44"/>
        <v>0</v>
      </c>
      <c r="GK30" s="66"/>
      <c r="GL30" s="69"/>
      <c r="GM30" s="70"/>
      <c r="GN30" s="76">
        <f t="shared" si="45"/>
        <v>0</v>
      </c>
      <c r="GO30" s="66"/>
      <c r="GP30" s="69"/>
      <c r="GQ30" s="70"/>
      <c r="GR30" s="76">
        <f t="shared" si="46"/>
        <v>0</v>
      </c>
      <c r="GS30" s="66"/>
      <c r="GT30" s="69"/>
      <c r="GU30" s="70"/>
      <c r="GV30" s="76">
        <f t="shared" si="47"/>
        <v>0</v>
      </c>
      <c r="GW30" s="66"/>
      <c r="GX30" s="69"/>
      <c r="GY30" s="70"/>
      <c r="GZ30" s="76">
        <f t="shared" si="48"/>
        <v>0</v>
      </c>
      <c r="HA30" s="66"/>
      <c r="HB30" s="69"/>
      <c r="HC30" s="70"/>
      <c r="HD30" s="76">
        <f t="shared" si="49"/>
        <v>0</v>
      </c>
      <c r="HE30" s="66"/>
      <c r="HF30" s="69"/>
      <c r="HG30" s="70"/>
      <c r="HH30" s="76">
        <f t="shared" si="50"/>
        <v>0</v>
      </c>
      <c r="HI30" s="66"/>
      <c r="HJ30" s="69"/>
      <c r="HK30" s="70"/>
      <c r="HL30" s="76">
        <f t="shared" si="51"/>
        <v>0</v>
      </c>
      <c r="HM30" s="66"/>
      <c r="HN30" s="69"/>
      <c r="HO30" s="70"/>
      <c r="HP30" s="76">
        <f t="shared" si="52"/>
        <v>0</v>
      </c>
      <c r="HQ30" s="66"/>
      <c r="HR30" s="69"/>
      <c r="HS30" s="70"/>
      <c r="HT30" s="76">
        <f t="shared" si="53"/>
        <v>0</v>
      </c>
      <c r="HU30" s="66"/>
      <c r="HV30" s="69"/>
      <c r="HW30" s="70"/>
      <c r="HX30" s="76">
        <f t="shared" si="54"/>
        <v>0</v>
      </c>
      <c r="HY30" s="66"/>
      <c r="HZ30" s="69"/>
      <c r="IA30" s="70"/>
      <c r="IB30" s="76">
        <f t="shared" si="55"/>
        <v>0</v>
      </c>
      <c r="IC30" s="66"/>
      <c r="ID30" s="69"/>
      <c r="IE30" s="70"/>
      <c r="IF30" s="76">
        <f t="shared" si="56"/>
        <v>0</v>
      </c>
      <c r="IG30" s="66"/>
      <c r="IH30" s="69"/>
      <c r="II30" s="70"/>
      <c r="IJ30" s="76">
        <f t="shared" si="57"/>
        <v>0</v>
      </c>
      <c r="IK30" s="66"/>
      <c r="IL30" s="69"/>
      <c r="IM30" s="70"/>
      <c r="IN30" s="76">
        <f t="shared" si="58"/>
        <v>0</v>
      </c>
      <c r="IO30" s="66"/>
      <c r="IP30" s="69"/>
      <c r="IQ30" s="70"/>
      <c r="IR30" s="76">
        <f t="shared" si="59"/>
        <v>0</v>
      </c>
      <c r="IS30" s="66"/>
      <c r="IT30" s="69"/>
      <c r="IU30" s="70"/>
      <c r="IV30" s="76">
        <f t="shared" si="60"/>
        <v>0</v>
      </c>
      <c r="IW30" s="66"/>
      <c r="IX30" s="69"/>
      <c r="IY30" s="70"/>
      <c r="IZ30" s="76">
        <f t="shared" si="61"/>
        <v>0</v>
      </c>
      <c r="JA30" s="66"/>
      <c r="JB30" s="55" t="e">
        <f t="shared" si="62"/>
        <v>#VALUE!</v>
      </c>
      <c r="JC30" s="55" t="e">
        <f t="shared" si="63"/>
        <v>#VALUE!</v>
      </c>
      <c r="JD30" s="55" t="e">
        <f t="shared" si="64"/>
        <v>#VALUE!</v>
      </c>
      <c r="JE30" s="55" t="e">
        <f t="shared" si="67"/>
        <v>#VALUE!</v>
      </c>
      <c r="JF30" s="55"/>
      <c r="JP30" s="55"/>
    </row>
    <row r="31" spans="2:276" ht="30" customHeight="1" x14ac:dyDescent="0.3">
      <c r="B31" s="39">
        <v>22</v>
      </c>
      <c r="C31" s="96" t="e">
        <f>VLOOKUP(#REF!,EMPLEADO!C:Q,15,FALSE)</f>
        <v>#REF!</v>
      </c>
      <c r="D31" s="27" t="s">
        <v>99</v>
      </c>
      <c r="E31" s="59" t="s">
        <v>18</v>
      </c>
      <c r="F31" s="69"/>
      <c r="G31" s="70"/>
      <c r="H31" s="76">
        <f t="shared" si="0"/>
        <v>0</v>
      </c>
      <c r="I31" s="66"/>
      <c r="J31" s="69"/>
      <c r="K31" s="70"/>
      <c r="L31" s="76">
        <f t="shared" si="1"/>
        <v>0</v>
      </c>
      <c r="M31" s="66"/>
      <c r="N31" s="71"/>
      <c r="O31" s="72"/>
      <c r="P31" s="76">
        <f t="shared" si="2"/>
        <v>0</v>
      </c>
      <c r="Q31" s="66"/>
      <c r="R31" s="72"/>
      <c r="S31" s="72"/>
      <c r="T31" s="76">
        <f t="shared" si="65"/>
        <v>0</v>
      </c>
      <c r="U31" s="66"/>
      <c r="V31" s="69"/>
      <c r="W31" s="70"/>
      <c r="X31" s="76">
        <f t="shared" si="3"/>
        <v>0</v>
      </c>
      <c r="Y31" s="66"/>
      <c r="Z31" s="69"/>
      <c r="AA31" s="70"/>
      <c r="AB31" s="76">
        <f t="shared" si="4"/>
        <v>0</v>
      </c>
      <c r="AC31" s="66"/>
      <c r="AD31" s="69"/>
      <c r="AE31" s="70"/>
      <c r="AF31" s="76">
        <f t="shared" si="5"/>
        <v>0</v>
      </c>
      <c r="AG31" s="66"/>
      <c r="AH31" s="72"/>
      <c r="AI31" s="72"/>
      <c r="AJ31" s="94">
        <f t="shared" si="66"/>
        <v>0</v>
      </c>
      <c r="AK31" s="66"/>
      <c r="AL31" s="69"/>
      <c r="AM31" s="70"/>
      <c r="AN31" s="76">
        <f t="shared" si="6"/>
        <v>0</v>
      </c>
      <c r="AO31" s="66"/>
      <c r="AP31" s="69"/>
      <c r="AQ31" s="70"/>
      <c r="AR31" s="76">
        <f t="shared" si="7"/>
        <v>0</v>
      </c>
      <c r="AS31" s="66"/>
      <c r="AT31" s="69"/>
      <c r="AU31" s="70"/>
      <c r="AV31" s="76">
        <f t="shared" si="8"/>
        <v>0</v>
      </c>
      <c r="AW31" s="66"/>
      <c r="AX31" s="69"/>
      <c r="AY31" s="70"/>
      <c r="AZ31" s="76">
        <f t="shared" si="9"/>
        <v>0</v>
      </c>
      <c r="BA31" s="66"/>
      <c r="BB31" s="69"/>
      <c r="BC31" s="70"/>
      <c r="BD31" s="76">
        <f t="shared" si="10"/>
        <v>0</v>
      </c>
      <c r="BE31" s="66"/>
      <c r="BF31" s="69"/>
      <c r="BG31" s="70"/>
      <c r="BH31" s="76">
        <f t="shared" si="11"/>
        <v>0</v>
      </c>
      <c r="BI31" s="66"/>
      <c r="BJ31" s="69"/>
      <c r="BK31" s="70"/>
      <c r="BL31" s="76">
        <f t="shared" si="12"/>
        <v>0</v>
      </c>
      <c r="BM31" s="66"/>
      <c r="BN31" s="69"/>
      <c r="BO31" s="70"/>
      <c r="BP31" s="76">
        <f t="shared" si="13"/>
        <v>0</v>
      </c>
      <c r="BQ31" s="66"/>
      <c r="BR31" s="69"/>
      <c r="BS31" s="70"/>
      <c r="BT31" s="76">
        <f t="shared" si="14"/>
        <v>0</v>
      </c>
      <c r="BU31" s="66"/>
      <c r="BV31" s="69"/>
      <c r="BW31" s="70"/>
      <c r="BX31" s="76">
        <f t="shared" si="15"/>
        <v>0</v>
      </c>
      <c r="BY31" s="66"/>
      <c r="BZ31" s="69"/>
      <c r="CA31" s="70"/>
      <c r="CB31" s="76">
        <f t="shared" si="16"/>
        <v>0</v>
      </c>
      <c r="CC31" s="66"/>
      <c r="CD31" s="69"/>
      <c r="CE31" s="70"/>
      <c r="CF31" s="76">
        <f t="shared" si="17"/>
        <v>0</v>
      </c>
      <c r="CG31" s="66"/>
      <c r="CH31" s="69"/>
      <c r="CI31" s="70"/>
      <c r="CJ31" s="76">
        <f t="shared" si="18"/>
        <v>0</v>
      </c>
      <c r="CK31" s="66"/>
      <c r="CL31" s="69"/>
      <c r="CM31" s="70"/>
      <c r="CN31" s="76">
        <f t="shared" si="19"/>
        <v>0</v>
      </c>
      <c r="CO31" s="66"/>
      <c r="CP31" s="69"/>
      <c r="CQ31" s="70"/>
      <c r="CR31" s="76">
        <f t="shared" si="20"/>
        <v>0</v>
      </c>
      <c r="CS31" s="66"/>
      <c r="CT31" s="69"/>
      <c r="CU31" s="70"/>
      <c r="CV31" s="76">
        <f t="shared" si="21"/>
        <v>0</v>
      </c>
      <c r="CW31" s="66"/>
      <c r="CX31" s="69"/>
      <c r="CY31" s="70"/>
      <c r="CZ31" s="76">
        <f t="shared" si="22"/>
        <v>0</v>
      </c>
      <c r="DA31" s="66"/>
      <c r="DB31" s="69"/>
      <c r="DC31" s="70"/>
      <c r="DD31" s="76">
        <f t="shared" si="23"/>
        <v>0</v>
      </c>
      <c r="DE31" s="66"/>
      <c r="DF31" s="69"/>
      <c r="DG31" s="70"/>
      <c r="DH31" s="76">
        <f t="shared" si="24"/>
        <v>0</v>
      </c>
      <c r="DI31" s="66"/>
      <c r="DJ31" s="69"/>
      <c r="DK31" s="70"/>
      <c r="DL31" s="76">
        <f t="shared" si="25"/>
        <v>0</v>
      </c>
      <c r="DM31" s="66"/>
      <c r="DN31" s="69"/>
      <c r="DO31" s="70"/>
      <c r="DP31" s="76">
        <f t="shared" si="26"/>
        <v>0</v>
      </c>
      <c r="DQ31" s="66"/>
      <c r="DR31" s="69"/>
      <c r="DS31" s="70"/>
      <c r="DT31" s="76">
        <f t="shared" si="27"/>
        <v>0</v>
      </c>
      <c r="DU31" s="66"/>
      <c r="DV31" s="69"/>
      <c r="DW31" s="70"/>
      <c r="DX31" s="76">
        <f t="shared" si="28"/>
        <v>0</v>
      </c>
      <c r="DY31" s="66"/>
      <c r="DZ31" s="69"/>
      <c r="EA31" s="70"/>
      <c r="EB31" s="76">
        <f t="shared" si="29"/>
        <v>0</v>
      </c>
      <c r="EC31" s="66"/>
      <c r="ED31" s="69"/>
      <c r="EE31" s="70"/>
      <c r="EF31" s="76">
        <f t="shared" si="30"/>
        <v>0</v>
      </c>
      <c r="EG31" s="66"/>
      <c r="EH31" s="69"/>
      <c r="EI31" s="70"/>
      <c r="EJ31" s="76">
        <f t="shared" si="31"/>
        <v>0</v>
      </c>
      <c r="EK31" s="66"/>
      <c r="EL31" s="69"/>
      <c r="EM31" s="70"/>
      <c r="EN31" s="76">
        <f t="shared" si="32"/>
        <v>0</v>
      </c>
      <c r="EO31" s="66"/>
      <c r="EP31" s="69"/>
      <c r="EQ31" s="70"/>
      <c r="ER31" s="76">
        <f t="shared" si="33"/>
        <v>0</v>
      </c>
      <c r="ES31" s="66"/>
      <c r="ET31" s="69"/>
      <c r="EU31" s="70"/>
      <c r="EV31" s="76">
        <f t="shared" si="34"/>
        <v>0</v>
      </c>
      <c r="EW31" s="66"/>
      <c r="EX31" s="69"/>
      <c r="EY31" s="70"/>
      <c r="EZ31" s="76">
        <f t="shared" si="35"/>
        <v>0</v>
      </c>
      <c r="FA31" s="66"/>
      <c r="FB31" s="69"/>
      <c r="FC31" s="70"/>
      <c r="FD31" s="76">
        <f t="shared" si="36"/>
        <v>0</v>
      </c>
      <c r="FE31" s="66"/>
      <c r="FF31" s="69"/>
      <c r="FG31" s="70"/>
      <c r="FH31" s="76">
        <f t="shared" si="37"/>
        <v>0</v>
      </c>
      <c r="FI31" s="66"/>
      <c r="FJ31" s="69"/>
      <c r="FK31" s="70"/>
      <c r="FL31" s="76">
        <f t="shared" si="38"/>
        <v>0</v>
      </c>
      <c r="FM31" s="66"/>
      <c r="FN31" s="69"/>
      <c r="FO31" s="70"/>
      <c r="FP31" s="76">
        <f t="shared" si="39"/>
        <v>0</v>
      </c>
      <c r="FQ31" s="66"/>
      <c r="FR31" s="69"/>
      <c r="FS31" s="70"/>
      <c r="FT31" s="76">
        <f t="shared" si="40"/>
        <v>0</v>
      </c>
      <c r="FU31" s="66"/>
      <c r="FV31" s="69"/>
      <c r="FW31" s="70"/>
      <c r="FX31" s="76">
        <f t="shared" si="41"/>
        <v>0</v>
      </c>
      <c r="FY31" s="66"/>
      <c r="FZ31" s="69"/>
      <c r="GA31" s="70"/>
      <c r="GB31" s="76">
        <f t="shared" si="42"/>
        <v>0</v>
      </c>
      <c r="GC31" s="66"/>
      <c r="GD31" s="69"/>
      <c r="GE31" s="70"/>
      <c r="GF31" s="76">
        <f t="shared" si="43"/>
        <v>0</v>
      </c>
      <c r="GG31" s="66"/>
      <c r="GH31" s="69"/>
      <c r="GI31" s="70"/>
      <c r="GJ31" s="76">
        <f t="shared" si="44"/>
        <v>0</v>
      </c>
      <c r="GK31" s="66"/>
      <c r="GL31" s="69"/>
      <c r="GM31" s="70"/>
      <c r="GN31" s="76">
        <f t="shared" si="45"/>
        <v>0</v>
      </c>
      <c r="GO31" s="66"/>
      <c r="GP31" s="69"/>
      <c r="GQ31" s="70"/>
      <c r="GR31" s="76">
        <f t="shared" si="46"/>
        <v>0</v>
      </c>
      <c r="GS31" s="66"/>
      <c r="GT31" s="69"/>
      <c r="GU31" s="70"/>
      <c r="GV31" s="76">
        <f t="shared" si="47"/>
        <v>0</v>
      </c>
      <c r="GW31" s="66"/>
      <c r="GX31" s="69"/>
      <c r="GY31" s="70"/>
      <c r="GZ31" s="76">
        <f t="shared" si="48"/>
        <v>0</v>
      </c>
      <c r="HA31" s="66"/>
      <c r="HB31" s="69"/>
      <c r="HC31" s="70"/>
      <c r="HD31" s="76">
        <f t="shared" si="49"/>
        <v>0</v>
      </c>
      <c r="HE31" s="66"/>
      <c r="HF31" s="69"/>
      <c r="HG31" s="70"/>
      <c r="HH31" s="76">
        <f t="shared" si="50"/>
        <v>0</v>
      </c>
      <c r="HI31" s="66"/>
      <c r="HJ31" s="69"/>
      <c r="HK31" s="70"/>
      <c r="HL31" s="76">
        <f t="shared" si="51"/>
        <v>0</v>
      </c>
      <c r="HM31" s="66"/>
      <c r="HN31" s="69"/>
      <c r="HO31" s="70"/>
      <c r="HP31" s="76">
        <f t="shared" si="52"/>
        <v>0</v>
      </c>
      <c r="HQ31" s="66"/>
      <c r="HR31" s="69"/>
      <c r="HS31" s="70"/>
      <c r="HT31" s="76">
        <f t="shared" si="53"/>
        <v>0</v>
      </c>
      <c r="HU31" s="66"/>
      <c r="HV31" s="69"/>
      <c r="HW31" s="70"/>
      <c r="HX31" s="76">
        <f t="shared" si="54"/>
        <v>0</v>
      </c>
      <c r="HY31" s="66"/>
      <c r="HZ31" s="69"/>
      <c r="IA31" s="70"/>
      <c r="IB31" s="76">
        <f t="shared" si="55"/>
        <v>0</v>
      </c>
      <c r="IC31" s="66"/>
      <c r="ID31" s="69"/>
      <c r="IE31" s="70"/>
      <c r="IF31" s="76">
        <f t="shared" si="56"/>
        <v>0</v>
      </c>
      <c r="IG31" s="66"/>
      <c r="IH31" s="69"/>
      <c r="II31" s="70"/>
      <c r="IJ31" s="76">
        <f t="shared" si="57"/>
        <v>0</v>
      </c>
      <c r="IK31" s="66"/>
      <c r="IL31" s="69"/>
      <c r="IM31" s="70"/>
      <c r="IN31" s="76">
        <f t="shared" si="58"/>
        <v>0</v>
      </c>
      <c r="IO31" s="66"/>
      <c r="IP31" s="69"/>
      <c r="IQ31" s="70"/>
      <c r="IR31" s="76">
        <f t="shared" si="59"/>
        <v>0</v>
      </c>
      <c r="IS31" s="66"/>
      <c r="IT31" s="69"/>
      <c r="IU31" s="70"/>
      <c r="IV31" s="76">
        <f t="shared" si="60"/>
        <v>0</v>
      </c>
      <c r="IW31" s="66"/>
      <c r="IX31" s="69"/>
      <c r="IY31" s="70"/>
      <c r="IZ31" s="76">
        <f t="shared" si="61"/>
        <v>0</v>
      </c>
      <c r="JA31" s="66"/>
      <c r="JB31" s="55" t="e">
        <f t="shared" si="62"/>
        <v>#VALUE!</v>
      </c>
      <c r="JC31" s="55" t="e">
        <f t="shared" si="63"/>
        <v>#VALUE!</v>
      </c>
      <c r="JD31" s="55" t="e">
        <f t="shared" si="64"/>
        <v>#VALUE!</v>
      </c>
      <c r="JE31" s="55" t="e">
        <f t="shared" si="67"/>
        <v>#VALUE!</v>
      </c>
      <c r="JF31" s="55"/>
      <c r="JP31" s="55"/>
    </row>
    <row r="32" spans="2:276" ht="30" customHeight="1" thickBot="1" x14ac:dyDescent="0.35">
      <c r="B32" s="39"/>
      <c r="C32" s="97"/>
      <c r="D32" s="27"/>
      <c r="E32" s="58"/>
      <c r="F32" s="73"/>
      <c r="G32" s="74"/>
      <c r="H32" s="77"/>
      <c r="I32" s="67"/>
      <c r="J32" s="73"/>
      <c r="K32" s="74"/>
      <c r="L32" s="77"/>
      <c r="M32" s="67"/>
      <c r="N32" s="73"/>
      <c r="O32" s="74"/>
      <c r="P32" s="77"/>
      <c r="Q32" s="67"/>
      <c r="R32" s="75"/>
      <c r="S32" s="75"/>
      <c r="T32" s="77"/>
      <c r="U32" s="67"/>
      <c r="V32" s="73"/>
      <c r="W32" s="74"/>
      <c r="X32" s="77"/>
      <c r="Y32" s="67"/>
      <c r="Z32" s="73"/>
      <c r="AA32" s="74"/>
      <c r="AB32" s="77"/>
      <c r="AC32" s="67"/>
      <c r="AD32" s="73"/>
      <c r="AE32" s="74"/>
      <c r="AF32" s="77"/>
      <c r="AG32" s="67"/>
      <c r="AH32" s="75"/>
      <c r="AI32" s="75"/>
      <c r="AJ32" s="95"/>
      <c r="AK32" s="67"/>
      <c r="AL32" s="73"/>
      <c r="AM32" s="74"/>
      <c r="AN32" s="77"/>
      <c r="AO32" s="67"/>
      <c r="AP32" s="73"/>
      <c r="AQ32" s="74"/>
      <c r="AR32" s="77"/>
      <c r="AS32" s="67"/>
      <c r="AT32" s="73"/>
      <c r="AU32" s="74"/>
      <c r="AV32" s="77"/>
      <c r="AW32" s="67"/>
      <c r="AX32" s="73"/>
      <c r="AY32" s="74"/>
      <c r="AZ32" s="77"/>
      <c r="BA32" s="67"/>
      <c r="BB32" s="73"/>
      <c r="BC32" s="74"/>
      <c r="BD32" s="77">
        <f t="shared" si="10"/>
        <v>0</v>
      </c>
      <c r="BE32" s="67"/>
      <c r="BF32" s="73"/>
      <c r="BG32" s="74"/>
      <c r="BH32" s="77">
        <f t="shared" si="11"/>
        <v>0</v>
      </c>
      <c r="BI32" s="67"/>
      <c r="BJ32" s="73"/>
      <c r="BK32" s="74"/>
      <c r="BL32" s="77">
        <f t="shared" si="12"/>
        <v>0</v>
      </c>
      <c r="BM32" s="67"/>
      <c r="BN32" s="73"/>
      <c r="BO32" s="74"/>
      <c r="BP32" s="77">
        <f t="shared" si="13"/>
        <v>0</v>
      </c>
      <c r="BQ32" s="67"/>
      <c r="BR32" s="73"/>
      <c r="BS32" s="74"/>
      <c r="BT32" s="77">
        <f t="shared" si="14"/>
        <v>0</v>
      </c>
      <c r="BU32" s="67"/>
      <c r="BV32" s="73"/>
      <c r="BW32" s="74"/>
      <c r="BX32" s="77">
        <f t="shared" si="15"/>
        <v>0</v>
      </c>
      <c r="BY32" s="67"/>
      <c r="BZ32" s="73"/>
      <c r="CA32" s="74"/>
      <c r="CB32" s="77">
        <f t="shared" si="16"/>
        <v>0</v>
      </c>
      <c r="CC32" s="67"/>
      <c r="CD32" s="73"/>
      <c r="CE32" s="74"/>
      <c r="CF32" s="77">
        <f t="shared" si="17"/>
        <v>0</v>
      </c>
      <c r="CG32" s="67"/>
      <c r="CH32" s="73"/>
      <c r="CI32" s="74"/>
      <c r="CJ32" s="77">
        <f t="shared" si="18"/>
        <v>0</v>
      </c>
      <c r="CK32" s="67"/>
      <c r="CL32" s="73"/>
      <c r="CM32" s="74"/>
      <c r="CN32" s="77">
        <f t="shared" si="19"/>
        <v>0</v>
      </c>
      <c r="CO32" s="67"/>
      <c r="CP32" s="73"/>
      <c r="CQ32" s="74"/>
      <c r="CR32" s="77">
        <f t="shared" si="20"/>
        <v>0</v>
      </c>
      <c r="CS32" s="67"/>
      <c r="CT32" s="73"/>
      <c r="CU32" s="74"/>
      <c r="CV32" s="77">
        <f t="shared" si="21"/>
        <v>0</v>
      </c>
      <c r="CW32" s="67"/>
      <c r="CX32" s="73"/>
      <c r="CY32" s="74"/>
      <c r="CZ32" s="77">
        <f t="shared" si="22"/>
        <v>0</v>
      </c>
      <c r="DA32" s="67"/>
      <c r="DB32" s="73"/>
      <c r="DC32" s="74"/>
      <c r="DD32" s="77">
        <f t="shared" si="23"/>
        <v>0</v>
      </c>
      <c r="DE32" s="67"/>
      <c r="DF32" s="73"/>
      <c r="DG32" s="74"/>
      <c r="DH32" s="77">
        <f t="shared" si="24"/>
        <v>0</v>
      </c>
      <c r="DI32" s="67"/>
      <c r="DJ32" s="73"/>
      <c r="DK32" s="74"/>
      <c r="DL32" s="77">
        <f t="shared" si="25"/>
        <v>0</v>
      </c>
      <c r="DM32" s="67"/>
      <c r="DN32" s="73"/>
      <c r="DO32" s="74"/>
      <c r="DP32" s="77">
        <f t="shared" si="26"/>
        <v>0</v>
      </c>
      <c r="DQ32" s="67"/>
      <c r="DR32" s="73"/>
      <c r="DS32" s="74"/>
      <c r="DT32" s="77">
        <f t="shared" si="27"/>
        <v>0</v>
      </c>
      <c r="DU32" s="67"/>
      <c r="DV32" s="73"/>
      <c r="DW32" s="74"/>
      <c r="DX32" s="77">
        <f t="shared" si="28"/>
        <v>0</v>
      </c>
      <c r="DY32" s="67"/>
      <c r="DZ32" s="73"/>
      <c r="EA32" s="74"/>
      <c r="EB32" s="77">
        <f t="shared" si="29"/>
        <v>0</v>
      </c>
      <c r="EC32" s="67"/>
      <c r="ED32" s="73"/>
      <c r="EE32" s="74"/>
      <c r="EF32" s="77">
        <f t="shared" si="30"/>
        <v>0</v>
      </c>
      <c r="EG32" s="67"/>
      <c r="EH32" s="73"/>
      <c r="EI32" s="74"/>
      <c r="EJ32" s="77">
        <f t="shared" si="31"/>
        <v>0</v>
      </c>
      <c r="EK32" s="67"/>
      <c r="EL32" s="73"/>
      <c r="EM32" s="74"/>
      <c r="EN32" s="77">
        <f t="shared" si="32"/>
        <v>0</v>
      </c>
      <c r="EO32" s="67"/>
      <c r="EP32" s="73"/>
      <c r="EQ32" s="74"/>
      <c r="ER32" s="77">
        <f t="shared" si="33"/>
        <v>0</v>
      </c>
      <c r="ES32" s="67"/>
      <c r="ET32" s="73"/>
      <c r="EU32" s="74"/>
      <c r="EV32" s="77">
        <f t="shared" si="34"/>
        <v>0</v>
      </c>
      <c r="EW32" s="67"/>
      <c r="EX32" s="73"/>
      <c r="EY32" s="74"/>
      <c r="EZ32" s="77">
        <f t="shared" si="35"/>
        <v>0</v>
      </c>
      <c r="FA32" s="67"/>
      <c r="FB32" s="73"/>
      <c r="FC32" s="74"/>
      <c r="FD32" s="77">
        <f t="shared" si="36"/>
        <v>0</v>
      </c>
      <c r="FE32" s="67"/>
      <c r="FF32" s="73"/>
      <c r="FG32" s="74"/>
      <c r="FH32" s="77">
        <f t="shared" si="37"/>
        <v>0</v>
      </c>
      <c r="FI32" s="67"/>
      <c r="FJ32" s="73"/>
      <c r="FK32" s="74"/>
      <c r="FL32" s="77">
        <f t="shared" si="38"/>
        <v>0</v>
      </c>
      <c r="FM32" s="67"/>
      <c r="FN32" s="73"/>
      <c r="FO32" s="74"/>
      <c r="FP32" s="77">
        <f t="shared" si="39"/>
        <v>0</v>
      </c>
      <c r="FQ32" s="67"/>
      <c r="FR32" s="73"/>
      <c r="FS32" s="74"/>
      <c r="FT32" s="77">
        <f t="shared" si="40"/>
        <v>0</v>
      </c>
      <c r="FU32" s="67"/>
      <c r="FV32" s="73"/>
      <c r="FW32" s="74"/>
      <c r="FX32" s="77">
        <f t="shared" si="41"/>
        <v>0</v>
      </c>
      <c r="FY32" s="67"/>
      <c r="FZ32" s="73"/>
      <c r="GA32" s="74"/>
      <c r="GB32" s="77">
        <f t="shared" si="42"/>
        <v>0</v>
      </c>
      <c r="GC32" s="67"/>
      <c r="GD32" s="73"/>
      <c r="GE32" s="74"/>
      <c r="GF32" s="77">
        <f t="shared" si="43"/>
        <v>0</v>
      </c>
      <c r="GG32" s="67"/>
      <c r="GH32" s="73"/>
      <c r="GI32" s="74"/>
      <c r="GJ32" s="77">
        <f t="shared" si="44"/>
        <v>0</v>
      </c>
      <c r="GK32" s="67"/>
      <c r="GL32" s="73"/>
      <c r="GM32" s="74"/>
      <c r="GN32" s="77">
        <f t="shared" si="45"/>
        <v>0</v>
      </c>
      <c r="GO32" s="67"/>
      <c r="GP32" s="73"/>
      <c r="GQ32" s="74"/>
      <c r="GR32" s="77">
        <f t="shared" si="46"/>
        <v>0</v>
      </c>
      <c r="GS32" s="67"/>
      <c r="GT32" s="73"/>
      <c r="GU32" s="74"/>
      <c r="GV32" s="77">
        <f t="shared" si="47"/>
        <v>0</v>
      </c>
      <c r="GW32" s="67"/>
      <c r="GX32" s="73"/>
      <c r="GY32" s="74"/>
      <c r="GZ32" s="77">
        <f t="shared" si="48"/>
        <v>0</v>
      </c>
      <c r="HA32" s="67"/>
      <c r="HB32" s="73"/>
      <c r="HC32" s="74"/>
      <c r="HD32" s="77">
        <f t="shared" si="49"/>
        <v>0</v>
      </c>
      <c r="HE32" s="67"/>
      <c r="HF32" s="73"/>
      <c r="HG32" s="74"/>
      <c r="HH32" s="77">
        <f t="shared" si="50"/>
        <v>0</v>
      </c>
      <c r="HI32" s="67"/>
      <c r="HJ32" s="73"/>
      <c r="HK32" s="74"/>
      <c r="HL32" s="77">
        <f t="shared" si="51"/>
        <v>0</v>
      </c>
      <c r="HM32" s="67"/>
      <c r="HN32" s="73"/>
      <c r="HO32" s="74"/>
      <c r="HP32" s="77">
        <f t="shared" si="52"/>
        <v>0</v>
      </c>
      <c r="HQ32" s="67"/>
      <c r="HR32" s="73"/>
      <c r="HS32" s="74"/>
      <c r="HT32" s="77">
        <f t="shared" si="53"/>
        <v>0</v>
      </c>
      <c r="HU32" s="67"/>
      <c r="HV32" s="73"/>
      <c r="HW32" s="74"/>
      <c r="HX32" s="77">
        <f t="shared" si="54"/>
        <v>0</v>
      </c>
      <c r="HY32" s="67"/>
      <c r="HZ32" s="73"/>
      <c r="IA32" s="74"/>
      <c r="IB32" s="77">
        <f t="shared" si="55"/>
        <v>0</v>
      </c>
      <c r="IC32" s="67"/>
      <c r="ID32" s="73"/>
      <c r="IE32" s="74"/>
      <c r="IF32" s="77">
        <f t="shared" si="56"/>
        <v>0</v>
      </c>
      <c r="IG32" s="67"/>
      <c r="IH32" s="73"/>
      <c r="II32" s="74"/>
      <c r="IJ32" s="77">
        <f t="shared" si="57"/>
        <v>0</v>
      </c>
      <c r="IK32" s="67"/>
      <c r="IL32" s="73"/>
      <c r="IM32" s="74"/>
      <c r="IN32" s="77">
        <f t="shared" si="58"/>
        <v>0</v>
      </c>
      <c r="IO32" s="67"/>
      <c r="IP32" s="73"/>
      <c r="IQ32" s="74"/>
      <c r="IR32" s="77">
        <f t="shared" si="59"/>
        <v>0</v>
      </c>
      <c r="IS32" s="67"/>
      <c r="IT32" s="73"/>
      <c r="IU32" s="74"/>
      <c r="IV32" s="77">
        <f t="shared" si="60"/>
        <v>0</v>
      </c>
      <c r="IW32" s="67"/>
      <c r="IX32" s="73"/>
      <c r="IY32" s="74"/>
      <c r="IZ32" s="77">
        <f t="shared" si="61"/>
        <v>0</v>
      </c>
      <c r="JA32" s="67"/>
      <c r="JB32" s="55" t="e">
        <f t="shared" si="62"/>
        <v>#VALUE!</v>
      </c>
      <c r="JC32" s="55" t="e">
        <f t="shared" si="63"/>
        <v>#VALUE!</v>
      </c>
      <c r="JD32" s="55" t="e">
        <f t="shared" si="64"/>
        <v>#VALUE!</v>
      </c>
      <c r="JE32" s="55" t="e">
        <f t="shared" si="67"/>
        <v>#VALUE!</v>
      </c>
      <c r="JP32" s="55"/>
    </row>
    <row r="33" spans="3:275" ht="15.75" thickBot="1" x14ac:dyDescent="0.3"/>
    <row r="34" spans="3:275" ht="15" customHeight="1" x14ac:dyDescent="0.3">
      <c r="C34" s="89"/>
      <c r="D34" s="48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289"/>
      <c r="AE34" s="289"/>
      <c r="AF34" s="289"/>
      <c r="AG34" s="289"/>
      <c r="AH34" s="289"/>
      <c r="AI34" s="289"/>
      <c r="AJ34" s="289"/>
      <c r="AK34" s="289"/>
      <c r="AL34" s="289"/>
      <c r="AM34" s="289"/>
      <c r="AN34" s="289"/>
      <c r="AO34" s="289"/>
      <c r="AP34" s="289"/>
      <c r="AQ34" s="289"/>
      <c r="AR34" s="289"/>
      <c r="AS34" s="289"/>
      <c r="AT34" s="289"/>
      <c r="AU34" s="289"/>
      <c r="AV34" s="289"/>
      <c r="AW34" s="289"/>
      <c r="AX34" s="289"/>
      <c r="AY34" s="289"/>
      <c r="AZ34" s="289"/>
      <c r="BA34" s="289"/>
      <c r="BB34" s="289"/>
      <c r="BC34" s="289"/>
      <c r="BD34" s="289"/>
      <c r="BE34" s="289"/>
      <c r="BF34" s="289"/>
      <c r="BG34" s="289"/>
      <c r="BH34" s="289"/>
      <c r="BI34" s="289"/>
      <c r="BJ34" s="289"/>
      <c r="BK34" s="289"/>
      <c r="BL34" s="289"/>
      <c r="BM34" s="289"/>
      <c r="BN34" s="289"/>
      <c r="BO34" s="289"/>
      <c r="BP34" s="289"/>
      <c r="BQ34" s="289"/>
      <c r="BR34" s="289"/>
      <c r="BS34" s="289"/>
      <c r="BT34" s="289"/>
      <c r="BU34" s="289"/>
      <c r="BV34" s="289"/>
      <c r="BW34" s="289"/>
      <c r="BX34" s="289"/>
      <c r="BY34" s="289"/>
      <c r="BZ34" s="289"/>
      <c r="CA34" s="289"/>
      <c r="CB34" s="289"/>
      <c r="CC34" s="289"/>
      <c r="CD34" s="289"/>
      <c r="CE34" s="289"/>
      <c r="CF34" s="289"/>
      <c r="CG34" s="289"/>
      <c r="CH34" s="289"/>
      <c r="CI34" s="289"/>
      <c r="CJ34" s="289"/>
      <c r="CK34" s="289"/>
      <c r="CL34" s="289"/>
      <c r="CM34" s="289"/>
      <c r="CN34" s="289"/>
      <c r="CO34" s="289"/>
      <c r="CP34" s="289"/>
      <c r="CQ34" s="289"/>
      <c r="CR34" s="289"/>
      <c r="CS34" s="289"/>
      <c r="CT34" s="289"/>
      <c r="CU34" s="289"/>
      <c r="CV34" s="289"/>
      <c r="CW34" s="289"/>
      <c r="CX34" s="289"/>
      <c r="CY34" s="289"/>
      <c r="CZ34" s="289"/>
      <c r="DA34" s="289"/>
      <c r="DB34" s="289"/>
      <c r="DC34" s="289"/>
      <c r="DD34" s="289"/>
      <c r="DE34" s="289"/>
      <c r="DF34" s="289"/>
      <c r="DG34" s="289"/>
      <c r="DH34" s="289"/>
      <c r="DI34" s="289"/>
      <c r="DJ34" s="289"/>
      <c r="DK34" s="289"/>
      <c r="DL34" s="289"/>
      <c r="DM34" s="289"/>
      <c r="DN34" s="289"/>
      <c r="DO34" s="289"/>
      <c r="DP34" s="289"/>
      <c r="DQ34" s="289"/>
      <c r="DR34" s="289"/>
      <c r="DS34" s="289"/>
      <c r="DT34" s="289"/>
      <c r="DU34" s="289"/>
      <c r="DV34" s="289"/>
      <c r="DW34" s="289"/>
      <c r="DX34" s="289"/>
      <c r="DY34" s="289"/>
      <c r="DZ34" s="289"/>
      <c r="EA34" s="289"/>
      <c r="EB34" s="289"/>
      <c r="EC34" s="289"/>
      <c r="ED34" s="289"/>
      <c r="EE34" s="289"/>
      <c r="EF34" s="289"/>
      <c r="EG34" s="289"/>
      <c r="EH34" s="289"/>
      <c r="EI34" s="289"/>
      <c r="EJ34" s="289"/>
      <c r="EK34" s="289"/>
      <c r="EL34" s="289"/>
      <c r="EM34" s="289"/>
      <c r="EN34" s="289"/>
      <c r="EO34" s="289"/>
      <c r="EP34" s="289"/>
      <c r="EQ34" s="289"/>
      <c r="ER34" s="289"/>
      <c r="ES34" s="289"/>
      <c r="ET34" s="289"/>
      <c r="EU34" s="289"/>
      <c r="EV34" s="289"/>
      <c r="EW34" s="289"/>
      <c r="EX34" s="289"/>
      <c r="EY34" s="289"/>
      <c r="EZ34" s="289"/>
      <c r="FA34" s="289"/>
      <c r="FB34" s="289"/>
      <c r="FC34" s="289"/>
      <c r="FD34" s="289"/>
      <c r="FE34" s="289"/>
      <c r="FF34" s="289"/>
      <c r="FG34" s="289"/>
      <c r="FH34" s="289"/>
      <c r="FI34" s="289"/>
      <c r="FJ34" s="289"/>
      <c r="FK34" s="289"/>
      <c r="FL34" s="289"/>
      <c r="FM34" s="289"/>
      <c r="FN34" s="289"/>
      <c r="FO34" s="289"/>
      <c r="FP34" s="289"/>
      <c r="FQ34" s="289"/>
      <c r="FR34" s="289"/>
      <c r="FS34" s="289"/>
      <c r="FT34" s="289"/>
      <c r="FU34" s="289"/>
      <c r="FV34" s="289"/>
      <c r="FW34" s="289"/>
      <c r="FX34" s="289"/>
      <c r="FY34" s="289"/>
      <c r="FZ34" s="289"/>
      <c r="GA34" s="289"/>
      <c r="GB34" s="289"/>
      <c r="GC34" s="289"/>
      <c r="GD34" s="289"/>
      <c r="GE34" s="289"/>
      <c r="GF34" s="289"/>
      <c r="GG34" s="289"/>
      <c r="GH34" s="289"/>
      <c r="GI34" s="289"/>
      <c r="GJ34" s="289"/>
      <c r="GK34" s="289"/>
      <c r="GL34" s="289"/>
      <c r="GM34" s="289"/>
      <c r="GN34" s="289"/>
      <c r="GO34" s="289"/>
      <c r="GP34" s="289"/>
      <c r="GQ34" s="289"/>
      <c r="GR34" s="289"/>
      <c r="GS34" s="289"/>
      <c r="GT34" s="289"/>
      <c r="GU34" s="289"/>
      <c r="GV34" s="289"/>
      <c r="GW34" s="289"/>
      <c r="GX34" s="289"/>
      <c r="GY34" s="289"/>
      <c r="GZ34" s="289"/>
      <c r="HA34" s="289"/>
      <c r="HB34" s="289"/>
      <c r="HC34" s="289"/>
      <c r="HD34" s="289"/>
      <c r="HE34" s="289"/>
      <c r="HF34" s="289"/>
      <c r="HG34" s="289"/>
      <c r="HH34" s="289"/>
      <c r="HI34" s="289"/>
      <c r="HJ34" s="289"/>
      <c r="HK34" s="289"/>
      <c r="HL34" s="289"/>
      <c r="HM34" s="289"/>
      <c r="HN34" s="289"/>
      <c r="HO34" s="289"/>
      <c r="HP34" s="289"/>
      <c r="HQ34" s="289"/>
      <c r="HR34" s="289"/>
      <c r="HS34" s="289"/>
      <c r="HT34" s="289"/>
      <c r="HU34" s="289"/>
      <c r="HV34" s="289"/>
      <c r="HW34" s="289"/>
      <c r="HX34" s="289"/>
      <c r="HY34" s="289"/>
      <c r="HZ34" s="289"/>
      <c r="IA34" s="289"/>
      <c r="IB34" s="289"/>
      <c r="IC34" s="289"/>
      <c r="ID34" s="289"/>
      <c r="IE34" s="289"/>
      <c r="IF34" s="289"/>
      <c r="IG34" s="289"/>
      <c r="IH34" s="289"/>
      <c r="II34" s="289"/>
      <c r="IJ34" s="289"/>
      <c r="IK34" s="289"/>
      <c r="IL34" s="289"/>
      <c r="IM34" s="289"/>
      <c r="IN34" s="289"/>
      <c r="IO34" s="289"/>
      <c r="IP34" s="289"/>
      <c r="IQ34" s="289"/>
      <c r="IR34" s="289"/>
      <c r="IS34" s="289"/>
      <c r="IT34" s="289"/>
      <c r="IU34" s="289"/>
      <c r="IV34" s="289"/>
      <c r="IW34" s="289"/>
      <c r="IX34" s="289"/>
      <c r="IY34" s="289"/>
      <c r="IZ34" s="289"/>
      <c r="JA34" s="289"/>
      <c r="JG34" s="116"/>
      <c r="JH34" s="116"/>
      <c r="JI34" s="116"/>
      <c r="JL34" s="116"/>
      <c r="JM34" s="116"/>
      <c r="JN34" s="116"/>
      <c r="JO34" s="116"/>
    </row>
    <row r="35" spans="3:275" x14ac:dyDescent="0.25">
      <c r="H35" s="290"/>
      <c r="I35" s="290"/>
      <c r="J35" s="290"/>
      <c r="K35" s="290"/>
      <c r="L35" s="290"/>
      <c r="M35" s="290"/>
      <c r="N35" s="290"/>
      <c r="O35" s="290"/>
      <c r="P35" s="290"/>
      <c r="Q35" s="290"/>
      <c r="R35" s="290"/>
      <c r="S35" s="290"/>
      <c r="T35" s="290"/>
      <c r="U35" s="290"/>
      <c r="V35" s="290"/>
      <c r="W35" s="290"/>
      <c r="X35" s="290"/>
      <c r="Y35" s="290"/>
      <c r="Z35" s="290"/>
      <c r="AA35" s="290"/>
      <c r="AB35" s="290"/>
      <c r="AC35" s="290"/>
      <c r="AD35" s="290"/>
      <c r="AE35" s="290"/>
      <c r="AF35" s="290"/>
      <c r="AG35" s="290"/>
      <c r="AH35" s="290"/>
      <c r="AI35" s="290"/>
      <c r="AJ35" s="290"/>
      <c r="AK35" s="290"/>
      <c r="AL35" s="290"/>
      <c r="AM35" s="290"/>
      <c r="AN35" s="290"/>
      <c r="AO35" s="290"/>
      <c r="AP35" s="290"/>
      <c r="AQ35" s="290"/>
      <c r="AR35" s="290"/>
      <c r="AS35" s="290"/>
      <c r="AT35" s="290"/>
      <c r="AU35" s="290"/>
      <c r="AV35" s="290"/>
      <c r="AW35" s="290"/>
      <c r="AX35" s="290"/>
      <c r="AY35" s="290"/>
      <c r="AZ35" s="290"/>
      <c r="BA35" s="290"/>
      <c r="BB35" s="290"/>
      <c r="BC35" s="290"/>
      <c r="BD35" s="290"/>
      <c r="BE35" s="290"/>
      <c r="BF35" s="290"/>
      <c r="BG35" s="290"/>
      <c r="BH35" s="290"/>
      <c r="BI35" s="290"/>
      <c r="BJ35" s="290"/>
      <c r="BK35" s="290"/>
      <c r="BL35" s="290"/>
      <c r="BM35" s="290"/>
      <c r="BN35" s="290"/>
      <c r="BO35" s="290"/>
      <c r="BP35" s="290"/>
      <c r="BQ35" s="290"/>
      <c r="BR35" s="290"/>
      <c r="BS35" s="290"/>
      <c r="BT35" s="290"/>
      <c r="BU35" s="290"/>
      <c r="BV35" s="290"/>
      <c r="BW35" s="290"/>
      <c r="BX35" s="290"/>
      <c r="BY35" s="290"/>
      <c r="BZ35" s="290"/>
      <c r="CA35" s="290"/>
      <c r="CB35" s="290"/>
      <c r="CC35" s="290"/>
      <c r="CD35" s="290"/>
      <c r="CE35" s="290"/>
      <c r="CF35" s="290"/>
      <c r="CG35" s="290"/>
      <c r="CH35" s="290"/>
      <c r="CI35" s="290"/>
      <c r="CJ35" s="290"/>
      <c r="CK35" s="290"/>
      <c r="CL35" s="290"/>
      <c r="CM35" s="290"/>
      <c r="CN35" s="290"/>
      <c r="CO35" s="290"/>
      <c r="CP35" s="290"/>
      <c r="CQ35" s="290"/>
      <c r="CR35" s="290"/>
      <c r="CS35" s="290"/>
      <c r="CT35" s="290"/>
      <c r="CU35" s="290"/>
      <c r="CV35" s="290"/>
      <c r="CW35" s="290"/>
      <c r="CX35" s="290"/>
      <c r="CY35" s="290"/>
      <c r="CZ35" s="290"/>
      <c r="DA35" s="290"/>
      <c r="DB35" s="290"/>
      <c r="DC35" s="290"/>
      <c r="DD35" s="290"/>
      <c r="DE35" s="290"/>
      <c r="DF35" s="290"/>
      <c r="DG35" s="290"/>
      <c r="DH35" s="290"/>
      <c r="DI35" s="290"/>
      <c r="DJ35" s="290"/>
      <c r="DK35" s="290"/>
      <c r="DL35" s="290"/>
      <c r="DM35" s="290"/>
      <c r="DN35" s="290"/>
      <c r="DO35" s="290"/>
      <c r="DP35" s="290"/>
      <c r="DQ35" s="290"/>
      <c r="DR35" s="290"/>
      <c r="DS35" s="290"/>
      <c r="DT35" s="290"/>
      <c r="DU35" s="290"/>
      <c r="DV35" s="290"/>
      <c r="DW35" s="290"/>
      <c r="DX35" s="290"/>
      <c r="DY35" s="290"/>
      <c r="DZ35" s="290"/>
      <c r="EA35" s="290"/>
      <c r="EB35" s="290"/>
      <c r="EC35" s="290"/>
      <c r="ED35" s="290"/>
      <c r="EE35" s="290"/>
      <c r="EF35" s="290"/>
      <c r="EG35" s="290"/>
      <c r="EH35" s="290"/>
      <c r="EI35" s="290"/>
      <c r="EJ35" s="290"/>
      <c r="EK35" s="290"/>
      <c r="EL35" s="290"/>
      <c r="EM35" s="290"/>
      <c r="EN35" s="290"/>
      <c r="EO35" s="290"/>
      <c r="EP35" s="290"/>
      <c r="EQ35" s="290"/>
      <c r="ER35" s="290"/>
      <c r="ES35" s="290"/>
      <c r="ET35" s="290"/>
      <c r="EU35" s="290"/>
      <c r="EV35" s="290"/>
      <c r="EW35" s="290"/>
      <c r="EX35" s="290"/>
      <c r="EY35" s="290"/>
      <c r="EZ35" s="290"/>
      <c r="FA35" s="290"/>
      <c r="FB35" s="290"/>
      <c r="FC35" s="290"/>
      <c r="FD35" s="290"/>
      <c r="FE35" s="290"/>
      <c r="FF35" s="290"/>
      <c r="FG35" s="290"/>
      <c r="FH35" s="290"/>
      <c r="FI35" s="290"/>
      <c r="FJ35" s="290"/>
      <c r="FK35" s="290"/>
      <c r="FL35" s="290"/>
      <c r="FM35" s="290"/>
      <c r="FN35" s="290"/>
      <c r="FO35" s="290"/>
      <c r="FP35" s="290"/>
      <c r="FQ35" s="290"/>
      <c r="FR35" s="290"/>
      <c r="FS35" s="290"/>
      <c r="FT35" s="290"/>
      <c r="FU35" s="290"/>
      <c r="FV35" s="290"/>
      <c r="FW35" s="290"/>
      <c r="FX35" s="290"/>
      <c r="FY35" s="290"/>
      <c r="FZ35" s="290"/>
      <c r="GA35" s="290"/>
      <c r="GB35" s="290"/>
      <c r="GC35" s="290"/>
      <c r="GD35" s="290"/>
      <c r="GE35" s="290"/>
      <c r="GF35" s="290"/>
      <c r="GG35" s="290"/>
      <c r="GH35" s="290"/>
      <c r="GI35" s="290"/>
      <c r="GJ35" s="290"/>
      <c r="GK35" s="290"/>
      <c r="GL35" s="290"/>
      <c r="GM35" s="290"/>
      <c r="GN35" s="290"/>
      <c r="GO35" s="290"/>
      <c r="GP35" s="290"/>
      <c r="GQ35" s="290"/>
      <c r="GR35" s="290"/>
      <c r="GS35" s="290"/>
      <c r="GT35" s="290"/>
      <c r="GU35" s="290"/>
      <c r="GV35" s="290"/>
      <c r="GW35" s="290"/>
      <c r="GX35" s="290"/>
      <c r="GY35" s="290"/>
      <c r="GZ35" s="290"/>
      <c r="HA35" s="290"/>
      <c r="HB35" s="290"/>
      <c r="HC35" s="290"/>
      <c r="HD35" s="290"/>
      <c r="HE35" s="290"/>
      <c r="HF35" s="290"/>
      <c r="HG35" s="290"/>
      <c r="HH35" s="290"/>
      <c r="HI35" s="290"/>
      <c r="HJ35" s="290"/>
      <c r="HK35" s="290"/>
      <c r="HL35" s="290"/>
      <c r="HM35" s="290"/>
      <c r="HN35" s="290"/>
      <c r="HO35" s="290"/>
      <c r="HP35" s="290"/>
      <c r="HQ35" s="290"/>
      <c r="HR35" s="290"/>
      <c r="HS35" s="290"/>
      <c r="HT35" s="290"/>
      <c r="HU35" s="290"/>
      <c r="HV35" s="290"/>
      <c r="HW35" s="290"/>
      <c r="HX35" s="290"/>
      <c r="HY35" s="290"/>
      <c r="HZ35" s="290"/>
      <c r="IA35" s="290"/>
      <c r="IB35" s="290"/>
      <c r="IC35" s="290"/>
      <c r="ID35" s="290"/>
      <c r="IE35" s="290"/>
      <c r="IF35" s="290"/>
      <c r="IG35" s="290"/>
      <c r="IH35" s="290"/>
      <c r="II35" s="290"/>
      <c r="IJ35" s="290"/>
      <c r="IK35" s="290"/>
      <c r="IL35" s="290"/>
      <c r="IM35" s="290"/>
      <c r="IN35" s="290"/>
      <c r="IO35" s="290"/>
      <c r="IP35" s="290"/>
      <c r="IQ35" s="290"/>
      <c r="IR35" s="290"/>
      <c r="IS35" s="290"/>
      <c r="IT35" s="290"/>
      <c r="IU35" s="290"/>
      <c r="IV35" s="290"/>
      <c r="IW35" s="290"/>
      <c r="IX35" s="290"/>
      <c r="IY35" s="290"/>
      <c r="IZ35" s="290"/>
      <c r="JA35" s="290"/>
      <c r="JG35" s="116"/>
      <c r="JH35" s="116"/>
      <c r="JI35" s="116"/>
      <c r="JL35" s="116"/>
      <c r="JM35" s="116"/>
      <c r="JN35" s="116"/>
      <c r="JO35" s="116"/>
    </row>
    <row r="36" spans="3:275" x14ac:dyDescent="0.25">
      <c r="H36" s="290"/>
      <c r="I36" s="290"/>
      <c r="J36" s="290"/>
      <c r="K36" s="290"/>
      <c r="L36" s="290"/>
      <c r="M36" s="290"/>
      <c r="N36" s="290"/>
      <c r="O36" s="290"/>
      <c r="P36" s="290"/>
      <c r="Q36" s="290"/>
      <c r="R36" s="290"/>
      <c r="S36" s="290"/>
      <c r="T36" s="290"/>
      <c r="U36" s="290"/>
      <c r="V36" s="290"/>
      <c r="W36" s="290"/>
      <c r="X36" s="290"/>
      <c r="Y36" s="290"/>
      <c r="Z36" s="290"/>
      <c r="AA36" s="290"/>
      <c r="AB36" s="290"/>
      <c r="AC36" s="290"/>
      <c r="AD36" s="290"/>
      <c r="AE36" s="290"/>
      <c r="AF36" s="290"/>
      <c r="AG36" s="290"/>
      <c r="AH36" s="290"/>
      <c r="AI36" s="290"/>
      <c r="AJ36" s="290"/>
      <c r="AK36" s="290"/>
      <c r="AL36" s="290"/>
      <c r="AM36" s="290"/>
      <c r="AN36" s="290"/>
      <c r="AO36" s="290"/>
      <c r="AP36" s="290"/>
      <c r="AQ36" s="290"/>
      <c r="AR36" s="290"/>
      <c r="AS36" s="290"/>
      <c r="AT36" s="290"/>
      <c r="AU36" s="290"/>
      <c r="AV36" s="290"/>
      <c r="AW36" s="290"/>
      <c r="AX36" s="290"/>
      <c r="AY36" s="290"/>
      <c r="AZ36" s="290"/>
      <c r="BA36" s="290"/>
      <c r="BB36" s="290"/>
      <c r="BC36" s="290"/>
      <c r="BD36" s="290"/>
      <c r="BE36" s="290"/>
      <c r="BF36" s="290"/>
      <c r="BG36" s="290"/>
      <c r="BH36" s="290"/>
      <c r="BI36" s="290"/>
      <c r="BJ36" s="290"/>
      <c r="BK36" s="290"/>
      <c r="BL36" s="290"/>
      <c r="BM36" s="290"/>
      <c r="BN36" s="290"/>
      <c r="BO36" s="290"/>
      <c r="BP36" s="290"/>
      <c r="BQ36" s="290"/>
      <c r="BR36" s="290"/>
      <c r="BS36" s="290"/>
      <c r="BT36" s="290"/>
      <c r="BU36" s="290"/>
      <c r="BV36" s="290"/>
      <c r="BW36" s="290"/>
      <c r="BX36" s="290"/>
      <c r="BY36" s="290"/>
      <c r="BZ36" s="290"/>
      <c r="CA36" s="290"/>
      <c r="CB36" s="290"/>
      <c r="CC36" s="290"/>
      <c r="CD36" s="290"/>
      <c r="CE36" s="290"/>
      <c r="CF36" s="290"/>
      <c r="CG36" s="290"/>
      <c r="CH36" s="290"/>
      <c r="CI36" s="290"/>
      <c r="CJ36" s="290"/>
      <c r="CK36" s="290"/>
      <c r="CL36" s="290"/>
      <c r="CM36" s="290"/>
      <c r="CN36" s="290"/>
      <c r="CO36" s="290"/>
      <c r="CP36" s="290"/>
      <c r="CQ36" s="290"/>
      <c r="CR36" s="290"/>
      <c r="CS36" s="290"/>
      <c r="CT36" s="290"/>
      <c r="CU36" s="290"/>
      <c r="CV36" s="290"/>
      <c r="CW36" s="290"/>
      <c r="CX36" s="290"/>
      <c r="CY36" s="290"/>
      <c r="CZ36" s="290"/>
      <c r="DA36" s="290"/>
      <c r="DB36" s="290"/>
      <c r="DC36" s="290"/>
      <c r="DD36" s="290"/>
      <c r="DE36" s="290"/>
      <c r="DF36" s="290"/>
      <c r="DG36" s="290"/>
      <c r="DH36" s="290"/>
      <c r="DI36" s="290"/>
      <c r="DJ36" s="290"/>
      <c r="DK36" s="290"/>
      <c r="DL36" s="290"/>
      <c r="DM36" s="290"/>
      <c r="DN36" s="290"/>
      <c r="DO36" s="290"/>
      <c r="DP36" s="290"/>
      <c r="DQ36" s="290"/>
      <c r="DR36" s="290"/>
      <c r="DS36" s="290"/>
      <c r="DT36" s="290"/>
      <c r="DU36" s="290"/>
      <c r="DV36" s="290"/>
      <c r="DW36" s="290"/>
      <c r="DX36" s="290"/>
      <c r="DY36" s="290"/>
      <c r="DZ36" s="290"/>
      <c r="EA36" s="290"/>
      <c r="EB36" s="290"/>
      <c r="EC36" s="290"/>
      <c r="ED36" s="290"/>
      <c r="EE36" s="290"/>
      <c r="EF36" s="290"/>
      <c r="EG36" s="290"/>
      <c r="EH36" s="290"/>
      <c r="EI36" s="290"/>
      <c r="EJ36" s="290"/>
      <c r="EK36" s="290"/>
      <c r="EL36" s="290"/>
      <c r="EM36" s="290"/>
      <c r="EN36" s="290"/>
      <c r="EO36" s="290"/>
      <c r="EP36" s="290"/>
      <c r="EQ36" s="290"/>
      <c r="ER36" s="290"/>
      <c r="ES36" s="290"/>
      <c r="ET36" s="290"/>
      <c r="EU36" s="290"/>
      <c r="EV36" s="290"/>
      <c r="EW36" s="290"/>
      <c r="EX36" s="290"/>
      <c r="EY36" s="290"/>
      <c r="EZ36" s="290"/>
      <c r="FA36" s="290"/>
      <c r="FB36" s="290"/>
      <c r="FC36" s="290"/>
      <c r="FD36" s="290"/>
      <c r="FE36" s="290"/>
      <c r="FF36" s="290"/>
      <c r="FG36" s="290"/>
      <c r="FH36" s="290"/>
      <c r="FI36" s="290"/>
      <c r="FJ36" s="290"/>
      <c r="FK36" s="290"/>
      <c r="FL36" s="290"/>
      <c r="FM36" s="290"/>
      <c r="FN36" s="290"/>
      <c r="FO36" s="290"/>
      <c r="FP36" s="290"/>
      <c r="FQ36" s="290"/>
      <c r="FR36" s="290"/>
      <c r="FS36" s="290"/>
      <c r="FT36" s="290"/>
      <c r="FU36" s="290"/>
      <c r="FV36" s="290"/>
      <c r="FW36" s="290"/>
      <c r="FX36" s="290"/>
      <c r="FY36" s="290"/>
      <c r="FZ36" s="290"/>
      <c r="GA36" s="290"/>
      <c r="GB36" s="290"/>
      <c r="GC36" s="290"/>
      <c r="GD36" s="290"/>
      <c r="GE36" s="290"/>
      <c r="GF36" s="290"/>
      <c r="GG36" s="290"/>
      <c r="GH36" s="290"/>
      <c r="GI36" s="290"/>
      <c r="GJ36" s="290"/>
      <c r="GK36" s="290"/>
      <c r="GL36" s="290"/>
      <c r="GM36" s="290"/>
      <c r="GN36" s="290"/>
      <c r="GO36" s="290"/>
      <c r="GP36" s="290"/>
      <c r="GQ36" s="290"/>
      <c r="GR36" s="290"/>
      <c r="GS36" s="290"/>
      <c r="GT36" s="290"/>
      <c r="GU36" s="290"/>
      <c r="GV36" s="290"/>
      <c r="GW36" s="290"/>
      <c r="GX36" s="290"/>
      <c r="GY36" s="290"/>
      <c r="GZ36" s="290"/>
      <c r="HA36" s="290"/>
      <c r="HB36" s="290"/>
      <c r="HC36" s="290"/>
      <c r="HD36" s="290"/>
      <c r="HE36" s="290"/>
      <c r="HF36" s="290"/>
      <c r="HG36" s="290"/>
      <c r="HH36" s="290"/>
      <c r="HI36" s="290"/>
      <c r="HJ36" s="290"/>
      <c r="HK36" s="290"/>
      <c r="HL36" s="290"/>
      <c r="HM36" s="290"/>
      <c r="HN36" s="290"/>
      <c r="HO36" s="290"/>
      <c r="HP36" s="290"/>
      <c r="HQ36" s="290"/>
      <c r="HR36" s="290"/>
      <c r="HS36" s="290"/>
      <c r="HT36" s="290"/>
      <c r="HU36" s="290"/>
      <c r="HV36" s="290"/>
      <c r="HW36" s="290"/>
      <c r="HX36" s="290"/>
      <c r="HY36" s="290"/>
      <c r="HZ36" s="290"/>
      <c r="IA36" s="290"/>
      <c r="IB36" s="290"/>
      <c r="IC36" s="290"/>
      <c r="ID36" s="290"/>
      <c r="IE36" s="290"/>
      <c r="IF36" s="290"/>
      <c r="IG36" s="290"/>
      <c r="IH36" s="290"/>
      <c r="II36" s="290"/>
      <c r="IJ36" s="290"/>
      <c r="IK36" s="290"/>
      <c r="IL36" s="290"/>
      <c r="IM36" s="290"/>
      <c r="IN36" s="290"/>
      <c r="IO36" s="290"/>
      <c r="IP36" s="290"/>
      <c r="IQ36" s="290"/>
      <c r="IR36" s="290"/>
      <c r="IS36" s="290"/>
      <c r="IT36" s="290"/>
      <c r="IU36" s="290"/>
      <c r="IV36" s="290"/>
      <c r="IW36" s="290"/>
      <c r="IX36" s="290"/>
      <c r="IY36" s="290"/>
      <c r="IZ36" s="290"/>
      <c r="JA36" s="290"/>
      <c r="JG36" s="116"/>
      <c r="JH36" s="116"/>
      <c r="JI36" s="116"/>
      <c r="JL36" s="116"/>
      <c r="JM36" s="116"/>
      <c r="JN36" s="116"/>
      <c r="JO36" s="116"/>
    </row>
    <row r="37" spans="3:275" x14ac:dyDescent="0.25">
      <c r="H37" s="290"/>
      <c r="I37" s="290"/>
      <c r="J37" s="290"/>
      <c r="K37" s="290"/>
      <c r="L37" s="290"/>
      <c r="M37" s="290"/>
      <c r="N37" s="290"/>
      <c r="O37" s="290"/>
      <c r="P37" s="290"/>
      <c r="Q37" s="290"/>
      <c r="R37" s="290"/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  <c r="AF37" s="290"/>
      <c r="AG37" s="290"/>
      <c r="AH37" s="290"/>
      <c r="AI37" s="290"/>
      <c r="AJ37" s="290"/>
      <c r="AK37" s="290"/>
      <c r="AL37" s="290"/>
      <c r="AM37" s="290"/>
      <c r="AN37" s="290"/>
      <c r="AO37" s="290"/>
      <c r="AP37" s="290"/>
      <c r="AQ37" s="290"/>
      <c r="AR37" s="290"/>
      <c r="AS37" s="290"/>
      <c r="AT37" s="290"/>
      <c r="AU37" s="290"/>
      <c r="AV37" s="290"/>
      <c r="AW37" s="290"/>
      <c r="AX37" s="290"/>
      <c r="AY37" s="290"/>
      <c r="AZ37" s="290"/>
      <c r="BA37" s="290"/>
      <c r="BB37" s="290"/>
      <c r="BC37" s="290"/>
      <c r="BD37" s="290"/>
      <c r="BE37" s="290"/>
      <c r="BF37" s="290"/>
      <c r="BG37" s="290"/>
      <c r="BH37" s="290"/>
      <c r="BI37" s="290"/>
      <c r="BJ37" s="290"/>
      <c r="BK37" s="290"/>
      <c r="BL37" s="290"/>
      <c r="BM37" s="290"/>
      <c r="BN37" s="290"/>
      <c r="BO37" s="290"/>
      <c r="BP37" s="290"/>
      <c r="BQ37" s="290"/>
      <c r="BR37" s="290"/>
      <c r="BS37" s="290"/>
      <c r="BT37" s="290"/>
      <c r="BU37" s="290"/>
      <c r="BV37" s="290"/>
      <c r="BW37" s="290"/>
      <c r="BX37" s="290"/>
      <c r="BY37" s="290"/>
      <c r="BZ37" s="290"/>
      <c r="CA37" s="290"/>
      <c r="CB37" s="290"/>
      <c r="CC37" s="290"/>
      <c r="CD37" s="290"/>
      <c r="CE37" s="290"/>
      <c r="CF37" s="290"/>
      <c r="CG37" s="290"/>
      <c r="CH37" s="290"/>
      <c r="CI37" s="290"/>
      <c r="CJ37" s="290"/>
      <c r="CK37" s="290"/>
      <c r="CL37" s="290"/>
      <c r="CM37" s="290"/>
      <c r="CN37" s="290"/>
      <c r="CO37" s="290"/>
      <c r="CP37" s="290"/>
      <c r="CQ37" s="290"/>
      <c r="CR37" s="290"/>
      <c r="CS37" s="290"/>
      <c r="CT37" s="290"/>
      <c r="CU37" s="290"/>
      <c r="CV37" s="290"/>
      <c r="CW37" s="290"/>
      <c r="CX37" s="290"/>
      <c r="CY37" s="290"/>
      <c r="CZ37" s="290"/>
      <c r="DA37" s="290"/>
      <c r="DB37" s="290"/>
      <c r="DC37" s="290"/>
      <c r="DD37" s="290"/>
      <c r="DE37" s="290"/>
      <c r="DF37" s="290"/>
      <c r="DG37" s="290"/>
      <c r="DH37" s="290"/>
      <c r="DI37" s="290"/>
      <c r="DJ37" s="290"/>
      <c r="DK37" s="290"/>
      <c r="DL37" s="290"/>
      <c r="DM37" s="290"/>
      <c r="DN37" s="290"/>
      <c r="DO37" s="290"/>
      <c r="DP37" s="290"/>
      <c r="DQ37" s="290"/>
      <c r="DR37" s="290"/>
      <c r="DS37" s="290"/>
      <c r="DT37" s="290"/>
      <c r="DU37" s="290"/>
      <c r="DV37" s="290"/>
      <c r="DW37" s="290"/>
      <c r="DX37" s="290"/>
      <c r="DY37" s="290"/>
      <c r="DZ37" s="290"/>
      <c r="EA37" s="290"/>
      <c r="EB37" s="290"/>
      <c r="EC37" s="290"/>
      <c r="ED37" s="290"/>
      <c r="EE37" s="290"/>
      <c r="EF37" s="290"/>
      <c r="EG37" s="290"/>
      <c r="EH37" s="290"/>
      <c r="EI37" s="290"/>
      <c r="EJ37" s="290"/>
      <c r="EK37" s="290"/>
      <c r="EL37" s="290"/>
      <c r="EM37" s="290"/>
      <c r="EN37" s="290"/>
      <c r="EO37" s="290"/>
      <c r="EP37" s="290"/>
      <c r="EQ37" s="290"/>
      <c r="ER37" s="290"/>
      <c r="ES37" s="290"/>
      <c r="ET37" s="290"/>
      <c r="EU37" s="290"/>
      <c r="EV37" s="290"/>
      <c r="EW37" s="290"/>
      <c r="EX37" s="290"/>
      <c r="EY37" s="290"/>
      <c r="EZ37" s="290"/>
      <c r="FA37" s="290"/>
      <c r="FB37" s="290"/>
      <c r="FC37" s="290"/>
      <c r="FD37" s="290"/>
      <c r="FE37" s="290"/>
      <c r="FF37" s="290"/>
      <c r="FG37" s="290"/>
      <c r="FH37" s="290"/>
      <c r="FI37" s="290"/>
      <c r="FJ37" s="290"/>
      <c r="FK37" s="290"/>
      <c r="FL37" s="290"/>
      <c r="FM37" s="290"/>
      <c r="FN37" s="290"/>
      <c r="FO37" s="290"/>
      <c r="FP37" s="290"/>
      <c r="FQ37" s="290"/>
      <c r="FR37" s="290"/>
      <c r="FS37" s="290"/>
      <c r="FT37" s="290"/>
      <c r="FU37" s="290"/>
      <c r="FV37" s="290"/>
      <c r="FW37" s="290"/>
      <c r="FX37" s="290"/>
      <c r="FY37" s="290"/>
      <c r="FZ37" s="290"/>
      <c r="GA37" s="290"/>
      <c r="GB37" s="290"/>
      <c r="GC37" s="290"/>
      <c r="GD37" s="290"/>
      <c r="GE37" s="290"/>
      <c r="GF37" s="290"/>
      <c r="GG37" s="290"/>
      <c r="GH37" s="290"/>
      <c r="GI37" s="290"/>
      <c r="GJ37" s="290"/>
      <c r="GK37" s="290"/>
      <c r="GL37" s="290"/>
      <c r="GM37" s="290"/>
      <c r="GN37" s="290"/>
      <c r="GO37" s="290"/>
      <c r="GP37" s="290"/>
      <c r="GQ37" s="290"/>
      <c r="GR37" s="290"/>
      <c r="GS37" s="290"/>
      <c r="GT37" s="290"/>
      <c r="GU37" s="290"/>
      <c r="GV37" s="290"/>
      <c r="GW37" s="290"/>
      <c r="GX37" s="290"/>
      <c r="GY37" s="290"/>
      <c r="GZ37" s="290"/>
      <c r="HA37" s="290"/>
      <c r="HB37" s="290"/>
      <c r="HC37" s="290"/>
      <c r="HD37" s="290"/>
      <c r="HE37" s="290"/>
      <c r="HF37" s="290"/>
      <c r="HG37" s="290"/>
      <c r="HH37" s="290"/>
      <c r="HI37" s="290"/>
      <c r="HJ37" s="290"/>
      <c r="HK37" s="290"/>
      <c r="HL37" s="290"/>
      <c r="HM37" s="290"/>
      <c r="HN37" s="290"/>
      <c r="HO37" s="290"/>
      <c r="HP37" s="290"/>
      <c r="HQ37" s="290"/>
      <c r="HR37" s="290"/>
      <c r="HS37" s="290"/>
      <c r="HT37" s="290"/>
      <c r="HU37" s="290"/>
      <c r="HV37" s="290"/>
      <c r="HW37" s="290"/>
      <c r="HX37" s="290"/>
      <c r="HY37" s="290"/>
      <c r="HZ37" s="290"/>
      <c r="IA37" s="290"/>
      <c r="IB37" s="290"/>
      <c r="IC37" s="290"/>
      <c r="ID37" s="290"/>
      <c r="IE37" s="290"/>
      <c r="IF37" s="290"/>
      <c r="IG37" s="290"/>
      <c r="IH37" s="290"/>
      <c r="II37" s="290"/>
      <c r="IJ37" s="290"/>
      <c r="IK37" s="290"/>
      <c r="IL37" s="290"/>
      <c r="IM37" s="290"/>
      <c r="IN37" s="290"/>
      <c r="IO37" s="290"/>
      <c r="IP37" s="290"/>
      <c r="IQ37" s="290"/>
      <c r="IR37" s="290"/>
      <c r="IS37" s="290"/>
      <c r="IT37" s="290"/>
      <c r="IU37" s="290"/>
      <c r="IV37" s="290"/>
      <c r="IW37" s="290"/>
      <c r="IX37" s="290"/>
      <c r="IY37" s="290"/>
      <c r="IZ37" s="290"/>
      <c r="JA37" s="290"/>
      <c r="JG37" s="116"/>
      <c r="JH37" s="116"/>
      <c r="JI37" s="116"/>
      <c r="JL37" s="116"/>
      <c r="JM37" s="116"/>
      <c r="JN37" s="116"/>
      <c r="JO37" s="116"/>
    </row>
    <row r="38" spans="3:275" ht="15.75" thickBot="1" x14ac:dyDescent="0.3"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/>
      <c r="BE38" s="291"/>
      <c r="BF38" s="291"/>
      <c r="BG38" s="291"/>
      <c r="BH38" s="291"/>
      <c r="BI38" s="291"/>
      <c r="BJ38" s="291"/>
      <c r="BK38" s="291"/>
      <c r="BL38" s="291"/>
      <c r="BM38" s="291"/>
      <c r="BN38" s="291"/>
      <c r="BO38" s="291"/>
      <c r="BP38" s="291"/>
      <c r="BQ38" s="291"/>
      <c r="BR38" s="291"/>
      <c r="BS38" s="291"/>
      <c r="BT38" s="291"/>
      <c r="BU38" s="291"/>
      <c r="BV38" s="291"/>
      <c r="BW38" s="291"/>
      <c r="BX38" s="291"/>
      <c r="BY38" s="291"/>
      <c r="BZ38" s="291"/>
      <c r="CA38" s="291"/>
      <c r="CB38" s="291"/>
      <c r="CC38" s="291"/>
      <c r="CD38" s="291"/>
      <c r="CE38" s="291"/>
      <c r="CF38" s="291"/>
      <c r="CG38" s="291"/>
      <c r="CH38" s="291"/>
      <c r="CI38" s="291"/>
      <c r="CJ38" s="291"/>
      <c r="CK38" s="291"/>
      <c r="CL38" s="291"/>
      <c r="CM38" s="291"/>
      <c r="CN38" s="291"/>
      <c r="CO38" s="291"/>
      <c r="CP38" s="291"/>
      <c r="CQ38" s="291"/>
      <c r="CR38" s="291"/>
      <c r="CS38" s="291"/>
      <c r="CT38" s="291"/>
      <c r="CU38" s="291"/>
      <c r="CV38" s="291"/>
      <c r="CW38" s="291"/>
      <c r="CX38" s="291"/>
      <c r="CY38" s="291"/>
      <c r="CZ38" s="291"/>
      <c r="DA38" s="291"/>
      <c r="DB38" s="291"/>
      <c r="DC38" s="291"/>
      <c r="DD38" s="291"/>
      <c r="DE38" s="291"/>
      <c r="DF38" s="291"/>
      <c r="DG38" s="291"/>
      <c r="DH38" s="291"/>
      <c r="DI38" s="291"/>
      <c r="DJ38" s="291"/>
      <c r="DK38" s="291"/>
      <c r="DL38" s="291"/>
      <c r="DM38" s="291"/>
      <c r="DN38" s="291"/>
      <c r="DO38" s="291"/>
      <c r="DP38" s="291"/>
      <c r="DQ38" s="291"/>
      <c r="DR38" s="291"/>
      <c r="DS38" s="291"/>
      <c r="DT38" s="291"/>
      <c r="DU38" s="291"/>
      <c r="DV38" s="291"/>
      <c r="DW38" s="291"/>
      <c r="DX38" s="291"/>
      <c r="DY38" s="291"/>
      <c r="DZ38" s="291"/>
      <c r="EA38" s="291"/>
      <c r="EB38" s="291"/>
      <c r="EC38" s="291"/>
      <c r="ED38" s="291"/>
      <c r="EE38" s="291"/>
      <c r="EF38" s="291"/>
      <c r="EG38" s="291"/>
      <c r="EH38" s="291"/>
      <c r="EI38" s="291"/>
      <c r="EJ38" s="291"/>
      <c r="EK38" s="291"/>
      <c r="EL38" s="291"/>
      <c r="EM38" s="291"/>
      <c r="EN38" s="291"/>
      <c r="EO38" s="291"/>
      <c r="EP38" s="291"/>
      <c r="EQ38" s="291"/>
      <c r="ER38" s="291"/>
      <c r="ES38" s="291"/>
      <c r="ET38" s="291"/>
      <c r="EU38" s="291"/>
      <c r="EV38" s="291"/>
      <c r="EW38" s="291"/>
      <c r="EX38" s="291"/>
      <c r="EY38" s="291"/>
      <c r="EZ38" s="291"/>
      <c r="FA38" s="291"/>
      <c r="FB38" s="291"/>
      <c r="FC38" s="291"/>
      <c r="FD38" s="291"/>
      <c r="FE38" s="291"/>
      <c r="FF38" s="291"/>
      <c r="FG38" s="291"/>
      <c r="FH38" s="291"/>
      <c r="FI38" s="291"/>
      <c r="FJ38" s="291"/>
      <c r="FK38" s="291"/>
      <c r="FL38" s="291"/>
      <c r="FM38" s="291"/>
      <c r="FN38" s="291"/>
      <c r="FO38" s="291"/>
      <c r="FP38" s="291"/>
      <c r="FQ38" s="291"/>
      <c r="FR38" s="291"/>
      <c r="FS38" s="291"/>
      <c r="FT38" s="291"/>
      <c r="FU38" s="291"/>
      <c r="FV38" s="291"/>
      <c r="FW38" s="291"/>
      <c r="FX38" s="291"/>
      <c r="FY38" s="291"/>
      <c r="FZ38" s="291"/>
      <c r="GA38" s="291"/>
      <c r="GB38" s="291"/>
      <c r="GC38" s="291"/>
      <c r="GD38" s="291"/>
      <c r="GE38" s="291"/>
      <c r="GF38" s="291"/>
      <c r="GG38" s="291"/>
      <c r="GH38" s="291"/>
      <c r="GI38" s="291"/>
      <c r="GJ38" s="291"/>
      <c r="GK38" s="291"/>
      <c r="GL38" s="291"/>
      <c r="GM38" s="291"/>
      <c r="GN38" s="291"/>
      <c r="GO38" s="291"/>
      <c r="GP38" s="291"/>
      <c r="GQ38" s="291"/>
      <c r="GR38" s="291"/>
      <c r="GS38" s="291"/>
      <c r="GT38" s="291"/>
      <c r="GU38" s="291"/>
      <c r="GV38" s="291"/>
      <c r="GW38" s="291"/>
      <c r="GX38" s="291"/>
      <c r="GY38" s="291"/>
      <c r="GZ38" s="291"/>
      <c r="HA38" s="291"/>
      <c r="HB38" s="291"/>
      <c r="HC38" s="291"/>
      <c r="HD38" s="291"/>
      <c r="HE38" s="291"/>
      <c r="HF38" s="291"/>
      <c r="HG38" s="291"/>
      <c r="HH38" s="291"/>
      <c r="HI38" s="291"/>
      <c r="HJ38" s="291"/>
      <c r="HK38" s="291"/>
      <c r="HL38" s="291"/>
      <c r="HM38" s="291"/>
      <c r="HN38" s="291"/>
      <c r="HO38" s="291"/>
      <c r="HP38" s="291"/>
      <c r="HQ38" s="291"/>
      <c r="HR38" s="291"/>
      <c r="HS38" s="291"/>
      <c r="HT38" s="291"/>
      <c r="HU38" s="291"/>
      <c r="HV38" s="291"/>
      <c r="HW38" s="291"/>
      <c r="HX38" s="291"/>
      <c r="HY38" s="291"/>
      <c r="HZ38" s="291"/>
      <c r="IA38" s="291"/>
      <c r="IB38" s="291"/>
      <c r="IC38" s="291"/>
      <c r="ID38" s="291"/>
      <c r="IE38" s="291"/>
      <c r="IF38" s="291"/>
      <c r="IG38" s="291"/>
      <c r="IH38" s="291"/>
      <c r="II38" s="291"/>
      <c r="IJ38" s="291"/>
      <c r="IK38" s="291"/>
      <c r="IL38" s="291"/>
      <c r="IM38" s="291"/>
      <c r="IN38" s="291"/>
      <c r="IO38" s="291"/>
      <c r="IP38" s="291"/>
      <c r="IQ38" s="291"/>
      <c r="IR38" s="291"/>
      <c r="IS38" s="291"/>
      <c r="IT38" s="291"/>
      <c r="IU38" s="291"/>
      <c r="IV38" s="291"/>
      <c r="IW38" s="291"/>
      <c r="IX38" s="291"/>
      <c r="IY38" s="291"/>
      <c r="IZ38" s="291"/>
      <c r="JA38" s="291"/>
      <c r="JG38" s="116"/>
      <c r="JH38" s="116"/>
      <c r="JI38" s="116"/>
      <c r="JL38" s="116"/>
      <c r="JM38" s="116"/>
      <c r="JN38" s="116"/>
      <c r="JO38" s="116"/>
    </row>
    <row r="39" spans="3:275" x14ac:dyDescent="0.25">
      <c r="JG39" s="116"/>
      <c r="JH39" s="116"/>
      <c r="JI39" s="116"/>
      <c r="JL39" s="116"/>
      <c r="JM39" s="116"/>
      <c r="JN39" s="116"/>
      <c r="JO39" s="116"/>
    </row>
    <row r="40" spans="3:275" x14ac:dyDescent="0.25">
      <c r="JG40" s="116"/>
      <c r="JH40" s="116"/>
      <c r="JI40" s="116"/>
      <c r="JL40" s="116"/>
      <c r="JM40" s="116"/>
      <c r="JN40" s="116"/>
      <c r="JO40" s="116"/>
    </row>
    <row r="41" spans="3:275" x14ac:dyDescent="0.25">
      <c r="JG41" s="116"/>
      <c r="JH41" s="116"/>
      <c r="JI41" s="116"/>
      <c r="JL41" s="116"/>
      <c r="JM41" s="116"/>
      <c r="JN41" s="116"/>
      <c r="JO41" s="116"/>
    </row>
    <row r="42" spans="3:275" x14ac:dyDescent="0.25">
      <c r="JG42" s="116"/>
      <c r="JH42" s="116"/>
      <c r="JI42" s="116"/>
      <c r="JL42" s="116"/>
      <c r="JM42" s="116"/>
      <c r="JN42" s="116"/>
      <c r="JO42" s="116"/>
    </row>
    <row r="43" spans="3:275" x14ac:dyDescent="0.25">
      <c r="JG43" s="116"/>
      <c r="JH43" s="116"/>
      <c r="JI43" s="116"/>
      <c r="JL43" s="116"/>
      <c r="JM43" s="116"/>
      <c r="JN43" s="116"/>
      <c r="JO43" s="116"/>
    </row>
    <row r="44" spans="3:275" x14ac:dyDescent="0.25">
      <c r="JG44" s="116"/>
      <c r="JH44" s="116"/>
      <c r="JI44" s="116"/>
      <c r="JL44" s="116"/>
      <c r="JM44" s="116"/>
      <c r="JN44" s="116"/>
      <c r="JO44" s="116"/>
    </row>
    <row r="45" spans="3:275" x14ac:dyDescent="0.25">
      <c r="JG45" s="116"/>
      <c r="JH45" s="116"/>
      <c r="JI45" s="116"/>
      <c r="JL45" s="116"/>
      <c r="JM45" s="116"/>
      <c r="JN45" s="116"/>
      <c r="JO45" s="116"/>
    </row>
  </sheetData>
  <sheetProtection sheet="1" objects="1" scenarios="1" selectLockedCells="1" selectUnlockedCells="1"/>
  <mergeCells count="148">
    <mergeCell ref="HF34:HU38"/>
    <mergeCell ref="HV34:IK38"/>
    <mergeCell ref="IL34:JA38"/>
    <mergeCell ref="CX34:DM38"/>
    <mergeCell ref="DN34:EC38"/>
    <mergeCell ref="ED34:ES38"/>
    <mergeCell ref="ET34:FI38"/>
    <mergeCell ref="FJ34:FY38"/>
    <mergeCell ref="FZ34:GO38"/>
    <mergeCell ref="IP8:IS8"/>
    <mergeCell ref="IT8:IW8"/>
    <mergeCell ref="IX8:JA8"/>
    <mergeCell ref="H34:U38"/>
    <mergeCell ref="V34:AK38"/>
    <mergeCell ref="AL34:BA38"/>
    <mergeCell ref="BB34:BQ38"/>
    <mergeCell ref="BR34:CG38"/>
    <mergeCell ref="CH34:CW38"/>
    <mergeCell ref="HN8:HQ8"/>
    <mergeCell ref="HR8:HU8"/>
    <mergeCell ref="HV8:HY8"/>
    <mergeCell ref="HZ8:IC8"/>
    <mergeCell ref="ID8:IG8"/>
    <mergeCell ref="IH8:IK8"/>
    <mergeCell ref="GP8:GS8"/>
    <mergeCell ref="GT8:GW8"/>
    <mergeCell ref="GX8:HA8"/>
    <mergeCell ref="HB8:HE8"/>
    <mergeCell ref="HF8:HI8"/>
    <mergeCell ref="HJ8:HM8"/>
    <mergeCell ref="FR8:FU8"/>
    <mergeCell ref="FV8:FY8"/>
    <mergeCell ref="GP34:HE38"/>
    <mergeCell ref="GH8:GK8"/>
    <mergeCell ref="GL8:GO8"/>
    <mergeCell ref="ET8:EW8"/>
    <mergeCell ref="EX8:FA8"/>
    <mergeCell ref="FB8:FE8"/>
    <mergeCell ref="FF8:FI8"/>
    <mergeCell ref="FJ8:FM8"/>
    <mergeCell ref="FN8:FQ8"/>
    <mergeCell ref="IL8:IO8"/>
    <mergeCell ref="EP8:ES8"/>
    <mergeCell ref="CX8:DA8"/>
    <mergeCell ref="DB8:DE8"/>
    <mergeCell ref="DF8:DI8"/>
    <mergeCell ref="DJ8:DM8"/>
    <mergeCell ref="DN8:DQ8"/>
    <mergeCell ref="DR8:DU8"/>
    <mergeCell ref="FZ8:GC8"/>
    <mergeCell ref="GD8:GG8"/>
    <mergeCell ref="BJ8:BM8"/>
    <mergeCell ref="BN8:BQ8"/>
    <mergeCell ref="BR8:BU8"/>
    <mergeCell ref="BV8:BY8"/>
    <mergeCell ref="DV8:DY8"/>
    <mergeCell ref="DZ8:EC8"/>
    <mergeCell ref="ED8:EG8"/>
    <mergeCell ref="EH8:EK8"/>
    <mergeCell ref="EL8:EO8"/>
    <mergeCell ref="AD8:AG8"/>
    <mergeCell ref="AH8:AK8"/>
    <mergeCell ref="AL8:AO8"/>
    <mergeCell ref="AP8:AS8"/>
    <mergeCell ref="AT8:AW8"/>
    <mergeCell ref="AX8:BA8"/>
    <mergeCell ref="IL7:IS7"/>
    <mergeCell ref="IT7:JA7"/>
    <mergeCell ref="JB7:JC7"/>
    <mergeCell ref="EL7:ES7"/>
    <mergeCell ref="BB7:BI7"/>
    <mergeCell ref="BJ7:BQ7"/>
    <mergeCell ref="BR7:BY7"/>
    <mergeCell ref="BZ7:CG7"/>
    <mergeCell ref="CH7:CO7"/>
    <mergeCell ref="CP7:CW7"/>
    <mergeCell ref="BZ8:CC8"/>
    <mergeCell ref="CD8:CG8"/>
    <mergeCell ref="CH8:CK8"/>
    <mergeCell ref="CL8:CO8"/>
    <mergeCell ref="CP8:CS8"/>
    <mergeCell ref="CT8:CW8"/>
    <mergeCell ref="BB8:BE8"/>
    <mergeCell ref="BF8:BI8"/>
    <mergeCell ref="JD7:JE7"/>
    <mergeCell ref="F8:I8"/>
    <mergeCell ref="J8:M8"/>
    <mergeCell ref="N8:Q8"/>
    <mergeCell ref="R8:U8"/>
    <mergeCell ref="V8:Y8"/>
    <mergeCell ref="Z8:AC8"/>
    <mergeCell ref="GP7:GW7"/>
    <mergeCell ref="GX7:HE7"/>
    <mergeCell ref="HF7:HM7"/>
    <mergeCell ref="HN7:HU7"/>
    <mergeCell ref="HV7:IC7"/>
    <mergeCell ref="ID7:IK7"/>
    <mergeCell ref="ET7:FA7"/>
    <mergeCell ref="FB7:FI7"/>
    <mergeCell ref="FJ7:FQ7"/>
    <mergeCell ref="FR7:FY7"/>
    <mergeCell ref="FZ7:GG7"/>
    <mergeCell ref="GH7:GO7"/>
    <mergeCell ref="CX7:DE7"/>
    <mergeCell ref="DF7:DM7"/>
    <mergeCell ref="DN7:DU7"/>
    <mergeCell ref="DV7:EC7"/>
    <mergeCell ref="ED7:EK7"/>
    <mergeCell ref="GP6:HE6"/>
    <mergeCell ref="HF6:HU6"/>
    <mergeCell ref="HV6:IK6"/>
    <mergeCell ref="IL6:JA6"/>
    <mergeCell ref="F7:M7"/>
    <mergeCell ref="N7:U7"/>
    <mergeCell ref="V7:AC7"/>
    <mergeCell ref="AD7:AK7"/>
    <mergeCell ref="AL7:AS7"/>
    <mergeCell ref="AT7:BA7"/>
    <mergeCell ref="CX6:DM6"/>
    <mergeCell ref="DN6:EC6"/>
    <mergeCell ref="ED6:ES6"/>
    <mergeCell ref="ET6:FI6"/>
    <mergeCell ref="FJ6:FY6"/>
    <mergeCell ref="FZ6:GO6"/>
    <mergeCell ref="F6:U6"/>
    <mergeCell ref="V6:AK6"/>
    <mergeCell ref="AL6:BA6"/>
    <mergeCell ref="BB6:BQ6"/>
    <mergeCell ref="BR6:CG6"/>
    <mergeCell ref="CH6:CW6"/>
    <mergeCell ref="HF5:HU5"/>
    <mergeCell ref="HV5:IK5"/>
    <mergeCell ref="IL5:JA5"/>
    <mergeCell ref="BR5:CG5"/>
    <mergeCell ref="CH5:CW5"/>
    <mergeCell ref="CX5:DM5"/>
    <mergeCell ref="DN5:EC5"/>
    <mergeCell ref="ED5:ES5"/>
    <mergeCell ref="ET5:FI5"/>
    <mergeCell ref="C2:E2"/>
    <mergeCell ref="C3:E3"/>
    <mergeCell ref="F5:U5"/>
    <mergeCell ref="V5:AK5"/>
    <mergeCell ref="AL5:BA5"/>
    <mergeCell ref="BB5:BQ5"/>
    <mergeCell ref="FJ5:FY5"/>
    <mergeCell ref="FZ5:GO5"/>
    <mergeCell ref="GP5:HE5"/>
  </mergeCells>
  <dataValidations disablePrompts="1" count="1">
    <dataValidation type="list" allowBlank="1" showInputMessage="1" showErrorMessage="1" sqref="E20:E21">
      <formula1>#REF!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E10:E19 E22:E24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Reporte Asistencia Laboral</vt:lpstr>
      <vt:lpstr>CONTROL H.E.</vt:lpstr>
      <vt:lpstr>CONTROL H.E. Transf.</vt:lpstr>
      <vt:lpstr>Firma H.E</vt:lpstr>
      <vt:lpstr>Firma H.E. Transf.</vt:lpstr>
      <vt:lpstr>Dato_Pesc</vt:lpstr>
      <vt:lpstr>Dato_Transf</vt:lpstr>
      <vt:lpstr>MANUAL</vt:lpstr>
      <vt:lpstr>EMPLEADO</vt:lpstr>
      <vt:lpstr>$ NOCHE_PESC</vt:lpstr>
      <vt:lpstr>VARIOS</vt:lpstr>
      <vt:lpstr>COPY HE</vt:lpstr>
      <vt:lpstr>'CONTROL H.E.'!Área_de_impresión</vt:lpstr>
      <vt:lpstr>'CONTROL H.E. Transf.'!Área_de_impresión</vt:lpstr>
      <vt:lpstr>EMPLEADO!Área_de_impresión</vt:lpstr>
      <vt:lpstr>'Firma H.E'!Área_de_impresión</vt:lpstr>
      <vt:lpstr>'Firma H.E. Transf.'!Área_de_impresión</vt:lpstr>
      <vt:lpstr>'Reporte Asistencia Laboral'!Área_de_impresión</vt:lpstr>
      <vt:lpstr>'CONTROL H.E.'!Títulos_a_imprimir</vt:lpstr>
      <vt:lpstr>'CONTROL H.E. Transf.'!Títulos_a_imprimir</vt:lpstr>
      <vt:lpstr>EMPLEADO!Títulos_a_imprimir</vt:lpstr>
      <vt:lpstr>'Firma H.E'!Títulos_a_imprimir</vt:lpstr>
      <vt:lpstr>'Firma H.E. Transf.'!Títulos_a_imprimir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SERVIDOR</dc:creator>
  <cp:lastModifiedBy>PRODUCCION02</cp:lastModifiedBy>
  <cp:lastPrinted>2019-06-05T14:49:23Z</cp:lastPrinted>
  <dcterms:created xsi:type="dcterms:W3CDTF">2013-11-19T15:26:31Z</dcterms:created>
  <dcterms:modified xsi:type="dcterms:W3CDTF">2019-07-12T04:15:03Z</dcterms:modified>
</cp:coreProperties>
</file>