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ODUCCION01-PCEST\Dropbox\1 ADMINISTRACION\1.1 REPORTES\1 ROLES DE PAGO ASISTENCIA\"/>
    </mc:Choice>
  </mc:AlternateContent>
  <bookViews>
    <workbookView xWindow="-120" yWindow="-120" windowWidth="24240" windowHeight="13140" tabRatio="807" activeTab="1"/>
  </bookViews>
  <sheets>
    <sheet name="EMPLEADO" sheetId="12" r:id="rId1"/>
    <sheet name="Reporte Asistencia Laboral" sheetId="1" r:id="rId2"/>
    <sheet name="CONTROL H.E." sheetId="21" r:id="rId3"/>
    <sheet name="CONTROL H.E. Transf." sheetId="20" r:id="rId4"/>
    <sheet name="Firma H.E" sheetId="23" state="hidden" r:id="rId5"/>
    <sheet name="Firma H.E. Transf." sheetId="24" state="hidden" r:id="rId6"/>
    <sheet name="Dato_Pesc" sheetId="25" r:id="rId7"/>
    <sheet name="Dato_Transf" sheetId="30" r:id="rId8"/>
    <sheet name="MANUAL" sheetId="22" state="hidden" r:id="rId9"/>
    <sheet name="$ NOCHE_PESC" sheetId="14" state="hidden" r:id="rId10"/>
    <sheet name="VARIOS" sheetId="17" state="hidden" r:id="rId11"/>
    <sheet name="COPY HE" sheetId="18" state="hidden" r:id="rId12"/>
  </sheets>
  <definedNames>
    <definedName name="_xlnm._FilterDatabase" localSheetId="6" hidden="1">Dato_Pesc!$A$4:$C$35</definedName>
    <definedName name="_xlnm._FilterDatabase" localSheetId="0" hidden="1">EMPLEADO!$A$4:$AE$4</definedName>
    <definedName name="_xlnm._FilterDatabase" localSheetId="1" hidden="1">'Reporte Asistencia Laboral'!$AA$10:$AB$14</definedName>
    <definedName name="Años_préstamo" localSheetId="2">#REF!</definedName>
    <definedName name="Años_préstamo" localSheetId="0">#REF!</definedName>
    <definedName name="Años_préstamo">#REF!</definedName>
    <definedName name="_xlnm.Print_Area" localSheetId="2">'CONTROL H.E.'!$F$2:$S$29</definedName>
    <definedName name="_xlnm.Print_Area" localSheetId="3">'CONTROL H.E. Transf.'!$F$2:$M$29</definedName>
    <definedName name="_xlnm.Print_Area" localSheetId="0">EMPLEADO!$C$5:$H$6</definedName>
    <definedName name="_xlnm.Print_Area" localSheetId="4">'Firma H.E'!$F$2:$N$34</definedName>
    <definedName name="_xlnm.Print_Area" localSheetId="5">'Firma H.E. Transf.'!$F$2:$N$34</definedName>
    <definedName name="_xlnm.Print_Area" localSheetId="1">'Reporte Asistencia Laboral'!$B$3:$AX$14</definedName>
    <definedName name="Fila_de_encabezado" localSheetId="2">ROW(#REF!)</definedName>
    <definedName name="Fila_de_encabezado" localSheetId="0">ROW(#REF!)</definedName>
    <definedName name="Fila_de_encabezado">ROW(#REF!)</definedName>
    <definedName name="Importe_del_préstamo" localSheetId="2">#REF!</definedName>
    <definedName name="Importe_del_préstamo" localSheetId="0">#REF!</definedName>
    <definedName name="Importe_del_préstamo">#REF!</definedName>
    <definedName name="Impresión_completa" localSheetId="2">#REF!</definedName>
    <definedName name="Impresión_completa" localSheetId="0">#REF!</definedName>
    <definedName name="Impresión_completa">#REF!</definedName>
    <definedName name="Inicio_prestamo" localSheetId="2">#REF!</definedName>
    <definedName name="Inicio_prestamo" localSheetId="0">#REF!</definedName>
    <definedName name="Inicio_prestamo">#REF!</definedName>
    <definedName name="Int" localSheetId="2">#REF!</definedName>
    <definedName name="Int" localSheetId="0">#REF!</definedName>
    <definedName name="Int">#REF!</definedName>
    <definedName name="Int_acum" localSheetId="2">#REF!</definedName>
    <definedName name="Int_acum" localSheetId="0">#REF!</definedName>
    <definedName name="Int_acum">#REF!</definedName>
    <definedName name="Interés_total" localSheetId="2">#REF!</definedName>
    <definedName name="Interés_total" localSheetId="0">#REF!</definedName>
    <definedName name="Interés_total">#REF!</definedName>
    <definedName name="Núm_de_pago" localSheetId="2">#REF!</definedName>
    <definedName name="Núm_de_pago" localSheetId="0">#REF!</definedName>
    <definedName name="Núm_de_pago">#REF!</definedName>
    <definedName name="Núm_pagos_al_año" localSheetId="2">#REF!</definedName>
    <definedName name="Núm_pagos_al_año" localSheetId="0">#REF!</definedName>
    <definedName name="Núm_pagos_al_año">#REF!</definedName>
    <definedName name="Número_de_pagos" localSheetId="2">MATCH(0.01,'CONTROL H.E.'!Saldo_final,-1)+1</definedName>
    <definedName name="Número_de_pagos" localSheetId="0">#N/A</definedName>
    <definedName name="Número_de_pagos">MATCH(0.01,'CONTROL H.E.'!Saldo_final,-1)+1</definedName>
    <definedName name="Pago_adicional" localSheetId="2">#REF!</definedName>
    <definedName name="Pago_adicional" localSheetId="0">#REF!</definedName>
    <definedName name="Pago_adicional">#REF!</definedName>
    <definedName name="Pago_mensual_programado" localSheetId="2">#REF!</definedName>
    <definedName name="Pago_mensual_programado" localSheetId="0">#REF!</definedName>
    <definedName name="Pago_mensual_programado">#REF!</definedName>
    <definedName name="Pago_progr" localSheetId="2">#REF!</definedName>
    <definedName name="Pago_progr" localSheetId="0">#REF!</definedName>
    <definedName name="Pago_progr">#REF!</definedName>
    <definedName name="Pago_total" localSheetId="2">#REF!</definedName>
    <definedName name="Pago_total" localSheetId="0">#REF!</definedName>
    <definedName name="Pago_total">#REF!</definedName>
    <definedName name="Pagos_adicionales_programados" localSheetId="2">#REF!</definedName>
    <definedName name="Pagos_adicionales_programados" localSheetId="0">#REF!</definedName>
    <definedName name="Pagos_adicionales_programados">#REF!</definedName>
    <definedName name="Saldo_final" localSheetId="2">#REF!</definedName>
    <definedName name="Saldo_final">#REF!</definedName>
    <definedName name="Saldo_inicial" localSheetId="2">#REF!</definedName>
    <definedName name="Saldo_inicial" localSheetId="0">#REF!</definedName>
    <definedName name="Saldo_inicial">#REF!</definedName>
    <definedName name="Tasa_de_interés" localSheetId="2">#REF!</definedName>
    <definedName name="Tasa_de_interés" localSheetId="0">#REF!</definedName>
    <definedName name="Tasa_de_interés">#REF!</definedName>
    <definedName name="Tasa_de_interés_programada" localSheetId="2">#REF!</definedName>
    <definedName name="Tasa_de_interés_programada" localSheetId="0">#REF!</definedName>
    <definedName name="Tasa_de_interés_programada">#REF!</definedName>
    <definedName name="_xlnm.Print_Titles" localSheetId="2">'CONTROL H.E.'!$B:$E,'CONTROL H.E.'!$2:$9</definedName>
    <definedName name="_xlnm.Print_Titles" localSheetId="3">'CONTROL H.E. Transf.'!$B:$E,'CONTROL H.E. Transf.'!$2:$9</definedName>
    <definedName name="_xlnm.Print_Titles" localSheetId="0">EMPLEADO!$B:$B,EMPLEADO!$1:$4</definedName>
    <definedName name="_xlnm.Print_Titles" localSheetId="4">'Firma H.E'!$B:$E,'Firma H.E'!$2:$9</definedName>
    <definedName name="_xlnm.Print_Titles" localSheetId="5">'Firma H.E. Transf.'!$B:$E,'Firma H.E. Transf.'!$2:$9</definedName>
  </definedNames>
  <calcPr calcId="152511"/>
  <pivotCaches>
    <pivotCache cacheId="46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20" l="1"/>
  <c r="B24" i="20"/>
  <c r="B24" i="21"/>
  <c r="L24" i="21"/>
  <c r="R24" i="21"/>
  <c r="Z24" i="21"/>
  <c r="AF24" i="21"/>
  <c r="AN24" i="21"/>
  <c r="AT24" i="21"/>
  <c r="BB24" i="21"/>
  <c r="BH24" i="21"/>
  <c r="BP24" i="21"/>
  <c r="BV24" i="21"/>
  <c r="CD24" i="21"/>
  <c r="CJ24" i="21"/>
  <c r="CR24" i="21"/>
  <c r="CX24" i="21"/>
  <c r="DF24" i="21"/>
  <c r="DL24" i="21"/>
  <c r="DT24" i="21"/>
  <c r="DZ24" i="21"/>
  <c r="EH24" i="21"/>
  <c r="EP24" i="21" s="1"/>
  <c r="EN24" i="21"/>
  <c r="EQ24" i="21" s="1"/>
  <c r="D23" i="1"/>
  <c r="D24" i="1"/>
  <c r="C24" i="1" s="1"/>
  <c r="D25" i="1"/>
  <c r="E25" i="1" s="1"/>
  <c r="D24" i="21" l="1"/>
  <c r="C24" i="21" s="1"/>
  <c r="E24" i="1"/>
  <c r="D23" i="20"/>
  <c r="C23" i="20" s="1"/>
  <c r="G23" i="20" s="1"/>
  <c r="D24" i="20"/>
  <c r="C24" i="20" s="1"/>
  <c r="F24" i="20" s="1"/>
  <c r="C25" i="1"/>
  <c r="E23" i="1"/>
  <c r="D22" i="1"/>
  <c r="D22" i="21"/>
  <c r="B22" i="21"/>
  <c r="L22" i="21"/>
  <c r="R22" i="21"/>
  <c r="Z22" i="21"/>
  <c r="AF22" i="21"/>
  <c r="EQ22" i="21" s="1"/>
  <c r="AN22" i="21"/>
  <c r="AT22" i="21"/>
  <c r="BB22" i="21"/>
  <c r="BH22" i="21"/>
  <c r="BP22" i="21"/>
  <c r="BV22" i="21"/>
  <c r="CD22" i="21"/>
  <c r="CJ22" i="21"/>
  <c r="CR22" i="21"/>
  <c r="CX22" i="21"/>
  <c r="DF22" i="21"/>
  <c r="DL22" i="21"/>
  <c r="DT22" i="21"/>
  <c r="EP22" i="21" s="1"/>
  <c r="DZ22" i="21"/>
  <c r="EH22" i="21"/>
  <c r="EN22" i="21"/>
  <c r="B23" i="21"/>
  <c r="L23" i="21"/>
  <c r="R23" i="21"/>
  <c r="Z23" i="21"/>
  <c r="EP23" i="21" s="1"/>
  <c r="AF23" i="21"/>
  <c r="EQ23" i="21" s="1"/>
  <c r="AN23" i="21"/>
  <c r="AT23" i="21"/>
  <c r="BB23" i="21"/>
  <c r="BH23" i="21"/>
  <c r="BP23" i="21"/>
  <c r="BV23" i="21"/>
  <c r="CD23" i="21"/>
  <c r="CJ23" i="21"/>
  <c r="CR23" i="21"/>
  <c r="CX23" i="21"/>
  <c r="DF23" i="21"/>
  <c r="DL23" i="21"/>
  <c r="DT23" i="21"/>
  <c r="DZ23" i="21"/>
  <c r="EH23" i="21"/>
  <c r="EN23" i="21"/>
  <c r="B23" i="1"/>
  <c r="X23" i="1"/>
  <c r="AC23" i="1"/>
  <c r="AD23" i="1"/>
  <c r="B24" i="1"/>
  <c r="X24" i="1"/>
  <c r="AC24" i="1"/>
  <c r="AD24" i="1"/>
  <c r="B25" i="1"/>
  <c r="F25" i="1"/>
  <c r="X25" i="1"/>
  <c r="AC25" i="1"/>
  <c r="AD25" i="1"/>
  <c r="Q14" i="12"/>
  <c r="Q16" i="12"/>
  <c r="Q15" i="12"/>
  <c r="S24" i="20" l="1"/>
  <c r="BB24" i="20"/>
  <c r="BF23" i="20"/>
  <c r="BB23" i="20"/>
  <c r="V24" i="20"/>
  <c r="BG24" i="20"/>
  <c r="J23" i="20"/>
  <c r="AL24" i="20"/>
  <c r="W24" i="20"/>
  <c r="X24" i="20" s="1"/>
  <c r="Y24" i="20" s="1"/>
  <c r="F23" i="20"/>
  <c r="H23" i="20" s="1"/>
  <c r="AP23" i="20"/>
  <c r="AI23" i="20"/>
  <c r="AL23" i="20"/>
  <c r="AE23" i="20"/>
  <c r="Z23" i="20"/>
  <c r="AY23" i="20"/>
  <c r="S23" i="20"/>
  <c r="V23" i="20"/>
  <c r="AU23" i="20"/>
  <c r="O23" i="20"/>
  <c r="AP24" i="20"/>
  <c r="BF24" i="20"/>
  <c r="AA24" i="20"/>
  <c r="AI24" i="20"/>
  <c r="AE24" i="20"/>
  <c r="N24" i="20"/>
  <c r="AD24" i="20"/>
  <c r="AT24" i="20"/>
  <c r="G24" i="20"/>
  <c r="H24" i="20" s="1"/>
  <c r="I24" i="20" s="1"/>
  <c r="AM24" i="20"/>
  <c r="BC24" i="20"/>
  <c r="BD24" i="20" s="1"/>
  <c r="BE24" i="20" s="1"/>
  <c r="AQ24" i="20"/>
  <c r="AX23" i="20"/>
  <c r="AH23" i="20"/>
  <c r="R23" i="20"/>
  <c r="T23" i="20" s="1"/>
  <c r="U23" i="20" s="1"/>
  <c r="BG23" i="20"/>
  <c r="AQ23" i="20"/>
  <c r="AA23" i="20"/>
  <c r="K23" i="20"/>
  <c r="L23" i="20" s="1"/>
  <c r="J24" i="20"/>
  <c r="Z24" i="20"/>
  <c r="R24" i="20"/>
  <c r="AH24" i="20"/>
  <c r="AX24" i="20"/>
  <c r="K24" i="20"/>
  <c r="AU24" i="20"/>
  <c r="O24" i="20"/>
  <c r="P24" i="20" s="1"/>
  <c r="Q24" i="20" s="1"/>
  <c r="AY24" i="20"/>
  <c r="AZ24" i="20" s="1"/>
  <c r="BA24" i="20" s="1"/>
  <c r="AT23" i="20"/>
  <c r="AD23" i="20"/>
  <c r="N23" i="20"/>
  <c r="BC23" i="20"/>
  <c r="BD23" i="20" s="1"/>
  <c r="BE23" i="20" s="1"/>
  <c r="AM23" i="20"/>
  <c r="AN23" i="20" s="1"/>
  <c r="AO23" i="20" s="1"/>
  <c r="W23" i="20"/>
  <c r="X23" i="20" s="1"/>
  <c r="Y23" i="20" s="1"/>
  <c r="T24" i="20"/>
  <c r="U24" i="20" s="1"/>
  <c r="F23" i="1"/>
  <c r="F24" i="1"/>
  <c r="D23" i="21"/>
  <c r="D21" i="1"/>
  <c r="E21" i="1" s="1"/>
  <c r="X21" i="1"/>
  <c r="AC21" i="1"/>
  <c r="AD21" i="1"/>
  <c r="X22" i="1"/>
  <c r="AC22" i="1"/>
  <c r="AD22" i="1"/>
  <c r="AF24" i="20" l="1"/>
  <c r="AG24" i="20" s="1"/>
  <c r="AF23" i="20"/>
  <c r="AG23" i="20" s="1"/>
  <c r="BH24" i="20"/>
  <c r="BI24" i="20" s="1"/>
  <c r="BH23" i="20"/>
  <c r="BI23" i="20" s="1"/>
  <c r="AR24" i="20"/>
  <c r="AS24" i="20" s="1"/>
  <c r="AV24" i="20"/>
  <c r="AW24" i="20" s="1"/>
  <c r="AJ23" i="20"/>
  <c r="AK23" i="20" s="1"/>
  <c r="AN24" i="20"/>
  <c r="AO24" i="20" s="1"/>
  <c r="AB23" i="20"/>
  <c r="AC23" i="20" s="1"/>
  <c r="AV23" i="20"/>
  <c r="AW23" i="20" s="1"/>
  <c r="AR23" i="20"/>
  <c r="AS23" i="20" s="1"/>
  <c r="P23" i="20"/>
  <c r="Q23" i="20" s="1"/>
  <c r="AZ23" i="20"/>
  <c r="BA23" i="20" s="1"/>
  <c r="L24" i="20"/>
  <c r="M24" i="20" s="1"/>
  <c r="AJ24" i="20"/>
  <c r="AK24" i="20" s="1"/>
  <c r="AB24" i="20"/>
  <c r="AC24" i="20" s="1"/>
  <c r="I23" i="20"/>
  <c r="M23" i="20"/>
  <c r="BD25" i="1"/>
  <c r="BC25" i="1" s="1"/>
  <c r="AP25" i="1" s="1"/>
  <c r="BF25" i="1"/>
  <c r="BE25" i="1" s="1"/>
  <c r="AT25" i="1" s="1"/>
  <c r="BB25" i="1"/>
  <c r="BA25" i="1" s="1"/>
  <c r="AL25" i="1" s="1"/>
  <c r="AB25" i="1"/>
  <c r="D22" i="20"/>
  <c r="F22" i="1"/>
  <c r="E22" i="1"/>
  <c r="F21" i="1"/>
  <c r="R21" i="21"/>
  <c r="AF21" i="21"/>
  <c r="AT21" i="21"/>
  <c r="BH21" i="21"/>
  <c r="BV21" i="21"/>
  <c r="CJ21" i="21"/>
  <c r="CX21" i="21"/>
  <c r="DL21" i="21"/>
  <c r="DZ21" i="21"/>
  <c r="EN21" i="21"/>
  <c r="BJ24" i="20" l="1"/>
  <c r="BK23" i="20"/>
  <c r="AU25" i="1"/>
  <c r="BJ23" i="20"/>
  <c r="BK24" i="20"/>
  <c r="AW25" i="1"/>
  <c r="AO25" i="1"/>
  <c r="AM25" i="1"/>
  <c r="AV25" i="1"/>
  <c r="AN25" i="1"/>
  <c r="AQ25" i="1"/>
  <c r="AS25" i="1"/>
  <c r="AR25" i="1"/>
  <c r="EQ21" i="21"/>
  <c r="D21" i="21"/>
  <c r="D21" i="20"/>
  <c r="AX25" i="1" l="1"/>
  <c r="AY25" i="1"/>
  <c r="R20" i="21"/>
  <c r="AF20" i="21"/>
  <c r="AT20" i="21"/>
  <c r="BH20" i="21"/>
  <c r="BV20" i="21"/>
  <c r="CJ20" i="21"/>
  <c r="CX20" i="21"/>
  <c r="DL20" i="21"/>
  <c r="DZ20" i="21"/>
  <c r="EN20" i="21"/>
  <c r="EQ20" i="21" l="1"/>
  <c r="D20" i="21" l="1"/>
  <c r="D20" i="20"/>
  <c r="R19" i="21"/>
  <c r="AF19" i="21"/>
  <c r="AT19" i="21"/>
  <c r="BH19" i="21"/>
  <c r="BV19" i="21"/>
  <c r="CJ19" i="21"/>
  <c r="CX19" i="21"/>
  <c r="DL19" i="21"/>
  <c r="DZ19" i="21"/>
  <c r="EN19" i="21"/>
  <c r="D20" i="1"/>
  <c r="X20" i="1"/>
  <c r="AC20" i="1"/>
  <c r="AD20" i="1"/>
  <c r="EQ19" i="21" l="1"/>
  <c r="F20" i="1"/>
  <c r="D19" i="21"/>
  <c r="D19" i="20"/>
  <c r="E20" i="1"/>
  <c r="Q12" i="12" l="1"/>
  <c r="Q17" i="12"/>
  <c r="Q13" i="12"/>
  <c r="C21" i="1" l="1"/>
  <c r="AB21" i="1" s="1"/>
  <c r="C23" i="1"/>
  <c r="C22" i="21"/>
  <c r="C22" i="20"/>
  <c r="C22" i="1"/>
  <c r="C21" i="20"/>
  <c r="C21" i="21"/>
  <c r="C20" i="20"/>
  <c r="C20" i="21"/>
  <c r="C20" i="1"/>
  <c r="C19" i="20"/>
  <c r="C19" i="21"/>
  <c r="B12" i="1"/>
  <c r="B13" i="1" s="1"/>
  <c r="B14" i="1" s="1"/>
  <c r="B15" i="1" s="1"/>
  <c r="B16" i="1" s="1"/>
  <c r="B17" i="1" s="1"/>
  <c r="B18" i="1" s="1"/>
  <c r="B19" i="1" s="1"/>
  <c r="B20" i="1" s="1"/>
  <c r="B21" i="1" s="1"/>
  <c r="A6" i="12"/>
  <c r="A7" i="12" s="1"/>
  <c r="BD21" i="1" l="1"/>
  <c r="BC21" i="1" s="1"/>
  <c r="AQ21" i="1" s="1"/>
  <c r="BB21" i="1"/>
  <c r="BA21" i="1" s="1"/>
  <c r="AL21" i="1" s="1"/>
  <c r="BF21" i="1"/>
  <c r="BE21" i="1" s="1"/>
  <c r="AT21" i="1" s="1"/>
  <c r="G22" i="20"/>
  <c r="J22" i="20"/>
  <c r="S22" i="20"/>
  <c r="V22" i="20"/>
  <c r="AA22" i="20"/>
  <c r="AD22" i="20"/>
  <c r="AU22" i="20"/>
  <c r="W22" i="20"/>
  <c r="Z22" i="20"/>
  <c r="AI22" i="20"/>
  <c r="AQ22" i="20"/>
  <c r="AT22" i="20"/>
  <c r="BB22" i="20"/>
  <c r="AM22" i="20"/>
  <c r="AY22" i="20"/>
  <c r="BG22" i="20"/>
  <c r="R22" i="20"/>
  <c r="N22" i="20"/>
  <c r="AH22" i="20"/>
  <c r="AL22" i="20"/>
  <c r="AP22" i="20"/>
  <c r="BF22" i="20"/>
  <c r="O22" i="20"/>
  <c r="BC22" i="20"/>
  <c r="F22" i="20"/>
  <c r="AE22" i="20"/>
  <c r="K22" i="20"/>
  <c r="AX22" i="20"/>
  <c r="AB23" i="1"/>
  <c r="BB23" i="1"/>
  <c r="BA23" i="1" s="1"/>
  <c r="AL23" i="1" s="1"/>
  <c r="BF23" i="1"/>
  <c r="BE23" i="1" s="1"/>
  <c r="AU23" i="1" s="1"/>
  <c r="BD23" i="1"/>
  <c r="BC23" i="1" s="1"/>
  <c r="AQ23" i="1" s="1"/>
  <c r="B22" i="1"/>
  <c r="AR21" i="1"/>
  <c r="K21" i="20"/>
  <c r="G21" i="20"/>
  <c r="AM21" i="20"/>
  <c r="BC21" i="20"/>
  <c r="AY21" i="20"/>
  <c r="V21" i="20"/>
  <c r="O21" i="20"/>
  <c r="BG21" i="20"/>
  <c r="AL21" i="20"/>
  <c r="N21" i="20"/>
  <c r="AP21" i="20"/>
  <c r="W21" i="20"/>
  <c r="S21" i="20"/>
  <c r="F21" i="20"/>
  <c r="AX21" i="20"/>
  <c r="AQ21" i="20"/>
  <c r="AT21" i="20"/>
  <c r="AD21" i="20"/>
  <c r="Z21" i="20"/>
  <c r="AE21" i="20"/>
  <c r="R21" i="20"/>
  <c r="J21" i="20"/>
  <c r="AI21" i="20"/>
  <c r="BF21" i="20"/>
  <c r="BB21" i="20"/>
  <c r="AU21" i="20"/>
  <c r="AH21" i="20"/>
  <c r="AA21" i="20"/>
  <c r="BB22" i="1"/>
  <c r="BA22" i="1" s="1"/>
  <c r="AL22" i="1" s="1"/>
  <c r="AB22" i="1"/>
  <c r="BF22" i="1"/>
  <c r="BE22" i="1" s="1"/>
  <c r="AU22" i="1" s="1"/>
  <c r="BD22" i="1"/>
  <c r="BC22" i="1" s="1"/>
  <c r="AQ22" i="1" s="1"/>
  <c r="B21" i="20"/>
  <c r="B21" i="21"/>
  <c r="BD20" i="1"/>
  <c r="BC20" i="1" s="1"/>
  <c r="AP20" i="1" s="1"/>
  <c r="AB20" i="1"/>
  <c r="BB20" i="1"/>
  <c r="BA20" i="1" s="1"/>
  <c r="AL20" i="1" s="1"/>
  <c r="BF20" i="1"/>
  <c r="BE20" i="1" s="1"/>
  <c r="AU20" i="1" s="1"/>
  <c r="G20" i="20"/>
  <c r="W20" i="20"/>
  <c r="AM20" i="20"/>
  <c r="BC20" i="20"/>
  <c r="AH20" i="20"/>
  <c r="J20" i="20"/>
  <c r="AL20" i="20"/>
  <c r="S20" i="20"/>
  <c r="AI20" i="20"/>
  <c r="AY20" i="20"/>
  <c r="Z20" i="20"/>
  <c r="BF20" i="20"/>
  <c r="AD20" i="20"/>
  <c r="V20" i="20"/>
  <c r="K20" i="20"/>
  <c r="AA20" i="20"/>
  <c r="AQ20" i="20"/>
  <c r="BG20" i="20"/>
  <c r="AP20" i="20"/>
  <c r="N20" i="20"/>
  <c r="AT20" i="20"/>
  <c r="O20" i="20"/>
  <c r="AE20" i="20"/>
  <c r="AU20" i="20"/>
  <c r="F20" i="20"/>
  <c r="AX20" i="20"/>
  <c r="R20" i="20"/>
  <c r="BB20" i="20"/>
  <c r="K19" i="20"/>
  <c r="R19" i="20"/>
  <c r="AE19" i="20"/>
  <c r="BF19" i="20"/>
  <c r="AY19" i="20"/>
  <c r="N19" i="20"/>
  <c r="O19" i="20"/>
  <c r="BG19" i="20"/>
  <c r="AD19" i="20"/>
  <c r="AH19" i="20"/>
  <c r="S19" i="20"/>
  <c r="BC19" i="20"/>
  <c r="Z19" i="20"/>
  <c r="AI19" i="20"/>
  <c r="AJ19" i="20" s="1"/>
  <c r="AK19" i="20" s="1"/>
  <c r="W19" i="20"/>
  <c r="AX19" i="20"/>
  <c r="AL19" i="20"/>
  <c r="AQ19" i="20"/>
  <c r="BB19" i="20"/>
  <c r="J19" i="20"/>
  <c r="F19" i="20"/>
  <c r="AP19" i="20"/>
  <c r="AU19" i="20"/>
  <c r="AT19" i="20"/>
  <c r="G19" i="20"/>
  <c r="AM19" i="20"/>
  <c r="V19" i="20"/>
  <c r="AA19" i="20"/>
  <c r="R18" i="21"/>
  <c r="AF18" i="21"/>
  <c r="AT18" i="21"/>
  <c r="BH18" i="21"/>
  <c r="BV18" i="21"/>
  <c r="CJ18" i="21"/>
  <c r="CX18" i="21"/>
  <c r="DL18" i="21"/>
  <c r="DZ18" i="21"/>
  <c r="EN18" i="21"/>
  <c r="AJ21" i="20" l="1"/>
  <c r="AK21" i="20" s="1"/>
  <c r="AU21" i="1"/>
  <c r="AS21" i="1"/>
  <c r="AW21" i="1"/>
  <c r="AV21" i="1"/>
  <c r="AN21" i="1"/>
  <c r="AM21" i="1"/>
  <c r="AP21" i="1"/>
  <c r="AO21" i="1"/>
  <c r="L22" i="20"/>
  <c r="M22" i="20" s="1"/>
  <c r="AW23" i="1"/>
  <c r="AP23" i="1"/>
  <c r="AO23" i="1"/>
  <c r="AS23" i="1"/>
  <c r="AN23" i="1"/>
  <c r="AV23" i="1"/>
  <c r="BH22" i="20"/>
  <c r="BI22" i="20" s="1"/>
  <c r="AR23" i="1"/>
  <c r="AZ22" i="20"/>
  <c r="BA22" i="20" s="1"/>
  <c r="AR22" i="20"/>
  <c r="AS22" i="20" s="1"/>
  <c r="T22" i="20"/>
  <c r="U22" i="20" s="1"/>
  <c r="AJ22" i="20"/>
  <c r="AK22" i="20" s="1"/>
  <c r="AT23" i="1"/>
  <c r="AM23" i="1"/>
  <c r="AB22" i="20"/>
  <c r="AC22" i="20" s="1"/>
  <c r="B22" i="20"/>
  <c r="BH19" i="20"/>
  <c r="BI19" i="20" s="1"/>
  <c r="AV22" i="1"/>
  <c r="AW22" i="1"/>
  <c r="AZ21" i="20"/>
  <c r="BA21" i="20" s="1"/>
  <c r="AO22" i="1"/>
  <c r="AT22" i="1"/>
  <c r="AS22" i="1"/>
  <c r="AN22" i="1"/>
  <c r="T21" i="20"/>
  <c r="U21" i="20" s="1"/>
  <c r="L21" i="20"/>
  <c r="AP22" i="1"/>
  <c r="AR22" i="1"/>
  <c r="AM22" i="1"/>
  <c r="AB21" i="20"/>
  <c r="AC21" i="20" s="1"/>
  <c r="AR21" i="20"/>
  <c r="AS21" i="20" s="1"/>
  <c r="BH21" i="20"/>
  <c r="BI21" i="20" s="1"/>
  <c r="B20" i="21"/>
  <c r="B20" i="20"/>
  <c r="AJ20" i="20"/>
  <c r="AK20" i="20" s="1"/>
  <c r="T19" i="20"/>
  <c r="U19" i="20" s="1"/>
  <c r="L20" i="20"/>
  <c r="M20" i="20" s="1"/>
  <c r="AQ20" i="1"/>
  <c r="AS20" i="1"/>
  <c r="AR20" i="1"/>
  <c r="BH20" i="20"/>
  <c r="BI20" i="20" s="1"/>
  <c r="AZ19" i="20"/>
  <c r="BA19" i="20" s="1"/>
  <c r="L19" i="20"/>
  <c r="M19" i="20" s="1"/>
  <c r="AO20" i="1"/>
  <c r="AM20" i="1"/>
  <c r="AN20" i="1"/>
  <c r="AR19" i="20"/>
  <c r="AS19" i="20" s="1"/>
  <c r="AZ20" i="20"/>
  <c r="BA20" i="20" s="1"/>
  <c r="AW20" i="1"/>
  <c r="AR20" i="20"/>
  <c r="AS20" i="20" s="1"/>
  <c r="AV20" i="1"/>
  <c r="AB19" i="20"/>
  <c r="AC19" i="20" s="1"/>
  <c r="AB20" i="20"/>
  <c r="AC20" i="20" s="1"/>
  <c r="T20" i="20"/>
  <c r="U20" i="20" s="1"/>
  <c r="AT20" i="1"/>
  <c r="B19" i="20"/>
  <c r="B19" i="21"/>
  <c r="EQ18" i="21"/>
  <c r="D19" i="1"/>
  <c r="X19" i="1"/>
  <c r="AC19" i="1"/>
  <c r="AD19" i="1"/>
  <c r="AX21" i="1" l="1"/>
  <c r="AY21" i="1"/>
  <c r="AX23" i="1"/>
  <c r="AY23" i="1"/>
  <c r="BK22" i="20"/>
  <c r="AY22" i="1"/>
  <c r="AX22" i="1"/>
  <c r="M21" i="20"/>
  <c r="BK21" i="20"/>
  <c r="AX20" i="1"/>
  <c r="AY20" i="1"/>
  <c r="BK19" i="20"/>
  <c r="BK20" i="20"/>
  <c r="F19" i="1"/>
  <c r="D18" i="20"/>
  <c r="D18" i="21"/>
  <c r="E19" i="1"/>
  <c r="Q11" i="12" l="1"/>
  <c r="C19" i="1" l="1"/>
  <c r="C18" i="21"/>
  <c r="Q10" i="12"/>
  <c r="C18" i="20" s="1"/>
  <c r="BF19" i="1" l="1"/>
  <c r="BE19" i="1" s="1"/>
  <c r="AT19" i="1" s="1"/>
  <c r="BB19" i="1"/>
  <c r="BA19" i="1" s="1"/>
  <c r="AM19" i="1" s="1"/>
  <c r="AB19" i="1"/>
  <c r="BD19" i="1"/>
  <c r="BC19" i="1" s="1"/>
  <c r="AP19" i="1" s="1"/>
  <c r="O18" i="20"/>
  <c r="AE18" i="20"/>
  <c r="AU18" i="20"/>
  <c r="AT18" i="20"/>
  <c r="F18" i="20"/>
  <c r="V18" i="20"/>
  <c r="AP18" i="20"/>
  <c r="S18" i="20"/>
  <c r="AI18" i="20"/>
  <c r="AY18" i="20"/>
  <c r="AL18" i="20"/>
  <c r="J18" i="20"/>
  <c r="Z18" i="20"/>
  <c r="BB18" i="20"/>
  <c r="G18" i="20"/>
  <c r="W18" i="20"/>
  <c r="AM18" i="20"/>
  <c r="BC18" i="20"/>
  <c r="AX18" i="20"/>
  <c r="N18" i="20"/>
  <c r="AD18" i="20"/>
  <c r="K18" i="20"/>
  <c r="AA18" i="20"/>
  <c r="AQ18" i="20"/>
  <c r="BG18" i="20"/>
  <c r="BF18" i="20"/>
  <c r="R18" i="20"/>
  <c r="AH18" i="20"/>
  <c r="R17" i="21"/>
  <c r="AF17" i="21"/>
  <c r="AT17" i="21"/>
  <c r="BH17" i="21"/>
  <c r="BV17" i="21"/>
  <c r="CJ17" i="21"/>
  <c r="CX17" i="21"/>
  <c r="DL17" i="21"/>
  <c r="DZ17" i="21"/>
  <c r="EN17" i="21"/>
  <c r="R15" i="21"/>
  <c r="AF15" i="21"/>
  <c r="AT15" i="21"/>
  <c r="BH15" i="21"/>
  <c r="BV15" i="21"/>
  <c r="CJ15" i="21"/>
  <c r="CX15" i="21"/>
  <c r="DL15" i="21"/>
  <c r="DZ15" i="21"/>
  <c r="EN15" i="21"/>
  <c r="R16" i="21"/>
  <c r="AF16" i="21"/>
  <c r="AT16" i="21"/>
  <c r="BH16" i="21"/>
  <c r="BV16" i="21"/>
  <c r="CJ16" i="21"/>
  <c r="CX16" i="21"/>
  <c r="DL16" i="21"/>
  <c r="DZ16" i="21"/>
  <c r="EN16" i="21"/>
  <c r="D16" i="1"/>
  <c r="D15" i="20" s="1"/>
  <c r="X16" i="1"/>
  <c r="AC16" i="1"/>
  <c r="AD16" i="1"/>
  <c r="D17" i="1"/>
  <c r="X17" i="1"/>
  <c r="AC17" i="1"/>
  <c r="AD17" i="1"/>
  <c r="D18" i="1"/>
  <c r="X18" i="1"/>
  <c r="AC18" i="1"/>
  <c r="AD18" i="1"/>
  <c r="X26" i="1"/>
  <c r="AB26" i="1"/>
  <c r="AC26" i="1"/>
  <c r="AD26" i="1"/>
  <c r="F26" i="1" s="1"/>
  <c r="Q8" i="12"/>
  <c r="Q9" i="12"/>
  <c r="AO19" i="1" l="1"/>
  <c r="AN19" i="1"/>
  <c r="EQ16" i="21"/>
  <c r="AL19" i="1"/>
  <c r="AU19" i="1"/>
  <c r="AV19" i="1"/>
  <c r="AW19" i="1"/>
  <c r="L18" i="20"/>
  <c r="M18" i="20" s="1"/>
  <c r="AJ18" i="20"/>
  <c r="AK18" i="20" s="1"/>
  <c r="BH18" i="20"/>
  <c r="BI18" i="20" s="1"/>
  <c r="AB18" i="20"/>
  <c r="AC18" i="20" s="1"/>
  <c r="AZ18" i="20"/>
  <c r="BA18" i="20" s="1"/>
  <c r="AQ19" i="1"/>
  <c r="AS19" i="1"/>
  <c r="AR19" i="1"/>
  <c r="AR18" i="20"/>
  <c r="AS18" i="20" s="1"/>
  <c r="T18" i="20"/>
  <c r="U18" i="20" s="1"/>
  <c r="EQ17" i="21"/>
  <c r="EQ15" i="21"/>
  <c r="D17" i="21"/>
  <c r="C17" i="21" s="1"/>
  <c r="D17" i="20"/>
  <c r="C17" i="20" s="1"/>
  <c r="E18" i="1"/>
  <c r="F18" i="1"/>
  <c r="C18" i="1"/>
  <c r="F16" i="1"/>
  <c r="C17" i="1"/>
  <c r="D16" i="20"/>
  <c r="C16" i="20" s="1"/>
  <c r="D15" i="21"/>
  <c r="E16" i="1"/>
  <c r="F17" i="1"/>
  <c r="D16" i="21"/>
  <c r="C16" i="21" s="1"/>
  <c r="E17" i="1"/>
  <c r="AY19" i="1" l="1"/>
  <c r="AX19" i="1"/>
  <c r="BK18" i="20"/>
  <c r="AB18" i="1"/>
  <c r="BB18" i="1"/>
  <c r="BA18" i="1" s="1"/>
  <c r="AM18" i="1" s="1"/>
  <c r="BD18" i="1"/>
  <c r="BC18" i="1" s="1"/>
  <c r="AP18" i="1" s="1"/>
  <c r="BF18" i="1"/>
  <c r="BE18" i="1" s="1"/>
  <c r="AU18" i="1" s="1"/>
  <c r="BB17" i="1"/>
  <c r="BA17" i="1" s="1"/>
  <c r="AM17" i="1" s="1"/>
  <c r="BD17" i="1"/>
  <c r="BC17" i="1" s="1"/>
  <c r="AP17" i="1" s="1"/>
  <c r="BF17" i="1"/>
  <c r="BE17" i="1" s="1"/>
  <c r="AU17" i="1" s="1"/>
  <c r="AB17" i="1"/>
  <c r="G17" i="20"/>
  <c r="W17" i="20"/>
  <c r="AM17" i="20"/>
  <c r="BC17" i="20"/>
  <c r="J17" i="20"/>
  <c r="Z17" i="20"/>
  <c r="AP17" i="20"/>
  <c r="K17" i="20"/>
  <c r="AA17" i="20"/>
  <c r="AQ17" i="20"/>
  <c r="BG17" i="20"/>
  <c r="N17" i="20"/>
  <c r="AD17" i="20"/>
  <c r="AT17" i="20"/>
  <c r="O17" i="20"/>
  <c r="AE17" i="20"/>
  <c r="AU17" i="20"/>
  <c r="BF17" i="20"/>
  <c r="R17" i="20"/>
  <c r="AH17" i="20"/>
  <c r="AX17" i="20"/>
  <c r="S17" i="20"/>
  <c r="AI17" i="20"/>
  <c r="AY17" i="20"/>
  <c r="F17" i="20"/>
  <c r="V17" i="20"/>
  <c r="AL17" i="20"/>
  <c r="BB17" i="20"/>
  <c r="G16" i="20"/>
  <c r="J16" i="20"/>
  <c r="R16" i="20"/>
  <c r="Z16" i="20"/>
  <c r="AH16" i="20"/>
  <c r="AP16" i="20"/>
  <c r="AX16" i="20"/>
  <c r="BF16" i="20"/>
  <c r="F16" i="20"/>
  <c r="N16" i="20"/>
  <c r="V16" i="20"/>
  <c r="AD16" i="20"/>
  <c r="AL16" i="20"/>
  <c r="AT16" i="20"/>
  <c r="BB16" i="20"/>
  <c r="BC16" i="20"/>
  <c r="AU16" i="20"/>
  <c r="AM16" i="20"/>
  <c r="AE16" i="20"/>
  <c r="W16" i="20"/>
  <c r="O16" i="20"/>
  <c r="BG16" i="20"/>
  <c r="AY16" i="20"/>
  <c r="AZ16" i="20" s="1"/>
  <c r="BA16" i="20" s="1"/>
  <c r="AQ16" i="20"/>
  <c r="AI16" i="20"/>
  <c r="AJ16" i="20" s="1"/>
  <c r="AK16" i="20" s="1"/>
  <c r="AA16" i="20"/>
  <c r="S16" i="20"/>
  <c r="T16" i="20" s="1"/>
  <c r="U16" i="20" s="1"/>
  <c r="K16" i="20"/>
  <c r="AS18" i="1" l="1"/>
  <c r="AQ17" i="1"/>
  <c r="AS17" i="1"/>
  <c r="C16" i="1"/>
  <c r="C15" i="20"/>
  <c r="C15" i="21"/>
  <c r="AR17" i="1"/>
  <c r="AQ18" i="1"/>
  <c r="AN17" i="1"/>
  <c r="AL17" i="1"/>
  <c r="AR18" i="1"/>
  <c r="AT18" i="1"/>
  <c r="AO18" i="1"/>
  <c r="AN18" i="1"/>
  <c r="AW17" i="1"/>
  <c r="AL18" i="1"/>
  <c r="AT17" i="1"/>
  <c r="AV18" i="1"/>
  <c r="AW18" i="1"/>
  <c r="AV17" i="1"/>
  <c r="AO17" i="1"/>
  <c r="AZ17" i="20"/>
  <c r="BA17" i="20" s="1"/>
  <c r="L17" i="20"/>
  <c r="M17" i="20" s="1"/>
  <c r="BH17" i="20"/>
  <c r="BI17" i="20" s="1"/>
  <c r="AB17" i="20"/>
  <c r="AC17" i="20" s="1"/>
  <c r="AJ17" i="20"/>
  <c r="AK17" i="20" s="1"/>
  <c r="T17" i="20"/>
  <c r="U17" i="20" s="1"/>
  <c r="AR17" i="20"/>
  <c r="AS17" i="20" s="1"/>
  <c r="AR16" i="20"/>
  <c r="AS16" i="20" s="1"/>
  <c r="L16" i="20"/>
  <c r="M16" i="20" s="1"/>
  <c r="AB16" i="20"/>
  <c r="AC16" i="20" s="1"/>
  <c r="BH16" i="20"/>
  <c r="BI16" i="20" s="1"/>
  <c r="F15" i="20" l="1"/>
  <c r="AD15" i="20"/>
  <c r="AX15" i="20"/>
  <c r="AE15" i="20"/>
  <c r="AT15" i="20"/>
  <c r="AA15" i="20"/>
  <c r="BB15" i="20"/>
  <c r="O15" i="20"/>
  <c r="AL15" i="20"/>
  <c r="S15" i="20"/>
  <c r="Z15" i="20"/>
  <c r="BF15" i="20"/>
  <c r="AY15" i="20"/>
  <c r="AI15" i="20"/>
  <c r="K15" i="20"/>
  <c r="G15" i="20"/>
  <c r="J15" i="20"/>
  <c r="AQ15" i="20"/>
  <c r="W15" i="20"/>
  <c r="AH15" i="20"/>
  <c r="N15" i="20"/>
  <c r="AM15" i="20"/>
  <c r="BC15" i="20"/>
  <c r="R15" i="20"/>
  <c r="AU15" i="20"/>
  <c r="AP15" i="20"/>
  <c r="BG15" i="20"/>
  <c r="V15" i="20"/>
  <c r="BB16" i="1"/>
  <c r="BF16" i="1"/>
  <c r="AB16" i="1"/>
  <c r="BD16" i="1"/>
  <c r="AY17" i="1"/>
  <c r="AY18" i="1"/>
  <c r="AX17" i="1"/>
  <c r="AX18" i="1"/>
  <c r="BK17" i="20"/>
  <c r="BK16" i="20"/>
  <c r="AZ15" i="20" l="1"/>
  <c r="BA15" i="20" s="1"/>
  <c r="BH15" i="20"/>
  <c r="BI15" i="20" s="1"/>
  <c r="L15" i="20"/>
  <c r="BE16" i="1"/>
  <c r="AV16" i="1"/>
  <c r="AW16" i="1"/>
  <c r="AR15" i="20"/>
  <c r="AS15" i="20" s="1"/>
  <c r="AJ15" i="20"/>
  <c r="AK15" i="20" s="1"/>
  <c r="T15" i="20"/>
  <c r="U15" i="20" s="1"/>
  <c r="AB15" i="20"/>
  <c r="AC15" i="20" s="1"/>
  <c r="BC16" i="1"/>
  <c r="AR16" i="1"/>
  <c r="AS16" i="1"/>
  <c r="BA16" i="1"/>
  <c r="AO16" i="1"/>
  <c r="AN16" i="1"/>
  <c r="AT16" i="1" l="1"/>
  <c r="AU16" i="1"/>
  <c r="AQ16" i="1"/>
  <c r="AP16" i="1"/>
  <c r="M15" i="20"/>
  <c r="BK15" i="20"/>
  <c r="AM16" i="1"/>
  <c r="AL16" i="1"/>
  <c r="AY16" i="1" l="1"/>
  <c r="AX16" i="1"/>
  <c r="R14" i="21" l="1"/>
  <c r="AF14" i="21"/>
  <c r="AT14" i="21"/>
  <c r="BH14" i="21"/>
  <c r="BV14" i="21"/>
  <c r="CJ14" i="21"/>
  <c r="CX14" i="21"/>
  <c r="DL14" i="21"/>
  <c r="DZ14" i="21"/>
  <c r="EN14" i="21"/>
  <c r="EQ14" i="21" l="1"/>
  <c r="Q19" i="12"/>
  <c r="D15" i="1"/>
  <c r="X15" i="1"/>
  <c r="AC15" i="1"/>
  <c r="AD15" i="1"/>
  <c r="D14" i="20" l="1"/>
  <c r="D14" i="21"/>
  <c r="E15" i="1"/>
  <c r="F15" i="1"/>
  <c r="C14" i="21" l="1"/>
  <c r="C14" i="20"/>
  <c r="Q7" i="12"/>
  <c r="Q18" i="12"/>
  <c r="C23" i="21" l="1"/>
  <c r="F14" i="20"/>
  <c r="V14" i="20"/>
  <c r="BF14" i="20"/>
  <c r="Z14" i="20"/>
  <c r="S14" i="20"/>
  <c r="AI14" i="20"/>
  <c r="AY14" i="20"/>
  <c r="BB14" i="20"/>
  <c r="N14" i="20"/>
  <c r="AH14" i="20"/>
  <c r="G14" i="20"/>
  <c r="W14" i="20"/>
  <c r="AM14" i="20"/>
  <c r="BC14" i="20"/>
  <c r="J14" i="20"/>
  <c r="AL14" i="20"/>
  <c r="AD14" i="20"/>
  <c r="AP14" i="20"/>
  <c r="K14" i="20"/>
  <c r="AA14" i="20"/>
  <c r="AB14" i="20" s="1"/>
  <c r="AC14" i="20" s="1"/>
  <c r="AQ14" i="20"/>
  <c r="BG14" i="20"/>
  <c r="AT14" i="20"/>
  <c r="AX14" i="20"/>
  <c r="R14" i="20"/>
  <c r="O14" i="20"/>
  <c r="AE14" i="20"/>
  <c r="AU14" i="20"/>
  <c r="AA5" i="25"/>
  <c r="BB24" i="1" l="1"/>
  <c r="BA24" i="1" s="1"/>
  <c r="AM24" i="1" s="1"/>
  <c r="BD24" i="1"/>
  <c r="BC24" i="1" s="1"/>
  <c r="AP24" i="1" s="1"/>
  <c r="AB24" i="1"/>
  <c r="BF24" i="1"/>
  <c r="BE24" i="1" s="1"/>
  <c r="AU24" i="1" s="1"/>
  <c r="AN24" i="1"/>
  <c r="AR24" i="1"/>
  <c r="AA6" i="25"/>
  <c r="L14" i="20"/>
  <c r="M14" i="20" s="1"/>
  <c r="BH14" i="20"/>
  <c r="BI14" i="20" s="1"/>
  <c r="AR14" i="20"/>
  <c r="AS14" i="20" s="1"/>
  <c r="AZ14" i="20"/>
  <c r="BA14" i="20" s="1"/>
  <c r="T14" i="20"/>
  <c r="AJ14" i="20"/>
  <c r="AK14" i="20" s="1"/>
  <c r="AC5" i="25"/>
  <c r="AU26" i="1" s="1"/>
  <c r="AD5" i="25"/>
  <c r="AB5" i="25"/>
  <c r="AT26" i="1" s="1"/>
  <c r="AA7" i="25"/>
  <c r="AC6" i="25"/>
  <c r="AB6" i="25"/>
  <c r="AD6" i="25"/>
  <c r="AL24" i="1" l="1"/>
  <c r="AV24" i="1"/>
  <c r="AQ24" i="1"/>
  <c r="AT24" i="1"/>
  <c r="AW24" i="1"/>
  <c r="AS24" i="1"/>
  <c r="AO24" i="1"/>
  <c r="AE5" i="25"/>
  <c r="AV26" i="1" s="1"/>
  <c r="AW26" i="1"/>
  <c r="U14" i="20"/>
  <c r="BK14" i="20"/>
  <c r="AF5" i="25"/>
  <c r="AF6" i="25"/>
  <c r="AE6" i="25"/>
  <c r="AD7" i="25"/>
  <c r="AC7" i="25"/>
  <c r="AB7" i="25"/>
  <c r="AA8" i="25"/>
  <c r="AX24" i="1" l="1"/>
  <c r="AY24" i="1"/>
  <c r="AE7" i="25"/>
  <c r="AF7" i="25"/>
  <c r="AA9" i="25"/>
  <c r="AC8" i="25"/>
  <c r="AB8" i="25"/>
  <c r="AD8" i="25"/>
  <c r="AD9" i="25" l="1"/>
  <c r="AB9" i="25"/>
  <c r="AA10" i="25"/>
  <c r="AC9" i="25"/>
  <c r="AF8" i="25"/>
  <c r="AE8" i="25"/>
  <c r="AA11" i="25" l="1"/>
  <c r="AC10" i="25"/>
  <c r="AB10" i="25"/>
  <c r="AD10" i="25"/>
  <c r="AE9" i="25"/>
  <c r="AF9" i="25"/>
  <c r="AF10" i="25" l="1"/>
  <c r="AE10" i="25"/>
  <c r="AD11" i="25"/>
  <c r="AA12" i="25"/>
  <c r="AC11" i="25"/>
  <c r="AB11" i="25"/>
  <c r="AD12" i="25" l="1"/>
  <c r="AC12" i="25"/>
  <c r="AA13" i="25"/>
  <c r="AB12" i="25"/>
  <c r="AF11" i="25"/>
  <c r="AE11" i="25"/>
  <c r="AB13" i="25" l="1"/>
  <c r="AD13" i="25"/>
  <c r="AC13" i="25"/>
  <c r="AA14" i="25"/>
  <c r="AE12" i="25"/>
  <c r="AF12" i="25"/>
  <c r="AD14" i="25" l="1"/>
  <c r="AC14" i="25"/>
  <c r="AA15" i="25"/>
  <c r="AB14" i="25"/>
  <c r="AF13" i="25"/>
  <c r="AE13" i="25"/>
  <c r="AB15" i="25" l="1"/>
  <c r="AC15" i="25"/>
  <c r="AA16" i="25"/>
  <c r="AD15" i="25"/>
  <c r="AF14" i="25"/>
  <c r="AE14" i="25"/>
  <c r="AF15" i="25" l="1"/>
  <c r="AE15" i="25"/>
  <c r="AD16" i="25"/>
  <c r="AA17" i="25"/>
  <c r="AB16" i="25"/>
  <c r="AC16" i="25"/>
  <c r="AB17" i="25" l="1"/>
  <c r="AA18" i="25"/>
  <c r="AC17" i="25"/>
  <c r="AD17" i="25"/>
  <c r="AF16" i="25"/>
  <c r="AE16" i="25"/>
  <c r="AF17" i="25" l="1"/>
  <c r="AE17" i="25"/>
  <c r="AD18" i="25"/>
  <c r="AA19" i="25"/>
  <c r="AC18" i="25"/>
  <c r="AB18" i="25"/>
  <c r="AB19" i="25" l="1"/>
  <c r="AD19" i="25"/>
  <c r="AA20" i="25"/>
  <c r="AC19" i="25"/>
  <c r="AF18" i="25"/>
  <c r="AE18" i="25"/>
  <c r="AD20" i="25" l="1"/>
  <c r="AC20" i="25"/>
  <c r="AB20" i="25"/>
  <c r="AA21" i="25"/>
  <c r="AF19" i="25"/>
  <c r="AE19" i="25"/>
  <c r="AB21" i="25" l="1"/>
  <c r="AD21" i="25"/>
  <c r="AC21" i="25"/>
  <c r="AA22" i="25"/>
  <c r="AE20" i="25"/>
  <c r="AF20" i="25"/>
  <c r="AD22" i="25" l="1"/>
  <c r="AC22" i="25"/>
  <c r="AA23" i="25"/>
  <c r="AB22" i="25"/>
  <c r="AF21" i="25"/>
  <c r="AE21" i="25"/>
  <c r="AB23" i="25" l="1"/>
  <c r="AC23" i="25"/>
  <c r="AA24" i="25"/>
  <c r="AD23" i="25"/>
  <c r="AE22" i="25"/>
  <c r="AF22" i="25"/>
  <c r="AF23" i="25" l="1"/>
  <c r="AE23" i="25"/>
  <c r="AD24" i="25"/>
  <c r="AA25" i="25"/>
  <c r="AB24" i="25"/>
  <c r="AC24" i="25"/>
  <c r="AB25" i="25" l="1"/>
  <c r="AA26" i="25"/>
  <c r="AD25" i="25"/>
  <c r="AC25" i="25"/>
  <c r="AF24" i="25"/>
  <c r="AE24" i="25"/>
  <c r="AF25" i="25" l="1"/>
  <c r="AE25" i="25"/>
  <c r="AD26" i="25"/>
  <c r="AB26" i="25"/>
  <c r="AA27" i="25"/>
  <c r="AC26" i="25"/>
  <c r="AF26" i="25" l="1"/>
  <c r="AE26" i="25"/>
  <c r="AB27" i="25"/>
  <c r="AD27" i="25"/>
  <c r="AA28" i="25"/>
  <c r="AC27" i="25"/>
  <c r="AF27" i="25" l="1"/>
  <c r="AE27" i="25"/>
  <c r="AD28" i="25"/>
  <c r="AC28" i="25"/>
  <c r="AA29" i="25"/>
  <c r="AB28" i="25"/>
  <c r="AE28" i="25" l="1"/>
  <c r="AF28" i="25"/>
  <c r="AB29" i="25"/>
  <c r="AD29" i="25"/>
  <c r="AC29" i="25"/>
  <c r="AA30" i="25"/>
  <c r="AF29" i="25" l="1"/>
  <c r="AE29" i="25"/>
  <c r="AD30" i="25"/>
  <c r="AC30" i="25"/>
  <c r="AA31" i="25"/>
  <c r="AB30" i="25"/>
  <c r="AF30" i="25" l="1"/>
  <c r="AE30" i="25"/>
  <c r="AB31" i="25"/>
  <c r="AC31" i="25"/>
  <c r="AA32" i="25"/>
  <c r="AD31" i="25"/>
  <c r="AF31" i="25" l="1"/>
  <c r="AE31" i="25"/>
  <c r="AD32" i="25"/>
  <c r="AA33" i="25"/>
  <c r="AB32" i="25"/>
  <c r="AC32" i="25"/>
  <c r="AB33" i="25" l="1"/>
  <c r="AA34" i="25"/>
  <c r="AC33" i="25"/>
  <c r="AD33" i="25"/>
  <c r="AF32" i="25"/>
  <c r="AE32" i="25"/>
  <c r="AF33" i="25" l="1"/>
  <c r="AE33" i="25"/>
  <c r="AD34" i="25"/>
  <c r="AA35" i="25"/>
  <c r="AC34" i="25"/>
  <c r="AB34" i="25"/>
  <c r="AB35" i="25" l="1"/>
  <c r="AD35" i="25"/>
  <c r="AA36" i="25"/>
  <c r="AC35" i="25"/>
  <c r="AF34" i="25"/>
  <c r="AE34" i="25"/>
  <c r="AD36" i="25" l="1"/>
  <c r="AC36" i="25"/>
  <c r="AB36" i="25"/>
  <c r="AA37" i="25"/>
  <c r="AF35" i="25"/>
  <c r="AE35" i="25"/>
  <c r="AB37" i="25" l="1"/>
  <c r="AD37" i="25"/>
  <c r="AC37" i="25"/>
  <c r="AA38" i="25"/>
  <c r="AE36" i="25"/>
  <c r="AF36" i="25"/>
  <c r="AD38" i="25" l="1"/>
  <c r="AC38" i="25"/>
  <c r="AA39" i="25"/>
  <c r="AB38" i="25"/>
  <c r="AF37" i="25"/>
  <c r="AE37" i="25"/>
  <c r="AB39" i="25" l="1"/>
  <c r="AC39" i="25"/>
  <c r="AA40" i="25"/>
  <c r="AD39" i="25"/>
  <c r="AE38" i="25"/>
  <c r="AF38" i="25"/>
  <c r="AF39" i="25" l="1"/>
  <c r="AE39" i="25"/>
  <c r="AD40" i="25"/>
  <c r="AA41" i="25"/>
  <c r="AB40" i="25"/>
  <c r="AC40" i="25"/>
  <c r="AB41" i="25" l="1"/>
  <c r="AA42" i="25"/>
  <c r="AD41" i="25"/>
  <c r="AC41" i="25"/>
  <c r="AF40" i="25"/>
  <c r="AE40" i="25"/>
  <c r="AF41" i="25" l="1"/>
  <c r="AE41" i="25"/>
  <c r="AD42" i="25"/>
  <c r="AB42" i="25"/>
  <c r="AA43" i="25"/>
  <c r="AC42" i="25"/>
  <c r="AF42" i="25" l="1"/>
  <c r="AE42" i="25"/>
  <c r="AB43" i="25"/>
  <c r="AD43" i="25"/>
  <c r="AA44" i="25"/>
  <c r="AC43" i="25"/>
  <c r="AF43" i="25" l="1"/>
  <c r="AE43" i="25"/>
  <c r="AD44" i="25"/>
  <c r="AC44" i="25"/>
  <c r="AA45" i="25"/>
  <c r="AB44" i="25"/>
  <c r="AE44" i="25" l="1"/>
  <c r="AF44" i="25"/>
  <c r="AB45" i="25"/>
  <c r="AD45" i="25"/>
  <c r="AC45" i="25"/>
  <c r="AA46" i="25"/>
  <c r="AF45" i="25" l="1"/>
  <c r="AE45" i="25"/>
  <c r="AD46" i="25"/>
  <c r="AC46" i="25"/>
  <c r="AA47" i="25"/>
  <c r="AB46" i="25"/>
  <c r="AF46" i="25" l="1"/>
  <c r="AE46" i="25"/>
  <c r="AB47" i="25"/>
  <c r="AC47" i="25"/>
  <c r="AA48" i="25"/>
  <c r="AD47" i="25"/>
  <c r="AF47" i="25" l="1"/>
  <c r="AE47" i="25"/>
  <c r="AD48" i="25"/>
  <c r="AA49" i="25"/>
  <c r="AB48" i="25"/>
  <c r="AC48" i="25"/>
  <c r="AB49" i="25" l="1"/>
  <c r="AA50" i="25"/>
  <c r="AC49" i="25"/>
  <c r="AD49" i="25"/>
  <c r="AF48" i="25"/>
  <c r="AE48" i="25"/>
  <c r="AF49" i="25" l="1"/>
  <c r="AE49" i="25"/>
  <c r="AD50" i="25"/>
  <c r="AA51" i="25"/>
  <c r="AC50" i="25"/>
  <c r="AB50" i="25"/>
  <c r="AB51" i="25" l="1"/>
  <c r="AD51" i="25"/>
  <c r="AA52" i="25"/>
  <c r="AC51" i="25"/>
  <c r="AF50" i="25"/>
  <c r="AE50" i="25"/>
  <c r="AD52" i="25" l="1"/>
  <c r="AC52" i="25"/>
  <c r="AB52" i="25"/>
  <c r="AA53" i="25"/>
  <c r="AF51" i="25"/>
  <c r="AE51" i="25"/>
  <c r="AB53" i="25" l="1"/>
  <c r="AD53" i="25"/>
  <c r="AC53" i="25"/>
  <c r="AA54" i="25"/>
  <c r="AE52" i="25"/>
  <c r="AF52" i="25"/>
  <c r="AD54" i="25" l="1"/>
  <c r="AC54" i="25"/>
  <c r="AA55" i="25"/>
  <c r="AB54" i="25"/>
  <c r="AF53" i="25"/>
  <c r="AE53" i="25"/>
  <c r="AB55" i="25" l="1"/>
  <c r="AC55" i="25"/>
  <c r="AA56" i="25"/>
  <c r="AD55" i="25"/>
  <c r="AE54" i="25"/>
  <c r="AF54" i="25"/>
  <c r="AF55" i="25" l="1"/>
  <c r="AE55" i="25"/>
  <c r="AD56" i="25"/>
  <c r="AA57" i="25"/>
  <c r="AB56" i="25"/>
  <c r="AC56" i="25"/>
  <c r="AB57" i="25" l="1"/>
  <c r="AA58" i="25"/>
  <c r="AD57" i="25"/>
  <c r="AC57" i="25"/>
  <c r="AF56" i="25"/>
  <c r="AE56" i="25"/>
  <c r="AF57" i="25" l="1"/>
  <c r="AE57" i="25"/>
  <c r="AD58" i="25"/>
  <c r="AB58" i="25"/>
  <c r="AA59" i="25"/>
  <c r="AC58" i="25"/>
  <c r="AF58" i="25" l="1"/>
  <c r="AE58" i="25"/>
  <c r="AB59" i="25"/>
  <c r="AD59" i="25"/>
  <c r="AA60" i="25"/>
  <c r="AC59" i="25"/>
  <c r="AF59" i="25" l="1"/>
  <c r="AE59" i="25"/>
  <c r="AD60" i="25"/>
  <c r="AC60" i="25"/>
  <c r="AA61" i="25"/>
  <c r="AB60" i="25"/>
  <c r="AE60" i="25" l="1"/>
  <c r="AF60" i="25"/>
  <c r="AB61" i="25"/>
  <c r="AD61" i="25"/>
  <c r="AC61" i="25"/>
  <c r="AA62" i="25"/>
  <c r="AF61" i="25" l="1"/>
  <c r="AE61" i="25"/>
  <c r="AD62" i="25"/>
  <c r="AC62" i="25"/>
  <c r="AA63" i="25"/>
  <c r="AB62" i="25"/>
  <c r="AF62" i="25" l="1"/>
  <c r="AE62" i="25"/>
  <c r="AB63" i="25"/>
  <c r="AC63" i="25"/>
  <c r="AA64" i="25"/>
  <c r="AD63" i="25"/>
  <c r="AF63" i="25" l="1"/>
  <c r="AE63" i="25"/>
  <c r="AD64" i="25"/>
  <c r="AA65" i="25"/>
  <c r="AB64" i="25"/>
  <c r="AC64" i="25"/>
  <c r="AB65" i="25" l="1"/>
  <c r="AA66" i="25"/>
  <c r="AD65" i="25"/>
  <c r="AC65" i="25"/>
  <c r="AF64" i="25"/>
  <c r="AE64" i="25"/>
  <c r="AF65" i="25" l="1"/>
  <c r="AE65" i="25"/>
  <c r="AD66" i="25"/>
  <c r="AC66" i="25"/>
  <c r="AA67" i="25"/>
  <c r="AB66" i="25"/>
  <c r="AF66" i="25" l="1"/>
  <c r="AE66" i="25"/>
  <c r="AB67" i="25"/>
  <c r="AD67" i="25"/>
  <c r="AC67" i="25"/>
  <c r="AF67" i="25" l="1"/>
  <c r="AE67" i="25"/>
  <c r="EB6" i="21" l="1"/>
  <c r="DN6" i="21"/>
  <c r="CZ6" i="21"/>
  <c r="CL6" i="21"/>
  <c r="BX6" i="21"/>
  <c r="BJ6" i="21"/>
  <c r="AV6" i="21"/>
  <c r="AH6" i="21"/>
  <c r="T6" i="21"/>
  <c r="F6" i="21"/>
  <c r="L21" i="21" l="1"/>
  <c r="DT21" i="21"/>
  <c r="CD21" i="21"/>
  <c r="EH21" i="21"/>
  <c r="BP21" i="21"/>
  <c r="CR21" i="21"/>
  <c r="Z21" i="21"/>
  <c r="AN21" i="21"/>
  <c r="BB21" i="21"/>
  <c r="DF21" i="21"/>
  <c r="AN20" i="21"/>
  <c r="AN19" i="21"/>
  <c r="BB20" i="21"/>
  <c r="BB19" i="21"/>
  <c r="L20" i="21"/>
  <c r="L19" i="21"/>
  <c r="BP20" i="21"/>
  <c r="BP19" i="21"/>
  <c r="DT20" i="21"/>
  <c r="DT19" i="21"/>
  <c r="CR20" i="21"/>
  <c r="CR19" i="21"/>
  <c r="DF20" i="21"/>
  <c r="DF19" i="21"/>
  <c r="Z20" i="21"/>
  <c r="Z19" i="21"/>
  <c r="CD20" i="21"/>
  <c r="CD19" i="21"/>
  <c r="EH20" i="21"/>
  <c r="EH19" i="21"/>
  <c r="CR18" i="21"/>
  <c r="BB18" i="21"/>
  <c r="DF18" i="21"/>
  <c r="AN18" i="21"/>
  <c r="L18" i="21"/>
  <c r="BP18" i="21"/>
  <c r="DT18" i="21"/>
  <c r="Z18" i="21"/>
  <c r="CD18" i="21"/>
  <c r="EH18" i="21"/>
  <c r="L17" i="21"/>
  <c r="L15" i="21"/>
  <c r="L16" i="21"/>
  <c r="AN17" i="21"/>
  <c r="AN15" i="21"/>
  <c r="AN16" i="21"/>
  <c r="BP17" i="21"/>
  <c r="BP15" i="21"/>
  <c r="BP16" i="21"/>
  <c r="CR17" i="21"/>
  <c r="CR15" i="21"/>
  <c r="CR16" i="21"/>
  <c r="DT17" i="21"/>
  <c r="DT15" i="21"/>
  <c r="DT16" i="21"/>
  <c r="Z17" i="21"/>
  <c r="Z15" i="21"/>
  <c r="Z16" i="21"/>
  <c r="BB17" i="21"/>
  <c r="BB15" i="21"/>
  <c r="BB16" i="21"/>
  <c r="CD17" i="21"/>
  <c r="CD15" i="21"/>
  <c r="CD16" i="21"/>
  <c r="DF17" i="21"/>
  <c r="DF15" i="21"/>
  <c r="DF16" i="21"/>
  <c r="EH17" i="21"/>
  <c r="EH15" i="21"/>
  <c r="EH16" i="21"/>
  <c r="L14" i="21"/>
  <c r="AN14" i="21"/>
  <c r="BP14" i="21"/>
  <c r="CR14" i="21"/>
  <c r="DT14" i="21"/>
  <c r="Z14" i="21"/>
  <c r="BB14" i="21"/>
  <c r="CD14" i="21"/>
  <c r="DF14" i="21"/>
  <c r="EH14" i="21"/>
  <c r="AN10" i="21"/>
  <c r="CR10" i="21"/>
  <c r="BB10" i="21"/>
  <c r="DF10" i="21"/>
  <c r="AN12" i="21"/>
  <c r="BB11" i="21"/>
  <c r="CR12" i="21"/>
  <c r="DF11" i="21"/>
  <c r="Z13" i="21"/>
  <c r="BB12" i="21"/>
  <c r="CD13" i="21"/>
  <c r="DF12" i="21"/>
  <c r="EH13" i="21"/>
  <c r="BP11" i="21"/>
  <c r="DT11" i="21"/>
  <c r="BP13" i="21"/>
  <c r="DT13" i="21"/>
  <c r="Z10" i="21"/>
  <c r="Z12" i="21"/>
  <c r="AN11" i="21"/>
  <c r="BB13" i="21"/>
  <c r="CD10" i="21"/>
  <c r="CD12" i="21"/>
  <c r="CR11" i="21"/>
  <c r="DF13" i="21"/>
  <c r="EH10" i="21"/>
  <c r="EH12" i="21"/>
  <c r="Z11" i="21"/>
  <c r="AN13" i="21"/>
  <c r="BP10" i="21"/>
  <c r="BP12" i="21"/>
  <c r="CD11" i="21"/>
  <c r="CR13" i="21"/>
  <c r="DT10" i="21"/>
  <c r="DT12" i="21"/>
  <c r="EH11" i="21"/>
  <c r="EP21" i="21" l="1"/>
  <c r="EP20" i="21"/>
  <c r="EP19" i="21"/>
  <c r="EP18" i="21"/>
  <c r="EP16" i="21"/>
  <c r="EP17" i="21"/>
  <c r="EP15" i="21"/>
  <c r="EP14" i="21"/>
  <c r="C15" i="1"/>
  <c r="BB15" i="1" l="1"/>
  <c r="BA15" i="1" s="1"/>
  <c r="BD15" i="1"/>
  <c r="BC15" i="1" s="1"/>
  <c r="BF15" i="1"/>
  <c r="BE15" i="1" s="1"/>
  <c r="AU15" i="1" s="1"/>
  <c r="AB15" i="1"/>
  <c r="AW15" i="1" l="1"/>
  <c r="AT15" i="1"/>
  <c r="AV15" i="1"/>
  <c r="B18" i="17" l="1"/>
  <c r="B19" i="17" s="1"/>
  <c r="B17" i="17"/>
  <c r="B20" i="17" l="1"/>
  <c r="B22" i="17" l="1"/>
  <c r="B21" i="17"/>
  <c r="B23" i="17" l="1"/>
  <c r="B24" i="17"/>
  <c r="B26" i="17" l="1"/>
  <c r="B25" i="17"/>
  <c r="B27" i="17" l="1"/>
  <c r="B28" i="17"/>
  <c r="B30" i="17" l="1"/>
  <c r="B29" i="17"/>
  <c r="B31" i="17" l="1"/>
  <c r="B32" i="17"/>
  <c r="B34" i="17" l="1"/>
  <c r="B33" i="17"/>
  <c r="B35" i="17" l="1"/>
  <c r="B36" i="17"/>
  <c r="B38" i="17" l="1"/>
  <c r="B39" i="17" s="1"/>
  <c r="B37" i="17"/>
  <c r="C7" i="21" l="1"/>
  <c r="P5" i="25"/>
  <c r="AQ26" i="1" l="1"/>
  <c r="S5" i="25"/>
  <c r="R5" i="25"/>
  <c r="P6" i="25"/>
  <c r="Q5" i="25"/>
  <c r="AP26" i="1" s="1"/>
  <c r="T5" i="25" l="1"/>
  <c r="AR26" i="1"/>
  <c r="U5" i="25"/>
  <c r="AS26" i="1" s="1"/>
  <c r="Q6" i="25"/>
  <c r="S6" i="25"/>
  <c r="P7" i="25"/>
  <c r="R6" i="25"/>
  <c r="S7" i="25" l="1"/>
  <c r="Q7" i="25"/>
  <c r="P8" i="25"/>
  <c r="R7" i="25"/>
  <c r="U6" i="25"/>
  <c r="T6" i="25"/>
  <c r="Q8" i="25" l="1"/>
  <c r="S8" i="25"/>
  <c r="P9" i="25"/>
  <c r="R8" i="25"/>
  <c r="T7" i="25"/>
  <c r="U7" i="25"/>
  <c r="S9" i="25" l="1"/>
  <c r="Q9" i="25"/>
  <c r="P10" i="25"/>
  <c r="R9" i="25"/>
  <c r="U8" i="25"/>
  <c r="T8" i="25"/>
  <c r="Q10" i="25" l="1"/>
  <c r="S10" i="25"/>
  <c r="P11" i="25"/>
  <c r="R10" i="25"/>
  <c r="T9" i="25"/>
  <c r="U9" i="25"/>
  <c r="S11" i="25" l="1"/>
  <c r="R11" i="25"/>
  <c r="Q11" i="25"/>
  <c r="P12" i="25"/>
  <c r="U10" i="25"/>
  <c r="T10" i="25"/>
  <c r="S12" i="25" l="1"/>
  <c r="P13" i="25"/>
  <c r="R12" i="25"/>
  <c r="Q12" i="25"/>
  <c r="U11" i="25"/>
  <c r="T11" i="25"/>
  <c r="Q13" i="25" l="1"/>
  <c r="R13" i="25"/>
  <c r="P14" i="25"/>
  <c r="S13" i="25"/>
  <c r="U12" i="25"/>
  <c r="T12" i="25"/>
  <c r="U13" i="25" l="1"/>
  <c r="T13" i="25"/>
  <c r="S14" i="25"/>
  <c r="P15" i="25"/>
  <c r="R14" i="25"/>
  <c r="Q14" i="25"/>
  <c r="Q15" i="25" l="1"/>
  <c r="S15" i="25"/>
  <c r="P16" i="25"/>
  <c r="R15" i="25"/>
  <c r="U14" i="25"/>
  <c r="T14" i="25"/>
  <c r="S16" i="25" l="1"/>
  <c r="P17" i="25"/>
  <c r="R16" i="25"/>
  <c r="Q16" i="25"/>
  <c r="U15" i="25"/>
  <c r="T15" i="25"/>
  <c r="B10" i="21"/>
  <c r="B10" i="20"/>
  <c r="Q17" i="25" l="1"/>
  <c r="P18" i="25"/>
  <c r="S17" i="25"/>
  <c r="R17" i="25"/>
  <c r="U16" i="25"/>
  <c r="T16" i="25"/>
  <c r="U17" i="25" l="1"/>
  <c r="T17" i="25"/>
  <c r="S18" i="25"/>
  <c r="P19" i="25"/>
  <c r="R18" i="25"/>
  <c r="Q18" i="25"/>
  <c r="D14" i="1"/>
  <c r="X14" i="1"/>
  <c r="AC14" i="1"/>
  <c r="AD14" i="1"/>
  <c r="Q6" i="12"/>
  <c r="Q5" i="12"/>
  <c r="D12" i="1"/>
  <c r="D13" i="1"/>
  <c r="D11" i="1"/>
  <c r="C13" i="1" l="1"/>
  <c r="D12" i="21"/>
  <c r="C12" i="21" s="1"/>
  <c r="D12" i="20"/>
  <c r="C12" i="20" s="1"/>
  <c r="C12" i="1"/>
  <c r="D11" i="20"/>
  <c r="C11" i="20" s="1"/>
  <c r="D11" i="21"/>
  <c r="C11" i="21" s="1"/>
  <c r="D13" i="20"/>
  <c r="C13" i="20" s="1"/>
  <c r="C14" i="1"/>
  <c r="D13" i="21"/>
  <c r="C13" i="21" s="1"/>
  <c r="D10" i="21"/>
  <c r="C10" i="21" s="1"/>
  <c r="D10" i="20"/>
  <c r="C10" i="20" s="1"/>
  <c r="Q19" i="25"/>
  <c r="S19" i="25"/>
  <c r="R19" i="25"/>
  <c r="P20" i="25"/>
  <c r="U18" i="25"/>
  <c r="T18" i="25"/>
  <c r="F14" i="1"/>
  <c r="E14" i="1"/>
  <c r="AB12" i="1" l="1"/>
  <c r="BF12" i="1"/>
  <c r="BD12" i="1"/>
  <c r="BC12" i="1" s="1"/>
  <c r="AB14" i="1"/>
  <c r="BF14" i="1"/>
  <c r="AB13" i="1"/>
  <c r="BF13" i="1"/>
  <c r="BE13" i="1" s="1"/>
  <c r="AU13" i="1" s="1"/>
  <c r="BD13" i="1"/>
  <c r="BC13" i="1" s="1"/>
  <c r="S20" i="25"/>
  <c r="P21" i="25"/>
  <c r="R20" i="25"/>
  <c r="Q20" i="25"/>
  <c r="U19" i="25"/>
  <c r="T19" i="25"/>
  <c r="AT13" i="1" l="1"/>
  <c r="AW13" i="1"/>
  <c r="AV12" i="1"/>
  <c r="BE12" i="1"/>
  <c r="AV14" i="1"/>
  <c r="BE14" i="1"/>
  <c r="AW12" i="1"/>
  <c r="AW14" i="1"/>
  <c r="AV13" i="1"/>
  <c r="AS12" i="1"/>
  <c r="AR12" i="1"/>
  <c r="AR13" i="1"/>
  <c r="AS13" i="1"/>
  <c r="Q21" i="25"/>
  <c r="R21" i="25"/>
  <c r="P22" i="25"/>
  <c r="S21" i="25"/>
  <c r="U20" i="25"/>
  <c r="T20" i="25"/>
  <c r="AU14" i="1" l="1"/>
  <c r="AT14" i="1"/>
  <c r="AU12" i="1"/>
  <c r="AT12" i="1"/>
  <c r="U21" i="25"/>
  <c r="T21" i="25"/>
  <c r="S22" i="25"/>
  <c r="P23" i="25"/>
  <c r="R22" i="25"/>
  <c r="Q22" i="25"/>
  <c r="U22" i="25" l="1"/>
  <c r="T22" i="25"/>
  <c r="Q23" i="25"/>
  <c r="S23" i="25"/>
  <c r="P24" i="25"/>
  <c r="P25" i="25" s="1"/>
  <c r="Q25" i="25" s="1"/>
  <c r="R23" i="25"/>
  <c r="U23" i="25" l="1"/>
  <c r="T23" i="25"/>
  <c r="S24" i="25"/>
  <c r="R24" i="25"/>
  <c r="Q24" i="25"/>
  <c r="C10" i="18"/>
  <c r="H10" i="18"/>
  <c r="U24" i="25" l="1"/>
  <c r="T24" i="25"/>
  <c r="X11" i="1"/>
  <c r="X12" i="1"/>
  <c r="X13" i="1"/>
  <c r="EN13" i="21"/>
  <c r="EN12" i="21"/>
  <c r="EN11" i="21"/>
  <c r="EN10" i="21"/>
  <c r="DZ13" i="21"/>
  <c r="DZ12" i="21"/>
  <c r="DZ11" i="21"/>
  <c r="DZ10" i="21"/>
  <c r="DL13" i="21"/>
  <c r="DL12" i="21"/>
  <c r="DL11" i="21"/>
  <c r="DL10" i="21"/>
  <c r="CX13" i="21"/>
  <c r="CX12" i="21"/>
  <c r="CX11" i="21"/>
  <c r="CX10" i="21"/>
  <c r="CJ13" i="21"/>
  <c r="CJ12" i="21"/>
  <c r="CJ11" i="21"/>
  <c r="CJ10" i="21"/>
  <c r="BV13" i="21"/>
  <c r="BV12" i="21"/>
  <c r="BV11" i="21"/>
  <c r="BV10" i="21"/>
  <c r="BH13" i="21"/>
  <c r="BH12" i="21"/>
  <c r="BH11" i="21"/>
  <c r="BH10" i="21"/>
  <c r="AT13" i="21"/>
  <c r="AT12" i="21"/>
  <c r="AT11" i="21"/>
  <c r="AT10" i="21"/>
  <c r="AF13" i="21"/>
  <c r="AF12" i="21"/>
  <c r="AF11" i="21"/>
  <c r="AF10" i="21"/>
  <c r="R11" i="21"/>
  <c r="R12" i="21"/>
  <c r="R13" i="21"/>
  <c r="R10" i="21"/>
  <c r="EQ11" i="21" l="1"/>
  <c r="EQ12" i="21"/>
  <c r="EQ13" i="21"/>
  <c r="X8" i="1"/>
  <c r="EQ10" i="21"/>
  <c r="EQ6" i="21" l="1"/>
  <c r="E12" i="1" l="1"/>
  <c r="E13" i="1"/>
  <c r="E11" i="1"/>
  <c r="AC13" i="1"/>
  <c r="AD13" i="1"/>
  <c r="F13" i="1" s="1"/>
  <c r="B11" i="21" l="1"/>
  <c r="B11" i="20"/>
  <c r="AI13" i="20"/>
  <c r="C28" i="23"/>
  <c r="C28" i="24"/>
  <c r="C26" i="24"/>
  <c r="C27" i="23"/>
  <c r="C27" i="24"/>
  <c r="C26" i="23"/>
  <c r="B18" i="20" l="1"/>
  <c r="B18" i="21"/>
  <c r="W13" i="20"/>
  <c r="AX13" i="20"/>
  <c r="AP13" i="20"/>
  <c r="Z13" i="20"/>
  <c r="AQ13" i="20"/>
  <c r="AM13" i="20"/>
  <c r="K13" i="20"/>
  <c r="V13" i="20"/>
  <c r="J13" i="20"/>
  <c r="AH13" i="20"/>
  <c r="AJ13" i="20" s="1"/>
  <c r="AK13" i="20" s="1"/>
  <c r="BB13" i="20"/>
  <c r="G13" i="20"/>
  <c r="AU13" i="20"/>
  <c r="BG13" i="20"/>
  <c r="S13" i="20"/>
  <c r="R13" i="20"/>
  <c r="AL13" i="20"/>
  <c r="BF13" i="20"/>
  <c r="O13" i="20"/>
  <c r="BC13" i="20"/>
  <c r="AA13" i="20"/>
  <c r="F13" i="20"/>
  <c r="N13" i="20"/>
  <c r="AD13" i="20"/>
  <c r="AT13" i="20"/>
  <c r="AE13" i="20"/>
  <c r="AY13" i="20"/>
  <c r="C24" i="24"/>
  <c r="C25" i="23"/>
  <c r="BB12" i="20"/>
  <c r="C25" i="24"/>
  <c r="C24" i="23"/>
  <c r="E5" i="25"/>
  <c r="AR13" i="20" l="1"/>
  <c r="AS13" i="20" s="1"/>
  <c r="E6" i="25"/>
  <c r="F6" i="25" s="1"/>
  <c r="AZ13" i="20"/>
  <c r="BA13" i="20" s="1"/>
  <c r="AB13" i="20"/>
  <c r="AC13" i="20" s="1"/>
  <c r="T13" i="20"/>
  <c r="U13" i="20" s="1"/>
  <c r="L13" i="20"/>
  <c r="M13" i="20" s="1"/>
  <c r="BH13" i="20"/>
  <c r="BI13" i="20" s="1"/>
  <c r="AA12" i="20"/>
  <c r="K12" i="20"/>
  <c r="BF12" i="20"/>
  <c r="R12" i="20"/>
  <c r="Z12" i="20"/>
  <c r="J12" i="20"/>
  <c r="BG12" i="20"/>
  <c r="S12" i="20"/>
  <c r="AQ12" i="20"/>
  <c r="AE12" i="20"/>
  <c r="AP12" i="20"/>
  <c r="AD12" i="20"/>
  <c r="AT12" i="20"/>
  <c r="AH12" i="20"/>
  <c r="F12" i="20"/>
  <c r="N12" i="20"/>
  <c r="V12" i="20"/>
  <c r="BC12" i="20"/>
  <c r="AU12" i="20"/>
  <c r="AI12" i="20"/>
  <c r="G12" i="20"/>
  <c r="O12" i="20"/>
  <c r="W12" i="20"/>
  <c r="AY12" i="20"/>
  <c r="AM12" i="20"/>
  <c r="AX12" i="20"/>
  <c r="AL12" i="20"/>
  <c r="G6" i="25"/>
  <c r="F5" i="25"/>
  <c r="AL26" i="1" s="1"/>
  <c r="G5" i="25"/>
  <c r="AM26" i="1" s="1"/>
  <c r="H5" i="25"/>
  <c r="B15" i="20" l="1"/>
  <c r="B15" i="21"/>
  <c r="H6" i="25"/>
  <c r="J6" i="25" s="1"/>
  <c r="E7" i="25"/>
  <c r="G7" i="25" s="1"/>
  <c r="BK13" i="20"/>
  <c r="AB12" i="20"/>
  <c r="AC12" i="20" s="1"/>
  <c r="BH12" i="20"/>
  <c r="BI12" i="20" s="1"/>
  <c r="L12" i="20"/>
  <c r="M12" i="20" s="1"/>
  <c r="AJ12" i="20"/>
  <c r="AK12" i="20" s="1"/>
  <c r="T12" i="20"/>
  <c r="U12" i="20" s="1"/>
  <c r="AR12" i="20"/>
  <c r="AS12" i="20" s="1"/>
  <c r="AZ12" i="20"/>
  <c r="BA12" i="20" s="1"/>
  <c r="J5" i="25"/>
  <c r="AO26" i="1" s="1"/>
  <c r="AY26" i="1" s="1"/>
  <c r="I5" i="25"/>
  <c r="AN26" i="1" s="1"/>
  <c r="E8" i="25"/>
  <c r="AX26" i="1" l="1"/>
  <c r="B16" i="20"/>
  <c r="B16" i="21"/>
  <c r="I6" i="25"/>
  <c r="H7" i="25"/>
  <c r="F7" i="25"/>
  <c r="BK12" i="20"/>
  <c r="E9" i="25"/>
  <c r="H8" i="25"/>
  <c r="G8" i="25"/>
  <c r="F8" i="25"/>
  <c r="B17" i="21" l="1"/>
  <c r="B17" i="20"/>
  <c r="J7" i="25"/>
  <c r="I7" i="25"/>
  <c r="J8" i="25"/>
  <c r="I8" i="25"/>
  <c r="E10" i="25"/>
  <c r="H9" i="25"/>
  <c r="G9" i="25"/>
  <c r="F9" i="25"/>
  <c r="J9" i="25" l="1"/>
  <c r="I9" i="25"/>
  <c r="E11" i="25"/>
  <c r="H10" i="25"/>
  <c r="BB12" i="1" s="1"/>
  <c r="BA12" i="1" s="1"/>
  <c r="G10" i="25"/>
  <c r="F10" i="25"/>
  <c r="J10" i="25" l="1"/>
  <c r="I10" i="25"/>
  <c r="E12" i="25"/>
  <c r="H11" i="25"/>
  <c r="G11" i="25"/>
  <c r="F11" i="25"/>
  <c r="B12" i="20" l="1"/>
  <c r="B12" i="21"/>
  <c r="J11" i="25"/>
  <c r="I11" i="25"/>
  <c r="E13" i="25"/>
  <c r="H12" i="25"/>
  <c r="G12" i="25"/>
  <c r="F12" i="25"/>
  <c r="B13" i="20" l="1"/>
  <c r="B13" i="21"/>
  <c r="J12" i="25"/>
  <c r="I12" i="25"/>
  <c r="E14" i="25"/>
  <c r="H13" i="25"/>
  <c r="G13" i="25"/>
  <c r="F13" i="25"/>
  <c r="J13" i="25" l="1"/>
  <c r="I13" i="25"/>
  <c r="E15" i="25"/>
  <c r="H14" i="25"/>
  <c r="G14" i="25"/>
  <c r="F14" i="25"/>
  <c r="J14" i="25" l="1"/>
  <c r="I14" i="25"/>
  <c r="E16" i="25"/>
  <c r="H15" i="25"/>
  <c r="G15" i="25"/>
  <c r="F15" i="25"/>
  <c r="J15" i="25" l="1"/>
  <c r="I15" i="25"/>
  <c r="E17" i="25"/>
  <c r="H16" i="25"/>
  <c r="G16" i="25"/>
  <c r="F16" i="25"/>
  <c r="J16" i="25" l="1"/>
  <c r="I16" i="25"/>
  <c r="E18" i="25"/>
  <c r="H17" i="25"/>
  <c r="G17" i="25"/>
  <c r="F17" i="25"/>
  <c r="J17" i="25" l="1"/>
  <c r="I17" i="25"/>
  <c r="E19" i="25"/>
  <c r="H18" i="25"/>
  <c r="G18" i="25"/>
  <c r="F18" i="25"/>
  <c r="J18" i="25" l="1"/>
  <c r="I18" i="25"/>
  <c r="E20" i="25"/>
  <c r="H19" i="25"/>
  <c r="G19" i="25"/>
  <c r="F19" i="25"/>
  <c r="B14" i="20" l="1"/>
  <c r="B14" i="21"/>
  <c r="J19" i="25"/>
  <c r="I19" i="25"/>
  <c r="E21" i="25"/>
  <c r="H20" i="25"/>
  <c r="G20" i="25"/>
  <c r="F20" i="25"/>
  <c r="J20" i="25" l="1"/>
  <c r="I20" i="25"/>
  <c r="E22" i="25"/>
  <c r="H21" i="25"/>
  <c r="G21" i="25"/>
  <c r="F21" i="25"/>
  <c r="J21" i="25" l="1"/>
  <c r="I21" i="25"/>
  <c r="E23" i="25"/>
  <c r="H22" i="25"/>
  <c r="BB13" i="1" s="1"/>
  <c r="BA13" i="1" s="1"/>
  <c r="G22" i="25"/>
  <c r="F22" i="25"/>
  <c r="J22" i="25" l="1"/>
  <c r="I22" i="25"/>
  <c r="E24" i="25"/>
  <c r="H23" i="25"/>
  <c r="G23" i="25"/>
  <c r="F23" i="25"/>
  <c r="J23" i="25" l="1"/>
  <c r="I23" i="25"/>
  <c r="E25" i="25"/>
  <c r="H24" i="25"/>
  <c r="G24" i="25"/>
  <c r="F24" i="25"/>
  <c r="J24" i="25" l="1"/>
  <c r="I24" i="25"/>
  <c r="E26" i="25"/>
  <c r="H25" i="25"/>
  <c r="G25" i="25"/>
  <c r="F25" i="25"/>
  <c r="J25" i="25" l="1"/>
  <c r="I25" i="25"/>
  <c r="E27" i="25"/>
  <c r="H26" i="25"/>
  <c r="G26" i="25"/>
  <c r="F26" i="25"/>
  <c r="J26" i="25" l="1"/>
  <c r="I26" i="25"/>
  <c r="E28" i="25"/>
  <c r="E29" i="25" s="1"/>
  <c r="H27" i="25"/>
  <c r="G27" i="25"/>
  <c r="F27" i="25"/>
  <c r="J27" i="25" l="1"/>
  <c r="I27" i="25"/>
  <c r="H28" i="25"/>
  <c r="BB14" i="1" s="1"/>
  <c r="BA14" i="1" s="1"/>
  <c r="AL14" i="1" s="1"/>
  <c r="G28" i="25"/>
  <c r="F28" i="25"/>
  <c r="J28" i="25" l="1"/>
  <c r="I28" i="25"/>
  <c r="E30" i="25"/>
  <c r="H29" i="25"/>
  <c r="G29" i="25"/>
  <c r="F29" i="25"/>
  <c r="J29" i="25" l="1"/>
  <c r="I29" i="25"/>
  <c r="E31" i="25"/>
  <c r="H30" i="25"/>
  <c r="G30" i="25"/>
  <c r="F30" i="25"/>
  <c r="J30" i="25" l="1"/>
  <c r="I30" i="25"/>
  <c r="E32" i="25"/>
  <c r="H31" i="25"/>
  <c r="G31" i="25"/>
  <c r="F31" i="25"/>
  <c r="J31" i="25" l="1"/>
  <c r="I31" i="25"/>
  <c r="E33" i="25"/>
  <c r="H32" i="25"/>
  <c r="G32" i="25"/>
  <c r="F32" i="25"/>
  <c r="J32" i="25" l="1"/>
  <c r="I32" i="25"/>
  <c r="E34" i="25"/>
  <c r="H33" i="25"/>
  <c r="G33" i="25"/>
  <c r="F33" i="25"/>
  <c r="J33" i="25" l="1"/>
  <c r="I33" i="25"/>
  <c r="E35" i="25"/>
  <c r="H34" i="25"/>
  <c r="G34" i="25"/>
  <c r="F34" i="25"/>
  <c r="J34" i="25" l="1"/>
  <c r="I34" i="25"/>
  <c r="E36" i="25"/>
  <c r="H35" i="25"/>
  <c r="G35" i="25"/>
  <c r="F35" i="25"/>
  <c r="J35" i="25" l="1"/>
  <c r="I35" i="25"/>
  <c r="E37" i="25"/>
  <c r="H36" i="25"/>
  <c r="G36" i="25"/>
  <c r="F36" i="25"/>
  <c r="J36" i="25" l="1"/>
  <c r="I36" i="25"/>
  <c r="E38" i="25"/>
  <c r="H37" i="25"/>
  <c r="G37" i="25"/>
  <c r="F37" i="25"/>
  <c r="J37" i="25" l="1"/>
  <c r="I37" i="25"/>
  <c r="E39" i="25"/>
  <c r="H38" i="25"/>
  <c r="G38" i="25"/>
  <c r="F38" i="25"/>
  <c r="J38" i="25" l="1"/>
  <c r="I38" i="25"/>
  <c r="E40" i="25"/>
  <c r="H39" i="25"/>
  <c r="G39" i="25"/>
  <c r="F39" i="25"/>
  <c r="J39" i="25" l="1"/>
  <c r="I39" i="25"/>
  <c r="E41" i="25"/>
  <c r="H40" i="25"/>
  <c r="G40" i="25"/>
  <c r="F40" i="25"/>
  <c r="J40" i="25" l="1"/>
  <c r="I40" i="25"/>
  <c r="E42" i="25"/>
  <c r="H41" i="25"/>
  <c r="G41" i="25"/>
  <c r="F41" i="25"/>
  <c r="AN13" i="1" l="1"/>
  <c r="J41" i="25"/>
  <c r="AO13" i="1" s="1"/>
  <c r="I41" i="25"/>
  <c r="E43" i="25"/>
  <c r="H42" i="25"/>
  <c r="G42" i="25"/>
  <c r="F42" i="25"/>
  <c r="AL13" i="1" l="1"/>
  <c r="AM13" i="1"/>
  <c r="J42" i="25"/>
  <c r="I42" i="25"/>
  <c r="E44" i="25"/>
  <c r="H43" i="25"/>
  <c r="G43" i="25"/>
  <c r="F43" i="25"/>
  <c r="J43" i="25" l="1"/>
  <c r="I43" i="25"/>
  <c r="E45" i="25"/>
  <c r="E46" i="25" s="1"/>
  <c r="E47" i="25" s="1"/>
  <c r="H44" i="25"/>
  <c r="G44" i="25"/>
  <c r="F44" i="25"/>
  <c r="F47" i="25" l="1"/>
  <c r="H47" i="25"/>
  <c r="E48" i="25"/>
  <c r="G47" i="25"/>
  <c r="J44" i="25"/>
  <c r="I44" i="25"/>
  <c r="H45" i="25"/>
  <c r="G45" i="25"/>
  <c r="F45" i="25"/>
  <c r="G48" i="25" l="1"/>
  <c r="E49" i="25"/>
  <c r="H48" i="25"/>
  <c r="F48" i="25"/>
  <c r="I47" i="25"/>
  <c r="J47" i="25"/>
  <c r="J45" i="25"/>
  <c r="I45" i="25"/>
  <c r="H46" i="25"/>
  <c r="G46" i="25"/>
  <c r="F46" i="25"/>
  <c r="J48" i="25" l="1"/>
  <c r="I48" i="25"/>
  <c r="H49" i="25"/>
  <c r="G49" i="25"/>
  <c r="E50" i="25"/>
  <c r="F49" i="25"/>
  <c r="J46" i="25"/>
  <c r="I46" i="25"/>
  <c r="I49" i="25" l="1"/>
  <c r="J49" i="25"/>
  <c r="H50" i="25"/>
  <c r="F50" i="25"/>
  <c r="G50" i="25"/>
  <c r="E51" i="25"/>
  <c r="E14" i="17"/>
  <c r="J50" i="25" l="1"/>
  <c r="I50" i="25"/>
  <c r="F51" i="25"/>
  <c r="H51" i="25"/>
  <c r="G51" i="25"/>
  <c r="E52" i="25"/>
  <c r="AL12" i="1"/>
  <c r="C11" i="1"/>
  <c r="AC11" i="1"/>
  <c r="AD11" i="1"/>
  <c r="AC12" i="1"/>
  <c r="AD12" i="1"/>
  <c r="F12" i="1" s="1"/>
  <c r="AB11" i="1" l="1"/>
  <c r="BF11" i="1"/>
  <c r="BD11" i="1"/>
  <c r="BC11" i="1" s="1"/>
  <c r="AP11" i="1" s="1"/>
  <c r="BB11" i="1"/>
  <c r="BA11" i="1" s="1"/>
  <c r="AC8" i="1"/>
  <c r="F11" i="1"/>
  <c r="AD8" i="1"/>
  <c r="G52" i="25"/>
  <c r="E53" i="25"/>
  <c r="H52" i="25"/>
  <c r="F52" i="25"/>
  <c r="I51" i="25"/>
  <c r="J51" i="25"/>
  <c r="AV11" i="1" l="1"/>
  <c r="BE11" i="1"/>
  <c r="AW11" i="1"/>
  <c r="AW8" i="1" s="1"/>
  <c r="AS11" i="1"/>
  <c r="AR11" i="1"/>
  <c r="AQ11" i="1"/>
  <c r="G53" i="25"/>
  <c r="E54" i="25"/>
  <c r="F53" i="25"/>
  <c r="H53" i="25"/>
  <c r="J52" i="25"/>
  <c r="I52" i="25"/>
  <c r="C23" i="24"/>
  <c r="C23" i="23"/>
  <c r="AT11" i="1" l="1"/>
  <c r="AU11" i="1"/>
  <c r="AU8" i="1" s="1"/>
  <c r="I53" i="25"/>
  <c r="J53" i="25"/>
  <c r="H54" i="25"/>
  <c r="F54" i="25"/>
  <c r="G54" i="25"/>
  <c r="E55" i="25"/>
  <c r="F55" i="25" l="1"/>
  <c r="H55" i="25"/>
  <c r="G55" i="25"/>
  <c r="E56" i="25"/>
  <c r="J54" i="25"/>
  <c r="I54" i="25"/>
  <c r="G56" i="25" l="1"/>
  <c r="E57" i="25"/>
  <c r="H56" i="25"/>
  <c r="F56" i="25"/>
  <c r="I55" i="25"/>
  <c r="J55" i="25"/>
  <c r="C22" i="24"/>
  <c r="C22" i="23"/>
  <c r="J56" i="25" l="1"/>
  <c r="I56" i="25"/>
  <c r="F57" i="25"/>
  <c r="G57" i="25"/>
  <c r="E58" i="25"/>
  <c r="H57" i="25"/>
  <c r="I57" i="25" l="1"/>
  <c r="J57" i="25"/>
  <c r="H58" i="25"/>
  <c r="F58" i="25"/>
  <c r="G58" i="25"/>
  <c r="E59" i="25"/>
  <c r="F59" i="25" l="1"/>
  <c r="H59" i="25"/>
  <c r="G59" i="25"/>
  <c r="E60" i="25"/>
  <c r="I58" i="25"/>
  <c r="J58" i="25"/>
  <c r="I59" i="25" l="1"/>
  <c r="J59" i="25"/>
  <c r="G60" i="25"/>
  <c r="E61" i="25"/>
  <c r="F60" i="25"/>
  <c r="H60" i="25"/>
  <c r="BB5" i="20"/>
  <c r="AT5" i="20"/>
  <c r="AL5" i="20"/>
  <c r="AD5" i="20"/>
  <c r="V5" i="20"/>
  <c r="N5" i="20"/>
  <c r="F5" i="20"/>
  <c r="G61" i="25" l="1"/>
  <c r="E62" i="25"/>
  <c r="F61" i="25"/>
  <c r="H61" i="25"/>
  <c r="I60" i="25"/>
  <c r="J60" i="25"/>
  <c r="F6" i="20"/>
  <c r="X22" i="20" l="1"/>
  <c r="Y22" i="20" s="1"/>
  <c r="H22" i="20"/>
  <c r="AF22" i="20"/>
  <c r="AG22" i="20" s="1"/>
  <c r="P22" i="20"/>
  <c r="Q22" i="20" s="1"/>
  <c r="AV22" i="20"/>
  <c r="AW22" i="20" s="1"/>
  <c r="BD22" i="20"/>
  <c r="BE22" i="20" s="1"/>
  <c r="AN22" i="20"/>
  <c r="AO22" i="20" s="1"/>
  <c r="AV21" i="20"/>
  <c r="AW21" i="20" s="1"/>
  <c r="X21" i="20"/>
  <c r="Y21" i="20" s="1"/>
  <c r="P21" i="20"/>
  <c r="Q21" i="20" s="1"/>
  <c r="BD21" i="20"/>
  <c r="BE21" i="20" s="1"/>
  <c r="AF21" i="20"/>
  <c r="AG21" i="20" s="1"/>
  <c r="AN21" i="20"/>
  <c r="AO21" i="20" s="1"/>
  <c r="H21" i="20"/>
  <c r="P20" i="20"/>
  <c r="Q20" i="20" s="1"/>
  <c r="X20" i="20"/>
  <c r="Y20" i="20" s="1"/>
  <c r="H20" i="20"/>
  <c r="AN20" i="20"/>
  <c r="AO20" i="20" s="1"/>
  <c r="BD20" i="20"/>
  <c r="BE20" i="20" s="1"/>
  <c r="AF20" i="20"/>
  <c r="AG20" i="20" s="1"/>
  <c r="AV20" i="20"/>
  <c r="AW20" i="20" s="1"/>
  <c r="AF19" i="20"/>
  <c r="AG19" i="20" s="1"/>
  <c r="P19" i="20"/>
  <c r="Q19" i="20" s="1"/>
  <c r="AV19" i="20"/>
  <c r="AW19" i="20" s="1"/>
  <c r="BD19" i="20"/>
  <c r="BE19" i="20" s="1"/>
  <c r="X19" i="20"/>
  <c r="Y19" i="20" s="1"/>
  <c r="H19" i="20"/>
  <c r="AN19" i="20"/>
  <c r="AO19" i="20" s="1"/>
  <c r="BD18" i="20"/>
  <c r="BE18" i="20" s="1"/>
  <c r="X18" i="20"/>
  <c r="Y18" i="20" s="1"/>
  <c r="AF18" i="20"/>
  <c r="AG18" i="20" s="1"/>
  <c r="AV18" i="20"/>
  <c r="AW18" i="20" s="1"/>
  <c r="AN18" i="20"/>
  <c r="AO18" i="20" s="1"/>
  <c r="P18" i="20"/>
  <c r="Q18" i="20" s="1"/>
  <c r="H18" i="20"/>
  <c r="AV17" i="20"/>
  <c r="AW17" i="20" s="1"/>
  <c r="AN17" i="20"/>
  <c r="AO17" i="20" s="1"/>
  <c r="BD17" i="20"/>
  <c r="BE17" i="20" s="1"/>
  <c r="P17" i="20"/>
  <c r="Q17" i="20" s="1"/>
  <c r="X17" i="20"/>
  <c r="Y17" i="20" s="1"/>
  <c r="AF17" i="20"/>
  <c r="AG17" i="20" s="1"/>
  <c r="H17" i="20"/>
  <c r="X16" i="20"/>
  <c r="Y16" i="20" s="1"/>
  <c r="BD16" i="20"/>
  <c r="BE16" i="20" s="1"/>
  <c r="P16" i="20"/>
  <c r="Q16" i="20" s="1"/>
  <c r="AV16" i="20"/>
  <c r="AW16" i="20" s="1"/>
  <c r="AN16" i="20"/>
  <c r="AO16" i="20" s="1"/>
  <c r="AF16" i="20"/>
  <c r="AG16" i="20" s="1"/>
  <c r="H16" i="20"/>
  <c r="AV15" i="20"/>
  <c r="AW15" i="20" s="1"/>
  <c r="H15" i="20"/>
  <c r="AN15" i="20"/>
  <c r="AO15" i="20" s="1"/>
  <c r="AF15" i="20"/>
  <c r="AG15" i="20" s="1"/>
  <c r="BD15" i="20"/>
  <c r="BE15" i="20" s="1"/>
  <c r="P15" i="20"/>
  <c r="Q15" i="20" s="1"/>
  <c r="X15" i="20"/>
  <c r="Y15" i="20" s="1"/>
  <c r="AN14" i="20"/>
  <c r="AO14" i="20" s="1"/>
  <c r="X14" i="20"/>
  <c r="Y14" i="20" s="1"/>
  <c r="AV14" i="20"/>
  <c r="AW14" i="20" s="1"/>
  <c r="P14" i="20"/>
  <c r="Q14" i="20" s="1"/>
  <c r="BD14" i="20"/>
  <c r="BE14" i="20" s="1"/>
  <c r="H14" i="20"/>
  <c r="AF14" i="20"/>
  <c r="AG14" i="20" s="1"/>
  <c r="H62" i="25"/>
  <c r="F62" i="25"/>
  <c r="G62" i="25"/>
  <c r="E63" i="25"/>
  <c r="I61" i="25"/>
  <c r="J61" i="25"/>
  <c r="H13" i="20"/>
  <c r="X13" i="20"/>
  <c r="Y13" i="20" s="1"/>
  <c r="AN13" i="20"/>
  <c r="AO13" i="20" s="1"/>
  <c r="BD13" i="20"/>
  <c r="BE13" i="20" s="1"/>
  <c r="P13" i="20"/>
  <c r="Q13" i="20" s="1"/>
  <c r="AF13" i="20"/>
  <c r="AG13" i="20" s="1"/>
  <c r="AV13" i="20"/>
  <c r="AW13" i="20" s="1"/>
  <c r="AF12" i="20"/>
  <c r="AG12" i="20" s="1"/>
  <c r="BD12" i="20"/>
  <c r="BE12" i="20" s="1"/>
  <c r="H12" i="20"/>
  <c r="P12" i="20"/>
  <c r="Q12" i="20" s="1"/>
  <c r="AN12" i="20"/>
  <c r="AO12" i="20" s="1"/>
  <c r="AV12" i="20"/>
  <c r="AW12" i="20" s="1"/>
  <c r="X12" i="20"/>
  <c r="Y12" i="20" s="1"/>
  <c r="I22" i="20" l="1"/>
  <c r="BJ22" i="20"/>
  <c r="I21" i="20"/>
  <c r="BJ21" i="20"/>
  <c r="I20" i="20"/>
  <c r="BJ20" i="20"/>
  <c r="I19" i="20"/>
  <c r="BJ19" i="20"/>
  <c r="I18" i="20"/>
  <c r="BJ18" i="20"/>
  <c r="I17" i="20"/>
  <c r="BJ17" i="20"/>
  <c r="BJ16" i="20"/>
  <c r="I16" i="20"/>
  <c r="I15" i="20"/>
  <c r="BJ15" i="20"/>
  <c r="I14" i="20"/>
  <c r="BJ14" i="20"/>
  <c r="I62" i="25"/>
  <c r="J62" i="25"/>
  <c r="H63" i="25"/>
  <c r="F63" i="25"/>
  <c r="G63" i="25"/>
  <c r="E64" i="25"/>
  <c r="I13" i="20"/>
  <c r="BJ13" i="20"/>
  <c r="BJ12" i="20"/>
  <c r="I12" i="20"/>
  <c r="G64" i="25" l="1"/>
  <c r="E65" i="25"/>
  <c r="H64" i="25"/>
  <c r="F64" i="25"/>
  <c r="I63" i="25"/>
  <c r="J63" i="25"/>
  <c r="C21" i="24"/>
  <c r="C21" i="23"/>
  <c r="I64" i="25" l="1"/>
  <c r="J64" i="25"/>
  <c r="G65" i="25"/>
  <c r="E66" i="25"/>
  <c r="H65" i="25"/>
  <c r="F65" i="25"/>
  <c r="H66" i="25" l="1"/>
  <c r="F66" i="25"/>
  <c r="G66" i="25"/>
  <c r="E67" i="25"/>
  <c r="I65" i="25"/>
  <c r="J65" i="25"/>
  <c r="H67" i="25" l="1"/>
  <c r="F67" i="25"/>
  <c r="G67" i="25"/>
  <c r="I66" i="25"/>
  <c r="J66" i="25"/>
  <c r="AL15" i="1" l="1"/>
  <c r="AM15" i="1"/>
  <c r="AM14" i="1"/>
  <c r="I67" i="25"/>
  <c r="J67" i="25"/>
  <c r="C6" i="23"/>
  <c r="C5" i="23"/>
  <c r="F6" i="24"/>
  <c r="C6" i="24"/>
  <c r="C5" i="24"/>
  <c r="F6" i="23"/>
  <c r="AN15" i="1" l="1"/>
  <c r="AO15" i="1"/>
  <c r="AN14" i="1"/>
  <c r="AO14" i="1"/>
  <c r="L16" i="17"/>
  <c r="K16" i="17" s="1"/>
  <c r="C14" i="17"/>
  <c r="B14" i="17"/>
  <c r="B10" i="17"/>
  <c r="B8" i="17"/>
  <c r="B7" i="17"/>
  <c r="B6" i="17"/>
  <c r="B4" i="17"/>
  <c r="G7" i="1"/>
  <c r="F14" i="17" l="1"/>
  <c r="L17" i="17"/>
  <c r="M16" i="17"/>
  <c r="N16" i="17" s="1"/>
  <c r="G10" i="1" s="1"/>
  <c r="C6" i="20"/>
  <c r="C5" i="20"/>
  <c r="C7" i="20" s="1"/>
  <c r="BB6" i="20"/>
  <c r="AT6" i="20"/>
  <c r="AL6" i="20"/>
  <c r="AD6" i="20"/>
  <c r="V6" i="20"/>
  <c r="N6" i="20"/>
  <c r="L11" i="21" l="1"/>
  <c r="L13" i="21"/>
  <c r="L12" i="21"/>
  <c r="L10" i="21"/>
  <c r="G2" i="1"/>
  <c r="K17" i="17"/>
  <c r="M17" i="17"/>
  <c r="N17" i="17" s="1"/>
  <c r="L18" i="17"/>
  <c r="EP13" i="21" l="1"/>
  <c r="EP12" i="21"/>
  <c r="EP11" i="21"/>
  <c r="EP10" i="21"/>
  <c r="K18" i="17"/>
  <c r="M18" i="17"/>
  <c r="N18" i="17" s="1"/>
  <c r="L19" i="17"/>
  <c r="EP6" i="21" l="1"/>
  <c r="C20" i="24"/>
  <c r="C20" i="23"/>
  <c r="L20" i="17"/>
  <c r="K19" i="17"/>
  <c r="M19" i="17"/>
  <c r="N19" i="17" s="1"/>
  <c r="L21" i="17" l="1"/>
  <c r="K20" i="17"/>
  <c r="M20" i="17"/>
  <c r="N20" i="17" s="1"/>
  <c r="L22" i="17" l="1"/>
  <c r="K21" i="17"/>
  <c r="M21" i="17"/>
  <c r="N21" i="17" s="1"/>
  <c r="L23" i="17" l="1"/>
  <c r="K22" i="17"/>
  <c r="M22" i="17"/>
  <c r="N22" i="17" s="1"/>
  <c r="L24" i="17" l="1"/>
  <c r="K23" i="17"/>
  <c r="M23" i="17"/>
  <c r="N23" i="17" s="1"/>
  <c r="IZ32" i="18"/>
  <c r="IV32" i="18"/>
  <c r="IR32" i="18"/>
  <c r="IN32" i="18"/>
  <c r="IJ32" i="18"/>
  <c r="IF32" i="18"/>
  <c r="IB32" i="18"/>
  <c r="HX32" i="18"/>
  <c r="HT32" i="18"/>
  <c r="HP32" i="18"/>
  <c r="HL32" i="18"/>
  <c r="HH32" i="18"/>
  <c r="HD32" i="18"/>
  <c r="GZ32" i="18"/>
  <c r="GV32" i="18"/>
  <c r="GR32" i="18"/>
  <c r="GN32" i="18"/>
  <c r="GJ32" i="18"/>
  <c r="GF32" i="18"/>
  <c r="GB32" i="18"/>
  <c r="FX32" i="18"/>
  <c r="FT32" i="18"/>
  <c r="FP32" i="18"/>
  <c r="FL32" i="18"/>
  <c r="FH32" i="18"/>
  <c r="FD32" i="18"/>
  <c r="EZ32" i="18"/>
  <c r="EV32" i="18"/>
  <c r="ER32" i="18"/>
  <c r="EN32" i="18"/>
  <c r="EJ32" i="18"/>
  <c r="EF32" i="18"/>
  <c r="EB32" i="18"/>
  <c r="DX32" i="18"/>
  <c r="DT32" i="18"/>
  <c r="DP32" i="18"/>
  <c r="DL32" i="18"/>
  <c r="DH32" i="18"/>
  <c r="DD32" i="18"/>
  <c r="CZ32" i="18"/>
  <c r="CV32" i="18"/>
  <c r="CR32" i="18"/>
  <c r="CN32" i="18"/>
  <c r="CJ32" i="18"/>
  <c r="CF32" i="18"/>
  <c r="CB32" i="18"/>
  <c r="BX32" i="18"/>
  <c r="BT32" i="18"/>
  <c r="BP32" i="18"/>
  <c r="BL32" i="18"/>
  <c r="BH32" i="18"/>
  <c r="BD32" i="18"/>
  <c r="IZ31" i="18"/>
  <c r="IV31" i="18"/>
  <c r="IR31" i="18"/>
  <c r="IN31" i="18"/>
  <c r="IJ31" i="18"/>
  <c r="IF31" i="18"/>
  <c r="IB31" i="18"/>
  <c r="HX31" i="18"/>
  <c r="HT31" i="18"/>
  <c r="HP31" i="18"/>
  <c r="HL31" i="18"/>
  <c r="HH31" i="18"/>
  <c r="HD31" i="18"/>
  <c r="GZ31" i="18"/>
  <c r="GV31" i="18"/>
  <c r="GR31" i="18"/>
  <c r="GN31" i="18"/>
  <c r="GJ31" i="18"/>
  <c r="GF31" i="18"/>
  <c r="GB31" i="18"/>
  <c r="FX31" i="18"/>
  <c r="FT31" i="18"/>
  <c r="FP31" i="18"/>
  <c r="FL31" i="18"/>
  <c r="FH31" i="18"/>
  <c r="FD31" i="18"/>
  <c r="EZ31" i="18"/>
  <c r="EV31" i="18"/>
  <c r="ER31" i="18"/>
  <c r="EN31" i="18"/>
  <c r="EJ31" i="18"/>
  <c r="EF31" i="18"/>
  <c r="EB31" i="18"/>
  <c r="DX31" i="18"/>
  <c r="DT31" i="18"/>
  <c r="DP31" i="18"/>
  <c r="DL31" i="18"/>
  <c r="DH31" i="18"/>
  <c r="DD31" i="18"/>
  <c r="CZ31" i="18"/>
  <c r="CV31" i="18"/>
  <c r="CR31" i="18"/>
  <c r="CN31" i="18"/>
  <c r="CJ31" i="18"/>
  <c r="CF31" i="18"/>
  <c r="CB31" i="18"/>
  <c r="BX31" i="18"/>
  <c r="BT31" i="18"/>
  <c r="BP31" i="18"/>
  <c r="BL31" i="18"/>
  <c r="BH31" i="18"/>
  <c r="BD31" i="18"/>
  <c r="AZ31" i="18"/>
  <c r="AV31" i="18"/>
  <c r="AR31" i="18"/>
  <c r="AN31" i="18"/>
  <c r="AJ31" i="18"/>
  <c r="AF31" i="18"/>
  <c r="AB31" i="18"/>
  <c r="X31" i="18"/>
  <c r="T31" i="18"/>
  <c r="P31" i="18"/>
  <c r="L31" i="18"/>
  <c r="H31" i="18"/>
  <c r="IZ30" i="18"/>
  <c r="IV30" i="18"/>
  <c r="IR30" i="18"/>
  <c r="IN30" i="18"/>
  <c r="IJ30" i="18"/>
  <c r="IF30" i="18"/>
  <c r="IB30" i="18"/>
  <c r="HX30" i="18"/>
  <c r="HT30" i="18"/>
  <c r="HP30" i="18"/>
  <c r="HL30" i="18"/>
  <c r="HH30" i="18"/>
  <c r="HD30" i="18"/>
  <c r="GZ30" i="18"/>
  <c r="GV30" i="18"/>
  <c r="GR30" i="18"/>
  <c r="GN30" i="18"/>
  <c r="GJ30" i="18"/>
  <c r="GF30" i="18"/>
  <c r="GB30" i="18"/>
  <c r="FX30" i="18"/>
  <c r="FT30" i="18"/>
  <c r="FP30" i="18"/>
  <c r="FL30" i="18"/>
  <c r="FH30" i="18"/>
  <c r="FD30" i="18"/>
  <c r="EZ30" i="18"/>
  <c r="EV30" i="18"/>
  <c r="ER30" i="18"/>
  <c r="EN30" i="18"/>
  <c r="EJ30" i="18"/>
  <c r="EF30" i="18"/>
  <c r="EB30" i="18"/>
  <c r="DX30" i="18"/>
  <c r="DT30" i="18"/>
  <c r="DP30" i="18"/>
  <c r="DL30" i="18"/>
  <c r="DH30" i="18"/>
  <c r="DD30" i="18"/>
  <c r="CZ30" i="18"/>
  <c r="CV30" i="18"/>
  <c r="CR30" i="18"/>
  <c r="CN30" i="18"/>
  <c r="CJ30" i="18"/>
  <c r="CF30" i="18"/>
  <c r="CB30" i="18"/>
  <c r="BX30" i="18"/>
  <c r="BT30" i="18"/>
  <c r="BP30" i="18"/>
  <c r="BL30" i="18"/>
  <c r="BH30" i="18"/>
  <c r="BD30" i="18"/>
  <c r="AZ30" i="18"/>
  <c r="AV30" i="18"/>
  <c r="AR30" i="18"/>
  <c r="AN30" i="18"/>
  <c r="AJ30" i="18"/>
  <c r="AF30" i="18"/>
  <c r="AB30" i="18"/>
  <c r="X30" i="18"/>
  <c r="T30" i="18"/>
  <c r="P30" i="18"/>
  <c r="L30" i="18"/>
  <c r="H30" i="18"/>
  <c r="IZ29" i="18"/>
  <c r="IV29" i="18"/>
  <c r="IR29" i="18"/>
  <c r="IN29" i="18"/>
  <c r="IJ29" i="18"/>
  <c r="IF29" i="18"/>
  <c r="IB29" i="18"/>
  <c r="HX29" i="18"/>
  <c r="HT29" i="18"/>
  <c r="HP29" i="18"/>
  <c r="HL29" i="18"/>
  <c r="HH29" i="18"/>
  <c r="HD29" i="18"/>
  <c r="GZ29" i="18"/>
  <c r="GV29" i="18"/>
  <c r="GR29" i="18"/>
  <c r="GN29" i="18"/>
  <c r="GJ29" i="18"/>
  <c r="GF29" i="18"/>
  <c r="GB29" i="18"/>
  <c r="FX29" i="18"/>
  <c r="FT29" i="18"/>
  <c r="FP29" i="18"/>
  <c r="FL29" i="18"/>
  <c r="FH29" i="18"/>
  <c r="FD29" i="18"/>
  <c r="EZ29" i="18"/>
  <c r="EV29" i="18"/>
  <c r="ER29" i="18"/>
  <c r="EN29" i="18"/>
  <c r="EJ29" i="18"/>
  <c r="EF29" i="18"/>
  <c r="EB29" i="18"/>
  <c r="DX29" i="18"/>
  <c r="DT29" i="18"/>
  <c r="DP29" i="18"/>
  <c r="DL29" i="18"/>
  <c r="DH29" i="18"/>
  <c r="DD29" i="18"/>
  <c r="CZ29" i="18"/>
  <c r="CV29" i="18"/>
  <c r="CR29" i="18"/>
  <c r="CN29" i="18"/>
  <c r="CJ29" i="18"/>
  <c r="CF29" i="18"/>
  <c r="CB29" i="18"/>
  <c r="BX29" i="18"/>
  <c r="BT29" i="18"/>
  <c r="BP29" i="18"/>
  <c r="BL29" i="18"/>
  <c r="BH29" i="18"/>
  <c r="BD29" i="18"/>
  <c r="AZ29" i="18"/>
  <c r="AV29" i="18"/>
  <c r="AR29" i="18"/>
  <c r="AN29" i="18"/>
  <c r="AJ29" i="18"/>
  <c r="AF29" i="18"/>
  <c r="AB29" i="18"/>
  <c r="X29" i="18"/>
  <c r="T29" i="18"/>
  <c r="P29" i="18"/>
  <c r="L29" i="18"/>
  <c r="H29" i="18"/>
  <c r="IZ28" i="18"/>
  <c r="IV28" i="18"/>
  <c r="IR28" i="18"/>
  <c r="IN28" i="18"/>
  <c r="IJ28" i="18"/>
  <c r="IF28" i="18"/>
  <c r="IB28" i="18"/>
  <c r="HX28" i="18"/>
  <c r="HT28" i="18"/>
  <c r="HP28" i="18"/>
  <c r="HL28" i="18"/>
  <c r="HH28" i="18"/>
  <c r="HD28" i="18"/>
  <c r="GZ28" i="18"/>
  <c r="GV28" i="18"/>
  <c r="GR28" i="18"/>
  <c r="GN28" i="18"/>
  <c r="GJ28" i="18"/>
  <c r="GF28" i="18"/>
  <c r="GB28" i="18"/>
  <c r="FX28" i="18"/>
  <c r="FT28" i="18"/>
  <c r="FP28" i="18"/>
  <c r="FL28" i="18"/>
  <c r="FH28" i="18"/>
  <c r="FD28" i="18"/>
  <c r="EZ28" i="18"/>
  <c r="EV28" i="18"/>
  <c r="ER28" i="18"/>
  <c r="EN28" i="18"/>
  <c r="EJ28" i="18"/>
  <c r="EF28" i="18"/>
  <c r="EB28" i="18"/>
  <c r="DX28" i="18"/>
  <c r="DT28" i="18"/>
  <c r="DP28" i="18"/>
  <c r="DL28" i="18"/>
  <c r="DH28" i="18"/>
  <c r="DD28" i="18"/>
  <c r="CZ28" i="18"/>
  <c r="CV28" i="18"/>
  <c r="CR28" i="18"/>
  <c r="CN28" i="18"/>
  <c r="CJ28" i="18"/>
  <c r="CF28" i="18"/>
  <c r="CB28" i="18"/>
  <c r="BX28" i="18"/>
  <c r="BT28" i="18"/>
  <c r="BP28" i="18"/>
  <c r="BL28" i="18"/>
  <c r="BH28" i="18"/>
  <c r="BD28" i="18"/>
  <c r="AZ28" i="18"/>
  <c r="AV28" i="18"/>
  <c r="AR28" i="18"/>
  <c r="AN28" i="18"/>
  <c r="AJ28" i="18"/>
  <c r="AF28" i="18"/>
  <c r="AB28" i="18"/>
  <c r="X28" i="18"/>
  <c r="T28" i="18"/>
  <c r="P28" i="18"/>
  <c r="L28" i="18"/>
  <c r="H28" i="18"/>
  <c r="IZ27" i="18"/>
  <c r="IV27" i="18"/>
  <c r="IR27" i="18"/>
  <c r="IN27" i="18"/>
  <c r="IJ27" i="18"/>
  <c r="IF27" i="18"/>
  <c r="IB27" i="18"/>
  <c r="HX27" i="18"/>
  <c r="HT27" i="18"/>
  <c r="HP27" i="18"/>
  <c r="HL27" i="18"/>
  <c r="HH27" i="18"/>
  <c r="HD27" i="18"/>
  <c r="GZ27" i="18"/>
  <c r="GV27" i="18"/>
  <c r="GR27" i="18"/>
  <c r="GN27" i="18"/>
  <c r="GJ27" i="18"/>
  <c r="GF27" i="18"/>
  <c r="GB27" i="18"/>
  <c r="FX27" i="18"/>
  <c r="FT27" i="18"/>
  <c r="FP27" i="18"/>
  <c r="FL27" i="18"/>
  <c r="FH27" i="18"/>
  <c r="FD27" i="18"/>
  <c r="EZ27" i="18"/>
  <c r="EV27" i="18"/>
  <c r="ER27" i="18"/>
  <c r="EN27" i="18"/>
  <c r="EJ27" i="18"/>
  <c r="EF27" i="18"/>
  <c r="EB27" i="18"/>
  <c r="DX27" i="18"/>
  <c r="DT27" i="18"/>
  <c r="DP27" i="18"/>
  <c r="DL27" i="18"/>
  <c r="DH27" i="18"/>
  <c r="DD27" i="18"/>
  <c r="CZ27" i="18"/>
  <c r="CV27" i="18"/>
  <c r="CR27" i="18"/>
  <c r="CN27" i="18"/>
  <c r="CJ27" i="18"/>
  <c r="CF27" i="18"/>
  <c r="CB27" i="18"/>
  <c r="BX27" i="18"/>
  <c r="BT27" i="18"/>
  <c r="BP27" i="18"/>
  <c r="BL27" i="18"/>
  <c r="BH27" i="18"/>
  <c r="BD27" i="18"/>
  <c r="AZ27" i="18"/>
  <c r="AV27" i="18"/>
  <c r="AR27" i="18"/>
  <c r="AN27" i="18"/>
  <c r="AJ27" i="18"/>
  <c r="AF27" i="18"/>
  <c r="AB27" i="18"/>
  <c r="X27" i="18"/>
  <c r="T27" i="18"/>
  <c r="P27" i="18"/>
  <c r="L27" i="18"/>
  <c r="H27" i="18"/>
  <c r="IZ26" i="18"/>
  <c r="IV26" i="18"/>
  <c r="IR26" i="18"/>
  <c r="IN26" i="18"/>
  <c r="IJ26" i="18"/>
  <c r="IF26" i="18"/>
  <c r="IB26" i="18"/>
  <c r="HX26" i="18"/>
  <c r="HT26" i="18"/>
  <c r="HP26" i="18"/>
  <c r="HL26" i="18"/>
  <c r="HH26" i="18"/>
  <c r="HD26" i="18"/>
  <c r="GZ26" i="18"/>
  <c r="GV26" i="18"/>
  <c r="GR26" i="18"/>
  <c r="GN26" i="18"/>
  <c r="GJ26" i="18"/>
  <c r="GF26" i="18"/>
  <c r="GB26" i="18"/>
  <c r="FX26" i="18"/>
  <c r="FT26" i="18"/>
  <c r="FP26" i="18"/>
  <c r="FL26" i="18"/>
  <c r="FH26" i="18"/>
  <c r="FD26" i="18"/>
  <c r="EZ26" i="18"/>
  <c r="EV26" i="18"/>
  <c r="ER26" i="18"/>
  <c r="EN26" i="18"/>
  <c r="EJ26" i="18"/>
  <c r="EF26" i="18"/>
  <c r="EB26" i="18"/>
  <c r="DX26" i="18"/>
  <c r="DT26" i="18"/>
  <c r="DP26" i="18"/>
  <c r="DL26" i="18"/>
  <c r="DH26" i="18"/>
  <c r="DD26" i="18"/>
  <c r="CZ26" i="18"/>
  <c r="CV26" i="18"/>
  <c r="CR26" i="18"/>
  <c r="CN26" i="18"/>
  <c r="CJ26" i="18"/>
  <c r="CF26" i="18"/>
  <c r="CB26" i="18"/>
  <c r="BX26" i="18"/>
  <c r="BT26" i="18"/>
  <c r="BP26" i="18"/>
  <c r="BL26" i="18"/>
  <c r="BH26" i="18"/>
  <c r="BD26" i="18"/>
  <c r="AZ26" i="18"/>
  <c r="AV26" i="18"/>
  <c r="AR26" i="18"/>
  <c r="AN26" i="18"/>
  <c r="AJ26" i="18"/>
  <c r="AF26" i="18"/>
  <c r="AB26" i="18"/>
  <c r="X26" i="18"/>
  <c r="T26" i="18"/>
  <c r="P26" i="18"/>
  <c r="L26" i="18"/>
  <c r="H26" i="18"/>
  <c r="IZ25" i="18"/>
  <c r="IV25" i="18"/>
  <c r="IR25" i="18"/>
  <c r="IN25" i="18"/>
  <c r="IJ25" i="18"/>
  <c r="IF25" i="18"/>
  <c r="IB25" i="18"/>
  <c r="HX25" i="18"/>
  <c r="HT25" i="18"/>
  <c r="HP25" i="18"/>
  <c r="HL25" i="18"/>
  <c r="HH25" i="18"/>
  <c r="HD25" i="18"/>
  <c r="GZ25" i="18"/>
  <c r="GV25" i="18"/>
  <c r="GR25" i="18"/>
  <c r="GN25" i="18"/>
  <c r="GJ25" i="18"/>
  <c r="GF25" i="18"/>
  <c r="GB25" i="18"/>
  <c r="FX25" i="18"/>
  <c r="FT25" i="18"/>
  <c r="FP25" i="18"/>
  <c r="FL25" i="18"/>
  <c r="FH25" i="18"/>
  <c r="FD25" i="18"/>
  <c r="EZ25" i="18"/>
  <c r="EV25" i="18"/>
  <c r="ER25" i="18"/>
  <c r="EN25" i="18"/>
  <c r="EJ25" i="18"/>
  <c r="EF25" i="18"/>
  <c r="EB25" i="18"/>
  <c r="DX25" i="18"/>
  <c r="DT25" i="18"/>
  <c r="DP25" i="18"/>
  <c r="DL25" i="18"/>
  <c r="DH25" i="18"/>
  <c r="DD25" i="18"/>
  <c r="CZ25" i="18"/>
  <c r="CV25" i="18"/>
  <c r="CR25" i="18"/>
  <c r="CN25" i="18"/>
  <c r="CJ25" i="18"/>
  <c r="CF25" i="18"/>
  <c r="CB25" i="18"/>
  <c r="BX25" i="18"/>
  <c r="BT25" i="18"/>
  <c r="BP25" i="18"/>
  <c r="BL25" i="18"/>
  <c r="BH25" i="18"/>
  <c r="BD25" i="18"/>
  <c r="AZ25" i="18"/>
  <c r="AV25" i="18"/>
  <c r="AR25" i="18"/>
  <c r="AN25" i="18"/>
  <c r="AJ25" i="18"/>
  <c r="AF25" i="18"/>
  <c r="AB25" i="18"/>
  <c r="X25" i="18"/>
  <c r="T25" i="18"/>
  <c r="P25" i="18"/>
  <c r="L25" i="18"/>
  <c r="H25" i="18"/>
  <c r="IZ24" i="18"/>
  <c r="IV24" i="18"/>
  <c r="IR24" i="18"/>
  <c r="IN24" i="18"/>
  <c r="IJ24" i="18"/>
  <c r="IF24" i="18"/>
  <c r="IB24" i="18"/>
  <c r="HX24" i="18"/>
  <c r="HT24" i="18"/>
  <c r="HP24" i="18"/>
  <c r="HL24" i="18"/>
  <c r="HH24" i="18"/>
  <c r="HD24" i="18"/>
  <c r="GZ24" i="18"/>
  <c r="GV24" i="18"/>
  <c r="GR24" i="18"/>
  <c r="GN24" i="18"/>
  <c r="GJ24" i="18"/>
  <c r="GF24" i="18"/>
  <c r="GB24" i="18"/>
  <c r="FX24" i="18"/>
  <c r="FT24" i="18"/>
  <c r="FP24" i="18"/>
  <c r="FL24" i="18"/>
  <c r="FH24" i="18"/>
  <c r="FD24" i="18"/>
  <c r="EZ24" i="18"/>
  <c r="EV24" i="18"/>
  <c r="ER24" i="18"/>
  <c r="EN24" i="18"/>
  <c r="EJ24" i="18"/>
  <c r="EF24" i="18"/>
  <c r="EB24" i="18"/>
  <c r="DX24" i="18"/>
  <c r="DT24" i="18"/>
  <c r="DP24" i="18"/>
  <c r="DL24" i="18"/>
  <c r="DH24" i="18"/>
  <c r="DD24" i="18"/>
  <c r="CZ24" i="18"/>
  <c r="CV24" i="18"/>
  <c r="CR24" i="18"/>
  <c r="CN24" i="18"/>
  <c r="CJ24" i="18"/>
  <c r="CF24" i="18"/>
  <c r="CB24" i="18"/>
  <c r="BX24" i="18"/>
  <c r="BT24" i="18"/>
  <c r="BP24" i="18"/>
  <c r="BL24" i="18"/>
  <c r="BH24" i="18"/>
  <c r="BD24" i="18"/>
  <c r="AZ24" i="18"/>
  <c r="AV24" i="18"/>
  <c r="AR24" i="18"/>
  <c r="AN24" i="18"/>
  <c r="AJ24" i="18"/>
  <c r="AF24" i="18"/>
  <c r="AB24" i="18"/>
  <c r="X24" i="18"/>
  <c r="T24" i="18"/>
  <c r="P24" i="18"/>
  <c r="L24" i="18"/>
  <c r="H24" i="18"/>
  <c r="IZ23" i="18"/>
  <c r="IV23" i="18"/>
  <c r="IR23" i="18"/>
  <c r="IN23" i="18"/>
  <c r="IJ23" i="18"/>
  <c r="IF23" i="18"/>
  <c r="IB23" i="18"/>
  <c r="HX23" i="18"/>
  <c r="HT23" i="18"/>
  <c r="HP23" i="18"/>
  <c r="HL23" i="18"/>
  <c r="HH23" i="18"/>
  <c r="HD23" i="18"/>
  <c r="GZ23" i="18"/>
  <c r="GV23" i="18"/>
  <c r="GR23" i="18"/>
  <c r="GN23" i="18"/>
  <c r="GJ23" i="18"/>
  <c r="GF23" i="18"/>
  <c r="GB23" i="18"/>
  <c r="FX23" i="18"/>
  <c r="FT23" i="18"/>
  <c r="FP23" i="18"/>
  <c r="FL23" i="18"/>
  <c r="FH23" i="18"/>
  <c r="FD23" i="18"/>
  <c r="EZ23" i="18"/>
  <c r="EV23" i="18"/>
  <c r="ER23" i="18"/>
  <c r="EN23" i="18"/>
  <c r="EJ23" i="18"/>
  <c r="EF23" i="18"/>
  <c r="EB23" i="18"/>
  <c r="DX23" i="18"/>
  <c r="DT23" i="18"/>
  <c r="DP23" i="18"/>
  <c r="DL23" i="18"/>
  <c r="DH23" i="18"/>
  <c r="DD23" i="18"/>
  <c r="CZ23" i="18"/>
  <c r="CV23" i="18"/>
  <c r="CR23" i="18"/>
  <c r="CN23" i="18"/>
  <c r="CJ23" i="18"/>
  <c r="CF23" i="18"/>
  <c r="CB23" i="18"/>
  <c r="BX23" i="18"/>
  <c r="BT23" i="18"/>
  <c r="BP23" i="18"/>
  <c r="BL23" i="18"/>
  <c r="BH23" i="18"/>
  <c r="BD23" i="18"/>
  <c r="AZ23" i="18"/>
  <c r="AV23" i="18"/>
  <c r="AR23" i="18"/>
  <c r="AN23" i="18"/>
  <c r="AJ23" i="18"/>
  <c r="AF23" i="18"/>
  <c r="AB23" i="18"/>
  <c r="X23" i="18"/>
  <c r="T23" i="18"/>
  <c r="P23" i="18"/>
  <c r="L23" i="18"/>
  <c r="H23" i="18"/>
  <c r="IZ22" i="18"/>
  <c r="IV22" i="18"/>
  <c r="IR22" i="18"/>
  <c r="IN22" i="18"/>
  <c r="IJ22" i="18"/>
  <c r="IF22" i="18"/>
  <c r="IB22" i="18"/>
  <c r="HX22" i="18"/>
  <c r="HT22" i="18"/>
  <c r="HP22" i="18"/>
  <c r="HL22" i="18"/>
  <c r="HH22" i="18"/>
  <c r="HD22" i="18"/>
  <c r="GZ22" i="18"/>
  <c r="GV22" i="18"/>
  <c r="GR22" i="18"/>
  <c r="GN22" i="18"/>
  <c r="GJ22" i="18"/>
  <c r="GF22" i="18"/>
  <c r="GB22" i="18"/>
  <c r="FX22" i="18"/>
  <c r="FT22" i="18"/>
  <c r="FP22" i="18"/>
  <c r="FL22" i="18"/>
  <c r="FH22" i="18"/>
  <c r="FD22" i="18"/>
  <c r="EZ22" i="18"/>
  <c r="EV22" i="18"/>
  <c r="ER22" i="18"/>
  <c r="EN22" i="18"/>
  <c r="EJ22" i="18"/>
  <c r="EF22" i="18"/>
  <c r="EB22" i="18"/>
  <c r="DX22" i="18"/>
  <c r="DT22" i="18"/>
  <c r="DP22" i="18"/>
  <c r="DL22" i="18"/>
  <c r="DH22" i="18"/>
  <c r="DD22" i="18"/>
  <c r="CZ22" i="18"/>
  <c r="CV22" i="18"/>
  <c r="CR22" i="18"/>
  <c r="CN22" i="18"/>
  <c r="CJ22" i="18"/>
  <c r="CF22" i="18"/>
  <c r="CB22" i="18"/>
  <c r="BX22" i="18"/>
  <c r="BT22" i="18"/>
  <c r="BP22" i="18"/>
  <c r="BL22" i="18"/>
  <c r="BH22" i="18"/>
  <c r="BD22" i="18"/>
  <c r="AZ22" i="18"/>
  <c r="AV22" i="18"/>
  <c r="AR22" i="18"/>
  <c r="AN22" i="18"/>
  <c r="AJ22" i="18"/>
  <c r="AF22" i="18"/>
  <c r="AB22" i="18"/>
  <c r="X22" i="18"/>
  <c r="T22" i="18"/>
  <c r="P22" i="18"/>
  <c r="L22" i="18"/>
  <c r="H22" i="18"/>
  <c r="IZ21" i="18"/>
  <c r="IV21" i="18"/>
  <c r="IR21" i="18"/>
  <c r="IN21" i="18"/>
  <c r="IJ21" i="18"/>
  <c r="IF21" i="18"/>
  <c r="IB21" i="18"/>
  <c r="HX21" i="18"/>
  <c r="HT21" i="18"/>
  <c r="HP21" i="18"/>
  <c r="HL21" i="18"/>
  <c r="HH21" i="18"/>
  <c r="HD21" i="18"/>
  <c r="GZ21" i="18"/>
  <c r="GV21" i="18"/>
  <c r="GR21" i="18"/>
  <c r="GN21" i="18"/>
  <c r="GJ21" i="18"/>
  <c r="GF21" i="18"/>
  <c r="GB21" i="18"/>
  <c r="FX21" i="18"/>
  <c r="FT21" i="18"/>
  <c r="FP21" i="18"/>
  <c r="FL21" i="18"/>
  <c r="FH21" i="18"/>
  <c r="FD21" i="18"/>
  <c r="EZ21" i="18"/>
  <c r="EV21" i="18"/>
  <c r="ER21" i="18"/>
  <c r="EN21" i="18"/>
  <c r="EJ21" i="18"/>
  <c r="EF21" i="18"/>
  <c r="EB21" i="18"/>
  <c r="DX21" i="18"/>
  <c r="DT21" i="18"/>
  <c r="DP21" i="18"/>
  <c r="DL21" i="18"/>
  <c r="DH21" i="18"/>
  <c r="DD21" i="18"/>
  <c r="CZ21" i="18"/>
  <c r="CV21" i="18"/>
  <c r="CR21" i="18"/>
  <c r="CN21" i="18"/>
  <c r="CJ21" i="18"/>
  <c r="CF21" i="18"/>
  <c r="CB21" i="18"/>
  <c r="BX21" i="18"/>
  <c r="BT21" i="18"/>
  <c r="BP21" i="18"/>
  <c r="BL21" i="18"/>
  <c r="BH21" i="18"/>
  <c r="BD21" i="18"/>
  <c r="AZ21" i="18"/>
  <c r="AV21" i="18"/>
  <c r="AR21" i="18"/>
  <c r="AN21" i="18"/>
  <c r="AJ21" i="18"/>
  <c r="AF21" i="18"/>
  <c r="AB21" i="18"/>
  <c r="X21" i="18"/>
  <c r="T21" i="18"/>
  <c r="P21" i="18"/>
  <c r="L21" i="18"/>
  <c r="H21" i="18"/>
  <c r="IZ20" i="18"/>
  <c r="IV20" i="18"/>
  <c r="IR20" i="18"/>
  <c r="IN20" i="18"/>
  <c r="IJ20" i="18"/>
  <c r="IF20" i="18"/>
  <c r="IB20" i="18"/>
  <c r="HX20" i="18"/>
  <c r="HT20" i="18"/>
  <c r="HP20" i="18"/>
  <c r="HL20" i="18"/>
  <c r="HH20" i="18"/>
  <c r="HD20" i="18"/>
  <c r="GZ20" i="18"/>
  <c r="GV20" i="18"/>
  <c r="GR20" i="18"/>
  <c r="GN20" i="18"/>
  <c r="GJ20" i="18"/>
  <c r="GF20" i="18"/>
  <c r="GB20" i="18"/>
  <c r="FX20" i="18"/>
  <c r="FT20" i="18"/>
  <c r="FP20" i="18"/>
  <c r="FL20" i="18"/>
  <c r="FH20" i="18"/>
  <c r="FD20" i="18"/>
  <c r="EZ20" i="18"/>
  <c r="EV20" i="18"/>
  <c r="ER20" i="18"/>
  <c r="EN20" i="18"/>
  <c r="EJ20" i="18"/>
  <c r="EF20" i="18"/>
  <c r="EB20" i="18"/>
  <c r="DX20" i="18"/>
  <c r="DT20" i="18"/>
  <c r="DP20" i="18"/>
  <c r="DL20" i="18"/>
  <c r="DH20" i="18"/>
  <c r="DD20" i="18"/>
  <c r="CZ20" i="18"/>
  <c r="CV20" i="18"/>
  <c r="CR20" i="18"/>
  <c r="CN20" i="18"/>
  <c r="CJ20" i="18"/>
  <c r="CF20" i="18"/>
  <c r="CB20" i="18"/>
  <c r="BX20" i="18"/>
  <c r="BT20" i="18"/>
  <c r="BP20" i="18"/>
  <c r="BL20" i="18"/>
  <c r="BH20" i="18"/>
  <c r="BD20" i="18"/>
  <c r="AZ20" i="18"/>
  <c r="AV20" i="18"/>
  <c r="AR20" i="18"/>
  <c r="AN20" i="18"/>
  <c r="AJ20" i="18"/>
  <c r="AF20" i="18"/>
  <c r="AB20" i="18"/>
  <c r="X20" i="18"/>
  <c r="T20" i="18"/>
  <c r="P20" i="18"/>
  <c r="L20" i="18"/>
  <c r="H20" i="18"/>
  <c r="C20" i="18"/>
  <c r="IZ19" i="18"/>
  <c r="IV19" i="18"/>
  <c r="IR19" i="18"/>
  <c r="IN19" i="18"/>
  <c r="IJ19" i="18"/>
  <c r="IF19" i="18"/>
  <c r="IB19" i="18"/>
  <c r="HX19" i="18"/>
  <c r="HT19" i="18"/>
  <c r="HP19" i="18"/>
  <c r="HL19" i="18"/>
  <c r="HH19" i="18"/>
  <c r="HD19" i="18"/>
  <c r="GZ19" i="18"/>
  <c r="GV19" i="18"/>
  <c r="GR19" i="18"/>
  <c r="GN19" i="18"/>
  <c r="GJ19" i="18"/>
  <c r="GF19" i="18"/>
  <c r="GB19" i="18"/>
  <c r="FX19" i="18"/>
  <c r="FT19" i="18"/>
  <c r="FP19" i="18"/>
  <c r="FL19" i="18"/>
  <c r="FH19" i="18"/>
  <c r="FD19" i="18"/>
  <c r="EZ19" i="18"/>
  <c r="EV19" i="18"/>
  <c r="ER19" i="18"/>
  <c r="EN19" i="18"/>
  <c r="EJ19" i="18"/>
  <c r="EF19" i="18"/>
  <c r="EB19" i="18"/>
  <c r="DX19" i="18"/>
  <c r="DT19" i="18"/>
  <c r="DP19" i="18"/>
  <c r="DL19" i="18"/>
  <c r="DH19" i="18"/>
  <c r="DD19" i="18"/>
  <c r="CZ19" i="18"/>
  <c r="CV19" i="18"/>
  <c r="CR19" i="18"/>
  <c r="CN19" i="18"/>
  <c r="CJ19" i="18"/>
  <c r="CF19" i="18"/>
  <c r="CB19" i="18"/>
  <c r="BX19" i="18"/>
  <c r="BT19" i="18"/>
  <c r="BP19" i="18"/>
  <c r="BL19" i="18"/>
  <c r="BH19" i="18"/>
  <c r="BD19" i="18"/>
  <c r="AZ19" i="18"/>
  <c r="AV19" i="18"/>
  <c r="AR19" i="18"/>
  <c r="AN19" i="18"/>
  <c r="AJ19" i="18"/>
  <c r="AF19" i="18"/>
  <c r="AB19" i="18"/>
  <c r="X19" i="18"/>
  <c r="T19" i="18"/>
  <c r="P19" i="18"/>
  <c r="L19" i="18"/>
  <c r="H19" i="18"/>
  <c r="IZ18" i="18"/>
  <c r="IV18" i="18"/>
  <c r="IR18" i="18"/>
  <c r="IN18" i="18"/>
  <c r="IJ18" i="18"/>
  <c r="IF18" i="18"/>
  <c r="IB18" i="18"/>
  <c r="HX18" i="18"/>
  <c r="HT18" i="18"/>
  <c r="HP18" i="18"/>
  <c r="HL18" i="18"/>
  <c r="HH18" i="18"/>
  <c r="HD18" i="18"/>
  <c r="GZ18" i="18"/>
  <c r="GV18" i="18"/>
  <c r="GR18" i="18"/>
  <c r="GN18" i="18"/>
  <c r="GJ18" i="18"/>
  <c r="GF18" i="18"/>
  <c r="GB18" i="18"/>
  <c r="FX18" i="18"/>
  <c r="FT18" i="18"/>
  <c r="FP18" i="18"/>
  <c r="FL18" i="18"/>
  <c r="FH18" i="18"/>
  <c r="FD18" i="18"/>
  <c r="EZ18" i="18"/>
  <c r="EV18" i="18"/>
  <c r="ER18" i="18"/>
  <c r="EN18" i="18"/>
  <c r="EJ18" i="18"/>
  <c r="EF18" i="18"/>
  <c r="EB18" i="18"/>
  <c r="DX18" i="18"/>
  <c r="DT18" i="18"/>
  <c r="DP18" i="18"/>
  <c r="DL18" i="18"/>
  <c r="DH18" i="18"/>
  <c r="DD18" i="18"/>
  <c r="CZ18" i="18"/>
  <c r="CV18" i="18"/>
  <c r="CR18" i="18"/>
  <c r="CN18" i="18"/>
  <c r="CJ18" i="18"/>
  <c r="CF18" i="18"/>
  <c r="CB18" i="18"/>
  <c r="BX18" i="18"/>
  <c r="BT18" i="18"/>
  <c r="BP18" i="18"/>
  <c r="BL18" i="18"/>
  <c r="BH18" i="18"/>
  <c r="BD18" i="18"/>
  <c r="AZ18" i="18"/>
  <c r="AV18" i="18"/>
  <c r="AR18" i="18"/>
  <c r="AN18" i="18"/>
  <c r="AJ18" i="18"/>
  <c r="AF18" i="18"/>
  <c r="AB18" i="18"/>
  <c r="X18" i="18"/>
  <c r="T18" i="18"/>
  <c r="P18" i="18"/>
  <c r="L18" i="18"/>
  <c r="H18" i="18"/>
  <c r="IZ17" i="18"/>
  <c r="IV17" i="18"/>
  <c r="IR17" i="18"/>
  <c r="IN17" i="18"/>
  <c r="IJ17" i="18"/>
  <c r="IF17" i="18"/>
  <c r="IB17" i="18"/>
  <c r="HX17" i="18"/>
  <c r="HT17" i="18"/>
  <c r="HP17" i="18"/>
  <c r="HL17" i="18"/>
  <c r="HH17" i="18"/>
  <c r="HD17" i="18"/>
  <c r="GZ17" i="18"/>
  <c r="GV17" i="18"/>
  <c r="GR17" i="18"/>
  <c r="GN17" i="18"/>
  <c r="GJ17" i="18"/>
  <c r="GF17" i="18"/>
  <c r="GB17" i="18"/>
  <c r="FX17" i="18"/>
  <c r="FT17" i="18"/>
  <c r="FP17" i="18"/>
  <c r="FL17" i="18"/>
  <c r="FH17" i="18"/>
  <c r="FD17" i="18"/>
  <c r="EZ17" i="18"/>
  <c r="EV17" i="18"/>
  <c r="ER17" i="18"/>
  <c r="EN17" i="18"/>
  <c r="EJ17" i="18"/>
  <c r="EF17" i="18"/>
  <c r="EB17" i="18"/>
  <c r="DX17" i="18"/>
  <c r="DT17" i="18"/>
  <c r="DP17" i="18"/>
  <c r="DL17" i="18"/>
  <c r="DH17" i="18"/>
  <c r="DD17" i="18"/>
  <c r="CZ17" i="18"/>
  <c r="CV17" i="18"/>
  <c r="CR17" i="18"/>
  <c r="CN17" i="18"/>
  <c r="CJ17" i="18"/>
  <c r="CF17" i="18"/>
  <c r="CB17" i="18"/>
  <c r="BX17" i="18"/>
  <c r="BT17" i="18"/>
  <c r="BP17" i="18"/>
  <c r="BL17" i="18"/>
  <c r="BH17" i="18"/>
  <c r="BD17" i="18"/>
  <c r="AZ17" i="18"/>
  <c r="AV17" i="18"/>
  <c r="AR17" i="18"/>
  <c r="AN17" i="18"/>
  <c r="AJ17" i="18"/>
  <c r="AF17" i="18"/>
  <c r="AB17" i="18"/>
  <c r="X17" i="18"/>
  <c r="T17" i="18"/>
  <c r="P17" i="18"/>
  <c r="L17" i="18"/>
  <c r="H17" i="18"/>
  <c r="IZ16" i="18"/>
  <c r="IV16" i="18"/>
  <c r="IR16" i="18"/>
  <c r="IN16" i="18"/>
  <c r="IJ16" i="18"/>
  <c r="IF16" i="18"/>
  <c r="IB16" i="18"/>
  <c r="HX16" i="18"/>
  <c r="HT16" i="18"/>
  <c r="HP16" i="18"/>
  <c r="HL16" i="18"/>
  <c r="HH16" i="18"/>
  <c r="HD16" i="18"/>
  <c r="GZ16" i="18"/>
  <c r="GV16" i="18"/>
  <c r="GR16" i="18"/>
  <c r="GN16" i="18"/>
  <c r="GJ16" i="18"/>
  <c r="GF16" i="18"/>
  <c r="GB16" i="18"/>
  <c r="FX16" i="18"/>
  <c r="FT16" i="18"/>
  <c r="FP16" i="18"/>
  <c r="FL16" i="18"/>
  <c r="FH16" i="18"/>
  <c r="FD16" i="18"/>
  <c r="EZ16" i="18"/>
  <c r="EV16" i="18"/>
  <c r="ER16" i="18"/>
  <c r="EN16" i="18"/>
  <c r="EJ16" i="18"/>
  <c r="EF16" i="18"/>
  <c r="EB16" i="18"/>
  <c r="DX16" i="18"/>
  <c r="DT16" i="18"/>
  <c r="DP16" i="18"/>
  <c r="DL16" i="18"/>
  <c r="DH16" i="18"/>
  <c r="DD16" i="18"/>
  <c r="CZ16" i="18"/>
  <c r="CV16" i="18"/>
  <c r="CR16" i="18"/>
  <c r="CN16" i="18"/>
  <c r="CJ16" i="18"/>
  <c r="CF16" i="18"/>
  <c r="CB16" i="18"/>
  <c r="BX16" i="18"/>
  <c r="BT16" i="18"/>
  <c r="BP16" i="18"/>
  <c r="BL16" i="18"/>
  <c r="BH16" i="18"/>
  <c r="BD16" i="18"/>
  <c r="AZ16" i="18"/>
  <c r="AV16" i="18"/>
  <c r="AR16" i="18"/>
  <c r="AN16" i="18"/>
  <c r="AJ16" i="18"/>
  <c r="AF16" i="18"/>
  <c r="AB16" i="18"/>
  <c r="X16" i="18"/>
  <c r="T16" i="18"/>
  <c r="P16" i="18"/>
  <c r="L16" i="18"/>
  <c r="H16" i="18"/>
  <c r="IZ15" i="18"/>
  <c r="IV15" i="18"/>
  <c r="IR15" i="18"/>
  <c r="IN15" i="18"/>
  <c r="IJ15" i="18"/>
  <c r="IF15" i="18"/>
  <c r="IB15" i="18"/>
  <c r="HX15" i="18"/>
  <c r="HT15" i="18"/>
  <c r="HP15" i="18"/>
  <c r="HL15" i="18"/>
  <c r="HH15" i="18"/>
  <c r="HD15" i="18"/>
  <c r="GZ15" i="18"/>
  <c r="GV15" i="18"/>
  <c r="GR15" i="18"/>
  <c r="GN15" i="18"/>
  <c r="GJ15" i="18"/>
  <c r="GF15" i="18"/>
  <c r="GB15" i="18"/>
  <c r="FX15" i="18"/>
  <c r="FT15" i="18"/>
  <c r="FP15" i="18"/>
  <c r="FL15" i="18"/>
  <c r="FH15" i="18"/>
  <c r="FD15" i="18"/>
  <c r="EZ15" i="18"/>
  <c r="EV15" i="18"/>
  <c r="ER15" i="18"/>
  <c r="EN15" i="18"/>
  <c r="EJ15" i="18"/>
  <c r="EF15" i="18"/>
  <c r="EB15" i="18"/>
  <c r="DX15" i="18"/>
  <c r="DT15" i="18"/>
  <c r="DP15" i="18"/>
  <c r="DL15" i="18"/>
  <c r="DH15" i="18"/>
  <c r="DD15" i="18"/>
  <c r="CZ15" i="18"/>
  <c r="CV15" i="18"/>
  <c r="CR15" i="18"/>
  <c r="CN15" i="18"/>
  <c r="CJ15" i="18"/>
  <c r="CF15" i="18"/>
  <c r="CB15" i="18"/>
  <c r="BX15" i="18"/>
  <c r="BT15" i="18"/>
  <c r="BP15" i="18"/>
  <c r="BL15" i="18"/>
  <c r="BH15" i="18"/>
  <c r="BD15" i="18"/>
  <c r="AZ15" i="18"/>
  <c r="AV15" i="18"/>
  <c r="AR15" i="18"/>
  <c r="AN15" i="18"/>
  <c r="AJ15" i="18"/>
  <c r="AF15" i="18"/>
  <c r="AB15" i="18"/>
  <c r="X15" i="18"/>
  <c r="T15" i="18"/>
  <c r="P15" i="18"/>
  <c r="L15" i="18"/>
  <c r="H15" i="18"/>
  <c r="IZ14" i="18"/>
  <c r="IV14" i="18"/>
  <c r="IR14" i="18"/>
  <c r="IN14" i="18"/>
  <c r="IJ14" i="18"/>
  <c r="IF14" i="18"/>
  <c r="IB14" i="18"/>
  <c r="HX14" i="18"/>
  <c r="HT14" i="18"/>
  <c r="HP14" i="18"/>
  <c r="HL14" i="18"/>
  <c r="HH14" i="18"/>
  <c r="HD14" i="18"/>
  <c r="GZ14" i="18"/>
  <c r="GV14" i="18"/>
  <c r="GR14" i="18"/>
  <c r="GN14" i="18"/>
  <c r="GJ14" i="18"/>
  <c r="GF14" i="18"/>
  <c r="GB14" i="18"/>
  <c r="FX14" i="18"/>
  <c r="FT14" i="18"/>
  <c r="FP14" i="18"/>
  <c r="FL14" i="18"/>
  <c r="FH14" i="18"/>
  <c r="FD14" i="18"/>
  <c r="EZ14" i="18"/>
  <c r="EV14" i="18"/>
  <c r="ER14" i="18"/>
  <c r="EN14" i="18"/>
  <c r="EJ14" i="18"/>
  <c r="EF14" i="18"/>
  <c r="EB14" i="18"/>
  <c r="DX14" i="18"/>
  <c r="DT14" i="18"/>
  <c r="DP14" i="18"/>
  <c r="DL14" i="18"/>
  <c r="DH14" i="18"/>
  <c r="DD14" i="18"/>
  <c r="CZ14" i="18"/>
  <c r="CV14" i="18"/>
  <c r="CR14" i="18"/>
  <c r="CN14" i="18"/>
  <c r="CJ14" i="18"/>
  <c r="CF14" i="18"/>
  <c r="CB14" i="18"/>
  <c r="BX14" i="18"/>
  <c r="BT14" i="18"/>
  <c r="BP14" i="18"/>
  <c r="BL14" i="18"/>
  <c r="BH14" i="18"/>
  <c r="BD14" i="18"/>
  <c r="AZ14" i="18"/>
  <c r="AV14" i="18"/>
  <c r="AR14" i="18"/>
  <c r="AN14" i="18"/>
  <c r="AJ14" i="18"/>
  <c r="AF14" i="18"/>
  <c r="AB14" i="18"/>
  <c r="X14" i="18"/>
  <c r="T14" i="18"/>
  <c r="P14" i="18"/>
  <c r="L14" i="18"/>
  <c r="H14" i="18"/>
  <c r="IZ13" i="18"/>
  <c r="IV13" i="18"/>
  <c r="IR13" i="18"/>
  <c r="IN13" i="18"/>
  <c r="IJ13" i="18"/>
  <c r="IF13" i="18"/>
  <c r="IB13" i="18"/>
  <c r="HX13" i="18"/>
  <c r="HT13" i="18"/>
  <c r="HP13" i="18"/>
  <c r="HL13" i="18"/>
  <c r="HH13" i="18"/>
  <c r="HD13" i="18"/>
  <c r="GZ13" i="18"/>
  <c r="GV13" i="18"/>
  <c r="GR13" i="18"/>
  <c r="GN13" i="18"/>
  <c r="GJ13" i="18"/>
  <c r="GF13" i="18"/>
  <c r="GB13" i="18"/>
  <c r="FX13" i="18"/>
  <c r="FT13" i="18"/>
  <c r="FP13" i="18"/>
  <c r="FL13" i="18"/>
  <c r="FH13" i="18"/>
  <c r="FD13" i="18"/>
  <c r="EZ13" i="18"/>
  <c r="EV13" i="18"/>
  <c r="ER13" i="18"/>
  <c r="EN13" i="18"/>
  <c r="EJ13" i="18"/>
  <c r="EF13" i="18"/>
  <c r="EB13" i="18"/>
  <c r="DX13" i="18"/>
  <c r="DT13" i="18"/>
  <c r="DP13" i="18"/>
  <c r="DL13" i="18"/>
  <c r="DH13" i="18"/>
  <c r="DD13" i="18"/>
  <c r="CZ13" i="18"/>
  <c r="CV13" i="18"/>
  <c r="CR13" i="18"/>
  <c r="CN13" i="18"/>
  <c r="CJ13" i="18"/>
  <c r="CF13" i="18"/>
  <c r="CB13" i="18"/>
  <c r="BX13" i="18"/>
  <c r="BT13" i="18"/>
  <c r="BP13" i="18"/>
  <c r="BL13" i="18"/>
  <c r="BH13" i="18"/>
  <c r="BD13" i="18"/>
  <c r="AZ13" i="18"/>
  <c r="AV13" i="18"/>
  <c r="AR13" i="18"/>
  <c r="AN13" i="18"/>
  <c r="AJ13" i="18"/>
  <c r="AF13" i="18"/>
  <c r="AB13" i="18"/>
  <c r="X13" i="18"/>
  <c r="T13" i="18"/>
  <c r="P13" i="18"/>
  <c r="L13" i="18"/>
  <c r="H13" i="18"/>
  <c r="IZ12" i="18"/>
  <c r="IV12" i="18"/>
  <c r="IR12" i="18"/>
  <c r="IN12" i="18"/>
  <c r="IJ12" i="18"/>
  <c r="IF12" i="18"/>
  <c r="IB12" i="18"/>
  <c r="HX12" i="18"/>
  <c r="HT12" i="18"/>
  <c r="HP12" i="18"/>
  <c r="HL12" i="18"/>
  <c r="HH12" i="18"/>
  <c r="HD12" i="18"/>
  <c r="GZ12" i="18"/>
  <c r="GV12" i="18"/>
  <c r="GR12" i="18"/>
  <c r="GN12" i="18"/>
  <c r="GJ12" i="18"/>
  <c r="GF12" i="18"/>
  <c r="GB12" i="18"/>
  <c r="FX12" i="18"/>
  <c r="FT12" i="18"/>
  <c r="FP12" i="18"/>
  <c r="FL12" i="18"/>
  <c r="FH12" i="18"/>
  <c r="FD12" i="18"/>
  <c r="EZ12" i="18"/>
  <c r="EV12" i="18"/>
  <c r="ER12" i="18"/>
  <c r="EN12" i="18"/>
  <c r="EJ12" i="18"/>
  <c r="EF12" i="18"/>
  <c r="EB12" i="18"/>
  <c r="DX12" i="18"/>
  <c r="DT12" i="18"/>
  <c r="DP12" i="18"/>
  <c r="DL12" i="18"/>
  <c r="DH12" i="18"/>
  <c r="DD12" i="18"/>
  <c r="CZ12" i="18"/>
  <c r="CV12" i="18"/>
  <c r="CR12" i="18"/>
  <c r="CN12" i="18"/>
  <c r="CJ12" i="18"/>
  <c r="CF12" i="18"/>
  <c r="CB12" i="18"/>
  <c r="BX12" i="18"/>
  <c r="BT12" i="18"/>
  <c r="BP12" i="18"/>
  <c r="BL12" i="18"/>
  <c r="BH12" i="18"/>
  <c r="BD12" i="18"/>
  <c r="AZ12" i="18"/>
  <c r="AV12" i="18"/>
  <c r="AR12" i="18"/>
  <c r="AN12" i="18"/>
  <c r="AJ12" i="18"/>
  <c r="AF12" i="18"/>
  <c r="AB12" i="18"/>
  <c r="X12" i="18"/>
  <c r="T12" i="18"/>
  <c r="P12" i="18"/>
  <c r="L12" i="18"/>
  <c r="H12" i="18"/>
  <c r="IZ11" i="18"/>
  <c r="IV11" i="18"/>
  <c r="IR11" i="18"/>
  <c r="IN11" i="18"/>
  <c r="IJ11" i="18"/>
  <c r="IF11" i="18"/>
  <c r="IB11" i="18"/>
  <c r="HX11" i="18"/>
  <c r="HT11" i="18"/>
  <c r="HP11" i="18"/>
  <c r="HL11" i="18"/>
  <c r="HH11" i="18"/>
  <c r="HD11" i="18"/>
  <c r="GZ11" i="18"/>
  <c r="GV11" i="18"/>
  <c r="GR11" i="18"/>
  <c r="GN11" i="18"/>
  <c r="GJ11" i="18"/>
  <c r="GF11" i="18"/>
  <c r="GB11" i="18"/>
  <c r="FX11" i="18"/>
  <c r="FT11" i="18"/>
  <c r="FP11" i="18"/>
  <c r="FL11" i="18"/>
  <c r="FH11" i="18"/>
  <c r="FD11" i="18"/>
  <c r="EZ11" i="18"/>
  <c r="EV11" i="18"/>
  <c r="ER11" i="18"/>
  <c r="EN11" i="18"/>
  <c r="EJ11" i="18"/>
  <c r="EF11" i="18"/>
  <c r="EB11" i="18"/>
  <c r="DX11" i="18"/>
  <c r="DT11" i="18"/>
  <c r="DP11" i="18"/>
  <c r="DL11" i="18"/>
  <c r="DH11" i="18"/>
  <c r="DD11" i="18"/>
  <c r="CZ11" i="18"/>
  <c r="CV11" i="18"/>
  <c r="CR11" i="18"/>
  <c r="CN11" i="18"/>
  <c r="CJ11" i="18"/>
  <c r="CF11" i="18"/>
  <c r="CB11" i="18"/>
  <c r="BX11" i="18"/>
  <c r="BT11" i="18"/>
  <c r="BP11" i="18"/>
  <c r="BL11" i="18"/>
  <c r="BH11" i="18"/>
  <c r="BD11" i="18"/>
  <c r="AZ11" i="18"/>
  <c r="AV11" i="18"/>
  <c r="AR11" i="18"/>
  <c r="AN11" i="18"/>
  <c r="AJ11" i="18"/>
  <c r="AF11" i="18"/>
  <c r="AB11" i="18"/>
  <c r="X11" i="18"/>
  <c r="T11" i="18"/>
  <c r="P11" i="18"/>
  <c r="L11" i="18"/>
  <c r="H11" i="18"/>
  <c r="IZ10" i="18"/>
  <c r="IV10" i="18"/>
  <c r="IR10" i="18"/>
  <c r="IN10" i="18"/>
  <c r="IJ10" i="18"/>
  <c r="IF10" i="18"/>
  <c r="IB10" i="18"/>
  <c r="HX10" i="18"/>
  <c r="HT10" i="18"/>
  <c r="HP10" i="18"/>
  <c r="HL10" i="18"/>
  <c r="HH10" i="18"/>
  <c r="HD10" i="18"/>
  <c r="GZ10" i="18"/>
  <c r="GV10" i="18"/>
  <c r="GR10" i="18"/>
  <c r="GN10" i="18"/>
  <c r="GJ10" i="18"/>
  <c r="GF10" i="18"/>
  <c r="GB10" i="18"/>
  <c r="FX10" i="18"/>
  <c r="FT10" i="18"/>
  <c r="FP10" i="18"/>
  <c r="FL10" i="18"/>
  <c r="FH10" i="18"/>
  <c r="FD10" i="18"/>
  <c r="EZ10" i="18"/>
  <c r="EV10" i="18"/>
  <c r="ER10" i="18"/>
  <c r="EN10" i="18"/>
  <c r="EJ10" i="18"/>
  <c r="EF10" i="18"/>
  <c r="EB10" i="18"/>
  <c r="DX10" i="18"/>
  <c r="DT10" i="18"/>
  <c r="DP10" i="18"/>
  <c r="DL10" i="18"/>
  <c r="DH10" i="18"/>
  <c r="DD10" i="18"/>
  <c r="CZ10" i="18"/>
  <c r="CV10" i="18"/>
  <c r="CR10" i="18"/>
  <c r="CN10" i="18"/>
  <c r="CJ10" i="18"/>
  <c r="CF10" i="18"/>
  <c r="CB10" i="18"/>
  <c r="BX10" i="18"/>
  <c r="BT10" i="18"/>
  <c r="BP10" i="18"/>
  <c r="BL10" i="18"/>
  <c r="BH10" i="18"/>
  <c r="BD10" i="18"/>
  <c r="AZ10" i="18"/>
  <c r="AV10" i="18"/>
  <c r="AR10" i="18"/>
  <c r="AN10" i="18"/>
  <c r="AJ10" i="18"/>
  <c r="AF10" i="18"/>
  <c r="AB10" i="18"/>
  <c r="X10" i="18"/>
  <c r="T10" i="18"/>
  <c r="P10" i="18"/>
  <c r="L10" i="18"/>
  <c r="C7" i="18"/>
  <c r="F6" i="18"/>
  <c r="V6" i="18" s="1"/>
  <c r="L25" i="17" l="1"/>
  <c r="K24" i="17"/>
  <c r="M24" i="17"/>
  <c r="N24" i="17" s="1"/>
  <c r="F5" i="18"/>
  <c r="F4" i="18" s="1"/>
  <c r="AL6" i="18"/>
  <c r="V5" i="18"/>
  <c r="V4" i="18" s="1"/>
  <c r="L26" i="17" l="1"/>
  <c r="K25" i="17"/>
  <c r="M25" i="17"/>
  <c r="N25" i="17" s="1"/>
  <c r="AL5" i="18"/>
  <c r="AL4" i="18" s="1"/>
  <c r="BB6" i="18"/>
  <c r="L27" i="17" l="1"/>
  <c r="K26" i="17"/>
  <c r="M26" i="17"/>
  <c r="N26" i="17" s="1"/>
  <c r="BR6" i="18"/>
  <c r="BB5" i="18"/>
  <c r="BB4" i="18" s="1"/>
  <c r="H7" i="1"/>
  <c r="L28" i="17" l="1"/>
  <c r="K27" i="17"/>
  <c r="M27" i="17"/>
  <c r="N27" i="17" s="1"/>
  <c r="I7" i="1"/>
  <c r="BR5" i="18"/>
  <c r="BR4" i="18" s="1"/>
  <c r="CH6" i="18"/>
  <c r="L29" i="17" l="1"/>
  <c r="K28" i="17"/>
  <c r="M28" i="17"/>
  <c r="N28" i="17" s="1"/>
  <c r="J7" i="1"/>
  <c r="C4" i="18"/>
  <c r="CX6" i="18"/>
  <c r="CH5" i="18"/>
  <c r="CH4" i="18" s="1"/>
  <c r="K29" i="17" l="1"/>
  <c r="M29" i="17"/>
  <c r="N29" i="17" s="1"/>
  <c r="L30" i="17"/>
  <c r="K7" i="1"/>
  <c r="CX5" i="18"/>
  <c r="CX4" i="18" s="1"/>
  <c r="DN6" i="18"/>
  <c r="B9" i="17"/>
  <c r="B5" i="17"/>
  <c r="M30" i="17" l="1"/>
  <c r="L31" i="17"/>
  <c r="E7" i="1"/>
  <c r="K30" i="17"/>
  <c r="N30" i="17"/>
  <c r="L7" i="1"/>
  <c r="ED6" i="18"/>
  <c r="DN5" i="18"/>
  <c r="DN4" i="18" s="1"/>
  <c r="B11" i="17"/>
  <c r="B12" i="17"/>
  <c r="M31" i="17" l="1"/>
  <c r="N31" i="17" s="1"/>
  <c r="K31" i="17"/>
  <c r="L10" i="1" s="1"/>
  <c r="C4" i="23"/>
  <c r="C4" i="24"/>
  <c r="C4" i="21"/>
  <c r="C4" i="20"/>
  <c r="M7" i="1"/>
  <c r="ED5" i="18"/>
  <c r="ED4" i="18" s="1"/>
  <c r="ET6" i="18"/>
  <c r="AJ23" i="1" l="1"/>
  <c r="AI23" i="1"/>
  <c r="AJ25" i="1"/>
  <c r="AI25" i="1"/>
  <c r="AI24" i="1"/>
  <c r="AJ24" i="1"/>
  <c r="AH25" i="1"/>
  <c r="AH23" i="1"/>
  <c r="AG23" i="1"/>
  <c r="AG25" i="1"/>
  <c r="AG24" i="1"/>
  <c r="AH24" i="1"/>
  <c r="AI22" i="1"/>
  <c r="AJ22" i="1"/>
  <c r="AJ21" i="1"/>
  <c r="AI21" i="1"/>
  <c r="AH22" i="1"/>
  <c r="AG21" i="1"/>
  <c r="AG22" i="1"/>
  <c r="AH21" i="1"/>
  <c r="AH20" i="1"/>
  <c r="AG20" i="1"/>
  <c r="AJ20" i="1"/>
  <c r="AI20" i="1"/>
  <c r="AH19" i="1"/>
  <c r="AG19" i="1"/>
  <c r="AJ26" i="1"/>
  <c r="AI26" i="1"/>
  <c r="AG26" i="1"/>
  <c r="AG17" i="1"/>
  <c r="AH17" i="1"/>
  <c r="AH26" i="1"/>
  <c r="AG18" i="1"/>
  <c r="AH18" i="1"/>
  <c r="AH16" i="1"/>
  <c r="AG16" i="1"/>
  <c r="AH15" i="1"/>
  <c r="AG15" i="1"/>
  <c r="AG13" i="1"/>
  <c r="AG14" i="1"/>
  <c r="AH13" i="1"/>
  <c r="AH14" i="1"/>
  <c r="AG12" i="1"/>
  <c r="AH12" i="1"/>
  <c r="C5" i="1"/>
  <c r="M10" i="1"/>
  <c r="M2" i="1" s="1"/>
  <c r="H10" i="1"/>
  <c r="K10" i="1"/>
  <c r="K2" i="1" s="1"/>
  <c r="I10" i="1"/>
  <c r="I2" i="1" s="1"/>
  <c r="J10" i="1"/>
  <c r="J2" i="1" s="1"/>
  <c r="L2" i="1"/>
  <c r="N7" i="1"/>
  <c r="FJ6" i="18"/>
  <c r="ET5" i="18"/>
  <c r="ET4" i="18" s="1"/>
  <c r="C6" i="1"/>
  <c r="N10" i="1" l="1"/>
  <c r="N2" i="1" s="1"/>
  <c r="H2" i="1"/>
  <c r="O7" i="1"/>
  <c r="FJ5" i="18"/>
  <c r="FJ4" i="18" s="1"/>
  <c r="FZ6" i="18"/>
  <c r="E16" i="14"/>
  <c r="E17" i="14"/>
  <c r="E18" i="14"/>
  <c r="E19" i="14"/>
  <c r="E20" i="14"/>
  <c r="E21" i="14"/>
  <c r="E22" i="14"/>
  <c r="E23" i="14"/>
  <c r="E24" i="14"/>
  <c r="E25" i="14"/>
  <c r="E26" i="14"/>
  <c r="O10" i="1" l="1"/>
  <c r="P7" i="1"/>
  <c r="P10" i="1" s="1"/>
  <c r="GP6" i="18"/>
  <c r="FZ5" i="18"/>
  <c r="FZ4" i="18" s="1"/>
  <c r="O2" i="1" l="1"/>
  <c r="P2" i="1"/>
  <c r="C11" i="24"/>
  <c r="C11" i="23"/>
  <c r="C12" i="24"/>
  <c r="C12" i="23"/>
  <c r="C14" i="24"/>
  <c r="C14" i="23"/>
  <c r="C15" i="24"/>
  <c r="C15" i="23"/>
  <c r="C17" i="24"/>
  <c r="C17" i="23"/>
  <c r="C19" i="24"/>
  <c r="C19" i="23"/>
  <c r="C10" i="24"/>
  <c r="C10" i="23"/>
  <c r="C13" i="24"/>
  <c r="C13" i="23"/>
  <c r="C16" i="24"/>
  <c r="C16" i="23"/>
  <c r="C18" i="24"/>
  <c r="C18" i="23"/>
  <c r="Q7" i="1"/>
  <c r="Q10" i="1" s="1"/>
  <c r="C11" i="18"/>
  <c r="C13" i="18"/>
  <c r="C15" i="18"/>
  <c r="C17" i="18"/>
  <c r="C18" i="18"/>
  <c r="C21" i="18"/>
  <c r="C24" i="18"/>
  <c r="C26" i="18"/>
  <c r="C28" i="18"/>
  <c r="C30" i="18"/>
  <c r="C12" i="18"/>
  <c r="C14" i="18"/>
  <c r="C16" i="18"/>
  <c r="C23" i="18"/>
  <c r="C19" i="18"/>
  <c r="C22" i="18"/>
  <c r="C25" i="18"/>
  <c r="C27" i="18"/>
  <c r="C29" i="18"/>
  <c r="C31" i="18"/>
  <c r="GP5" i="18"/>
  <c r="GP4" i="18" s="1"/>
  <c r="HF6" i="18"/>
  <c r="AH11" i="1" l="1"/>
  <c r="AG11" i="1"/>
  <c r="BG10" i="20"/>
  <c r="BF10" i="20"/>
  <c r="BC10" i="20"/>
  <c r="BB10" i="20"/>
  <c r="AY10" i="20"/>
  <c r="AX10" i="20"/>
  <c r="AU10" i="20"/>
  <c r="AT10" i="20"/>
  <c r="AQ10" i="20"/>
  <c r="AP10" i="20"/>
  <c r="AM10" i="20"/>
  <c r="AL10" i="20"/>
  <c r="AI10" i="20"/>
  <c r="AH10" i="20"/>
  <c r="AE10" i="20"/>
  <c r="AD10" i="20"/>
  <c r="AA10" i="20"/>
  <c r="Z10" i="20"/>
  <c r="W10" i="20"/>
  <c r="V10" i="20"/>
  <c r="S10" i="20"/>
  <c r="R10" i="20"/>
  <c r="O10" i="20"/>
  <c r="N10" i="20"/>
  <c r="K10" i="20"/>
  <c r="J10" i="20"/>
  <c r="F11" i="20"/>
  <c r="BG11" i="20"/>
  <c r="BF11" i="20"/>
  <c r="BC11" i="20"/>
  <c r="BB11" i="20"/>
  <c r="AY11" i="20"/>
  <c r="AX11" i="20"/>
  <c r="AU11" i="20"/>
  <c r="AT11" i="20"/>
  <c r="AQ11" i="20"/>
  <c r="AP11" i="20"/>
  <c r="AM11" i="20"/>
  <c r="AL11" i="20"/>
  <c r="AI11" i="20"/>
  <c r="AH11" i="20"/>
  <c r="AE11" i="20"/>
  <c r="AD11" i="20"/>
  <c r="AA11" i="20"/>
  <c r="Z11" i="20"/>
  <c r="W11" i="20"/>
  <c r="V11" i="20"/>
  <c r="S11" i="20"/>
  <c r="R11" i="20"/>
  <c r="O11" i="20"/>
  <c r="N11" i="20"/>
  <c r="K11" i="20"/>
  <c r="J11" i="20"/>
  <c r="G11" i="20"/>
  <c r="G10" i="20"/>
  <c r="F10" i="20"/>
  <c r="Q2" i="1"/>
  <c r="R7" i="1"/>
  <c r="R10" i="1" s="1"/>
  <c r="HV6" i="18"/>
  <c r="HF5" i="18"/>
  <c r="HF4" i="18" s="1"/>
  <c r="AG8" i="1" l="1"/>
  <c r="AH8" i="1"/>
  <c r="R2" i="1"/>
  <c r="AO11" i="1"/>
  <c r="S7" i="1"/>
  <c r="S10" i="1" s="1"/>
  <c r="HV5" i="18"/>
  <c r="HV4" i="18" s="1"/>
  <c r="IL6" i="18"/>
  <c r="IL5" i="18" s="1"/>
  <c r="IL4" i="18" s="1"/>
  <c r="JC25" i="18" l="1"/>
  <c r="JB21" i="18"/>
  <c r="JE12" i="18"/>
  <c r="JE26" i="18"/>
  <c r="AN11" i="1"/>
  <c r="S2" i="1"/>
  <c r="T7" i="1"/>
  <c r="T10" i="1" s="1"/>
  <c r="JE28" i="18"/>
  <c r="JB23" i="18"/>
  <c r="JD27" i="18"/>
  <c r="JC14" i="18"/>
  <c r="JB28" i="18"/>
  <c r="JB13" i="18"/>
  <c r="JC19" i="18"/>
  <c r="JE23" i="18"/>
  <c r="JB18" i="18"/>
  <c r="JD21" i="18"/>
  <c r="JB32" i="18"/>
  <c r="JC10" i="18"/>
  <c r="JD26" i="18"/>
  <c r="JD11" i="18"/>
  <c r="JE17" i="18"/>
  <c r="JB12" i="18"/>
  <c r="JD16" i="18"/>
  <c r="JC26" i="18"/>
  <c r="JE30" i="18"/>
  <c r="JB25" i="18"/>
  <c r="JC31" i="18"/>
  <c r="JC16" i="18"/>
  <c r="JB30" i="18"/>
  <c r="JC18" i="18"/>
  <c r="JC32" i="18"/>
  <c r="JB17" i="18"/>
  <c r="JC23" i="18"/>
  <c r="JE27" i="18"/>
  <c r="JB22" i="18"/>
  <c r="JD25" i="18"/>
  <c r="JC13" i="18"/>
  <c r="JE16" i="18"/>
  <c r="JD30" i="18"/>
  <c r="JD15" i="18"/>
  <c r="JE21" i="18"/>
  <c r="JB16" i="18"/>
  <c r="JD20" i="18"/>
  <c r="JC30" i="18"/>
  <c r="JE11" i="18"/>
  <c r="JB29" i="18"/>
  <c r="JE32" i="18"/>
  <c r="JC20" i="18"/>
  <c r="JC12" i="18"/>
  <c r="JD14" i="18"/>
  <c r="JE10" i="18"/>
  <c r="JC27" i="18"/>
  <c r="JE31" i="18"/>
  <c r="JB26" i="18"/>
  <c r="JD29" i="18"/>
  <c r="JC17" i="18"/>
  <c r="JE20" i="18"/>
  <c r="JB15" i="18"/>
  <c r="JD19" i="18"/>
  <c r="JE25" i="18"/>
  <c r="JB20" i="18"/>
  <c r="JD24" i="18"/>
  <c r="JC11" i="18"/>
  <c r="JE15" i="18"/>
  <c r="JB10" i="18"/>
  <c r="JD13" i="18"/>
  <c r="JC24" i="18"/>
  <c r="JE14" i="18"/>
  <c r="JD18" i="18"/>
  <c r="JC29" i="18"/>
  <c r="JD32" i="18"/>
  <c r="JB27" i="18"/>
  <c r="JD31" i="18"/>
  <c r="JE18" i="18"/>
  <c r="JD10" i="18"/>
  <c r="JC21" i="18"/>
  <c r="JE24" i="18"/>
  <c r="JB19" i="18"/>
  <c r="JD23" i="18"/>
  <c r="JE29" i="18"/>
  <c r="JB24" i="18"/>
  <c r="JD28" i="18"/>
  <c r="JC15" i="18"/>
  <c r="JE19" i="18"/>
  <c r="JB14" i="18"/>
  <c r="JD17" i="18"/>
  <c r="JC28" i="18"/>
  <c r="JE22" i="18"/>
  <c r="JD22" i="18"/>
  <c r="JB11" i="18"/>
  <c r="JE13" i="18"/>
  <c r="JB31" i="18"/>
  <c r="JD12" i="18"/>
  <c r="JC22" i="18"/>
  <c r="AL11" i="1" l="1"/>
  <c r="AM11" i="1"/>
  <c r="AY11" i="1" s="1"/>
  <c r="H11" i="20"/>
  <c r="I11" i="20" s="1"/>
  <c r="L11" i="20"/>
  <c r="AB11" i="20"/>
  <c r="AC11" i="20" s="1"/>
  <c r="T11" i="20"/>
  <c r="U11" i="20" s="1"/>
  <c r="P11" i="20"/>
  <c r="Q11" i="20" s="1"/>
  <c r="X11" i="20"/>
  <c r="Y11" i="20" s="1"/>
  <c r="T10" i="20"/>
  <c r="U10" i="20" s="1"/>
  <c r="X10" i="20"/>
  <c r="Y10" i="20" s="1"/>
  <c r="H10" i="20"/>
  <c r="I10" i="20" s="1"/>
  <c r="L10" i="20"/>
  <c r="P10" i="20"/>
  <c r="Q10" i="20" s="1"/>
  <c r="AB10" i="20"/>
  <c r="AC10" i="20" s="1"/>
  <c r="AJ11" i="20"/>
  <c r="AK11" i="20" s="1"/>
  <c r="AF11" i="20"/>
  <c r="AG11" i="20" s="1"/>
  <c r="AR11" i="20"/>
  <c r="AS11" i="20" s="1"/>
  <c r="AN11" i="20"/>
  <c r="AO11" i="20" s="1"/>
  <c r="AZ11" i="20"/>
  <c r="BA11" i="20" s="1"/>
  <c r="AV11" i="20"/>
  <c r="AW11" i="20" s="1"/>
  <c r="BH11" i="20"/>
  <c r="BI11" i="20" s="1"/>
  <c r="BD11" i="20"/>
  <c r="BE11" i="20" s="1"/>
  <c r="AF10" i="20"/>
  <c r="AG10" i="20" s="1"/>
  <c r="AJ10" i="20"/>
  <c r="AK10" i="20" s="1"/>
  <c r="AN10" i="20"/>
  <c r="AO10" i="20" s="1"/>
  <c r="AR10" i="20"/>
  <c r="AS10" i="20" s="1"/>
  <c r="AV10" i="20"/>
  <c r="AW10" i="20" s="1"/>
  <c r="AZ10" i="20"/>
  <c r="BA10" i="20" s="1"/>
  <c r="BD10" i="20"/>
  <c r="BE10" i="20" s="1"/>
  <c r="BH10" i="20"/>
  <c r="BI10" i="20" s="1"/>
  <c r="T2" i="1"/>
  <c r="U7" i="1"/>
  <c r="AX11" i="1" l="1"/>
  <c r="U10" i="1"/>
  <c r="V7" i="1"/>
  <c r="V10" i="1" s="1"/>
  <c r="M10" i="20"/>
  <c r="BK10" i="20"/>
  <c r="M11" i="20"/>
  <c r="BK11" i="20"/>
  <c r="W24" i="1" l="1"/>
  <c r="AF24" i="1" s="1"/>
  <c r="W23" i="1"/>
  <c r="AF23" i="1" s="1"/>
  <c r="W25" i="1"/>
  <c r="AF25" i="1" s="1"/>
  <c r="W21" i="1"/>
  <c r="AF21" i="1" s="1"/>
  <c r="W22" i="1"/>
  <c r="AF22" i="1" s="1"/>
  <c r="W20" i="1"/>
  <c r="AF20" i="1" s="1"/>
  <c r="AJ16" i="1"/>
  <c r="AJ19" i="1"/>
  <c r="W19" i="1"/>
  <c r="AF19" i="1" s="1"/>
  <c r="AJ17" i="1"/>
  <c r="AJ18" i="1"/>
  <c r="W16" i="1"/>
  <c r="AF16" i="1" s="1"/>
  <c r="W17" i="1"/>
  <c r="AF17" i="1" s="1"/>
  <c r="W26" i="1"/>
  <c r="AF26" i="1" s="1"/>
  <c r="W18" i="1"/>
  <c r="AF18" i="1" s="1"/>
  <c r="AJ13" i="1"/>
  <c r="AJ12" i="1"/>
  <c r="AJ14" i="1"/>
  <c r="AJ15" i="1"/>
  <c r="W15" i="1"/>
  <c r="AF15" i="1" s="1"/>
  <c r="W14" i="1"/>
  <c r="AF14" i="1" s="1"/>
  <c r="W13" i="1"/>
  <c r="AF13" i="1" s="1"/>
  <c r="W12" i="1"/>
  <c r="AF12" i="1" s="1"/>
  <c r="W11" i="1"/>
  <c r="AJ11" i="1"/>
  <c r="U2" i="1"/>
  <c r="V2" i="1"/>
  <c r="Y24" i="1" l="1"/>
  <c r="AE24" i="1" s="1"/>
  <c r="AK24" i="1" s="1"/>
  <c r="Y23" i="1"/>
  <c r="AE23" i="1" s="1"/>
  <c r="AK23" i="1" s="1"/>
  <c r="Y25" i="1"/>
  <c r="AE25" i="1" s="1"/>
  <c r="AK25" i="1" s="1"/>
  <c r="Y22" i="1"/>
  <c r="AE22" i="1" s="1"/>
  <c r="AK22" i="1" s="1"/>
  <c r="Y21" i="1"/>
  <c r="AE21" i="1" s="1"/>
  <c r="AK21" i="1" s="1"/>
  <c r="Y20" i="1"/>
  <c r="AE20" i="1" s="1"/>
  <c r="AK20" i="1" s="1"/>
  <c r="Y19" i="1"/>
  <c r="AE19" i="1" s="1"/>
  <c r="Y16" i="1"/>
  <c r="AE16" i="1" s="1"/>
  <c r="Y18" i="1"/>
  <c r="AE18" i="1" s="1"/>
  <c r="Y26" i="1"/>
  <c r="AE26" i="1" s="1"/>
  <c r="AK26" i="1" s="1"/>
  <c r="Y17" i="1"/>
  <c r="AE17" i="1" s="1"/>
  <c r="Y15" i="1"/>
  <c r="AE15" i="1" s="1"/>
  <c r="AJ8" i="1"/>
  <c r="Y14" i="1"/>
  <c r="AE14" i="1" s="1"/>
  <c r="AF11" i="1"/>
  <c r="AF8" i="1" s="1"/>
  <c r="W8" i="1"/>
  <c r="Y13" i="1"/>
  <c r="Y11" i="1"/>
  <c r="Y12" i="1"/>
  <c r="AN12" i="1"/>
  <c r="AO12" i="1"/>
  <c r="AO8" i="1" s="1"/>
  <c r="Y8" i="1" l="1"/>
  <c r="AE13" i="1"/>
  <c r="AE11" i="1"/>
  <c r="AE12" i="1"/>
  <c r="AM12" i="1"/>
  <c r="AM8" i="1" l="1"/>
  <c r="AE8" i="1" l="1"/>
  <c r="BJ10" i="20"/>
  <c r="AI11" i="1" l="1"/>
  <c r="BJ11" i="20"/>
  <c r="AI13" i="1" s="1"/>
  <c r="AK13" i="1" s="1"/>
  <c r="AI16" i="1" l="1"/>
  <c r="AK16" i="1" s="1"/>
  <c r="AI19" i="1"/>
  <c r="AK19" i="1" s="1"/>
  <c r="AI18" i="1"/>
  <c r="AK18" i="1" s="1"/>
  <c r="AI17" i="1"/>
  <c r="AK17" i="1" s="1"/>
  <c r="AI12" i="1"/>
  <c r="AK12" i="1" s="1"/>
  <c r="AI14" i="1"/>
  <c r="AK14" i="1" s="1"/>
  <c r="AI15" i="1"/>
  <c r="AK15" i="1" s="1"/>
  <c r="AK11" i="1"/>
  <c r="AI8" i="1" l="1"/>
  <c r="AK8" i="1"/>
  <c r="D14" i="17"/>
  <c r="F8" i="1" l="1"/>
  <c r="AQ12" i="1" l="1"/>
  <c r="AY12" i="1" s="1"/>
  <c r="AP12" i="1"/>
  <c r="AQ13" i="1"/>
  <c r="AY13" i="1" s="1"/>
  <c r="AP13" i="1"/>
  <c r="R25" i="25"/>
  <c r="S25" i="25"/>
  <c r="P26" i="25"/>
  <c r="Q26" i="25" s="1"/>
  <c r="AX12" i="1" l="1"/>
  <c r="AX13" i="1"/>
  <c r="S26" i="25"/>
  <c r="T26" i="25" s="1"/>
  <c r="U25" i="25"/>
  <c r="T25" i="25"/>
  <c r="P27" i="25"/>
  <c r="R26" i="25"/>
  <c r="U26" i="25" l="1"/>
  <c r="R27" i="25"/>
  <c r="P28" i="25"/>
  <c r="Q27" i="25"/>
  <c r="S27" i="25"/>
  <c r="Q28" i="25" l="1"/>
  <c r="R28" i="25"/>
  <c r="S28" i="25"/>
  <c r="P29" i="25"/>
  <c r="T27" i="25"/>
  <c r="U27" i="25"/>
  <c r="Q29" i="25" l="1"/>
  <c r="P30" i="25"/>
  <c r="R29" i="25"/>
  <c r="S29" i="25"/>
  <c r="U28" i="25"/>
  <c r="T28" i="25"/>
  <c r="BD14" i="1"/>
  <c r="BC14" i="1" s="1"/>
  <c r="T29" i="25" l="1"/>
  <c r="U29" i="25"/>
  <c r="Q30" i="25"/>
  <c r="P31" i="25"/>
  <c r="S30" i="25"/>
  <c r="R30" i="25"/>
  <c r="AR14" i="1"/>
  <c r="AS14" i="1"/>
  <c r="R31" i="25" l="1"/>
  <c r="P32" i="25"/>
  <c r="Q31" i="25"/>
  <c r="S31" i="25"/>
  <c r="AP14" i="1"/>
  <c r="AQ14" i="1"/>
  <c r="AY14" i="1" s="1"/>
  <c r="U30" i="25"/>
  <c r="T30" i="25"/>
  <c r="AX14" i="1" l="1"/>
  <c r="U31" i="25"/>
  <c r="T31" i="25"/>
  <c r="Q32" i="25"/>
  <c r="P33" i="25"/>
  <c r="R32" i="25"/>
  <c r="S32" i="25"/>
  <c r="U32" i="25" l="1"/>
  <c r="T32" i="25"/>
  <c r="R33" i="25"/>
  <c r="P34" i="25"/>
  <c r="Q33" i="25"/>
  <c r="S33" i="25"/>
  <c r="T33" i="25" l="1"/>
  <c r="U33" i="25"/>
  <c r="R34" i="25"/>
  <c r="P35" i="25"/>
  <c r="Q34" i="25"/>
  <c r="S34" i="25"/>
  <c r="U34" i="25" l="1"/>
  <c r="T34" i="25"/>
  <c r="R35" i="25"/>
  <c r="P36" i="25"/>
  <c r="Q35" i="25"/>
  <c r="S35" i="25"/>
  <c r="T35" i="25" l="1"/>
  <c r="U35" i="25"/>
  <c r="R36" i="25"/>
  <c r="P37" i="25"/>
  <c r="Q36" i="25"/>
  <c r="S36" i="25"/>
  <c r="T36" i="25" l="1"/>
  <c r="U36" i="25"/>
  <c r="R37" i="25"/>
  <c r="S37" i="25"/>
  <c r="P38" i="25"/>
  <c r="Q37" i="25"/>
  <c r="U37" i="25" l="1"/>
  <c r="T37" i="25"/>
  <c r="R38" i="25"/>
  <c r="P39" i="25"/>
  <c r="Q38" i="25"/>
  <c r="S38" i="25"/>
  <c r="T38" i="25" l="1"/>
  <c r="U38" i="25"/>
  <c r="Q39" i="25"/>
  <c r="S39" i="25"/>
  <c r="R39" i="25"/>
  <c r="P40" i="25"/>
  <c r="Q40" i="25" l="1"/>
  <c r="P41" i="25"/>
  <c r="S40" i="25"/>
  <c r="R40" i="25"/>
  <c r="U39" i="25"/>
  <c r="T39" i="25"/>
  <c r="Q41" i="25" l="1"/>
  <c r="S41" i="25"/>
  <c r="P42" i="25"/>
  <c r="R41" i="25"/>
  <c r="U40" i="25"/>
  <c r="T40" i="25"/>
  <c r="U41" i="25" l="1"/>
  <c r="T41" i="25"/>
  <c r="R42" i="25"/>
  <c r="P43" i="25"/>
  <c r="S42" i="25"/>
  <c r="Q42" i="25"/>
  <c r="T42" i="25" l="1"/>
  <c r="U42" i="25"/>
  <c r="R43" i="25"/>
  <c r="P44" i="25"/>
  <c r="S43" i="25"/>
  <c r="Q43" i="25"/>
  <c r="T43" i="25" l="1"/>
  <c r="U43" i="25"/>
  <c r="Q44" i="25"/>
  <c r="P45" i="25"/>
  <c r="S44" i="25"/>
  <c r="R44" i="25"/>
  <c r="T44" i="25" l="1"/>
  <c r="U44" i="25"/>
  <c r="Q45" i="25"/>
  <c r="P46" i="25"/>
  <c r="R45" i="25"/>
  <c r="S45" i="25"/>
  <c r="T45" i="25" l="1"/>
  <c r="U45" i="25"/>
  <c r="R46" i="25"/>
  <c r="Q46" i="25"/>
  <c r="P47" i="25"/>
  <c r="S46" i="25"/>
  <c r="U46" i="25" l="1"/>
  <c r="T46" i="25"/>
  <c r="Q47" i="25"/>
  <c r="R47" i="25"/>
  <c r="S47" i="25"/>
  <c r="P48" i="25"/>
  <c r="U47" i="25" l="1"/>
  <c r="T47" i="25"/>
  <c r="Q48" i="25"/>
  <c r="P49" i="25"/>
  <c r="S48" i="25"/>
  <c r="R48" i="25"/>
  <c r="U48" i="25" l="1"/>
  <c r="T48" i="25"/>
  <c r="Q49" i="25"/>
  <c r="S49" i="25"/>
  <c r="R49" i="25"/>
  <c r="P50" i="25"/>
  <c r="R50" i="25" l="1"/>
  <c r="Q50" i="25"/>
  <c r="P51" i="25"/>
  <c r="S50" i="25"/>
  <c r="U49" i="25"/>
  <c r="T49" i="25"/>
  <c r="U50" i="25" l="1"/>
  <c r="T50" i="25"/>
  <c r="R51" i="25"/>
  <c r="Q51" i="25"/>
  <c r="P52" i="25"/>
  <c r="S51" i="25"/>
  <c r="R52" i="25" l="1"/>
  <c r="P53" i="25"/>
  <c r="S52" i="25"/>
  <c r="Q52" i="25"/>
  <c r="T51" i="25"/>
  <c r="U51" i="25"/>
  <c r="R53" i="25" l="1"/>
  <c r="S53" i="25"/>
  <c r="Q53" i="25"/>
  <c r="P54" i="25"/>
  <c r="U52" i="25"/>
  <c r="T52" i="25"/>
  <c r="Q54" i="25" l="1"/>
  <c r="P55" i="25"/>
  <c r="S54" i="25"/>
  <c r="R54" i="25"/>
  <c r="U53" i="25"/>
  <c r="T53" i="25"/>
  <c r="Q55" i="25" l="1"/>
  <c r="P56" i="25"/>
  <c r="R55" i="25"/>
  <c r="S55" i="25"/>
  <c r="T54" i="25"/>
  <c r="U54" i="25"/>
  <c r="T55" i="25" l="1"/>
  <c r="U55" i="25"/>
  <c r="Q56" i="25"/>
  <c r="R56" i="25"/>
  <c r="P57" i="25"/>
  <c r="S56" i="25"/>
  <c r="Q57" i="25" l="1"/>
  <c r="P58" i="25"/>
  <c r="R57" i="25"/>
  <c r="S57" i="25"/>
  <c r="T56" i="25"/>
  <c r="U56" i="25"/>
  <c r="U57" i="25" l="1"/>
  <c r="T57" i="25"/>
  <c r="R58" i="25"/>
  <c r="P59" i="25"/>
  <c r="Q58" i="25"/>
  <c r="S58" i="25"/>
  <c r="T58" i="25" l="1"/>
  <c r="U58" i="25"/>
  <c r="R59" i="25"/>
  <c r="S59" i="25"/>
  <c r="Q59" i="25"/>
  <c r="P60" i="25"/>
  <c r="R60" i="25" l="1"/>
  <c r="P61" i="25"/>
  <c r="S60" i="25"/>
  <c r="Q60" i="25"/>
  <c r="U59" i="25"/>
  <c r="T59" i="25"/>
  <c r="R61" i="25" l="1"/>
  <c r="S61" i="25"/>
  <c r="Q61" i="25"/>
  <c r="P62" i="25"/>
  <c r="U60" i="25"/>
  <c r="T60" i="25"/>
  <c r="Q62" i="25" l="1"/>
  <c r="P63" i="25"/>
  <c r="S62" i="25"/>
  <c r="R62" i="25"/>
  <c r="T61" i="25"/>
  <c r="U61" i="25"/>
  <c r="R63" i="25" l="1"/>
  <c r="P64" i="25"/>
  <c r="Q63" i="25"/>
  <c r="S63" i="25"/>
  <c r="U62" i="25"/>
  <c r="T62" i="25"/>
  <c r="T63" i="25" l="1"/>
  <c r="U63" i="25"/>
  <c r="Q64" i="25"/>
  <c r="S64" i="25"/>
  <c r="R64" i="25"/>
  <c r="P65" i="25"/>
  <c r="Q65" i="25" l="1"/>
  <c r="P66" i="25"/>
  <c r="S65" i="25"/>
  <c r="R65" i="25"/>
  <c r="T64" i="25"/>
  <c r="U64" i="25"/>
  <c r="R66" i="25" l="1"/>
  <c r="P67" i="25"/>
  <c r="Q66" i="25"/>
  <c r="S66" i="25"/>
  <c r="U65" i="25"/>
  <c r="T65" i="25"/>
  <c r="T66" i="25" l="1"/>
  <c r="U66" i="25"/>
  <c r="R67" i="25"/>
  <c r="S67" i="25"/>
  <c r="Q67" i="25"/>
  <c r="AP15" i="1" l="1"/>
  <c r="AQ15" i="1"/>
  <c r="U67" i="25"/>
  <c r="T67" i="25"/>
  <c r="AR15" i="1" l="1"/>
  <c r="AS15" i="1"/>
  <c r="AY15" i="1" s="1"/>
  <c r="AQ8" i="1"/>
  <c r="AX15" i="1" l="1"/>
  <c r="AS8" i="1"/>
  <c r="AU7" i="1" s="1"/>
  <c r="AX8" i="1" l="1"/>
  <c r="A8" i="12" l="1"/>
  <c r="A9" i="12"/>
  <c r="A10" i="12"/>
  <c r="A11" i="12" s="1"/>
  <c r="A12" i="12" s="1"/>
  <c r="A17" i="12"/>
  <c r="A13" i="12" l="1"/>
  <c r="A15" i="12" s="1"/>
  <c r="A16" i="12" s="1"/>
  <c r="A14" i="12" s="1"/>
  <c r="A18" i="12" s="1"/>
  <c r="A19" i="12" s="1"/>
</calcChain>
</file>

<file path=xl/comments1.xml><?xml version="1.0" encoding="utf-8"?>
<comments xmlns="http://schemas.openxmlformats.org/spreadsheetml/2006/main">
  <authors>
    <author>PC-PRODUCCION02</author>
  </authors>
  <commentList>
    <comment ref="E4" authorId="0" shapeId="0">
      <text>
        <r>
          <rPr>
            <b/>
            <sz val="8"/>
            <color indexed="81"/>
            <rFont val="Tahoma"/>
            <family val="2"/>
          </rPr>
          <t>ESA INFORMACION TE LA PROPORCIANA OFICINA MACHALA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" authorId="0" shapeId="0">
      <text>
        <r>
          <rPr>
            <b/>
            <sz val="8"/>
            <color indexed="81"/>
            <rFont val="Tahoma"/>
            <family val="2"/>
          </rPr>
          <t>ESA INFORMACION TE LA PROPORCIANA OFICINA MACHALA</t>
        </r>
      </text>
    </comment>
    <comment ref="L4" authorId="0" shapeId="0">
      <text>
        <r>
          <rPr>
            <b/>
            <sz val="8"/>
            <color indexed="81"/>
            <rFont val="Tahoma"/>
            <family val="2"/>
          </rPr>
          <t>ESA INFORMACION TE LA PROPORCIANA OFICINA MACHALA</t>
        </r>
      </text>
    </comment>
  </commentList>
</comments>
</file>

<file path=xl/comments2.xml><?xml version="1.0" encoding="utf-8"?>
<comments xmlns="http://schemas.openxmlformats.org/spreadsheetml/2006/main">
  <authors>
    <author>PRODUCCION02</author>
    <author>PC-PRODUCCION02</author>
    <author>Administrador</author>
  </authors>
  <commentList>
    <comment ref="L3" authorId="0" shapeId="0">
      <text>
        <r>
          <rPr>
            <b/>
            <sz val="8"/>
            <color indexed="81"/>
            <rFont val="Tahoma"/>
            <family val="2"/>
          </rPr>
          <t>COLOR DE ADVERTENCIA PARA LOS COMENTARIOS DE ALGUNA NOVEDAD</t>
        </r>
      </text>
    </comment>
    <comment ref="M3" authorId="0" shapeId="0">
      <text>
        <r>
          <rPr>
            <b/>
            <sz val="8"/>
            <color indexed="81"/>
            <rFont val="Tahoma"/>
            <family val="2"/>
          </rPr>
          <t>COLOR DE ATENCION MEDICA DEL IESS O PARTICULAR JUSTIFICABLE</t>
        </r>
      </text>
    </comment>
    <comment ref="N3" authorId="0" shapeId="0">
      <text>
        <r>
          <rPr>
            <b/>
            <sz val="8"/>
            <color indexed="81"/>
            <rFont val="Tahoma"/>
            <family val="2"/>
          </rPr>
          <t xml:space="preserve">COLOR PARA LAS NOTAS DE ALGUN CAMBIO DE SALIDA O FERIADO DEL GRUPO </t>
        </r>
      </text>
    </comment>
    <comment ref="O3" authorId="0" shapeId="0">
      <text>
        <r>
          <rPr>
            <b/>
            <sz val="8"/>
            <color indexed="81"/>
            <rFont val="Tahoma"/>
            <family val="2"/>
          </rPr>
          <t>COLOR PARA SEÑALAR DE UN NUEVO TRABAJADOR QUE INGRESA O SE RETIRA DE LA EMPRESA</t>
        </r>
      </text>
    </comment>
    <comment ref="P3" authorId="0" shapeId="0">
      <text>
        <r>
          <rPr>
            <b/>
            <sz val="8"/>
            <color indexed="81"/>
            <rFont val="Tahoma"/>
            <family val="2"/>
          </rPr>
          <t>COLOR PARA SEÑALAR LA NOMINA DEL TRABAJADOR QUE RENUNCIA.</t>
        </r>
      </text>
    </comment>
    <comment ref="Q3" authorId="1" shapeId="0">
      <text>
        <r>
          <rPr>
            <b/>
            <sz val="9"/>
            <color indexed="81"/>
            <rFont val="Tahoma"/>
            <family val="2"/>
          </rPr>
          <t xml:space="preserve">COLO PARA IDENTIFICAR LOS </t>
        </r>
        <r>
          <rPr>
            <b/>
            <u/>
            <sz val="9"/>
            <color indexed="81"/>
            <rFont val="Tahoma"/>
            <family val="2"/>
          </rPr>
          <t>INGRESOS</t>
        </r>
        <r>
          <rPr>
            <b/>
            <sz val="9"/>
            <color indexed="81"/>
            <rFont val="Tahoma"/>
            <family val="2"/>
          </rPr>
          <t xml:space="preserve"> DE SUS DIAS LIBRES</t>
        </r>
      </text>
    </comment>
    <comment ref="R3" authorId="2" shapeId="0">
      <text>
        <r>
          <rPr>
            <b/>
            <sz val="9"/>
            <color indexed="81"/>
            <rFont val="Tahoma"/>
            <family val="2"/>
          </rPr>
          <t>VACACIONES DE TRABAJADOR</t>
        </r>
      </text>
    </comment>
    <comment ref="AA10" authorId="0" shapeId="0">
      <text>
        <r>
          <rPr>
            <b/>
            <sz val="9"/>
            <color indexed="81"/>
            <rFont val="Tahoma"/>
            <family val="2"/>
          </rPr>
          <t>Si un trabajador que faltare injustificadamente a su jornada completa de trabajo en la semana, solo tendra derecho a la renumeracion de 5 jornadas.</t>
        </r>
      </text>
    </comment>
  </commentList>
</comments>
</file>

<file path=xl/comments3.xml><?xml version="1.0" encoding="utf-8"?>
<comments xmlns="http://schemas.openxmlformats.org/spreadsheetml/2006/main">
  <authors>
    <author>PRODUCCION02</author>
  </authors>
  <commentList>
    <comment ref="B16" authorId="0" shapeId="0">
      <text>
        <r>
          <rPr>
            <b/>
            <sz val="8"/>
            <color indexed="81"/>
            <rFont val="Tahoma"/>
            <family val="2"/>
          </rPr>
          <t>SOLO SE MODIFICA ESTE NUEVO AÑO Y EL MES DE FEBRERO PARA QUE SALGAN DE LA PRIMERA Y SEGUNDA QUINCENA</t>
        </r>
      </text>
    </comment>
  </commentList>
</comments>
</file>

<file path=xl/connections.xml><?xml version="1.0" encoding="utf-8"?>
<connections xmlns="http://schemas.openxmlformats.org/spreadsheetml/2006/main">
  <connection id="1" sourceFile="C:\Users\DAVID\Dropbox\NOMINA TRANSFERENCIA.xlsm" odcFile="C:\Users\DAVID\Documents\Mis archivos de origen de datos\NOMINA TRANSFERENCIA Resumen$.odc" keepAlive="1" name="NOMINA TRANSFERENCIA Resumen$" type="5" refreshedVersion="5" background="1" saveData="1">
    <dbPr connection="Provider=Microsoft.ACE.OLEDB.12.0;User ID=Admin;Data Source=C:\Users\DAVID\Dropbox\NOMINA TRANSFERENCIA.xlsm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sumen$" commandType="3"/>
  </connection>
</connections>
</file>

<file path=xl/sharedStrings.xml><?xml version="1.0" encoding="utf-8"?>
<sst xmlns="http://schemas.openxmlformats.org/spreadsheetml/2006/main" count="1134" uniqueCount="246">
  <si>
    <t>NOMINA</t>
  </si>
  <si>
    <t>CARGO</t>
  </si>
  <si>
    <t>S</t>
  </si>
  <si>
    <t>D</t>
  </si>
  <si>
    <t>L</t>
  </si>
  <si>
    <t>M</t>
  </si>
  <si>
    <t>Mi</t>
  </si>
  <si>
    <t>J</t>
  </si>
  <si>
    <t>V</t>
  </si>
  <si>
    <t>NOCHES POR PESCA</t>
  </si>
  <si>
    <t>Cargos</t>
  </si>
  <si>
    <t>Valor</t>
  </si>
  <si>
    <t>TRANSFERENCIAS</t>
  </si>
  <si>
    <t>PESCAS</t>
  </si>
  <si>
    <t>No.</t>
  </si>
  <si>
    <t>TOTAL POR PESCA</t>
  </si>
  <si>
    <t>No. DE NOCHES</t>
  </si>
  <si>
    <t>DÍAS TRAB.</t>
  </si>
  <si>
    <t>DIARIO</t>
  </si>
  <si>
    <t>QUINCENA</t>
  </si>
  <si>
    <t>CARGOS</t>
  </si>
  <si>
    <t>ALBAÑIL</t>
  </si>
  <si>
    <t>SUELDO BASICO</t>
  </si>
  <si>
    <t>GUARDIA</t>
  </si>
  <si>
    <t>BOMBERO</t>
  </si>
  <si>
    <t>OPERADOR</t>
  </si>
  <si>
    <t>AYUD. CAPATAZ</t>
  </si>
  <si>
    <t>ESCOJEDORA</t>
  </si>
  <si>
    <t>Horas trabajadas</t>
  </si>
  <si>
    <t>HORAS EXTRAS USD</t>
  </si>
  <si>
    <t>HORAS EXTRAS</t>
  </si>
  <si>
    <t>MULTAS</t>
  </si>
  <si>
    <t>DIARIO *</t>
  </si>
  <si>
    <t>Cambio de puesto Guardia a Diario</t>
  </si>
  <si>
    <t>No. Cédula</t>
  </si>
  <si>
    <t>070219346-7</t>
  </si>
  <si>
    <t>230034363-5</t>
  </si>
  <si>
    <t>070406459-1</t>
  </si>
  <si>
    <t>110278326-1</t>
  </si>
  <si>
    <t>110315588-1</t>
  </si>
  <si>
    <t>070508993-6</t>
  </si>
  <si>
    <t>110377448-3</t>
  </si>
  <si>
    <t>Bonificación voluntaria</t>
  </si>
  <si>
    <t>Bonificación 15NA</t>
  </si>
  <si>
    <t>PESQUERA SAN MIGUEL CIA. LTDA.</t>
  </si>
  <si>
    <t>REPORTE DE ASISTENCIA</t>
  </si>
  <si>
    <t>50% 16h01 -  24h00</t>
  </si>
  <si>
    <t>100% 24h01 - 06h00</t>
  </si>
  <si>
    <t>070200116-5</t>
  </si>
  <si>
    <t>CARPINTERO</t>
  </si>
  <si>
    <t>172485071-2</t>
  </si>
  <si>
    <t>172755391-7</t>
  </si>
  <si>
    <t>CEDULA</t>
  </si>
  <si>
    <t>BONIFICACION</t>
  </si>
  <si>
    <t>172083882-8</t>
  </si>
  <si>
    <t>070733745-7</t>
  </si>
  <si>
    <t>110478338-4</t>
  </si>
  <si>
    <t>ASIST. BIOLOGO</t>
  </si>
  <si>
    <t>FECHA</t>
  </si>
  <si>
    <t>SI</t>
  </si>
  <si>
    <t>NOMBRE EMPLEADO</t>
  </si>
  <si>
    <t>SUELDO</t>
  </si>
  <si>
    <t>FECHA INGRESO</t>
  </si>
  <si>
    <t>DIRECCION</t>
  </si>
  <si>
    <t>GOZA F.R.</t>
  </si>
  <si>
    <t>FECHA SOLIC ACUM_F.R.</t>
  </si>
  <si>
    <t>ACUMULA XIII</t>
  </si>
  <si>
    <t>ACUMULA XIV</t>
  </si>
  <si>
    <t>#</t>
  </si>
  <si>
    <t>BANCO CTA.</t>
  </si>
  <si>
    <t># CTA. BANCO</t>
  </si>
  <si>
    <t>AVISO SALIDA</t>
  </si>
  <si>
    <t>CTA 9,45%</t>
  </si>
  <si>
    <t>PRESTAMO QUIROGRAF.</t>
  </si>
  <si>
    <t>PRESTAMO HIPOTEC.</t>
  </si>
  <si>
    <t>PRESTAMO EMPLEADO</t>
  </si>
  <si>
    <t>ANTICIPO EMPLEADO</t>
  </si>
  <si>
    <t>SUELDO X PAGAR</t>
  </si>
  <si>
    <t>070656723-7</t>
  </si>
  <si>
    <t>070250216-2</t>
  </si>
  <si>
    <t>110483502-8</t>
  </si>
  <si>
    <t>110571148-3</t>
  </si>
  <si>
    <t>010649082-4</t>
  </si>
  <si>
    <t>110437810-2</t>
  </si>
  <si>
    <t>120653372-9</t>
  </si>
  <si>
    <t>120444433-3</t>
  </si>
  <si>
    <t>ACUMULA FR</t>
  </si>
  <si>
    <t>MODO</t>
  </si>
  <si>
    <t>110576532-3</t>
  </si>
  <si>
    <t>ROL #:</t>
  </si>
  <si>
    <t>COPY EMPLEADO</t>
  </si>
  <si>
    <t>NOMINA EMPLEADOS DE CAMPO</t>
  </si>
  <si>
    <t>LABOR</t>
  </si>
  <si>
    <t>DESDE</t>
  </si>
  <si>
    <t>HASTA</t>
  </si>
  <si>
    <t>50% 16:01 - 24:00</t>
  </si>
  <si>
    <t>100% 24:01 - 06:00</t>
  </si>
  <si>
    <t>TOT HE 50%</t>
  </si>
  <si>
    <t>TOT HE 100%</t>
  </si>
  <si>
    <t>DEL</t>
  </si>
  <si>
    <t>AL</t>
  </si>
  <si>
    <t>REPORTE DE HORAS EXTRAS</t>
  </si>
  <si>
    <t>DIA:</t>
  </si>
  <si>
    <t># DIA-SEM:</t>
  </si>
  <si>
    <t>desde</t>
  </si>
  <si>
    <t>hasta</t>
  </si>
  <si>
    <t># rol</t>
  </si>
  <si>
    <t># DIA</t>
  </si>
  <si>
    <t>DIA</t>
  </si>
  <si>
    <t>INICIAL</t>
  </si>
  <si>
    <t>DOMINGO</t>
  </si>
  <si>
    <t>LUNES</t>
  </si>
  <si>
    <t>MARTES</t>
  </si>
  <si>
    <t>MIERCOLES</t>
  </si>
  <si>
    <t>JUEVES</t>
  </si>
  <si>
    <t>VIERNES</t>
  </si>
  <si>
    <t>SABADO</t>
  </si>
  <si>
    <t>TOT Sab Dom</t>
  </si>
  <si>
    <t>TOT Feriad</t>
  </si>
  <si>
    <t>H.E</t>
  </si>
  <si>
    <t>100% 24:01 - 06:00 - Sab; Dom y Feriados</t>
  </si>
  <si>
    <t>OBSERVACIONES:</t>
  </si>
  <si>
    <t>Trabajo Noct</t>
  </si>
  <si>
    <t>F= Fin de Semana y Feriado</t>
  </si>
  <si>
    <t xml:space="preserve"> N= Trabajo Nocturno</t>
  </si>
  <si>
    <t>ELABRADO:</t>
  </si>
  <si>
    <t>REVISADO:</t>
  </si>
  <si>
    <t>VISTO BUENO</t>
  </si>
  <si>
    <t>NOTA.-</t>
  </si>
  <si>
    <t>EN EL CUADRITO SUPERIOR INFERIOR IZQUIERDO DE CADA DIA SE DIGITARA "F" SIEMPRE Y CUANDO ESE DIA SEA FERIADO EN LOS RANGOS DE LUNES A VIERNES</t>
  </si>
  <si>
    <t>MANUL DE USUARIO</t>
  </si>
  <si>
    <t>INGRESO H.E. Y TRANSFERENCIA</t>
  </si>
  <si>
    <t>EN PESTAÑA CONTROL H.E Y EN LA PESTAÑA CONTROL H.E. Transf. SE INGRESARA INFORMACION DE LA SIGUIENTE MANERA:</t>
  </si>
  <si>
    <t>SE DIGITARA 12-01 Y AUTOMATICAMENTE SALDRA FECHA.</t>
  </si>
  <si>
    <t>EN LAS PESTAÑA DE CONTROL DE H.E. Y Transf. ESTAN CREADAS 7 DIAS YA QUE ME CONFIRMO DON MIGUEL QUE EN UNA QUINCENA</t>
  </si>
  <si>
    <t>NO HACEN MAS DE TRES A CUATRO DIAS DE TRANSFERENCIA Y HORAS EXTRAS.</t>
  </si>
  <si>
    <t>EL CUADRITO SE ENCUENTRA EN LA PARTE SUPERIOR IZQUIERDA DE CADA DIA  ES PARA DIGITAR LA LETRA "F" SI ESE DIA ES FERIADO</t>
  </si>
  <si>
    <t>SIEMPRE Y CUANDO SEA EN LOS RANGOS DE LUNES A VIERNES.</t>
  </si>
  <si>
    <t>SI LAS HORAS EXTRAS CAE UN FERIADO O FIN DE SEMANA, LA CELDA DONDE APARECE "INGRESAR HORAS EXTRAS" APARECERA OTRO MENSAJE</t>
  </si>
  <si>
    <t>Y CAMBIARA DE COLOR LA CELDA INDICANDO QUE ESE DIA SOLO SE DEBE INGRESAR DATOS DE H.E. AL 100%</t>
  </si>
  <si>
    <t>EJEMPLO:</t>
  </si>
  <si>
    <t>COMO VERAS SALE EL MENSAJE ANTES MENCIONADO Y SI TU VEZ QUE INGRESA DATOS EN H.E. 50% NO TE CALCULA NADA POR LO TANTO DEBE SER INGRESADO</t>
  </si>
  <si>
    <t>A H.E. AL 100%. CABE RECORDAR QUE LOS DATOS DEBE DE INGRESAR EN FORMATO DE HORA POR EJEMPLO DE 5 A 6 DE LA TARDE SE DEBE ESCRIBIR DESDE 17:00 HASTA 18:00</t>
  </si>
  <si>
    <t>CUANDO ES DESPUES DE LAS 24 HORAS SE PUEDE ESCRIBIR DE DOS MANERA EJEMPLO SI TRABAJO DE 1 A 3 DE LA MADRUGADA SE DIGITARA DESDE 1:00 HASTA 3:00 O</t>
  </si>
  <si>
    <t>DESDE 25:00 HASTA 28:00 Y CALCULARA LAS HORAS QUE LABORO.</t>
  </si>
  <si>
    <t>ESPERANDO QUE QUEDE TODO EN CLARO CUALQUIER INQUIETUD HACERLO CONOCER AL DEPARTAMENTO DE CONTABILIDAD.</t>
  </si>
  <si>
    <t>FIRMA</t>
  </si>
  <si>
    <t>LAS HOJAS FIRMA H.E. Y Transf. ESO ES PARA QUE IMPRIMAS LAS COPIAS QUE SEAN NECESARIA Y DAR A LAS PERSONAS QUE TE REPORTAN LAS H.E. Y ESA INFORMACION</t>
  </si>
  <si>
    <t xml:space="preserve">TIENES QUE INGRESAR EN LAS H.E. </t>
  </si>
  <si>
    <t>¿COMO DEBE SER LLENADO ESTE REPORTE?</t>
  </si>
  <si>
    <t>SE ESCRIBIRA "F" SI ESE DIA ES FERIADO</t>
  </si>
  <si>
    <t>EN LOS RANGO DE LUNES A VIERNES</t>
  </si>
  <si>
    <t>DEBE SER ESCRITO LA FECHA O DIA DONDE</t>
  </si>
  <si>
    <t>REALIZARAN LA ACTIVIDAD DE H.E. O TRANSF.</t>
  </si>
  <si>
    <t>SE ESCRIBE HORA INICIO DE H.E.</t>
  </si>
  <si>
    <t>SE ESCRIBE HORA FINAL DE H.E.</t>
  </si>
  <si>
    <t>SE ESCRIBE HORAS EXTRAS QUE REALIZO</t>
  </si>
  <si>
    <t>SE ESCRIBE LABOR O ACTIVIDAD QUE REALIZO</t>
  </si>
  <si>
    <t>SE DEBE HACER FIRMAR POR EL TRABAJADOR</t>
  </si>
  <si>
    <t>Art 21</t>
  </si>
  <si>
    <t>110506978-3</t>
  </si>
  <si>
    <t>110514219-2</t>
  </si>
  <si>
    <t>NO</t>
  </si>
  <si>
    <t>2.- Pesador</t>
  </si>
  <si>
    <t>1.- Bolsero</t>
  </si>
  <si>
    <t>3.- Estibador</t>
  </si>
  <si>
    <t>4.- Tratador</t>
  </si>
  <si>
    <t>080297728-0</t>
  </si>
  <si>
    <t>171647229-3</t>
  </si>
  <si>
    <t>ELABORADO: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</si>
  <si>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</si>
  <si>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APELLIDOS Y NOMBRES</t>
  </si>
  <si>
    <t>FUNCION</t>
  </si>
  <si>
    <t>CONT</t>
  </si>
  <si>
    <t>110581984-9</t>
  </si>
  <si>
    <t>LOJA, NAMBACOLA</t>
  </si>
  <si>
    <t>110523439-5</t>
  </si>
  <si>
    <t>115025173-2</t>
  </si>
  <si>
    <t>110411083-6</t>
  </si>
  <si>
    <t>110577394-7</t>
  </si>
  <si>
    <t>SE TIENE QUE INGRESAR EL DIA CON EL FORMATO DE FECHA EJEMPLO: QUIERO INGRESAR EL 12 DE ENERO DEL 2019</t>
  </si>
  <si>
    <t>HORAS EXTRAS TRANSFERENCIA</t>
  </si>
  <si>
    <t>ARMIJOS MIÑAN ANGEL OSWALDO</t>
  </si>
  <si>
    <t>SANTA ROSA - EL ORO</t>
  </si>
  <si>
    <t>201070701016</t>
  </si>
  <si>
    <t>101-1122376</t>
  </si>
  <si>
    <t>ORTIZ CORONEL WILMER ALBERTO</t>
  </si>
  <si>
    <t>110558140-7</t>
  </si>
  <si>
    <t>INGRESO DATOS EMPLEADOS</t>
  </si>
  <si>
    <t>TOTAL Nª NOCHES DE PESCA:</t>
  </si>
  <si>
    <t>#1</t>
  </si>
  <si>
    <t>PRIMERA TABLA DINAMICA</t>
  </si>
  <si>
    <t>TABLA DINAMICA #1 PESCA</t>
  </si>
  <si>
    <t>TABLA DINAMICA #2 PESCA</t>
  </si>
  <si>
    <t>TABLA DINAMICA #3 PESCA</t>
  </si>
  <si>
    <t>#2</t>
  </si>
  <si>
    <t>SEGUNDA TABLA DINAMICA</t>
  </si>
  <si>
    <t>TERCERA TABLA DINAMICA</t>
  </si>
  <si>
    <t>#3</t>
  </si>
  <si>
    <t>TOTAL Nª NOCHES POR TRABAJADOR</t>
  </si>
  <si>
    <t>GRUPO</t>
  </si>
  <si>
    <t>GP1</t>
  </si>
  <si>
    <t>GP2</t>
  </si>
  <si>
    <t>5.- Gavetero</t>
  </si>
  <si>
    <t>6.- Chofer</t>
  </si>
  <si>
    <t>7.- Campamento</t>
  </si>
  <si>
    <t>RECORDAR COLOCAR LA LETRA "F" CUANDO SEA UN DIA DE FERIADO</t>
  </si>
  <si>
    <t>NOCHE</t>
  </si>
  <si>
    <t>(Varios elementos)</t>
  </si>
  <si>
    <t>EMPRESA</t>
  </si>
  <si>
    <t>(Todas)</t>
  </si>
  <si>
    <t>Cuenta de FUNCION</t>
  </si>
  <si>
    <t>MERECI MOREIRA LUIS FERNANDO</t>
  </si>
  <si>
    <t>115043410-6</t>
  </si>
  <si>
    <t>LOJA - MACARA -MACARA</t>
  </si>
  <si>
    <t>VELEZ PALACIOS RICARDO JOSE</t>
  </si>
  <si>
    <t>070432834-3</t>
  </si>
  <si>
    <t>EL ORO - MACHALA - MACHALA</t>
  </si>
  <si>
    <t>MANABI - EL CARMEN  - EL CARMEN</t>
  </si>
  <si>
    <t>FERNANDEZ VELEZ OSCAR FORTUNATO</t>
  </si>
  <si>
    <t>131244670-9</t>
  </si>
  <si>
    <t>115087646-2</t>
  </si>
  <si>
    <t>LOJA - GONZANAMA - GONZANAMA</t>
  </si>
  <si>
    <t>HERRERA ORDOÑEZ ELVIS ANTONIO</t>
  </si>
  <si>
    <t>110579002-4</t>
  </si>
  <si>
    <t>LOJA - GONZANAMA - SACAPALCA</t>
  </si>
  <si>
    <t>AREVALO SANCHEZ MAURICIO RAFAEL</t>
  </si>
  <si>
    <t>110606565-7</t>
  </si>
  <si>
    <t>CAMACHO CAMACHO CHRISTIAN EDUARDO</t>
  </si>
  <si>
    <t>CALLE RAMOS JHONNY RENE</t>
  </si>
  <si>
    <t>110525109-2</t>
  </si>
  <si>
    <t>MARQUEZ LASCANO EDISON JOEL</t>
  </si>
  <si>
    <t>095620199-0</t>
  </si>
  <si>
    <t>PICHINCHA - PEDRO MONCAYO - TABACUNDO</t>
  </si>
  <si>
    <t>CEDEÑO JURADO JEFFERSON MANUEL</t>
  </si>
  <si>
    <t>131617781-3</t>
  </si>
  <si>
    <t>EL JOVO - PORTVIEJO</t>
  </si>
  <si>
    <t>GUEVARA HERRERA NICOLAS ENRIQUE</t>
  </si>
  <si>
    <t>110606706-7</t>
  </si>
  <si>
    <t>LOJA - GONZANAMA - PURUNUMA</t>
  </si>
  <si>
    <t>QUITO QUEVEDO JONATHAN GERMAN</t>
  </si>
  <si>
    <t>110577013-3</t>
  </si>
  <si>
    <t>LOJA - GONZANAMA - NAMBACOLA</t>
  </si>
  <si>
    <t>CABRERA PASACA JONATHAN EDUARDO</t>
  </si>
  <si>
    <t>110576859-0</t>
  </si>
  <si>
    <t>LOJA - CATAMAYO - EL TAMBO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</si>
</sst>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4" formatCode="_(&quot;$&quot;\ * #,##0.00_);_(&quot;$&quot;\ * \(#,##0.00\);_(&quot;$&quot;\ * &quot;-&quot;??_);_(@_)"/>
    <numFmt numFmtId="43" formatCode="_(* #,##0.00_);_(* \(#,##0.00\);_(* &quot;-&quot;??_);_(@_)"/>
    <numFmt numFmtId="164" formatCode="&quot;$&quot;#,##0.00"/>
    <numFmt numFmtId="165" formatCode="[$$-409]#,##0.00"/>
    <numFmt numFmtId="166" formatCode="000\-0000000"/>
    <numFmt numFmtId="167" formatCode="[$-C0A]mmmm\-yy;@"/>
    <numFmt numFmtId="168" formatCode="_(* #,##0_);_(* \(#,##0\);_(* &quot;-&quot;??_);_(@_)"/>
    <numFmt numFmtId="169" formatCode="[$-C0A]d\ &quot;de&quot;\ mmmm\ &quot;de&quot;\ yyyy;@"/>
    <numFmt numFmtId="170" formatCode="[$-40A]dddd\,\ dd&quot; de &quot;mmmm&quot; de &quot;yyyy;@"/>
    <numFmt numFmtId="171" formatCode="_(* #,##0.0_);_(* \(#,##0.0\);_(* &quot;-&quot;??_);_(@_)"/>
    <numFmt numFmtId="172" formatCode="_(* #,##0.0_);_(* \(#,##0.0\);_(* &quot;-&quot;?_);_(@_)"/>
    <numFmt numFmtId="173" formatCode="h:mm;@"/>
    <numFmt numFmtId="174" formatCode="h:mm:ss;@"/>
    <numFmt numFmtId="175" formatCode="dd/mm/yyyy;@"/>
    <numFmt numFmtId="176" formatCode="[$-F800]dddd\,\ mmmm\ dd\,\ yyyy"/>
    <numFmt numFmtId="177" formatCode="[$-300A]dddd\,\ dd&quot; de &quot;mmmm&quot; de &quot;yyyy;@"/>
    <numFmt numFmtId="178" formatCode="[$-F400]h:mm:ss\ AM/PM"/>
  </numFmts>
  <fonts count="6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Palatino Linotype"/>
      <family val="1"/>
    </font>
    <font>
      <sz val="10.5"/>
      <name val="Palatino Linotype"/>
      <family val="1"/>
    </font>
    <font>
      <b/>
      <sz val="12"/>
      <name val="Palatino Linotype"/>
      <family val="1"/>
    </font>
    <font>
      <sz val="10"/>
      <name val="Arial"/>
      <family val="2"/>
    </font>
    <font>
      <sz val="10"/>
      <name val="Calibri"/>
      <family val="1"/>
      <scheme val="minor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Times New Roman"/>
      <family val="1"/>
    </font>
    <font>
      <b/>
      <sz val="9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Palatino Linotype"/>
      <family val="1"/>
    </font>
    <font>
      <b/>
      <sz val="12"/>
      <name val="Calibri"/>
      <family val="2"/>
      <scheme val="minor"/>
    </font>
    <font>
      <b/>
      <sz val="1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Palatino Linotype"/>
      <family val="1"/>
    </font>
    <font>
      <b/>
      <sz val="10"/>
      <name val="Century Schoolbook"/>
      <family val="1"/>
    </font>
    <font>
      <sz val="11"/>
      <color theme="1"/>
      <name val="Calibri"/>
      <family val="2"/>
    </font>
    <font>
      <sz val="9"/>
      <color rgb="FF000000"/>
      <name val="Calibri"/>
      <family val="2"/>
    </font>
    <font>
      <sz val="10"/>
      <name val="Calibri"/>
      <family val="2"/>
    </font>
    <font>
      <sz val="10"/>
      <color rgb="FF000000"/>
      <name val="Calibri"/>
      <family val="2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8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8"/>
      <color rgb="FFFF0000"/>
      <name val="Calibri"/>
      <family val="2"/>
      <scheme val="minor"/>
    </font>
    <font>
      <sz val="18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24"/>
      <color rgb="FFFF0000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sz val="8"/>
      <color indexed="81"/>
      <name val="Tahoma"/>
      <family val="2"/>
    </font>
    <font>
      <sz val="8"/>
      <name val="Calibri"/>
      <family val="2"/>
      <scheme val="minor"/>
    </font>
    <font>
      <b/>
      <u/>
      <sz val="9"/>
      <color indexed="8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/>
    <xf numFmtId="0" fontId="6" fillId="0" borderId="0"/>
    <xf numFmtId="0" fontId="7" fillId="0" borderId="0"/>
    <xf numFmtId="164" fontId="2" fillId="0" borderId="0" applyFont="0" applyFill="0" applyBorder="0" applyAlignment="0" applyProtection="0"/>
    <xf numFmtId="0" fontId="8" fillId="4" borderId="0" applyNumberFormat="0" applyBorder="0" applyAlignment="0" applyProtection="0"/>
    <xf numFmtId="0" fontId="9" fillId="2" borderId="5" applyNumberFormat="0" applyAlignment="0" applyProtection="0"/>
    <xf numFmtId="0" fontId="10" fillId="3" borderId="5" applyNumberFormat="0" applyAlignment="0" applyProtection="0"/>
    <xf numFmtId="0" fontId="11" fillId="0" borderId="0"/>
    <xf numFmtId="0" fontId="12" fillId="0" borderId="0"/>
    <xf numFmtId="0" fontId="13" fillId="0" borderId="0"/>
    <xf numFmtId="0" fontId="1" fillId="0" borderId="0"/>
    <xf numFmtId="0" fontId="2" fillId="0" borderId="0"/>
    <xf numFmtId="0" fontId="2" fillId="0" borderId="0"/>
  </cellStyleXfs>
  <cellXfs count="415">
    <xf numFmtId="0" fontId="0" fillId="0" borderId="0" xfId="0"/>
    <xf numFmtId="0" fontId="15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15" fillId="0" borderId="0" xfId="1" applyNumberFormat="1" applyFont="1" applyFill="1" applyProtection="1">
      <protection locked="0"/>
    </xf>
    <xf numFmtId="43" fontId="15" fillId="0" borderId="0" xfId="1" applyFont="1" applyFill="1" applyProtection="1">
      <protection locked="0"/>
    </xf>
    <xf numFmtId="0" fontId="15" fillId="0" borderId="1" xfId="0" applyFont="1" applyBorder="1"/>
    <xf numFmtId="2" fontId="15" fillId="0" borderId="1" xfId="0" applyNumberFormat="1" applyFont="1" applyBorder="1"/>
    <xf numFmtId="43" fontId="15" fillId="0" borderId="1" xfId="1" applyFont="1" applyFill="1" applyBorder="1" applyProtection="1"/>
    <xf numFmtId="0" fontId="15" fillId="0" borderId="1" xfId="0" applyFont="1" applyBorder="1" applyAlignment="1">
      <alignment horizontal="center"/>
    </xf>
    <xf numFmtId="44" fontId="15" fillId="0" borderId="0" xfId="2" applyFont="1" applyFill="1" applyProtection="1"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44" fontId="16" fillId="0" borderId="1" xfId="2" applyFont="1" applyFill="1" applyBorder="1" applyAlignment="1" applyProtection="1">
      <alignment horizontal="center" vertical="center" wrapText="1"/>
      <protection locked="0"/>
    </xf>
    <xf numFmtId="0" fontId="19" fillId="0" borderId="1" xfId="0" applyFont="1" applyBorder="1" applyAlignment="1" applyProtection="1">
      <alignment horizontal="center" vertical="center" wrapText="1"/>
      <protection locked="0"/>
    </xf>
    <xf numFmtId="9" fontId="16" fillId="0" borderId="1" xfId="0" applyNumberFormat="1" applyFont="1" applyBorder="1" applyAlignment="1" applyProtection="1">
      <alignment horizontal="center" vertical="center" wrapText="1"/>
      <protection locked="0"/>
    </xf>
    <xf numFmtId="0" fontId="0" fillId="0" borderId="1" xfId="0" applyBorder="1"/>
    <xf numFmtId="0" fontId="15" fillId="0" borderId="1" xfId="0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0" fillId="0" borderId="1" xfId="0" applyNumberFormat="1" applyBorder="1" applyProtection="1">
      <protection locked="0"/>
    </xf>
    <xf numFmtId="0" fontId="24" fillId="0" borderId="0" xfId="0" applyFont="1" applyAlignment="1">
      <alignment horizontal="center"/>
    </xf>
    <xf numFmtId="0" fontId="24" fillId="0" borderId="0" xfId="0" applyFont="1"/>
    <xf numFmtId="0" fontId="2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15" fillId="0" borderId="1" xfId="0" applyFont="1" applyBorder="1" applyAlignment="1" applyProtection="1">
      <alignment horizontal="center" vertical="center"/>
      <protection locked="0"/>
    </xf>
    <xf numFmtId="43" fontId="24" fillId="0" borderId="0" xfId="1" applyFont="1"/>
    <xf numFmtId="43" fontId="26" fillId="0" borderId="1" xfId="1" applyFont="1" applyBorder="1" applyAlignment="1">
      <alignment horizontal="center" vertical="center"/>
    </xf>
    <xf numFmtId="14" fontId="24" fillId="0" borderId="0" xfId="0" applyNumberFormat="1" applyFont="1"/>
    <xf numFmtId="0" fontId="15" fillId="0" borderId="0" xfId="0" applyFont="1" applyAlignment="1" applyProtection="1">
      <alignment horizontal="center"/>
      <protection locked="0"/>
    </xf>
    <xf numFmtId="0" fontId="12" fillId="0" borderId="0" xfId="0" applyFont="1" applyAlignment="1">
      <alignment horizontal="center"/>
    </xf>
    <xf numFmtId="0" fontId="16" fillId="0" borderId="0" xfId="0" applyFont="1" applyAlignment="1" applyProtection="1">
      <alignment horizontal="right"/>
      <protection locked="0"/>
    </xf>
    <xf numFmtId="167" fontId="15" fillId="0" borderId="0" xfId="2" applyNumberFormat="1" applyFont="1" applyFill="1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16" fillId="0" borderId="1" xfId="0" applyFont="1" applyBorder="1" applyAlignment="1" applyProtection="1">
      <alignment horizontal="center"/>
      <protection locked="0"/>
    </xf>
    <xf numFmtId="44" fontId="16" fillId="0" borderId="1" xfId="2" applyFont="1" applyFill="1" applyBorder="1" applyAlignment="1" applyProtection="1">
      <alignment horizontal="center"/>
      <protection locked="0"/>
    </xf>
    <xf numFmtId="0" fontId="20" fillId="0" borderId="0" xfId="0" applyFont="1" applyProtection="1">
      <protection locked="0"/>
    </xf>
    <xf numFmtId="0" fontId="16" fillId="0" borderId="0" xfId="0" applyFont="1" applyProtection="1">
      <protection locked="0"/>
    </xf>
    <xf numFmtId="0" fontId="15" fillId="0" borderId="0" xfId="2" applyNumberFormat="1" applyFont="1" applyFill="1" applyProtection="1">
      <protection locked="0"/>
    </xf>
    <xf numFmtId="0" fontId="16" fillId="0" borderId="2" xfId="0" applyFont="1" applyBorder="1" applyAlignment="1" applyProtection="1">
      <alignment horizontal="center" vertical="center" wrapText="1"/>
      <protection locked="0"/>
    </xf>
    <xf numFmtId="0" fontId="15" fillId="0" borderId="2" xfId="0" applyFont="1" applyBorder="1"/>
    <xf numFmtId="0" fontId="15" fillId="0" borderId="2" xfId="0" applyFont="1" applyBorder="1" applyProtection="1">
      <protection locked="0"/>
    </xf>
    <xf numFmtId="0" fontId="0" fillId="0" borderId="2" xfId="0" applyBorder="1" applyProtection="1">
      <protection locked="0"/>
    </xf>
    <xf numFmtId="9" fontId="16" fillId="0" borderId="7" xfId="0" applyNumberFormat="1" applyFont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Alignment="1" applyProtection="1">
      <alignment horizontal="center"/>
      <protection locked="0"/>
    </xf>
    <xf numFmtId="0" fontId="16" fillId="0" borderId="17" xfId="0" applyFont="1" applyBorder="1" applyProtection="1"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5" fillId="0" borderId="1" xfId="2" applyNumberFormat="1" applyFont="1" applyFill="1" applyBorder="1" applyAlignment="1" applyProtection="1">
      <alignment horizontal="center"/>
      <protection locked="0"/>
    </xf>
    <xf numFmtId="0" fontId="23" fillId="0" borderId="8" xfId="0" applyFont="1" applyBorder="1" applyAlignment="1" applyProtection="1">
      <alignment horizontal="center" vertical="center" wrapText="1"/>
      <protection locked="0"/>
    </xf>
    <xf numFmtId="0" fontId="23" fillId="0" borderId="11" xfId="0" applyFont="1" applyBorder="1" applyAlignment="1" applyProtection="1">
      <alignment wrapText="1"/>
      <protection locked="0"/>
    </xf>
    <xf numFmtId="0" fontId="15" fillId="0" borderId="20" xfId="0" applyFont="1" applyBorder="1" applyAlignment="1" applyProtection="1">
      <alignment horizontal="center"/>
      <protection locked="0"/>
    </xf>
    <xf numFmtId="0" fontId="23" fillId="0" borderId="7" xfId="0" applyFont="1" applyBorder="1" applyAlignment="1" applyProtection="1">
      <alignment horizontal="center" vertical="center" wrapText="1"/>
      <protection locked="0"/>
    </xf>
    <xf numFmtId="0" fontId="23" fillId="0" borderId="1" xfId="0" applyFont="1" applyBorder="1" applyAlignment="1" applyProtection="1">
      <alignment horizontal="center" vertical="center" wrapText="1"/>
      <protection locked="0"/>
    </xf>
    <xf numFmtId="20" fontId="23" fillId="0" borderId="7" xfId="0" applyNumberFormat="1" applyFont="1" applyBorder="1" applyAlignment="1" applyProtection="1">
      <alignment horizontal="center" vertical="center" wrapText="1"/>
      <protection locked="0"/>
    </xf>
    <xf numFmtId="20" fontId="23" fillId="0" borderId="1" xfId="0" applyNumberFormat="1" applyFont="1" applyBorder="1" applyAlignment="1" applyProtection="1">
      <alignment horizontal="center" vertical="center" wrapText="1"/>
      <protection locked="0"/>
    </xf>
    <xf numFmtId="0" fontId="23" fillId="0" borderId="9" xfId="0" applyFont="1" applyBorder="1" applyAlignment="1" applyProtection="1">
      <alignment horizontal="center" vertical="center" wrapText="1"/>
      <protection locked="0"/>
    </xf>
    <xf numFmtId="0" fontId="23" fillId="0" borderId="10" xfId="0" applyFont="1" applyBorder="1" applyAlignment="1" applyProtection="1">
      <alignment horizontal="center" vertical="center" wrapText="1"/>
      <protection locked="0"/>
    </xf>
    <xf numFmtId="20" fontId="23" fillId="0" borderId="10" xfId="0" applyNumberFormat="1" applyFont="1" applyBorder="1" applyAlignment="1" applyProtection="1">
      <alignment horizontal="center" vertical="center" wrapText="1"/>
      <protection locked="0"/>
    </xf>
    <xf numFmtId="168" fontId="15" fillId="0" borderId="1" xfId="1" applyNumberFormat="1" applyFont="1" applyFill="1" applyBorder="1" applyAlignment="1" applyProtection="1">
      <alignment horizontal="center" vertical="center"/>
      <protection locked="0"/>
    </xf>
    <xf numFmtId="168" fontId="15" fillId="0" borderId="10" xfId="1" applyNumberFormat="1" applyFont="1" applyFill="1" applyBorder="1" applyAlignment="1" applyProtection="1">
      <alignment horizontal="center" vertical="center"/>
      <protection locked="0"/>
    </xf>
    <xf numFmtId="0" fontId="16" fillId="6" borderId="32" xfId="0" applyFont="1" applyFill="1" applyBorder="1" applyAlignment="1" applyProtection="1">
      <alignment horizontal="center" vertical="center" wrapText="1"/>
      <protection locked="0"/>
    </xf>
    <xf numFmtId="0" fontId="16" fillId="6" borderId="33" xfId="0" applyFont="1" applyFill="1" applyBorder="1" applyAlignment="1" applyProtection="1">
      <alignment horizontal="center" vertical="center" wrapText="1"/>
      <protection locked="0"/>
    </xf>
    <xf numFmtId="9" fontId="16" fillId="6" borderId="33" xfId="0" applyNumberFormat="1" applyFont="1" applyFill="1" applyBorder="1" applyAlignment="1" applyProtection="1">
      <alignment horizontal="center" vertical="center" wrapText="1"/>
      <protection locked="0"/>
    </xf>
    <xf numFmtId="0" fontId="16" fillId="6" borderId="18" xfId="0" applyFont="1" applyFill="1" applyBorder="1" applyAlignment="1" applyProtection="1">
      <alignment horizontal="center" vertical="center" wrapText="1"/>
      <protection locked="0"/>
    </xf>
    <xf numFmtId="0" fontId="16" fillId="7" borderId="32" xfId="0" applyFont="1" applyFill="1" applyBorder="1" applyAlignment="1" applyProtection="1">
      <alignment horizontal="center" vertical="center" wrapText="1"/>
      <protection locked="0"/>
    </xf>
    <xf numFmtId="0" fontId="16" fillId="7" borderId="33" xfId="0" applyFont="1" applyFill="1" applyBorder="1" applyAlignment="1" applyProtection="1">
      <alignment horizontal="center" vertical="center" wrapText="1"/>
      <protection locked="0"/>
    </xf>
    <xf numFmtId="9" fontId="16" fillId="7" borderId="33" xfId="0" applyNumberFormat="1" applyFont="1" applyFill="1" applyBorder="1" applyAlignment="1" applyProtection="1">
      <alignment horizontal="center" vertical="center" wrapText="1"/>
      <protection locked="0"/>
    </xf>
    <xf numFmtId="0" fontId="16" fillId="7" borderId="18" xfId="0" applyFont="1" applyFill="1" applyBorder="1" applyAlignment="1" applyProtection="1">
      <alignment horizontal="center" vertical="center" wrapText="1"/>
      <protection locked="0"/>
    </xf>
    <xf numFmtId="0" fontId="16" fillId="0" borderId="0" xfId="1" applyNumberFormat="1" applyFont="1" applyFill="1" applyAlignment="1" applyProtection="1">
      <alignment horizontal="center"/>
      <protection locked="0"/>
    </xf>
    <xf numFmtId="169" fontId="15" fillId="0" borderId="0" xfId="1" applyNumberFormat="1" applyFont="1" applyFill="1" applyAlignment="1" applyProtection="1">
      <alignment horizontal="left"/>
      <protection locked="0"/>
    </xf>
    <xf numFmtId="0" fontId="23" fillId="0" borderId="0" xfId="1" applyNumberFormat="1" applyFont="1" applyFill="1" applyProtection="1">
      <protection locked="0"/>
    </xf>
    <xf numFmtId="0" fontId="28" fillId="0" borderId="0" xfId="0" applyFont="1" applyAlignment="1" applyProtection="1">
      <alignment horizontal="right"/>
      <protection locked="0"/>
    </xf>
    <xf numFmtId="0" fontId="19" fillId="0" borderId="0" xfId="0" applyFont="1" applyProtection="1">
      <protection locked="0"/>
    </xf>
    <xf numFmtId="0" fontId="16" fillId="0" borderId="0" xfId="1" applyNumberFormat="1" applyFont="1" applyFill="1" applyProtection="1">
      <protection locked="0"/>
    </xf>
    <xf numFmtId="0" fontId="0" fillId="0" borderId="1" xfId="0" applyBorder="1" applyAlignment="1">
      <alignment horizontal="center"/>
    </xf>
    <xf numFmtId="46" fontId="23" fillId="0" borderId="1" xfId="0" applyNumberFormat="1" applyFont="1" applyBorder="1" applyAlignment="1" applyProtection="1">
      <alignment horizontal="center" vertical="center" wrapText="1"/>
      <protection locked="0"/>
    </xf>
    <xf numFmtId="171" fontId="15" fillId="0" borderId="1" xfId="1" applyNumberFormat="1" applyFont="1" applyFill="1" applyBorder="1" applyAlignment="1" applyProtection="1">
      <alignment horizontal="center" vertical="center"/>
      <protection locked="0"/>
    </xf>
    <xf numFmtId="171" fontId="15" fillId="0" borderId="10" xfId="1" applyNumberFormat="1" applyFont="1" applyFill="1" applyBorder="1" applyAlignment="1" applyProtection="1">
      <alignment horizontal="center" vertical="center"/>
      <protection locked="0"/>
    </xf>
    <xf numFmtId="0" fontId="28" fillId="0" borderId="1" xfId="0" applyFont="1" applyBorder="1"/>
    <xf numFmtId="0" fontId="28" fillId="0" borderId="1" xfId="0" applyFont="1" applyBorder="1" applyProtection="1">
      <protection locked="0"/>
    </xf>
    <xf numFmtId="0" fontId="30" fillId="0" borderId="1" xfId="0" applyFont="1" applyBorder="1" applyAlignment="1" applyProtection="1">
      <alignment horizontal="center" vertical="center" wrapText="1"/>
      <protection locked="0"/>
    </xf>
    <xf numFmtId="0" fontId="31" fillId="0" borderId="1" xfId="0" applyFont="1" applyBorder="1" applyAlignment="1" applyProtection="1">
      <alignment horizontal="center" vertical="center" wrapText="1"/>
      <protection locked="0"/>
    </xf>
    <xf numFmtId="0" fontId="28" fillId="0" borderId="0" xfId="1" applyNumberFormat="1" applyFont="1" applyFill="1" applyAlignment="1" applyProtection="1">
      <alignment horizontal="right"/>
      <protection locked="0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8" fillId="0" borderId="0" xfId="0" applyFont="1" applyAlignment="1" applyProtection="1">
      <alignment horizontal="center" vertical="center"/>
      <protection locked="0"/>
    </xf>
    <xf numFmtId="0" fontId="30" fillId="0" borderId="0" xfId="0" applyFont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1" fillId="0" borderId="34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22" fillId="6" borderId="2" xfId="0" applyFont="1" applyFill="1" applyBorder="1" applyAlignment="1" applyProtection="1">
      <alignment horizontal="center"/>
      <protection locked="0"/>
    </xf>
    <xf numFmtId="0" fontId="22" fillId="6" borderId="3" xfId="0" applyFont="1" applyFill="1" applyBorder="1" applyAlignment="1" applyProtection="1">
      <alignment horizontal="center"/>
      <protection locked="0"/>
    </xf>
    <xf numFmtId="0" fontId="5" fillId="0" borderId="0" xfId="3" applyFont="1" applyAlignment="1" applyProtection="1">
      <alignment horizontal="left"/>
      <protection locked="0"/>
    </xf>
    <xf numFmtId="0" fontId="16" fillId="7" borderId="15" xfId="0" applyFont="1" applyFill="1" applyBorder="1" applyAlignment="1" applyProtection="1">
      <alignment horizontal="center"/>
      <protection locked="0"/>
    </xf>
    <xf numFmtId="0" fontId="16" fillId="7" borderId="3" xfId="0" applyFont="1" applyFill="1" applyBorder="1" applyAlignment="1" applyProtection="1">
      <alignment horizontal="center"/>
      <protection locked="0"/>
    </xf>
    <xf numFmtId="0" fontId="3" fillId="0" borderId="0" xfId="3" applyFont="1" applyAlignment="1" applyProtection="1">
      <alignment horizontal="left"/>
      <protection locked="0"/>
    </xf>
    <xf numFmtId="0" fontId="16" fillId="0" borderId="0" xfId="0" applyFont="1" applyAlignment="1" applyProtection="1">
      <alignment horizontal="center"/>
      <protection locked="0"/>
    </xf>
    <xf numFmtId="0" fontId="32" fillId="0" borderId="1" xfId="0" applyFont="1" applyBorder="1" applyAlignment="1" applyProtection="1">
      <alignment horizontal="center"/>
      <protection locked="0"/>
    </xf>
    <xf numFmtId="168" fontId="15" fillId="0" borderId="0" xfId="2" applyNumberFormat="1" applyFont="1" applyFill="1" applyProtection="1">
      <protection locked="0"/>
    </xf>
    <xf numFmtId="172" fontId="15" fillId="0" borderId="0" xfId="2" applyNumberFormat="1" applyFont="1" applyFill="1" applyProtection="1">
      <protection locked="0"/>
    </xf>
    <xf numFmtId="43" fontId="15" fillId="0" borderId="1" xfId="1" applyFont="1" applyFill="1" applyBorder="1" applyAlignment="1" applyProtection="1">
      <alignment horizontal="center" vertical="center"/>
      <protection locked="0"/>
    </xf>
    <xf numFmtId="0" fontId="15" fillId="0" borderId="35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left"/>
      <protection locked="0"/>
    </xf>
    <xf numFmtId="0" fontId="34" fillId="0" borderId="17" xfId="0" applyFont="1" applyBorder="1" applyProtection="1">
      <protection locked="0"/>
    </xf>
    <xf numFmtId="0" fontId="33" fillId="11" borderId="37" xfId="1" applyNumberFormat="1" applyFont="1" applyFill="1" applyBorder="1" applyAlignment="1" applyProtection="1">
      <alignment horizontal="center"/>
      <protection locked="0"/>
    </xf>
    <xf numFmtId="173" fontId="23" fillId="0" borderId="7" xfId="0" applyNumberFormat="1" applyFont="1" applyBorder="1" applyAlignment="1" applyProtection="1">
      <alignment horizontal="center" vertical="center" wrapText="1"/>
      <protection locked="0"/>
    </xf>
    <xf numFmtId="173" fontId="23" fillId="0" borderId="1" xfId="0" applyNumberFormat="1" applyFont="1" applyBorder="1" applyAlignment="1" applyProtection="1">
      <alignment horizontal="center" vertical="center" wrapText="1"/>
      <protection locked="0"/>
    </xf>
    <xf numFmtId="0" fontId="34" fillId="12" borderId="1" xfId="0" applyFont="1" applyFill="1" applyBorder="1" applyAlignment="1" applyProtection="1">
      <alignment horizontal="center" vertical="center" wrapText="1"/>
      <protection locked="0"/>
    </xf>
    <xf numFmtId="0" fontId="35" fillId="12" borderId="1" xfId="0" applyFont="1" applyFill="1" applyBorder="1" applyAlignment="1" applyProtection="1">
      <alignment horizontal="center"/>
      <protection locked="0"/>
    </xf>
    <xf numFmtId="0" fontId="36" fillId="12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/>
    <xf numFmtId="0" fontId="15" fillId="0" borderId="40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/>
    <xf numFmtId="0" fontId="22" fillId="0" borderId="0" xfId="0" applyFont="1" applyAlignment="1" applyProtection="1">
      <alignment horizontal="center" vertical="center"/>
      <protection locked="0"/>
    </xf>
    <xf numFmtId="0" fontId="37" fillId="14" borderId="0" xfId="0" applyFont="1" applyFill="1"/>
    <xf numFmtId="0" fontId="12" fillId="14" borderId="0" xfId="0" applyFont="1" applyFill="1"/>
    <xf numFmtId="0" fontId="0" fillId="14" borderId="0" xfId="0" applyFill="1"/>
    <xf numFmtId="0" fontId="38" fillId="14" borderId="0" xfId="0" applyFont="1" applyFill="1" applyAlignment="1">
      <alignment horizontal="center"/>
    </xf>
    <xf numFmtId="0" fontId="38" fillId="14" borderId="0" xfId="0" applyFont="1" applyFill="1"/>
    <xf numFmtId="0" fontId="38" fillId="14" borderId="0" xfId="0" applyFont="1" applyFill="1" applyAlignment="1">
      <alignment horizontal="right"/>
    </xf>
    <xf numFmtId="0" fontId="16" fillId="13" borderId="1" xfId="0" applyFont="1" applyFill="1" applyBorder="1" applyAlignment="1" applyProtection="1">
      <alignment horizontal="center" vertical="center" wrapText="1"/>
      <protection locked="0"/>
    </xf>
    <xf numFmtId="0" fontId="20" fillId="0" borderId="0" xfId="0" applyFont="1"/>
    <xf numFmtId="0" fontId="20" fillId="15" borderId="0" xfId="0" applyFont="1" applyFill="1"/>
    <xf numFmtId="174" fontId="0" fillId="0" borderId="0" xfId="0" applyNumberFormat="1"/>
    <xf numFmtId="175" fontId="15" fillId="0" borderId="0" xfId="0" applyNumberFormat="1" applyFont="1" applyProtection="1">
      <protection locked="0"/>
    </xf>
    <xf numFmtId="176" fontId="0" fillId="0" borderId="0" xfId="0" applyNumberFormat="1"/>
    <xf numFmtId="0" fontId="20" fillId="7" borderId="0" xfId="0" applyFont="1" applyFill="1"/>
    <xf numFmtId="177" fontId="20" fillId="0" borderId="0" xfId="0" applyNumberFormat="1" applyFont="1"/>
    <xf numFmtId="176" fontId="20" fillId="0" borderId="0" xfId="0" applyNumberFormat="1" applyFont="1"/>
    <xf numFmtId="43" fontId="16" fillId="0" borderId="0" xfId="1" applyFont="1" applyFill="1" applyProtection="1">
      <protection locked="0"/>
    </xf>
    <xf numFmtId="0" fontId="23" fillId="0" borderId="46" xfId="0" applyFont="1" applyBorder="1" applyAlignment="1" applyProtection="1">
      <alignment horizontal="center" vertical="center" wrapText="1"/>
      <protection locked="0"/>
    </xf>
    <xf numFmtId="20" fontId="23" fillId="0" borderId="6" xfId="0" applyNumberFormat="1" applyFont="1" applyBorder="1" applyAlignment="1" applyProtection="1">
      <alignment horizontal="center" vertical="center" wrapText="1"/>
      <protection locked="0"/>
    </xf>
    <xf numFmtId="20" fontId="23" fillId="0" borderId="45" xfId="0" applyNumberFormat="1" applyFont="1" applyBorder="1" applyAlignment="1" applyProtection="1">
      <alignment horizontal="center" vertical="center" wrapText="1"/>
      <protection locked="0"/>
    </xf>
    <xf numFmtId="169" fontId="23" fillId="0" borderId="0" xfId="1" applyNumberFormat="1" applyFont="1" applyFill="1" applyProtection="1">
      <protection locked="0"/>
    </xf>
    <xf numFmtId="0" fontId="16" fillId="16" borderId="1" xfId="0" applyFont="1" applyFill="1" applyBorder="1" applyAlignment="1" applyProtection="1">
      <alignment horizontal="center" vertical="center" wrapText="1"/>
      <protection locked="0"/>
    </xf>
    <xf numFmtId="0" fontId="19" fillId="16" borderId="1" xfId="0" applyFont="1" applyFill="1" applyBorder="1" applyAlignment="1" applyProtection="1">
      <alignment horizontal="center" vertical="center" wrapText="1"/>
      <protection locked="0"/>
    </xf>
    <xf numFmtId="0" fontId="42" fillId="0" borderId="1" xfId="0" applyFont="1" applyBorder="1"/>
    <xf numFmtId="0" fontId="16" fillId="10" borderId="32" xfId="0" applyFont="1" applyFill="1" applyBorder="1" applyAlignment="1" applyProtection="1">
      <alignment horizontal="center" vertical="center" wrapText="1"/>
      <protection locked="0"/>
    </xf>
    <xf numFmtId="0" fontId="16" fillId="10" borderId="33" xfId="0" applyFont="1" applyFill="1" applyBorder="1" applyAlignment="1" applyProtection="1">
      <alignment horizontal="center" vertical="center" wrapText="1"/>
      <protection locked="0"/>
    </xf>
    <xf numFmtId="9" fontId="16" fillId="10" borderId="33" xfId="0" applyNumberFormat="1" applyFont="1" applyFill="1" applyBorder="1" applyAlignment="1" applyProtection="1">
      <alignment horizontal="center" vertical="center" wrapText="1"/>
      <protection locked="0"/>
    </xf>
    <xf numFmtId="0" fontId="16" fillId="10" borderId="18" xfId="0" applyFont="1" applyFill="1" applyBorder="1" applyAlignment="1" applyProtection="1">
      <alignment horizontal="center" vertical="center" wrapText="1"/>
      <protection locked="0"/>
    </xf>
    <xf numFmtId="0" fontId="16" fillId="10" borderId="39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wrapText="1"/>
    </xf>
    <xf numFmtId="169" fontId="0" fillId="0" borderId="0" xfId="0" applyNumberFormat="1"/>
    <xf numFmtId="0" fontId="0" fillId="0" borderId="0" xfId="0" applyProtection="1">
      <protection locked="0"/>
    </xf>
    <xf numFmtId="0" fontId="47" fillId="0" borderId="1" xfId="0" applyFont="1" applyBorder="1" applyAlignment="1" applyProtection="1">
      <alignment horizontal="center"/>
      <protection locked="0"/>
    </xf>
    <xf numFmtId="0" fontId="19" fillId="11" borderId="37" xfId="1" applyNumberFormat="1" applyFont="1" applyFill="1" applyBorder="1" applyAlignment="1" applyProtection="1">
      <alignment horizontal="center"/>
      <protection locked="0"/>
    </xf>
    <xf numFmtId="165" fontId="15" fillId="0" borderId="1" xfId="12" applyNumberFormat="1" applyFont="1" applyBorder="1"/>
    <xf numFmtId="0" fontId="15" fillId="0" borderId="0" xfId="0" applyFont="1" applyAlignment="1" applyProtection="1">
      <alignment horizontal="center" vertical="center"/>
      <protection locked="0"/>
    </xf>
    <xf numFmtId="44" fontId="15" fillId="0" borderId="0" xfId="2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0" fillId="0" borderId="1" xfId="0" applyFont="1" applyBorder="1" applyAlignment="1" applyProtection="1">
      <alignment horizontal="center" vertical="center" wrapText="1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67" fontId="15" fillId="0" borderId="0" xfId="0" applyNumberFormat="1" applyFont="1" applyAlignment="1" applyProtection="1">
      <alignment horizontal="center"/>
      <protection locked="0"/>
    </xf>
    <xf numFmtId="164" fontId="4" fillId="0" borderId="0" xfId="1" applyNumberFormat="1" applyFont="1" applyFill="1" applyAlignment="1">
      <alignment horizontal="center"/>
    </xf>
    <xf numFmtId="43" fontId="15" fillId="0" borderId="0" xfId="0" applyNumberFormat="1" applyFont="1" applyAlignment="1" applyProtection="1">
      <alignment horizontal="center"/>
      <protection locked="0"/>
    </xf>
    <xf numFmtId="0" fontId="15" fillId="0" borderId="0" xfId="1" applyNumberFormat="1" applyFont="1" applyFill="1" applyAlignment="1" applyProtection="1">
      <alignment horizontal="center"/>
      <protection locked="0"/>
    </xf>
    <xf numFmtId="0" fontId="16" fillId="0" borderId="17" xfId="0" applyFont="1" applyBorder="1" applyAlignment="1" applyProtection="1">
      <alignment horizontal="center"/>
      <protection locked="0"/>
    </xf>
    <xf numFmtId="169" fontId="31" fillId="7" borderId="17" xfId="1" applyNumberFormat="1" applyFont="1" applyFill="1" applyBorder="1" applyAlignment="1" applyProtection="1">
      <alignment horizontal="left"/>
      <protection locked="0"/>
    </xf>
    <xf numFmtId="169" fontId="31" fillId="7" borderId="0" xfId="1" applyNumberFormat="1" applyFont="1" applyFill="1" applyAlignment="1" applyProtection="1">
      <alignment horizontal="left"/>
      <protection locked="0"/>
    </xf>
    <xf numFmtId="0" fontId="50" fillId="7" borderId="0" xfId="0" applyFont="1" applyFill="1" applyAlignment="1" applyProtection="1">
      <alignment vertical="center"/>
      <protection locked="0"/>
    </xf>
    <xf numFmtId="0" fontId="52" fillId="7" borderId="0" xfId="0" applyFont="1" applyFill="1" applyAlignment="1" applyProtection="1">
      <alignment vertical="center"/>
      <protection locked="0"/>
    </xf>
    <xf numFmtId="0" fontId="53" fillId="0" borderId="35" xfId="0" applyFont="1" applyBorder="1" applyAlignment="1" applyProtection="1">
      <alignment horizontal="center" vertical="center"/>
      <protection locked="0"/>
    </xf>
    <xf numFmtId="0" fontId="51" fillId="7" borderId="0" xfId="0" applyFont="1" applyFill="1" applyAlignment="1" applyProtection="1">
      <alignment vertical="center"/>
      <protection locked="0"/>
    </xf>
    <xf numFmtId="169" fontId="30" fillId="0" borderId="0" xfId="1" applyNumberFormat="1" applyFont="1" applyFill="1" applyAlignment="1" applyProtection="1">
      <alignment horizontal="left"/>
      <protection locked="0"/>
    </xf>
    <xf numFmtId="0" fontId="16" fillId="15" borderId="32" xfId="0" applyFont="1" applyFill="1" applyBorder="1" applyAlignment="1" applyProtection="1">
      <alignment horizontal="center" vertical="center" wrapText="1"/>
      <protection locked="0"/>
    </xf>
    <xf numFmtId="0" fontId="16" fillId="15" borderId="33" xfId="0" applyFont="1" applyFill="1" applyBorder="1" applyAlignment="1" applyProtection="1">
      <alignment horizontal="center" vertical="center" wrapText="1"/>
      <protection locked="0"/>
    </xf>
    <xf numFmtId="9" fontId="16" fillId="15" borderId="33" xfId="0" applyNumberFormat="1" applyFont="1" applyFill="1" applyBorder="1" applyAlignment="1" applyProtection="1">
      <alignment horizontal="center" vertical="center" wrapText="1"/>
      <protection locked="0"/>
    </xf>
    <xf numFmtId="0" fontId="16" fillId="15" borderId="18" xfId="0" applyFont="1" applyFill="1" applyBorder="1" applyAlignment="1" applyProtection="1">
      <alignment horizontal="center" vertical="center" wrapText="1"/>
      <protection locked="0"/>
    </xf>
    <xf numFmtId="0" fontId="22" fillId="15" borderId="2" xfId="0" applyFont="1" applyFill="1" applyBorder="1" applyAlignment="1" applyProtection="1">
      <alignment horizontal="center"/>
      <protection locked="0"/>
    </xf>
    <xf numFmtId="0" fontId="22" fillId="15" borderId="3" xfId="0" applyFont="1" applyFill="1" applyBorder="1" applyAlignment="1" applyProtection="1">
      <alignment horizontal="center"/>
      <protection locked="0"/>
    </xf>
    <xf numFmtId="0" fontId="22" fillId="17" borderId="2" xfId="0" applyFont="1" applyFill="1" applyBorder="1" applyAlignment="1" applyProtection="1">
      <alignment horizontal="center" vertical="center"/>
      <protection locked="0"/>
    </xf>
    <xf numFmtId="0" fontId="22" fillId="17" borderId="3" xfId="0" applyFont="1" applyFill="1" applyBorder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vertical="center" wrapText="1"/>
      <protection locked="0"/>
    </xf>
    <xf numFmtId="0" fontId="16" fillId="19" borderId="32" xfId="0" applyFont="1" applyFill="1" applyBorder="1" applyAlignment="1" applyProtection="1">
      <alignment horizontal="center" vertical="center" wrapText="1"/>
      <protection locked="0"/>
    </xf>
    <xf numFmtId="0" fontId="16" fillId="19" borderId="33" xfId="0" applyFont="1" applyFill="1" applyBorder="1" applyAlignment="1" applyProtection="1">
      <alignment horizontal="center" vertical="center" wrapText="1"/>
      <protection locked="0"/>
    </xf>
    <xf numFmtId="0" fontId="16" fillId="19" borderId="18" xfId="0" applyFont="1" applyFill="1" applyBorder="1" applyAlignment="1" applyProtection="1">
      <alignment horizontal="center" vertical="center" wrapText="1"/>
      <protection locked="0"/>
    </xf>
    <xf numFmtId="0" fontId="16" fillId="20" borderId="32" xfId="0" applyFont="1" applyFill="1" applyBorder="1" applyAlignment="1" applyProtection="1">
      <alignment horizontal="center" vertical="center" wrapText="1"/>
      <protection locked="0"/>
    </xf>
    <xf numFmtId="0" fontId="16" fillId="20" borderId="33" xfId="0" applyFont="1" applyFill="1" applyBorder="1" applyAlignment="1" applyProtection="1">
      <alignment horizontal="center" vertical="center" wrapText="1"/>
      <protection locked="0"/>
    </xf>
    <xf numFmtId="0" fontId="16" fillId="20" borderId="18" xfId="0" applyFont="1" applyFill="1" applyBorder="1" applyAlignment="1" applyProtection="1">
      <alignment horizontal="center" vertical="center" wrapText="1"/>
      <protection locked="0"/>
    </xf>
    <xf numFmtId="0" fontId="16" fillId="20" borderId="2" xfId="0" applyFont="1" applyFill="1" applyBorder="1" applyAlignment="1" applyProtection="1">
      <alignment horizontal="center" vertical="center" wrapText="1"/>
      <protection locked="0"/>
    </xf>
    <xf numFmtId="9" fontId="16" fillId="19" borderId="1" xfId="0" applyNumberFormat="1" applyFont="1" applyFill="1" applyBorder="1" applyAlignment="1" applyProtection="1">
      <alignment horizontal="center" vertical="center" wrapText="1"/>
      <protection locked="0"/>
    </xf>
    <xf numFmtId="9" fontId="16" fillId="21" borderId="33" xfId="0" applyNumberFormat="1" applyFont="1" applyFill="1" applyBorder="1" applyAlignment="1" applyProtection="1">
      <alignment horizontal="center" vertical="center" wrapText="1"/>
      <protection locked="0"/>
    </xf>
    <xf numFmtId="9" fontId="16" fillId="22" borderId="33" xfId="0" applyNumberFormat="1" applyFont="1" applyFill="1" applyBorder="1" applyAlignment="1" applyProtection="1">
      <alignment horizontal="center" vertical="center" wrapText="1"/>
      <protection locked="0"/>
    </xf>
    <xf numFmtId="43" fontId="17" fillId="21" borderId="1" xfId="1" applyFont="1" applyFill="1" applyBorder="1" applyAlignment="1" applyProtection="1">
      <alignment horizontal="center" vertical="center"/>
      <protection locked="0"/>
    </xf>
    <xf numFmtId="173" fontId="17" fillId="0" borderId="7" xfId="0" applyNumberFormat="1" applyFont="1" applyBorder="1" applyAlignment="1" applyProtection="1">
      <alignment horizontal="center" vertical="center" wrapText="1"/>
      <protection locked="0"/>
    </xf>
    <xf numFmtId="173" fontId="17" fillId="0" borderId="1" xfId="0" applyNumberFormat="1" applyFont="1" applyBorder="1" applyAlignment="1" applyProtection="1">
      <alignment horizontal="center" vertical="center" wrapText="1"/>
      <protection locked="0"/>
    </xf>
    <xf numFmtId="0" fontId="17" fillId="0" borderId="8" xfId="0" applyFont="1" applyBorder="1" applyAlignment="1" applyProtection="1">
      <alignment horizontal="center" vertical="center" wrapText="1"/>
      <protection locked="0"/>
    </xf>
    <xf numFmtId="43" fontId="30" fillId="22" borderId="1" xfId="1" applyFont="1" applyFill="1" applyBorder="1" applyAlignment="1" applyProtection="1">
      <alignment horizontal="center" vertical="center"/>
      <protection locked="0"/>
    </xf>
    <xf numFmtId="43" fontId="17" fillId="22" borderId="1" xfId="1" applyFont="1" applyFill="1" applyBorder="1" applyAlignment="1" applyProtection="1">
      <alignment horizontal="center" vertical="center"/>
      <protection locked="0"/>
    </xf>
    <xf numFmtId="173" fontId="17" fillId="0" borderId="45" xfId="0" applyNumberFormat="1" applyFont="1" applyBorder="1" applyAlignment="1" applyProtection="1">
      <alignment horizontal="center" vertical="center" wrapText="1"/>
      <protection locked="0"/>
    </xf>
    <xf numFmtId="173" fontId="17" fillId="0" borderId="6" xfId="0" applyNumberFormat="1" applyFont="1" applyBorder="1" applyAlignment="1" applyProtection="1">
      <alignment horizontal="center" vertical="center" wrapText="1"/>
      <protection locked="0"/>
    </xf>
    <xf numFmtId="0" fontId="17" fillId="0" borderId="46" xfId="0" applyFont="1" applyBorder="1" applyAlignment="1" applyProtection="1">
      <alignment horizontal="center" vertical="center" wrapText="1"/>
      <protection locked="0"/>
    </xf>
    <xf numFmtId="168" fontId="27" fillId="0" borderId="0" xfId="2" applyNumberFormat="1" applyFont="1" applyFill="1" applyAlignment="1" applyProtection="1">
      <alignment horizontal="center" vertical="center"/>
      <protection locked="0"/>
    </xf>
    <xf numFmtId="172" fontId="27" fillId="0" borderId="0" xfId="2" applyNumberFormat="1" applyFont="1" applyFill="1" applyAlignment="1" applyProtection="1">
      <alignment horizontal="center" vertical="center"/>
      <protection locked="0"/>
    </xf>
    <xf numFmtId="0" fontId="15" fillId="0" borderId="0" xfId="1" applyNumberFormat="1" applyFont="1" applyFill="1" applyAlignment="1" applyProtection="1">
      <alignment horizontal="center" vertical="center"/>
      <protection locked="0"/>
    </xf>
    <xf numFmtId="44" fontId="30" fillId="23" borderId="0" xfId="2" applyFont="1" applyFill="1" applyProtection="1">
      <protection locked="0"/>
    </xf>
    <xf numFmtId="0" fontId="26" fillId="25" borderId="1" xfId="0" applyFont="1" applyFill="1" applyBorder="1" applyAlignment="1">
      <alignment horizontal="center" vertical="center" wrapText="1"/>
    </xf>
    <xf numFmtId="0" fontId="44" fillId="0" borderId="1" xfId="0" applyFont="1" applyBorder="1" applyAlignment="1">
      <alignment horizontal="center"/>
    </xf>
    <xf numFmtId="0" fontId="44" fillId="0" borderId="1" xfId="0" applyFont="1" applyBorder="1"/>
    <xf numFmtId="43" fontId="44" fillId="0" borderId="1" xfId="1" applyFont="1" applyBorder="1"/>
    <xf numFmtId="14" fontId="44" fillId="24" borderId="1" xfId="0" applyNumberFormat="1" applyFont="1" applyFill="1" applyBorder="1" applyAlignment="1">
      <alignment horizontal="center"/>
    </xf>
    <xf numFmtId="0" fontId="44" fillId="24" borderId="1" xfId="0" applyFont="1" applyFill="1" applyBorder="1"/>
    <xf numFmtId="14" fontId="44" fillId="0" borderId="1" xfId="0" applyNumberFormat="1" applyFont="1" applyBorder="1"/>
    <xf numFmtId="14" fontId="44" fillId="26" borderId="1" xfId="0" applyNumberFormat="1" applyFont="1" applyFill="1" applyBorder="1" applyAlignment="1">
      <alignment horizontal="center"/>
    </xf>
    <xf numFmtId="0" fontId="44" fillId="26" borderId="1" xfId="0" applyFont="1" applyFill="1" applyBorder="1"/>
    <xf numFmtId="0" fontId="43" fillId="0" borderId="1" xfId="0" applyFont="1" applyBorder="1"/>
    <xf numFmtId="14" fontId="44" fillId="0" borderId="1" xfId="0" applyNumberFormat="1" applyFont="1" applyBorder="1" applyAlignment="1">
      <alignment horizontal="center"/>
    </xf>
    <xf numFmtId="49" fontId="46" fillId="0" borderId="1" xfId="0" applyNumberFormat="1" applyFont="1" applyBorder="1" applyAlignment="1">
      <alignment horizontal="center"/>
    </xf>
    <xf numFmtId="49" fontId="43" fillId="0" borderId="1" xfId="0" applyNumberFormat="1" applyFont="1" applyBorder="1"/>
    <xf numFmtId="166" fontId="45" fillId="0" borderId="1" xfId="0" applyNumberFormat="1" applyFont="1" applyBorder="1" applyAlignment="1">
      <alignment horizontal="center"/>
    </xf>
    <xf numFmtId="0" fontId="39" fillId="0" borderId="1" xfId="15" applyFont="1" applyBorder="1"/>
    <xf numFmtId="165" fontId="39" fillId="0" borderId="1" xfId="15" applyNumberFormat="1" applyFont="1" applyBorder="1"/>
    <xf numFmtId="14" fontId="39" fillId="8" borderId="1" xfId="15" applyNumberFormat="1" applyFont="1" applyFill="1" applyBorder="1"/>
    <xf numFmtId="0" fontId="25" fillId="0" borderId="1" xfId="15" applyFont="1" applyBorder="1" applyAlignment="1">
      <alignment horizontal="center"/>
    </xf>
    <xf numFmtId="165" fontId="25" fillId="0" borderId="1" xfId="15" applyNumberFormat="1" applyFont="1" applyBorder="1" applyAlignment="1">
      <alignment horizontal="center"/>
    </xf>
    <xf numFmtId="0" fontId="25" fillId="0" borderId="1" xfId="15" applyFont="1" applyBorder="1"/>
    <xf numFmtId="0" fontId="14" fillId="0" borderId="1" xfId="15" applyFont="1" applyBorder="1"/>
    <xf numFmtId="0" fontId="24" fillId="0" borderId="1" xfId="0" applyFont="1" applyBorder="1"/>
    <xf numFmtId="43" fontId="24" fillId="0" borderId="1" xfId="1" applyFont="1" applyBorder="1"/>
    <xf numFmtId="0" fontId="24" fillId="8" borderId="1" xfId="0" applyFont="1" applyFill="1" applyBorder="1"/>
    <xf numFmtId="0" fontId="56" fillId="0" borderId="0" xfId="0" applyFont="1" applyAlignment="1">
      <alignment horizontal="center"/>
    </xf>
    <xf numFmtId="0" fontId="56" fillId="0" borderId="0" xfId="0" applyFont="1"/>
    <xf numFmtId="43" fontId="56" fillId="0" borderId="0" xfId="1" applyFont="1"/>
    <xf numFmtId="0" fontId="0" fillId="0" borderId="0" xfId="0" pivotButton="1"/>
    <xf numFmtId="0" fontId="20" fillId="0" borderId="1" xfId="0" pivotButton="1" applyFont="1" applyBorder="1" applyAlignment="1">
      <alignment horizontal="center"/>
    </xf>
    <xf numFmtId="0" fontId="20" fillId="15" borderId="1" xfId="0" pivotButton="1" applyFont="1" applyFill="1" applyBorder="1"/>
    <xf numFmtId="0" fontId="20" fillId="15" borderId="1" xfId="0" pivotButton="1" applyFont="1" applyFill="1" applyBorder="1" applyAlignment="1">
      <alignment horizontal="center"/>
    </xf>
    <xf numFmtId="0" fontId="20" fillId="15" borderId="2" xfId="0" pivotButton="1" applyFont="1" applyFill="1" applyBorder="1" applyAlignment="1">
      <alignment horizontal="center"/>
    </xf>
    <xf numFmtId="0" fontId="17" fillId="0" borderId="0" xfId="0" applyFont="1" applyProtection="1">
      <protection locked="0"/>
    </xf>
    <xf numFmtId="0" fontId="20" fillId="18" borderId="0" xfId="0" applyFont="1" applyFill="1" applyProtection="1">
      <protection locked="0"/>
    </xf>
    <xf numFmtId="0" fontId="15" fillId="18" borderId="0" xfId="0" applyFont="1" applyFill="1" applyProtection="1">
      <protection locked="0"/>
    </xf>
    <xf numFmtId="169" fontId="0" fillId="7" borderId="0" xfId="0" applyNumberFormat="1" applyFill="1"/>
    <xf numFmtId="0" fontId="21" fillId="9" borderId="0" xfId="0" applyFont="1" applyFill="1"/>
    <xf numFmtId="0" fontId="24" fillId="9" borderId="0" xfId="0" applyFont="1" applyFill="1"/>
    <xf numFmtId="0" fontId="56" fillId="9" borderId="0" xfId="0" applyFont="1" applyFill="1"/>
    <xf numFmtId="14" fontId="24" fillId="8" borderId="1" xfId="0" applyNumberFormat="1" applyFont="1" applyFill="1" applyBorder="1"/>
    <xf numFmtId="0" fontId="58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44" fontId="15" fillId="23" borderId="0" xfId="2" applyFont="1" applyFill="1" applyAlignment="1" applyProtection="1">
      <alignment horizontal="center" vertical="center"/>
      <protection locked="0"/>
    </xf>
    <xf numFmtId="0" fontId="47" fillId="7" borderId="0" xfId="0" applyFont="1" applyFill="1" applyAlignment="1">
      <alignment horizontal="center"/>
    </xf>
    <xf numFmtId="0" fontId="15" fillId="27" borderId="1" xfId="0" applyFont="1" applyFill="1" applyBorder="1" applyAlignment="1" applyProtection="1">
      <alignment horizontal="center"/>
      <protection locked="0"/>
    </xf>
    <xf numFmtId="0" fontId="15" fillId="27" borderId="1" xfId="0" applyFont="1" applyFill="1" applyBorder="1" applyAlignment="1" applyProtection="1">
      <alignment horizontal="left"/>
      <protection locked="0"/>
    </xf>
    <xf numFmtId="0" fontId="15" fillId="25" borderId="1" xfId="0" applyFont="1" applyFill="1" applyBorder="1" applyAlignment="1" applyProtection="1">
      <alignment horizontal="center"/>
      <protection locked="0"/>
    </xf>
    <xf numFmtId="0" fontId="15" fillId="25" borderId="1" xfId="0" applyFont="1" applyFill="1" applyBorder="1" applyAlignment="1" applyProtection="1">
      <alignment horizontal="left"/>
      <protection locked="0"/>
    </xf>
    <xf numFmtId="0" fontId="15" fillId="28" borderId="1" xfId="0" applyFont="1" applyFill="1" applyBorder="1" applyAlignment="1" applyProtection="1">
      <alignment horizontal="center"/>
      <protection locked="0"/>
    </xf>
    <xf numFmtId="0" fontId="15" fillId="28" borderId="1" xfId="0" applyFont="1" applyFill="1" applyBorder="1" applyAlignment="1" applyProtection="1">
      <alignment horizontal="left"/>
      <protection locked="0"/>
    </xf>
    <xf numFmtId="0" fontId="30" fillId="29" borderId="0" xfId="0" applyFont="1" applyFill="1" applyAlignment="1" applyProtection="1">
      <alignment horizontal="center"/>
      <protection locked="0"/>
    </xf>
    <xf numFmtId="0" fontId="30" fillId="20" borderId="0" xfId="0" applyFont="1" applyFill="1" applyAlignment="1" applyProtection="1">
      <alignment horizontal="center"/>
      <protection locked="0"/>
    </xf>
    <xf numFmtId="0" fontId="30" fillId="19" borderId="0" xfId="0" applyFont="1" applyFill="1" applyAlignment="1" applyProtection="1">
      <alignment horizontal="center"/>
      <protection locked="0"/>
    </xf>
    <xf numFmtId="9" fontId="16" fillId="30" borderId="1" xfId="0" applyNumberFormat="1" applyFont="1" applyFill="1" applyBorder="1" applyAlignment="1" applyProtection="1">
      <alignment horizontal="center" vertical="center" wrapText="1"/>
      <protection locked="0"/>
    </xf>
    <xf numFmtId="0" fontId="16" fillId="30" borderId="1" xfId="0" applyFont="1" applyFill="1" applyBorder="1" applyAlignment="1" applyProtection="1">
      <alignment horizontal="center" vertical="center" wrapText="1"/>
      <protection locked="0"/>
    </xf>
    <xf numFmtId="171" fontId="15" fillId="30" borderId="1" xfId="1" applyNumberFormat="1" applyFont="1" applyFill="1" applyBorder="1" applyAlignment="1" applyProtection="1">
      <alignment horizontal="center"/>
      <protection locked="0"/>
    </xf>
    <xf numFmtId="9" fontId="16" fillId="31" borderId="1" xfId="0" applyNumberFormat="1" applyFont="1" applyFill="1" applyBorder="1" applyAlignment="1" applyProtection="1">
      <alignment horizontal="center" vertical="center" wrapText="1"/>
      <protection locked="0"/>
    </xf>
    <xf numFmtId="0" fontId="16" fillId="31" borderId="1" xfId="0" applyFont="1" applyFill="1" applyBorder="1" applyAlignment="1" applyProtection="1">
      <alignment horizontal="center" vertical="center" wrapText="1"/>
      <protection locked="0"/>
    </xf>
    <xf numFmtId="171" fontId="15" fillId="31" borderId="1" xfId="1" applyNumberFormat="1" applyFont="1" applyFill="1" applyBorder="1" applyAlignment="1" applyProtection="1">
      <alignment horizontal="center" vertical="center"/>
      <protection locked="0"/>
    </xf>
    <xf numFmtId="0" fontId="20" fillId="15" borderId="1" xfId="0" applyFont="1" applyFill="1" applyBorder="1"/>
    <xf numFmtId="0" fontId="20" fillId="15" borderId="1" xfId="0" applyFont="1" applyFill="1" applyBorder="1" applyAlignment="1">
      <alignment horizontal="center"/>
    </xf>
    <xf numFmtId="9" fontId="16" fillId="0" borderId="2" xfId="0" applyNumberFormat="1" applyFont="1" applyBorder="1" applyAlignment="1" applyProtection="1">
      <alignment horizontal="center" vertical="center" wrapText="1"/>
      <protection locked="0"/>
    </xf>
    <xf numFmtId="43" fontId="0" fillId="0" borderId="2" xfId="1" applyFont="1" applyFill="1" applyBorder="1" applyAlignment="1" applyProtection="1">
      <alignment horizontal="center" vertical="center"/>
      <protection locked="0"/>
    </xf>
    <xf numFmtId="0" fontId="16" fillId="27" borderId="32" xfId="0" applyFont="1" applyFill="1" applyBorder="1" applyAlignment="1" applyProtection="1">
      <alignment horizontal="center" vertical="center" wrapText="1"/>
      <protection locked="0"/>
    </xf>
    <xf numFmtId="0" fontId="16" fillId="27" borderId="33" xfId="0" applyFont="1" applyFill="1" applyBorder="1" applyAlignment="1" applyProtection="1">
      <alignment horizontal="center" vertical="center" wrapText="1"/>
      <protection locked="0"/>
    </xf>
    <xf numFmtId="0" fontId="16" fillId="27" borderId="18" xfId="0" applyFont="1" applyFill="1" applyBorder="1" applyAlignment="1" applyProtection="1">
      <alignment horizontal="center" vertical="center" wrapText="1"/>
      <protection locked="0"/>
    </xf>
    <xf numFmtId="0" fontId="15" fillId="27" borderId="7" xfId="0" applyFont="1" applyFill="1" applyBorder="1" applyProtection="1">
      <protection locked="0"/>
    </xf>
    <xf numFmtId="0" fontId="15" fillId="27" borderId="8" xfId="0" applyFont="1" applyFill="1" applyBorder="1" applyAlignment="1" applyProtection="1">
      <alignment horizontal="center"/>
      <protection locked="0"/>
    </xf>
    <xf numFmtId="0" fontId="16" fillId="25" borderId="32" xfId="0" applyFont="1" applyFill="1" applyBorder="1" applyAlignment="1" applyProtection="1">
      <alignment horizontal="center" vertical="center" wrapText="1"/>
      <protection locked="0"/>
    </xf>
    <xf numFmtId="0" fontId="16" fillId="25" borderId="33" xfId="0" applyFont="1" applyFill="1" applyBorder="1" applyAlignment="1" applyProtection="1">
      <alignment horizontal="center" vertical="center" wrapText="1"/>
      <protection locked="0"/>
    </xf>
    <xf numFmtId="0" fontId="16" fillId="25" borderId="18" xfId="0" applyFont="1" applyFill="1" applyBorder="1" applyAlignment="1" applyProtection="1">
      <alignment horizontal="center" vertical="center" wrapText="1"/>
      <protection locked="0"/>
    </xf>
    <xf numFmtId="0" fontId="15" fillId="25" borderId="7" xfId="0" applyFont="1" applyFill="1" applyBorder="1" applyProtection="1">
      <protection locked="0"/>
    </xf>
    <xf numFmtId="0" fontId="15" fillId="25" borderId="8" xfId="0" applyFont="1" applyFill="1" applyBorder="1" applyAlignment="1" applyProtection="1">
      <alignment horizontal="center"/>
      <protection locked="0"/>
    </xf>
    <xf numFmtId="43" fontId="16" fillId="0" borderId="3" xfId="1" applyFont="1" applyFill="1" applyBorder="1" applyAlignment="1" applyProtection="1">
      <alignment horizontal="center" vertical="center" wrapText="1"/>
      <protection locked="0"/>
    </xf>
    <xf numFmtId="43" fontId="0" fillId="0" borderId="4" xfId="1" applyFont="1" applyFill="1" applyBorder="1" applyProtection="1">
      <protection locked="0"/>
    </xf>
    <xf numFmtId="0" fontId="16" fillId="28" borderId="32" xfId="0" applyFont="1" applyFill="1" applyBorder="1" applyAlignment="1" applyProtection="1">
      <alignment horizontal="center" vertical="center" wrapText="1"/>
      <protection locked="0"/>
    </xf>
    <xf numFmtId="0" fontId="16" fillId="28" borderId="33" xfId="0" applyFont="1" applyFill="1" applyBorder="1" applyAlignment="1" applyProtection="1">
      <alignment horizontal="center" vertical="center" wrapText="1"/>
      <protection locked="0"/>
    </xf>
    <xf numFmtId="0" fontId="16" fillId="28" borderId="18" xfId="0" applyFont="1" applyFill="1" applyBorder="1" applyAlignment="1" applyProtection="1">
      <alignment horizontal="center" vertical="center" wrapText="1"/>
      <protection locked="0"/>
    </xf>
    <xf numFmtId="0" fontId="15" fillId="28" borderId="7" xfId="0" applyFont="1" applyFill="1" applyBorder="1" applyProtection="1">
      <protection locked="0"/>
    </xf>
    <xf numFmtId="0" fontId="15" fillId="28" borderId="8" xfId="0" applyFont="1" applyFill="1" applyBorder="1" applyAlignment="1" applyProtection="1">
      <alignment horizontal="center"/>
      <protection locked="0"/>
    </xf>
    <xf numFmtId="0" fontId="15" fillId="28" borderId="11" xfId="0" applyFont="1" applyFill="1" applyBorder="1" applyAlignment="1" applyProtection="1">
      <alignment horizontal="center"/>
      <protection locked="0"/>
    </xf>
    <xf numFmtId="43" fontId="30" fillId="0" borderId="1" xfId="1" applyFont="1" applyFill="1" applyBorder="1" applyAlignment="1" applyProtection="1">
      <alignment horizontal="center" vertical="center" wrapText="1"/>
      <protection locked="0"/>
    </xf>
    <xf numFmtId="43" fontId="16" fillId="0" borderId="1" xfId="1" applyFont="1" applyFill="1" applyBorder="1" applyAlignment="1" applyProtection="1">
      <alignment horizontal="center" vertical="center"/>
      <protection locked="0"/>
    </xf>
    <xf numFmtId="0" fontId="16" fillId="0" borderId="1" xfId="0" applyFont="1" applyBorder="1" applyAlignment="1" applyProtection="1">
      <alignment horizontal="center" vertical="center" textRotation="90" wrapText="1"/>
      <protection locked="0"/>
    </xf>
    <xf numFmtId="0" fontId="60" fillId="0" borderId="1" xfId="0" applyFont="1" applyBorder="1" applyAlignment="1">
      <alignment horizontal="center"/>
    </xf>
    <xf numFmtId="49" fontId="61" fillId="0" borderId="1" xfId="0" applyNumberFormat="1" applyFont="1" applyBorder="1" applyAlignment="1">
      <alignment horizontal="center"/>
    </xf>
    <xf numFmtId="0" fontId="26" fillId="7" borderId="1" xfId="0" applyFont="1" applyFill="1" applyBorder="1" applyAlignment="1">
      <alignment horizontal="center" vertical="center"/>
    </xf>
    <xf numFmtId="43" fontId="26" fillId="7" borderId="1" xfId="1" applyFont="1" applyFill="1" applyBorder="1" applyAlignment="1">
      <alignment horizontal="center" vertical="center"/>
    </xf>
    <xf numFmtId="0" fontId="26" fillId="7" borderId="1" xfId="0" applyFont="1" applyFill="1" applyBorder="1" applyAlignment="1">
      <alignment horizontal="center" vertical="center" wrapText="1"/>
    </xf>
    <xf numFmtId="0" fontId="15" fillId="27" borderId="51" xfId="0" applyFont="1" applyFill="1" applyBorder="1" applyProtection="1">
      <protection locked="0"/>
    </xf>
    <xf numFmtId="0" fontId="15" fillId="27" borderId="52" xfId="0" applyFont="1" applyFill="1" applyBorder="1" applyAlignment="1" applyProtection="1">
      <alignment horizontal="center"/>
      <protection locked="0"/>
    </xf>
    <xf numFmtId="0" fontId="15" fillId="27" borderId="52" xfId="0" applyFont="1" applyFill="1" applyBorder="1" applyAlignment="1" applyProtection="1">
      <alignment horizontal="left"/>
      <protection locked="0"/>
    </xf>
    <xf numFmtId="0" fontId="15" fillId="27" borderId="53" xfId="0" applyFont="1" applyFill="1" applyBorder="1" applyAlignment="1" applyProtection="1">
      <alignment horizontal="center"/>
      <protection locked="0"/>
    </xf>
    <xf numFmtId="0" fontId="15" fillId="25" borderId="51" xfId="0" applyFont="1" applyFill="1" applyBorder="1" applyProtection="1">
      <protection locked="0"/>
    </xf>
    <xf numFmtId="0" fontId="15" fillId="25" borderId="52" xfId="0" applyFont="1" applyFill="1" applyBorder="1" applyAlignment="1" applyProtection="1">
      <alignment horizontal="center"/>
      <protection locked="0"/>
    </xf>
    <xf numFmtId="0" fontId="15" fillId="25" borderId="52" xfId="0" applyFont="1" applyFill="1" applyBorder="1" applyAlignment="1" applyProtection="1">
      <alignment horizontal="left"/>
      <protection locked="0"/>
    </xf>
    <xf numFmtId="0" fontId="15" fillId="25" borderId="53" xfId="0" applyFont="1" applyFill="1" applyBorder="1" applyAlignment="1" applyProtection="1">
      <alignment horizontal="center"/>
      <protection locked="0"/>
    </xf>
    <xf numFmtId="0" fontId="15" fillId="28" borderId="51" xfId="0" applyFont="1" applyFill="1" applyBorder="1" applyProtection="1">
      <protection locked="0"/>
    </xf>
    <xf numFmtId="0" fontId="15" fillId="28" borderId="52" xfId="0" applyFont="1" applyFill="1" applyBorder="1" applyAlignment="1" applyProtection="1">
      <alignment horizontal="center"/>
      <protection locked="0"/>
    </xf>
    <xf numFmtId="0" fontId="15" fillId="28" borderId="52" xfId="0" applyFont="1" applyFill="1" applyBorder="1" applyAlignment="1" applyProtection="1">
      <alignment horizontal="left"/>
      <protection locked="0"/>
    </xf>
    <xf numFmtId="0" fontId="15" fillId="7" borderId="0" xfId="0" applyFont="1" applyFill="1" applyProtection="1">
      <protection locked="0"/>
    </xf>
    <xf numFmtId="0" fontId="18" fillId="23" borderId="0" xfId="0" applyFont="1" applyFill="1" applyProtection="1">
      <protection locked="0"/>
    </xf>
    <xf numFmtId="0" fontId="18" fillId="29" borderId="0" xfId="0" applyFont="1" applyFill="1" applyProtection="1">
      <protection locked="0"/>
    </xf>
    <xf numFmtId="0" fontId="18" fillId="33" borderId="0" xfId="0" applyFont="1" applyFill="1" applyProtection="1">
      <protection locked="0"/>
    </xf>
    <xf numFmtId="0" fontId="18" fillId="32" borderId="0" xfId="0" applyFont="1" applyFill="1" applyProtection="1">
      <protection locked="0"/>
    </xf>
    <xf numFmtId="0" fontId="15" fillId="25" borderId="0" xfId="0" applyFont="1" applyFill="1" applyProtection="1">
      <protection locked="0"/>
    </xf>
    <xf numFmtId="0" fontId="18" fillId="15" borderId="0" xfId="0" applyFont="1" applyFill="1" applyProtection="1">
      <protection locked="0"/>
    </xf>
    <xf numFmtId="0" fontId="15" fillId="28" borderId="54" xfId="0" applyFont="1" applyFill="1" applyBorder="1" applyAlignment="1" applyProtection="1">
      <alignment horizontal="center"/>
      <protection locked="0"/>
    </xf>
    <xf numFmtId="44" fontId="24" fillId="14" borderId="1" xfId="2" applyFont="1" applyFill="1" applyBorder="1"/>
    <xf numFmtId="0" fontId="0" fillId="0" borderId="0" xfId="0" applyBorder="1"/>
    <xf numFmtId="0" fontId="3" fillId="9" borderId="0" xfId="3" applyFont="1" applyFill="1" applyAlignment="1" applyProtection="1">
      <alignment horizontal="left"/>
      <protection locked="0"/>
    </xf>
    <xf numFmtId="0" fontId="40" fillId="5" borderId="36" xfId="0" applyFont="1" applyFill="1" applyBorder="1" applyAlignment="1" applyProtection="1">
      <alignment horizontal="center" vertical="center"/>
      <protection locked="0"/>
    </xf>
    <xf numFmtId="0" fontId="40" fillId="5" borderId="17" xfId="0" applyFont="1" applyFill="1" applyBorder="1" applyAlignment="1" applyProtection="1">
      <alignment horizontal="center" vertical="center"/>
      <protection locked="0"/>
    </xf>
    <xf numFmtId="0" fontId="41" fillId="18" borderId="0" xfId="3" applyFont="1" applyFill="1" applyAlignment="1" applyProtection="1">
      <alignment horizontal="left" vertical="center"/>
      <protection locked="0"/>
    </xf>
    <xf numFmtId="0" fontId="5" fillId="18" borderId="0" xfId="3" applyFont="1" applyFill="1" applyAlignment="1" applyProtection="1">
      <alignment horizontal="left" vertical="center"/>
      <protection locked="0"/>
    </xf>
    <xf numFmtId="0" fontId="16" fillId="7" borderId="2" xfId="0" applyFont="1" applyFill="1" applyBorder="1" applyAlignment="1" applyProtection="1">
      <alignment horizontal="center" vertical="center"/>
      <protection locked="0"/>
    </xf>
    <xf numFmtId="0" fontId="16" fillId="7" borderId="4" xfId="0" applyFont="1" applyFill="1" applyBorder="1" applyAlignment="1" applyProtection="1">
      <alignment horizontal="center" vertical="center"/>
      <protection locked="0"/>
    </xf>
    <xf numFmtId="0" fontId="20" fillId="0" borderId="36" xfId="0" applyFont="1" applyBorder="1" applyAlignment="1" applyProtection="1">
      <alignment horizontal="center"/>
      <protection locked="0"/>
    </xf>
    <xf numFmtId="0" fontId="20" fillId="0" borderId="17" xfId="0" applyFont="1" applyBorder="1" applyAlignment="1" applyProtection="1">
      <alignment horizontal="center"/>
      <protection locked="0"/>
    </xf>
    <xf numFmtId="0" fontId="22" fillId="6" borderId="2" xfId="0" applyFont="1" applyFill="1" applyBorder="1" applyAlignment="1" applyProtection="1">
      <alignment horizontal="center"/>
      <protection locked="0"/>
    </xf>
    <xf numFmtId="0" fontId="22" fillId="6" borderId="3" xfId="0" applyFont="1" applyFill="1" applyBorder="1" applyAlignment="1" applyProtection="1">
      <alignment horizontal="center"/>
      <protection locked="0"/>
    </xf>
    <xf numFmtId="0" fontId="22" fillId="6" borderId="4" xfId="0" applyFont="1" applyFill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37" fillId="7" borderId="0" xfId="0" applyFont="1" applyFill="1" applyAlignment="1" applyProtection="1">
      <alignment horizontal="center"/>
      <protection locked="0"/>
    </xf>
    <xf numFmtId="0" fontId="37" fillId="9" borderId="0" xfId="0" applyFont="1" applyFill="1" applyAlignment="1" applyProtection="1">
      <alignment horizontal="center"/>
      <protection locked="0"/>
    </xf>
    <xf numFmtId="0" fontId="16" fillId="19" borderId="47" xfId="0" applyFont="1" applyFill="1" applyBorder="1" applyAlignment="1" applyProtection="1">
      <alignment horizontal="center"/>
      <protection locked="0"/>
    </xf>
    <xf numFmtId="0" fontId="16" fillId="19" borderId="48" xfId="0" applyFont="1" applyFill="1" applyBorder="1" applyAlignment="1" applyProtection="1">
      <alignment horizontal="center"/>
      <protection locked="0"/>
    </xf>
    <xf numFmtId="0" fontId="16" fillId="19" borderId="49" xfId="0" applyFont="1" applyFill="1" applyBorder="1" applyAlignment="1" applyProtection="1">
      <alignment horizontal="center"/>
      <protection locked="0"/>
    </xf>
    <xf numFmtId="0" fontId="16" fillId="20" borderId="47" xfId="0" applyFont="1" applyFill="1" applyBorder="1" applyAlignment="1" applyProtection="1">
      <alignment horizontal="center"/>
      <protection locked="0"/>
    </xf>
    <xf numFmtId="0" fontId="16" fillId="20" borderId="48" xfId="0" applyFont="1" applyFill="1" applyBorder="1" applyAlignment="1" applyProtection="1">
      <alignment horizontal="center"/>
      <protection locked="0"/>
    </xf>
    <xf numFmtId="0" fontId="16" fillId="20" borderId="49" xfId="0" applyFont="1" applyFill="1" applyBorder="1" applyAlignment="1" applyProtection="1">
      <alignment horizontal="center"/>
      <protection locked="0"/>
    </xf>
    <xf numFmtId="0" fontId="16" fillId="29" borderId="47" xfId="0" applyFont="1" applyFill="1" applyBorder="1" applyAlignment="1" applyProtection="1">
      <alignment horizontal="center"/>
      <protection locked="0"/>
    </xf>
    <xf numFmtId="0" fontId="16" fillId="29" borderId="48" xfId="0" applyFont="1" applyFill="1" applyBorder="1" applyAlignment="1" applyProtection="1">
      <alignment horizontal="center"/>
      <protection locked="0"/>
    </xf>
    <xf numFmtId="0" fontId="16" fillId="29" borderId="49" xfId="0" applyFont="1" applyFill="1" applyBorder="1" applyAlignment="1" applyProtection="1">
      <alignment horizontal="center"/>
      <protection locked="0"/>
    </xf>
    <xf numFmtId="0" fontId="19" fillId="7" borderId="50" xfId="0" applyFont="1" applyFill="1" applyBorder="1" applyAlignment="1" applyProtection="1">
      <alignment horizontal="center" vertical="center"/>
      <protection locked="0"/>
    </xf>
    <xf numFmtId="0" fontId="22" fillId="17" borderId="2" xfId="0" applyFont="1" applyFill="1" applyBorder="1" applyAlignment="1" applyProtection="1">
      <alignment horizontal="center" vertical="center"/>
      <protection locked="0"/>
    </xf>
    <xf numFmtId="0" fontId="22" fillId="17" borderId="3" xfId="0" applyFont="1" applyFill="1" applyBorder="1" applyAlignment="1" applyProtection="1">
      <alignment horizontal="center" vertical="center"/>
      <protection locked="0"/>
    </xf>
    <xf numFmtId="0" fontId="55" fillId="19" borderId="27" xfId="0" applyFont="1" applyFill="1" applyBorder="1" applyAlignment="1" applyProtection="1">
      <alignment horizontal="center" vertical="center"/>
      <protection locked="0"/>
    </xf>
    <xf numFmtId="0" fontId="55" fillId="19" borderId="28" xfId="0" applyFont="1" applyFill="1" applyBorder="1" applyAlignment="1" applyProtection="1">
      <alignment horizontal="center" vertical="center"/>
      <protection locked="0"/>
    </xf>
    <xf numFmtId="0" fontId="55" fillId="19" borderId="29" xfId="0" applyFont="1" applyFill="1" applyBorder="1" applyAlignment="1" applyProtection="1">
      <alignment horizontal="center" vertical="center"/>
      <protection locked="0"/>
    </xf>
    <xf numFmtId="0" fontId="55" fillId="20" borderId="27" xfId="0" applyFont="1" applyFill="1" applyBorder="1" applyAlignment="1" applyProtection="1">
      <alignment horizontal="left" vertical="center" wrapText="1"/>
      <protection locked="0"/>
    </xf>
    <xf numFmtId="0" fontId="55" fillId="20" borderId="28" xfId="0" applyFont="1" applyFill="1" applyBorder="1" applyAlignment="1" applyProtection="1">
      <alignment horizontal="left" vertical="center" wrapText="1"/>
      <protection locked="0"/>
    </xf>
    <xf numFmtId="0" fontId="55" fillId="20" borderId="29" xfId="0" applyFont="1" applyFill="1" applyBorder="1" applyAlignment="1" applyProtection="1">
      <alignment horizontal="left" vertical="center" wrapText="1"/>
      <protection locked="0"/>
    </xf>
    <xf numFmtId="0" fontId="31" fillId="17" borderId="17" xfId="0" applyFont="1" applyFill="1" applyBorder="1" applyAlignment="1" applyProtection="1">
      <alignment horizontal="center"/>
      <protection locked="0"/>
    </xf>
    <xf numFmtId="0" fontId="31" fillId="17" borderId="19" xfId="0" applyFont="1" applyFill="1" applyBorder="1" applyAlignment="1" applyProtection="1">
      <alignment horizontal="center"/>
      <protection locked="0"/>
    </xf>
    <xf numFmtId="0" fontId="15" fillId="0" borderId="41" xfId="0" applyFont="1" applyBorder="1" applyAlignment="1" applyProtection="1">
      <alignment horizontal="center" vertical="top" wrapText="1"/>
      <protection locked="0"/>
    </xf>
    <xf numFmtId="0" fontId="15" fillId="0" borderId="42" xfId="0" applyFont="1" applyBorder="1" applyAlignment="1" applyProtection="1">
      <alignment horizontal="center" vertical="top" wrapText="1"/>
      <protection locked="0"/>
    </xf>
    <xf numFmtId="0" fontId="15" fillId="0" borderId="43" xfId="0" applyFont="1" applyBorder="1" applyAlignment="1" applyProtection="1">
      <alignment horizontal="center" vertical="top" wrapText="1"/>
      <protection locked="0"/>
    </xf>
    <xf numFmtId="0" fontId="15" fillId="0" borderId="38" xfId="0" applyFont="1" applyBorder="1" applyAlignment="1" applyProtection="1">
      <alignment horizontal="center" vertical="top" wrapText="1"/>
      <protection locked="0"/>
    </xf>
    <xf numFmtId="0" fontId="15" fillId="0" borderId="0" xfId="0" applyFont="1" applyAlignment="1" applyProtection="1">
      <alignment horizontal="center" vertical="top" wrapText="1"/>
      <protection locked="0"/>
    </xf>
    <xf numFmtId="0" fontId="15" fillId="0" borderId="44" xfId="0" applyFont="1" applyBorder="1" applyAlignment="1" applyProtection="1">
      <alignment horizontal="center" vertical="top" wrapText="1"/>
      <protection locked="0"/>
    </xf>
    <xf numFmtId="0" fontId="15" fillId="0" borderId="31" xfId="0" applyFont="1" applyBorder="1" applyAlignment="1" applyProtection="1">
      <alignment horizontal="center" vertical="top" wrapText="1"/>
      <protection locked="0"/>
    </xf>
    <xf numFmtId="0" fontId="15" fillId="0" borderId="30" xfId="0" applyFont="1" applyBorder="1" applyAlignment="1" applyProtection="1">
      <alignment horizontal="center" vertical="top" wrapText="1"/>
      <protection locked="0"/>
    </xf>
    <xf numFmtId="0" fontId="15" fillId="0" borderId="26" xfId="0" applyFont="1" applyBorder="1" applyAlignment="1" applyProtection="1">
      <alignment horizontal="center" vertical="top" wrapText="1"/>
      <protection locked="0"/>
    </xf>
    <xf numFmtId="0" fontId="41" fillId="18" borderId="0" xfId="3" applyFont="1" applyFill="1" applyAlignment="1" applyProtection="1">
      <alignment horizontal="left"/>
      <protection locked="0"/>
    </xf>
    <xf numFmtId="0" fontId="29" fillId="0" borderId="0" xfId="3" applyFont="1" applyAlignment="1" applyProtection="1">
      <alignment horizontal="left"/>
      <protection locked="0"/>
    </xf>
    <xf numFmtId="170" fontId="31" fillId="0" borderId="27" xfId="0" applyNumberFormat="1" applyFont="1" applyBorder="1" applyAlignment="1" applyProtection="1">
      <alignment horizontal="center"/>
      <protection locked="0"/>
    </xf>
    <xf numFmtId="170" fontId="31" fillId="0" borderId="28" xfId="0" applyNumberFormat="1" applyFont="1" applyBorder="1" applyAlignment="1" applyProtection="1">
      <alignment horizontal="center"/>
      <protection locked="0"/>
    </xf>
    <xf numFmtId="170" fontId="31" fillId="0" borderId="29" xfId="0" applyNumberFormat="1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47" fillId="0" borderId="27" xfId="1" applyNumberFormat="1" applyFont="1" applyFill="1" applyBorder="1" applyAlignment="1" applyProtection="1">
      <alignment horizontal="center"/>
      <protection locked="0"/>
    </xf>
    <xf numFmtId="0" fontId="47" fillId="0" borderId="28" xfId="1" applyNumberFormat="1" applyFont="1" applyFill="1" applyBorder="1" applyAlignment="1" applyProtection="1">
      <alignment horizontal="center"/>
      <protection locked="0"/>
    </xf>
    <xf numFmtId="0" fontId="47" fillId="0" borderId="29" xfId="1" applyNumberFormat="1" applyFont="1" applyFill="1" applyBorder="1" applyAlignment="1" applyProtection="1">
      <alignment horizontal="center"/>
      <protection locked="0"/>
    </xf>
    <xf numFmtId="0" fontId="51" fillId="7" borderId="0" xfId="0" applyFont="1" applyFill="1" applyAlignment="1" applyProtection="1">
      <alignment horizontal="left" vertical="center" wrapText="1"/>
      <protection locked="0"/>
    </xf>
    <xf numFmtId="0" fontId="54" fillId="18" borderId="0" xfId="0" applyFont="1" applyFill="1" applyAlignment="1" applyProtection="1">
      <alignment horizontal="center" vertical="center"/>
      <protection locked="0"/>
    </xf>
    <xf numFmtId="0" fontId="51" fillId="7" borderId="0" xfId="0" applyFont="1" applyFill="1" applyAlignment="1" applyProtection="1">
      <alignment horizontal="left" wrapText="1"/>
      <protection locked="0"/>
    </xf>
    <xf numFmtId="0" fontId="15" fillId="0" borderId="20" xfId="0" applyFont="1" applyBorder="1" applyAlignment="1" applyProtection="1">
      <alignment horizontal="left" vertical="top" wrapText="1"/>
      <protection locked="0"/>
    </xf>
    <xf numFmtId="0" fontId="15" fillId="0" borderId="21" xfId="0" applyFont="1" applyBorder="1" applyAlignment="1" applyProtection="1">
      <alignment horizontal="left" vertical="top" wrapText="1"/>
      <protection locked="0"/>
    </xf>
    <xf numFmtId="0" fontId="15" fillId="0" borderId="22" xfId="0" applyFont="1" applyBorder="1" applyAlignment="1" applyProtection="1">
      <alignment horizontal="left" vertical="top" wrapText="1"/>
      <protection locked="0"/>
    </xf>
    <xf numFmtId="0" fontId="16" fillId="15" borderId="27" xfId="0" applyFont="1" applyFill="1" applyBorder="1" applyAlignment="1" applyProtection="1">
      <alignment horizontal="center"/>
      <protection locked="0"/>
    </xf>
    <xf numFmtId="0" fontId="16" fillId="15" borderId="28" xfId="0" applyFont="1" applyFill="1" applyBorder="1" applyAlignment="1" applyProtection="1">
      <alignment horizontal="center"/>
      <protection locked="0"/>
    </xf>
    <xf numFmtId="0" fontId="16" fillId="15" borderId="29" xfId="0" applyFont="1" applyFill="1" applyBorder="1" applyAlignment="1" applyProtection="1">
      <alignment horizontal="center"/>
      <protection locked="0"/>
    </xf>
    <xf numFmtId="0" fontId="22" fillId="15" borderId="2" xfId="0" applyFont="1" applyFill="1" applyBorder="1" applyAlignment="1" applyProtection="1">
      <alignment horizontal="center"/>
      <protection locked="0"/>
    </xf>
    <xf numFmtId="0" fontId="22" fillId="15" borderId="3" xfId="0" applyFont="1" applyFill="1" applyBorder="1" applyAlignment="1" applyProtection="1">
      <alignment horizontal="center"/>
      <protection locked="0"/>
    </xf>
    <xf numFmtId="0" fontId="16" fillId="15" borderId="27" xfId="0" applyFont="1" applyFill="1" applyBorder="1" applyAlignment="1" applyProtection="1">
      <alignment horizontal="center" wrapText="1"/>
      <protection locked="0"/>
    </xf>
    <xf numFmtId="0" fontId="16" fillId="15" borderId="28" xfId="0" applyFont="1" applyFill="1" applyBorder="1" applyAlignment="1" applyProtection="1">
      <alignment horizontal="center" wrapText="1"/>
      <protection locked="0"/>
    </xf>
    <xf numFmtId="0" fontId="16" fillId="15" borderId="29" xfId="0" applyFont="1" applyFill="1" applyBorder="1" applyAlignment="1" applyProtection="1">
      <alignment horizontal="center" wrapText="1"/>
      <protection locked="0"/>
    </xf>
    <xf numFmtId="0" fontId="22" fillId="15" borderId="36" xfId="0" applyFont="1" applyFill="1" applyBorder="1" applyAlignment="1" applyProtection="1">
      <alignment horizontal="center"/>
      <protection locked="0"/>
    </xf>
    <xf numFmtId="0" fontId="22" fillId="15" borderId="17" xfId="0" applyFont="1" applyFill="1" applyBorder="1" applyAlignment="1" applyProtection="1">
      <alignment horizontal="center"/>
      <protection locked="0"/>
    </xf>
    <xf numFmtId="0" fontId="22" fillId="15" borderId="19" xfId="0" applyFont="1" applyFill="1" applyBorder="1" applyAlignment="1" applyProtection="1">
      <alignment horizontal="center"/>
      <protection locked="0"/>
    </xf>
    <xf numFmtId="0" fontId="28" fillId="0" borderId="27" xfId="1" applyNumberFormat="1" applyFont="1" applyFill="1" applyBorder="1" applyAlignment="1" applyProtection="1">
      <alignment horizontal="center"/>
      <protection locked="0"/>
    </xf>
    <xf numFmtId="0" fontId="28" fillId="0" borderId="28" xfId="1" applyNumberFormat="1" applyFont="1" applyFill="1" applyBorder="1" applyAlignment="1" applyProtection="1">
      <alignment horizontal="center"/>
      <protection locked="0"/>
    </xf>
    <xf numFmtId="0" fontId="28" fillId="0" borderId="29" xfId="1" applyNumberFormat="1" applyFont="1" applyFill="1" applyBorder="1" applyAlignment="1" applyProtection="1">
      <alignment horizontal="center"/>
      <protection locked="0"/>
    </xf>
    <xf numFmtId="170" fontId="27" fillId="0" borderId="27" xfId="0" applyNumberFormat="1" applyFont="1" applyBorder="1" applyAlignment="1" applyProtection="1">
      <alignment horizontal="center"/>
      <protection locked="0"/>
    </xf>
    <xf numFmtId="170" fontId="27" fillId="0" borderId="28" xfId="0" applyNumberFormat="1" applyFont="1" applyBorder="1" applyAlignment="1" applyProtection="1">
      <alignment horizontal="center"/>
      <protection locked="0"/>
    </xf>
    <xf numFmtId="170" fontId="27" fillId="0" borderId="29" xfId="0" applyNumberFormat="1" applyFont="1" applyBorder="1" applyAlignment="1" applyProtection="1">
      <alignment horizontal="center"/>
      <protection locked="0"/>
    </xf>
    <xf numFmtId="0" fontId="16" fillId="10" borderId="27" xfId="0" applyFont="1" applyFill="1" applyBorder="1" applyAlignment="1" applyProtection="1">
      <alignment horizontal="center"/>
      <protection locked="0"/>
    </xf>
    <xf numFmtId="0" fontId="16" fillId="10" borderId="28" xfId="0" applyFont="1" applyFill="1" applyBorder="1" applyAlignment="1" applyProtection="1">
      <alignment horizontal="center"/>
      <protection locked="0"/>
    </xf>
    <xf numFmtId="0" fontId="16" fillId="10" borderId="29" xfId="0" applyFont="1" applyFill="1" applyBorder="1" applyAlignment="1" applyProtection="1">
      <alignment horizontal="center"/>
      <protection locked="0"/>
    </xf>
    <xf numFmtId="0" fontId="16" fillId="10" borderId="27" xfId="0" applyFont="1" applyFill="1" applyBorder="1" applyAlignment="1" applyProtection="1">
      <alignment horizontal="center" wrapText="1"/>
      <protection locked="0"/>
    </xf>
    <xf numFmtId="0" fontId="16" fillId="10" borderId="28" xfId="0" applyFont="1" applyFill="1" applyBorder="1" applyAlignment="1" applyProtection="1">
      <alignment horizontal="center" wrapText="1"/>
      <protection locked="0"/>
    </xf>
    <xf numFmtId="0" fontId="16" fillId="10" borderId="29" xfId="0" applyFont="1" applyFill="1" applyBorder="1" applyAlignment="1" applyProtection="1">
      <alignment horizontal="center" wrapText="1"/>
      <protection locked="0"/>
    </xf>
    <xf numFmtId="0" fontId="3" fillId="0" borderId="0" xfId="3" applyFont="1" applyAlignment="1" applyProtection="1">
      <alignment horizontal="left"/>
      <protection locked="0"/>
    </xf>
    <xf numFmtId="0" fontId="22" fillId="10" borderId="17" xfId="0" applyFont="1" applyFill="1" applyBorder="1" applyAlignment="1" applyProtection="1">
      <alignment horizontal="center"/>
      <protection locked="0"/>
    </xf>
    <xf numFmtId="0" fontId="22" fillId="10" borderId="19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59" fillId="7" borderId="0" xfId="0" applyFont="1" applyFill="1" applyAlignment="1">
      <alignment horizontal="center" vertical="center"/>
    </xf>
    <xf numFmtId="0" fontId="29" fillId="9" borderId="0" xfId="3" applyFont="1" applyFill="1" applyAlignment="1" applyProtection="1">
      <alignment horizontal="left"/>
      <protection locked="0"/>
    </xf>
    <xf numFmtId="0" fontId="28" fillId="0" borderId="13" xfId="1" applyNumberFormat="1" applyFont="1" applyFill="1" applyBorder="1" applyAlignment="1" applyProtection="1">
      <alignment horizontal="center"/>
      <protection locked="0"/>
    </xf>
    <xf numFmtId="0" fontId="28" fillId="0" borderId="12" xfId="1" applyNumberFormat="1" applyFont="1" applyFill="1" applyBorder="1" applyAlignment="1" applyProtection="1">
      <alignment horizontal="center"/>
      <protection locked="0"/>
    </xf>
    <xf numFmtId="0" fontId="28" fillId="0" borderId="14" xfId="1" applyNumberFormat="1" applyFont="1" applyFill="1" applyBorder="1" applyAlignment="1" applyProtection="1">
      <alignment horizontal="center"/>
      <protection locked="0"/>
    </xf>
    <xf numFmtId="170" fontId="27" fillId="0" borderId="24" xfId="0" applyNumberFormat="1" applyFont="1" applyBorder="1" applyAlignment="1" applyProtection="1">
      <alignment horizontal="center"/>
      <protection locked="0"/>
    </xf>
    <xf numFmtId="170" fontId="27" fillId="0" borderId="25" xfId="0" applyNumberFormat="1" applyFont="1" applyBorder="1" applyAlignment="1" applyProtection="1">
      <alignment horizontal="center"/>
      <protection locked="0"/>
    </xf>
    <xf numFmtId="170" fontId="27" fillId="0" borderId="23" xfId="0" applyNumberFormat="1" applyFont="1" applyBorder="1" applyAlignment="1" applyProtection="1">
      <alignment horizontal="center"/>
      <protection locked="0"/>
    </xf>
    <xf numFmtId="0" fontId="16" fillId="7" borderId="31" xfId="0" applyFont="1" applyFill="1" applyBorder="1" applyAlignment="1" applyProtection="1">
      <alignment horizontal="center"/>
      <protection locked="0"/>
    </xf>
    <xf numFmtId="0" fontId="16" fillId="7" borderId="30" xfId="0" applyFont="1" applyFill="1" applyBorder="1" applyAlignment="1" applyProtection="1">
      <alignment horizontal="center"/>
      <protection locked="0"/>
    </xf>
    <xf numFmtId="0" fontId="16" fillId="7" borderId="26" xfId="0" applyFont="1" applyFill="1" applyBorder="1" applyAlignment="1" applyProtection="1">
      <alignment horizontal="center"/>
      <protection locked="0"/>
    </xf>
    <xf numFmtId="0" fontId="22" fillId="6" borderId="17" xfId="0" applyFont="1" applyFill="1" applyBorder="1" applyAlignment="1" applyProtection="1">
      <alignment horizontal="center"/>
      <protection locked="0"/>
    </xf>
    <xf numFmtId="0" fontId="22" fillId="6" borderId="19" xfId="0" applyFont="1" applyFill="1" applyBorder="1" applyAlignment="1" applyProtection="1">
      <alignment horizontal="center"/>
      <protection locked="0"/>
    </xf>
    <xf numFmtId="0" fontId="16" fillId="7" borderId="15" xfId="0" applyFont="1" applyFill="1" applyBorder="1" applyAlignment="1" applyProtection="1">
      <alignment horizontal="center"/>
      <protection locked="0"/>
    </xf>
    <xf numFmtId="0" fontId="16" fillId="7" borderId="3" xfId="0" applyFont="1" applyFill="1" applyBorder="1" applyAlignment="1" applyProtection="1">
      <alignment horizontal="center"/>
      <protection locked="0"/>
    </xf>
    <xf numFmtId="0" fontId="16" fillId="7" borderId="4" xfId="0" applyFont="1" applyFill="1" applyBorder="1" applyAlignment="1" applyProtection="1">
      <alignment horizontal="center"/>
      <protection locked="0"/>
    </xf>
    <xf numFmtId="0" fontId="22" fillId="6" borderId="16" xfId="0" applyFont="1" applyFill="1" applyBorder="1" applyAlignment="1" applyProtection="1">
      <alignment horizontal="center"/>
      <protection locked="0"/>
    </xf>
    <xf numFmtId="0" fontId="16" fillId="7" borderId="27" xfId="0" applyFont="1" applyFill="1" applyBorder="1" applyAlignment="1" applyProtection="1">
      <alignment horizontal="center"/>
      <protection locked="0"/>
    </xf>
    <xf numFmtId="0" fontId="16" fillId="7" borderId="28" xfId="0" applyFont="1" applyFill="1" applyBorder="1" applyAlignment="1" applyProtection="1">
      <alignment horizontal="center"/>
      <protection locked="0"/>
    </xf>
    <xf numFmtId="0" fontId="16" fillId="7" borderId="29" xfId="0" applyFont="1" applyFill="1" applyBorder="1" applyAlignment="1" applyProtection="1">
      <alignment horizontal="center"/>
      <protection locked="0"/>
    </xf>
    <xf numFmtId="0" fontId="16" fillId="6" borderId="27" xfId="0" applyFont="1" applyFill="1" applyBorder="1" applyAlignment="1" applyProtection="1">
      <alignment horizontal="center"/>
      <protection locked="0"/>
    </xf>
    <xf numFmtId="0" fontId="16" fillId="6" borderId="28" xfId="0" applyFont="1" applyFill="1" applyBorder="1" applyAlignment="1" applyProtection="1">
      <alignment horizontal="center"/>
      <protection locked="0"/>
    </xf>
    <xf numFmtId="0" fontId="16" fillId="6" borderId="29" xfId="0" applyFont="1" applyFill="1" applyBorder="1" applyAlignment="1" applyProtection="1">
      <alignment horizontal="center"/>
      <protection locked="0"/>
    </xf>
  </cellXfs>
  <cellStyles count="16">
    <cellStyle name="20% - Énfasis3 2" xfId="7"/>
    <cellStyle name="Cálculo 2" xfId="9"/>
    <cellStyle name="Entrada 2" xfId="8"/>
    <cellStyle name="Millares" xfId="1" builtinId="3"/>
    <cellStyle name="Moneda" xfId="2" builtinId="4"/>
    <cellStyle name="Moneda 2" xfId="6"/>
    <cellStyle name="Normal" xfId="0" builtinId="0"/>
    <cellStyle name="Normal 2" xfId="3"/>
    <cellStyle name="Normal 2 2" xfId="13"/>
    <cellStyle name="Normal 3" xfId="4"/>
    <cellStyle name="Normal 3 2" xfId="14"/>
    <cellStyle name="Normal 4" xfId="5"/>
    <cellStyle name="Normal 5" xfId="10"/>
    <cellStyle name="Normal 6" xfId="11"/>
    <cellStyle name="Normal 7" xfId="12"/>
    <cellStyle name="Normal 7 2" xfId="15"/>
  </cellStyles>
  <dxfs count="8543"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517071</xdr:colOff>
      <xdr:row>0</xdr:row>
      <xdr:rowOff>31749</xdr:rowOff>
    </xdr:from>
    <xdr:to>
      <xdr:col>2</xdr:col>
      <xdr:colOff>2619375</xdr:colOff>
      <xdr:row>0</xdr:row>
      <xdr:rowOff>1000125</xdr:rowOff>
    </xdr:to>
    <xdr:sp macro="" textlink="">
      <xdr:nvSpPr>
        <xdr:cNvPr id="2" name="Globo: línea doblada 1">
          <a:extLst>
            <a:ext uri="{FF2B5EF4-FFF2-40B4-BE49-F238E27FC236}">
              <a16:creationId xmlns="" xmlns:a16="http://schemas.microsoft.com/office/drawing/2014/main" id="{220B6050-69B8-4F95-8B3B-A0C3A48DE93A}"/>
            </a:ext>
          </a:extLst>
        </xdr:cNvPr>
        <xdr:cNvSpPr/>
      </xdr:nvSpPr>
      <xdr:spPr>
        <a:xfrm>
          <a:off x="517071" y="31749"/>
          <a:ext cx="2632983" cy="968376"/>
        </a:xfrm>
        <a:prstGeom prst="borderCallout2">
          <a:avLst>
            <a:gd name="adj1" fmla="val 60610"/>
            <a:gd name="adj2" fmla="val 103880"/>
            <a:gd name="adj3" fmla="val 69913"/>
            <a:gd name="adj4" fmla="val 142875"/>
            <a:gd name="adj5" fmla="val 204341"/>
            <a:gd name="adj6" fmla="val 104420"/>
          </a:avLst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C" sz="1500" b="1">
              <a:solidFill>
                <a:srgbClr val="FF0000"/>
              </a:solidFill>
            </a:rPr>
            <a:t>SE INGRESA LA FECHA</a:t>
          </a:r>
          <a:r>
            <a:rPr lang="es-EC" sz="1500" b="1" baseline="0">
              <a:solidFill>
                <a:srgbClr val="FF0000"/>
              </a:solidFill>
            </a:rPr>
            <a:t> DEL PRIMER DIA DE LA QUINCENA POR EJEM: 01-01-19</a:t>
          </a:r>
          <a:endParaRPr lang="es-EC" sz="15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489857</xdr:colOff>
      <xdr:row>6</xdr:row>
      <xdr:rowOff>215899</xdr:rowOff>
    </xdr:from>
    <xdr:to>
      <xdr:col>2</xdr:col>
      <xdr:colOff>2651125</xdr:colOff>
      <xdr:row>7</xdr:row>
      <xdr:rowOff>873125</xdr:rowOff>
    </xdr:to>
    <xdr:sp macro="" textlink="">
      <xdr:nvSpPr>
        <xdr:cNvPr id="3" name="Globo: línea doblada 2">
          <a:extLst>
            <a:ext uri="{FF2B5EF4-FFF2-40B4-BE49-F238E27FC236}">
              <a16:creationId xmlns="" xmlns:a16="http://schemas.microsoft.com/office/drawing/2014/main" id="{45B3E1BE-7C75-4267-97E9-AC8B7A366917}"/>
            </a:ext>
          </a:extLst>
        </xdr:cNvPr>
        <xdr:cNvSpPr/>
      </xdr:nvSpPr>
      <xdr:spPr>
        <a:xfrm>
          <a:off x="489857" y="2733220"/>
          <a:ext cx="2691947" cy="956584"/>
        </a:xfrm>
        <a:prstGeom prst="borderCallout2">
          <a:avLst>
            <a:gd name="adj1" fmla="val 33836"/>
            <a:gd name="adj2" fmla="val 104762"/>
            <a:gd name="adj3" fmla="val -143"/>
            <a:gd name="adj4" fmla="val 124451"/>
            <a:gd name="adj5" fmla="val -35365"/>
            <a:gd name="adj6" fmla="val 103042"/>
          </a:avLst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C" sz="1500" b="1">
              <a:solidFill>
                <a:srgbClr val="FF0000"/>
              </a:solidFill>
            </a:rPr>
            <a:t>SE INGRESA LA FECHA</a:t>
          </a:r>
          <a:r>
            <a:rPr lang="es-EC" sz="1500" b="1" baseline="0">
              <a:solidFill>
                <a:srgbClr val="FF0000"/>
              </a:solidFill>
            </a:rPr>
            <a:t> DEL ULTIMO  DIA DE LA QUINCENA POR EJEM: 15-01-19</a:t>
          </a:r>
          <a:endParaRPr lang="es-EC" sz="1500" b="1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349252</xdr:colOff>
      <xdr:row>0</xdr:row>
      <xdr:rowOff>746125</xdr:rowOff>
    </xdr:from>
    <xdr:to>
      <xdr:col>6</xdr:col>
      <xdr:colOff>365125</xdr:colOff>
      <xdr:row>3</xdr:row>
      <xdr:rowOff>47625</xdr:rowOff>
    </xdr:to>
    <xdr:cxnSp macro="">
      <xdr:nvCxnSpPr>
        <xdr:cNvPr id="5" name="Conector recto de flecha 4">
          <a:extLst>
            <a:ext uri="{FF2B5EF4-FFF2-40B4-BE49-F238E27FC236}">
              <a16:creationId xmlns="" xmlns:a16="http://schemas.microsoft.com/office/drawing/2014/main" id="{A169CA21-5974-4007-8CD6-37156B403C61}"/>
            </a:ext>
          </a:extLst>
        </xdr:cNvPr>
        <xdr:cNvCxnSpPr/>
      </xdr:nvCxnSpPr>
      <xdr:spPr>
        <a:xfrm flipH="1">
          <a:off x="4699002" y="746125"/>
          <a:ext cx="523873" cy="904875"/>
        </a:xfrm>
        <a:prstGeom prst="straightConnector1">
          <a:avLst/>
        </a:prstGeom>
        <a:ln>
          <a:headEnd type="none" w="med" len="med"/>
          <a:tailEnd type="arrow" w="med" len="med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95251</xdr:colOff>
      <xdr:row>1</xdr:row>
      <xdr:rowOff>15875</xdr:rowOff>
    </xdr:from>
    <xdr:to>
      <xdr:col>8</xdr:col>
      <xdr:colOff>0</xdr:colOff>
      <xdr:row>2</xdr:row>
      <xdr:rowOff>206375</xdr:rowOff>
    </xdr:to>
    <xdr:cxnSp macro="">
      <xdr:nvCxnSpPr>
        <xdr:cNvPr id="3" name="Conector recto de flecha 2">
          <a:extLst>
            <a:ext uri="{FF2B5EF4-FFF2-40B4-BE49-F238E27FC236}">
              <a16:creationId xmlns="" xmlns:a16="http://schemas.microsoft.com/office/drawing/2014/main" id="{FB17BE5D-B7B6-4715-B98A-41C0E387E813}"/>
            </a:ext>
          </a:extLst>
        </xdr:cNvPr>
        <xdr:cNvCxnSpPr/>
      </xdr:nvCxnSpPr>
      <xdr:spPr>
        <a:xfrm flipH="1">
          <a:off x="4953001" y="746125"/>
          <a:ext cx="936624" cy="476250"/>
        </a:xfrm>
        <a:prstGeom prst="straightConnector1">
          <a:avLst/>
        </a:prstGeom>
        <a:ln>
          <a:headEnd type="none" w="med" len="med"/>
          <a:tailEnd type="arrow" w="med" len="med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189442</xdr:colOff>
      <xdr:row>7</xdr:row>
      <xdr:rowOff>161924</xdr:rowOff>
    </xdr:from>
    <xdr:to>
      <xdr:col>11</xdr:col>
      <xdr:colOff>73025</xdr:colOff>
      <xdr:row>18</xdr:row>
      <xdr:rowOff>180975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91" t="25915" r="38007" b="45175"/>
        <a:stretch/>
      </xdr:blipFill>
      <xdr:spPr>
        <a:xfrm>
          <a:off x="189442" y="1506007"/>
          <a:ext cx="7810500" cy="2114551"/>
        </a:xfrm>
        <a:prstGeom prst="rect">
          <a:avLst/>
        </a:prstGeom>
      </xdr:spPr>
    </xdr:pic>
    <xdr:clientData/>
  </xdr:twoCellAnchor>
  <xdr:twoCellAnchor editAs="oneCell">
    <xdr:from>
      <xdr:col>0</xdr:col>
      <xdr:colOff>338667</xdr:colOff>
      <xdr:row>29</xdr:row>
      <xdr:rowOff>32808</xdr:rowOff>
    </xdr:from>
    <xdr:to>
      <xdr:col>11</xdr:col>
      <xdr:colOff>231775</xdr:colOff>
      <xdr:row>41</xdr:row>
      <xdr:rowOff>166158</xdr:rowOff>
    </xdr:to>
    <xdr:pic>
      <xdr:nvPicPr>
        <xdr:cNvPr id="6" name="Imagen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17" t="25915" r="38007" b="41008"/>
        <a:stretch/>
      </xdr:blipFill>
      <xdr:spPr>
        <a:xfrm>
          <a:off x="338667" y="5567891"/>
          <a:ext cx="7820025" cy="24193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1</xdr:rowOff>
    </xdr:from>
    <xdr:to>
      <xdr:col>10</xdr:col>
      <xdr:colOff>1026583</xdr:colOff>
      <xdr:row>74</xdr:row>
      <xdr:rowOff>167217</xdr:rowOff>
    </xdr:to>
    <xdr:pic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551" t="26624" r="36676" b="8842"/>
        <a:stretch/>
      </xdr:blipFill>
      <xdr:spPr>
        <a:xfrm>
          <a:off x="0" y="9535584"/>
          <a:ext cx="7757583" cy="4739216"/>
        </a:xfrm>
        <a:prstGeom prst="rect">
          <a:avLst/>
        </a:prstGeom>
      </xdr:spPr>
    </xdr:pic>
    <xdr:clientData/>
  </xdr:twoCellAnchor>
  <xdr:twoCellAnchor>
    <xdr:from>
      <xdr:col>4</xdr:col>
      <xdr:colOff>684633</xdr:colOff>
      <xdr:row>54</xdr:row>
      <xdr:rowOff>10583</xdr:rowOff>
    </xdr:from>
    <xdr:to>
      <xdr:col>10</xdr:col>
      <xdr:colOff>617110</xdr:colOff>
      <xdr:row>54</xdr:row>
      <xdr:rowOff>10583</xdr:rowOff>
    </xdr:to>
    <xdr:cxnSp macro="">
      <xdr:nvCxnSpPr>
        <xdr:cNvPr id="12" name="Conector recto de flecha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CxnSpPr/>
      </xdr:nvCxnSpPr>
      <xdr:spPr>
        <a:xfrm flipH="1">
          <a:off x="2843633" y="10308166"/>
          <a:ext cx="4504477" cy="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613191</xdr:colOff>
      <xdr:row>55</xdr:row>
      <xdr:rowOff>84667</xdr:rowOff>
    </xdr:from>
    <xdr:to>
      <xdr:col>10</xdr:col>
      <xdr:colOff>840953</xdr:colOff>
      <xdr:row>56</xdr:row>
      <xdr:rowOff>4233</xdr:rowOff>
    </xdr:to>
    <xdr:cxnSp macro="">
      <xdr:nvCxnSpPr>
        <xdr:cNvPr id="13" name="Conector recto de flecha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CxnSpPr/>
      </xdr:nvCxnSpPr>
      <xdr:spPr>
        <a:xfrm flipH="1" flipV="1">
          <a:off x="5058191" y="10572750"/>
          <a:ext cx="2513762" cy="110066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627379</xdr:colOff>
      <xdr:row>57</xdr:row>
      <xdr:rowOff>188383</xdr:rowOff>
    </xdr:from>
    <xdr:to>
      <xdr:col>10</xdr:col>
      <xdr:colOff>619334</xdr:colOff>
      <xdr:row>63</xdr:row>
      <xdr:rowOff>158750</xdr:rowOff>
    </xdr:to>
    <xdr:cxnSp macro="">
      <xdr:nvCxnSpPr>
        <xdr:cNvPr id="14" name="Conector recto de flecha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CxnSpPr/>
      </xdr:nvCxnSpPr>
      <xdr:spPr>
        <a:xfrm flipH="1">
          <a:off x="2786379" y="11057466"/>
          <a:ext cx="4563955" cy="1113367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289166</xdr:colOff>
      <xdr:row>59</xdr:row>
      <xdr:rowOff>12700</xdr:rowOff>
    </xdr:from>
    <xdr:to>
      <xdr:col>10</xdr:col>
      <xdr:colOff>644280</xdr:colOff>
      <xdr:row>64</xdr:row>
      <xdr:rowOff>52917</xdr:rowOff>
    </xdr:to>
    <xdr:cxnSp macro="">
      <xdr:nvCxnSpPr>
        <xdr:cNvPr id="15" name="Conector recto de flecha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CxnSpPr/>
      </xdr:nvCxnSpPr>
      <xdr:spPr>
        <a:xfrm flipH="1">
          <a:off x="3210166" y="11262783"/>
          <a:ext cx="4165114" cy="992717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645667</xdr:colOff>
      <xdr:row>60</xdr:row>
      <xdr:rowOff>10583</xdr:rowOff>
    </xdr:from>
    <xdr:to>
      <xdr:col>10</xdr:col>
      <xdr:colOff>666659</xdr:colOff>
      <xdr:row>64</xdr:row>
      <xdr:rowOff>105833</xdr:rowOff>
    </xdr:to>
    <xdr:cxnSp macro="">
      <xdr:nvCxnSpPr>
        <xdr:cNvPr id="16" name="Conector recto de flecha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CxnSpPr/>
      </xdr:nvCxnSpPr>
      <xdr:spPr>
        <a:xfrm flipH="1">
          <a:off x="3566667" y="11451166"/>
          <a:ext cx="3830992" cy="8572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369671</xdr:colOff>
      <xdr:row>61</xdr:row>
      <xdr:rowOff>42334</xdr:rowOff>
    </xdr:from>
    <xdr:to>
      <xdr:col>10</xdr:col>
      <xdr:colOff>814917</xdr:colOff>
      <xdr:row>64</xdr:row>
      <xdr:rowOff>127000</xdr:rowOff>
    </xdr:to>
    <xdr:cxnSp macro="">
      <xdr:nvCxnSpPr>
        <xdr:cNvPr id="17" name="Conector recto de flecha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CxnSpPr/>
      </xdr:nvCxnSpPr>
      <xdr:spPr>
        <a:xfrm flipH="1">
          <a:off x="4052671" y="11673417"/>
          <a:ext cx="3493246" cy="656166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634376</xdr:colOff>
      <xdr:row>62</xdr:row>
      <xdr:rowOff>83609</xdr:rowOff>
    </xdr:from>
    <xdr:to>
      <xdr:col>10</xdr:col>
      <xdr:colOff>1026583</xdr:colOff>
      <xdr:row>64</xdr:row>
      <xdr:rowOff>25400</xdr:rowOff>
    </xdr:to>
    <xdr:cxnSp macro="">
      <xdr:nvCxnSpPr>
        <xdr:cNvPr id="18" name="Conector recto de flecha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CxnSpPr>
          <a:stCxn id="8" idx="3"/>
        </xdr:cNvCxnSpPr>
      </xdr:nvCxnSpPr>
      <xdr:spPr>
        <a:xfrm flipH="1">
          <a:off x="6603376" y="11905192"/>
          <a:ext cx="1154207" cy="322791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12</xdr:row>
      <xdr:rowOff>0</xdr:rowOff>
    </xdr:from>
    <xdr:to>
      <xdr:col>12</xdr:col>
      <xdr:colOff>304800</xdr:colOff>
      <xdr:row>13</xdr:row>
      <xdr:rowOff>114300</xdr:rowOff>
    </xdr:to>
    <xdr:sp macro="" textlink="">
      <xdr:nvSpPr>
        <xdr:cNvPr id="2" name="AutoShape 5" descr="Imagen relacionada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39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108851</xdr:rowOff>
    </xdr:from>
    <xdr:to>
      <xdr:col>2</xdr:col>
      <xdr:colOff>285750</xdr:colOff>
      <xdr:row>67</xdr:row>
      <xdr:rowOff>11071</xdr:rowOff>
    </xdr:to>
    <xdr:pic macro="[0]!BORRA_DATOS">
      <xdr:nvPicPr>
        <xdr:cNvPr id="3" name="Imagen 2" descr="http://www.puntogeek.com/wp-content/uploads/2011/06/free-file-wiper.png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606276"/>
          <a:ext cx="666750" cy="664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5" name="AutoShape 5" descr="Imagen relacionada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433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6" name="AutoShape 5" descr="Imagen relacionada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471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7" name="AutoShape 5" descr="Imagen relacionada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509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8" name="AutoShape 5" descr="Imagen relacionada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547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9" name="AutoShape 5" descr="Imagen relacionada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585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18</xdr:row>
      <xdr:rowOff>0</xdr:rowOff>
    </xdr:from>
    <xdr:ext cx="304800" cy="304800"/>
    <xdr:sp macro="" textlink="">
      <xdr:nvSpPr>
        <xdr:cNvPr id="10" name="AutoShape 5" descr="Imagen relacionada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623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19</xdr:row>
      <xdr:rowOff>0</xdr:rowOff>
    </xdr:from>
    <xdr:ext cx="304800" cy="304800"/>
    <xdr:sp macro="" textlink="">
      <xdr:nvSpPr>
        <xdr:cNvPr id="11" name="AutoShape 5" descr="Imagen relacionada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661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20</xdr:row>
      <xdr:rowOff>0</xdr:rowOff>
    </xdr:from>
    <xdr:ext cx="304800" cy="304800"/>
    <xdr:sp macro="" textlink="">
      <xdr:nvSpPr>
        <xdr:cNvPr id="12" name="AutoShape 5" descr="Imagen relacionada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700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21</xdr:row>
      <xdr:rowOff>0</xdr:rowOff>
    </xdr:from>
    <xdr:ext cx="304800" cy="304800"/>
    <xdr:sp macro="" textlink="">
      <xdr:nvSpPr>
        <xdr:cNvPr id="13" name="AutoShape 5" descr="Imagen relacionada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738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22</xdr:row>
      <xdr:rowOff>0</xdr:rowOff>
    </xdr:from>
    <xdr:ext cx="304800" cy="304800"/>
    <xdr:sp macro="" textlink="">
      <xdr:nvSpPr>
        <xdr:cNvPr id="14" name="AutoShape 5" descr="Imagen relacionada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776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23</xdr:row>
      <xdr:rowOff>0</xdr:rowOff>
    </xdr:from>
    <xdr:ext cx="304800" cy="304800"/>
    <xdr:sp macro="" textlink="">
      <xdr:nvSpPr>
        <xdr:cNvPr id="15" name="AutoShape 5" descr="Imagen relacionada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814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24</xdr:row>
      <xdr:rowOff>0</xdr:rowOff>
    </xdr:from>
    <xdr:ext cx="304800" cy="304800"/>
    <xdr:sp macro="" textlink="">
      <xdr:nvSpPr>
        <xdr:cNvPr id="16" name="AutoShape 5" descr="Imagen relacionada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852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25</xdr:row>
      <xdr:rowOff>0</xdr:rowOff>
    </xdr:from>
    <xdr:ext cx="304800" cy="304800"/>
    <xdr:sp macro="" textlink="">
      <xdr:nvSpPr>
        <xdr:cNvPr id="17" name="AutoShape 5" descr="Imagen relacionada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26</xdr:row>
      <xdr:rowOff>0</xdr:rowOff>
    </xdr:from>
    <xdr:ext cx="304800" cy="304800"/>
    <xdr:sp macro="" textlink="">
      <xdr:nvSpPr>
        <xdr:cNvPr id="18" name="AutoShape 5" descr="Imagen relacionada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928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27</xdr:row>
      <xdr:rowOff>0</xdr:rowOff>
    </xdr:from>
    <xdr:ext cx="304800" cy="304800"/>
    <xdr:sp macro="" textlink="">
      <xdr:nvSpPr>
        <xdr:cNvPr id="19" name="AutoShape 5" descr="Imagen relacionada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96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28</xdr:row>
      <xdr:rowOff>0</xdr:rowOff>
    </xdr:from>
    <xdr:ext cx="304800" cy="304800"/>
    <xdr:sp macro="" textlink="">
      <xdr:nvSpPr>
        <xdr:cNvPr id="20" name="AutoShape 5" descr="Imagen relacionada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1004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1" name="AutoShape 5" descr="Imagen relacionada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1042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30</xdr:row>
      <xdr:rowOff>0</xdr:rowOff>
    </xdr:from>
    <xdr:ext cx="304800" cy="304800"/>
    <xdr:sp macro="" textlink="">
      <xdr:nvSpPr>
        <xdr:cNvPr id="22" name="AutoShape 5" descr="Imagen relacionada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7553325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PRODUCCION02-PCEST/Dropbox/1%20ADMINISTRACION/1.1%20REPORTES/1%20ROLES%20DE%20PAGO%20ASISTENCIA/Nomina%20BLANCO%20Pesca%202021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PRODUCCION02-PCEST" refreshedDate="44694.559885300929" createdVersion="5" refreshedVersion="5" minRefreshableVersion="3" recordCount="594">
  <cacheSource type="worksheet">
    <worksheetSource ref="A2:L596" sheet="Reg_Partic_Pesc" r:id="rId2"/>
  </cacheSource>
  <cacheFields count="12">
    <cacheField name="CONT_NOCH" numFmtId="0">
      <sharedItems containsString="0" containsBlank="1" containsNumber="1" containsInteger="1" minValue="0" maxValue="0"/>
    </cacheField>
    <cacheField name="NOCHE" numFmtId="0">
      <sharedItems containsNonDate="0" containsBlank="1" count="11">
        <m/>
        <s v="/" u="1"/>
        <s v="6/6" u="1"/>
        <s v="3/4" u="1"/>
        <s v="4/4" u="1"/>
        <s v="1/2" u="1"/>
        <s v=" " u="1"/>
        <s v="1/4" u="1"/>
        <s v="5/6" u="1"/>
        <s v="1/6" u="1"/>
        <s v="2/4" u="1"/>
      </sharedItems>
    </cacheField>
    <cacheField name="FECHA" numFmtId="0">
      <sharedItems containsNonDate="0" containsString="0" containsBlank="1"/>
    </cacheField>
    <cacheField name="AGUAJE" numFmtId="0">
      <sharedItems containsNonDate="0" containsString="0" containsBlank="1"/>
    </cacheField>
    <cacheField name="#" numFmtId="0">
      <sharedItems containsNonDate="0" containsString="0" containsBlank="1"/>
    </cacheField>
    <cacheField name="APELLIDOS Y NOMBRES" numFmtId="0">
      <sharedItems containsNonDate="0" containsBlank="1" count="79">
        <m/>
        <s v="MAZA SUPE CRISTIAN FERNANDO" u="1"/>
        <s v="PINTA PINTA WILMER ROLANDO" u="1"/>
        <s v="ARMIJOS MIÑAN ANGEL" u="1"/>
        <s v="CHAMBA BARSALLO ROBERTO CARLOS" u="1"/>
        <s v="PEREIRA VIDAL JOSE RAMIRO" u="1"/>
        <s v="CEDEÑO CHILAN SEGUNDO VICENTE" u="1"/>
        <s v="ORTIZ MENDEZ EDWIN ELOY" u="1"/>
        <s v="CANGO CUEVA FRANCISCO ARMANDO" u="1"/>
        <s v="POMA CANGO CARLOS ANDRES" u="1"/>
        <s v="ORTIZ CORONEL WILMER ALBERTO" u="1"/>
        <s v="PINTA PINTA OMAR PATRICIO" u="1"/>
        <s v="PIÑA LUCERO JOSE DAVID" u="1"/>
        <s v="JARA ARMIJOS MARIO FABIAN" u="1"/>
        <s v="PEÑA CEDEÑO JOSE PERFECTO" u="1"/>
        <s v="LOZANO MANZABA BRYAN RENE" u="1"/>
        <s v="SIMANCAS CANGO EDISON JOVANY" u="1"/>
        <s v="QUITO CONZA MANUEL ANDRES" u="1"/>
        <s v="RUIZ RUIZ DIEGO PATRICIO" u="1"/>
        <s v="POMA RECTO ANGEL IVAN" u="1"/>
        <s v="HELGUERO MARTINEZ CARLOS RENE" u="1"/>
        <s v="RODRIGUEZ CASTILLO JULIO CESAR" u="1"/>
        <s v="BRIONES DAVILA ROBERTH SAMUEL" u="1"/>
        <s v="CARRION CORONEL JORGE LUIS" u="1"/>
        <s v="QUITO QUEVEDO JONATHAN GERMAN " u="1"/>
        <s v="CHAMBA MASACHE DENNIS ISRAEL" u="1"/>
        <s v="CUEVA SOTO LENIN ULISES" u="1"/>
        <s v="CEDEÑO LOOR EDWIN JOSE" u="1"/>
        <s v="CANGO CUEVA DIEGO POLO" u="1"/>
        <s v="ROBLES BUSTAMANTE CARLOS" u="1"/>
        <s v="JARAMILLO CUMBICUS DANIEL VICENTE" u="1"/>
        <s v="MAZA CABRERA RICHARD SANTIAGO" u="1"/>
        <s v="CASTILLO JARAMILLO JOE ABRAHAM" u="1"/>
        <s v="SOTO CANGO ROBER CORNELIO" u="1"/>
        <s v="BRAVO QUINTO JORGE DANIEL" u="1"/>
        <s v="CRISOSTOMO SOTO LUIS GUSTAVO" u="1"/>
        <s v="LUNA PINTA JUAN DIEGO" u="1"/>
        <s v="CANGO QUITO JOSE LEOVARDO" u="1"/>
        <s v="SOTO AGUIRRE CHRISTIAN ROBERTO" u="1"/>
        <s v="HERNANDEZ VALENCIA CARLOS ALBERTO" u="1"/>
        <s v="CEVALLOS ALAY MELVIN DAVID" u="1"/>
        <s v="AGUILAR QUINCHE ANGEL ANTONIO" u="1"/>
        <s v="GOMEZ PARRA  RICARDO JOEL" u="1"/>
        <s v="CHAMBA BARSALLO ROBERTO CARLOS " u="1"/>
        <s v="AGUILAR SOTO JOSE MEDARDO" u="1"/>
        <s v="SIMANCAS AGUILAR DAVID MOISES" u="1"/>
        <s v="SIMANCAS QUEZADA ORLANDO BAUDILIO" u="1"/>
        <s v="POMA CANGO LENIN PAUL" u="1"/>
        <s v="MATAILO MATAILO JOSE EFRAIN" u="1"/>
        <s v="GONZABAY REYES ROSSEL ADRIAN" u="1"/>
        <s v="JARA ARMIJOS CESAR HOMERO" u="1"/>
        <s v="GUEVARA HERRERA NICOLAS ENRIQUE" u="1"/>
        <s v="CEREZO SANCHEZ CARLOS LEONARDO" u="1"/>
        <s v="JARA ARMIJOS BYRON GERMAN" u="1"/>
        <s v="MATAILO PINTA JOSE FABIAN" u="1"/>
        <s v="PINTA AGUILAR DIEGO FERNANDO" u="1"/>
        <s v="CHAMBA CANGO DARIO JAVIER" u="1"/>
        <s v="CANGO CASTILLO JOSE SANTIAGO" u="1"/>
        <s v=" " u="1"/>
        <s v="GOMEZ JUMBO YORGIN" u="1"/>
        <s v="CHAMBA PINTA GILBER ALBERTO" u="1"/>
        <s v="CASTILLO OCHOA HERIBERTO GUILLERMO" u="1"/>
        <s v="CHAGNA MORALES ARMANDO PAUL" u="1"/>
        <s v="JARAMILLO PAREDES MILTON GERMAN" u="1"/>
        <s v="GOMEZ ESPINOZA GASTON SANTOS" u="1"/>
        <s v="ESPINOZA DIAZ SANTOS PEDRO" u="1"/>
        <s v="CHILA QUIÑONEZ KLEBER FELIPE" u="1"/>
        <s v="ACARO HERRERA ESTALIN RODRIGO" u="1"/>
        <s v="CASTILLO PINTA EDWIN MESIAS" u="1"/>
        <s v="PINTA MATAILO REIMUNDO ROMELIO" u="1"/>
        <s v="ARMIJOS MIÑAN ANGEL OSWALDO" u="1"/>
        <s v="CONTENTO LIVIZACA RUDY ANDRES" u="1"/>
        <s v="GONZAGA ALVARADO LUIS FERNANDO" u="1"/>
        <s v="MATAILO PINTA MIGUEL ANGEL" u="1"/>
        <s v="RUIZ FLORES VICTOR MANUEL" u="1"/>
        <s v="CUEVA CANGO JONATHAN DANIEL" u="1"/>
        <s v="CUEVA LUDEÑA MANUEL DE JESUS" u="1"/>
        <s v="JIMENEZ VEGA HOLGER ALONSO" u="1"/>
        <s v="AVILA AVILA STALIN JEFFERSON" u="1"/>
      </sharedItems>
    </cacheField>
    <cacheField name="FUNCION" numFmtId="0">
      <sharedItems containsNonDate="0" containsBlank="1" count="10">
        <m/>
        <s v="2.- Pesador" u="1"/>
        <s v="4.- Tratador" u="1"/>
        <s v="3.- Estibador" u="1"/>
        <s v="5.- Ayu.Tratador" u="1"/>
        <s v=" " u="1"/>
        <s v="1.- Bolsero" u="1"/>
        <s v="7.- Chofer" u="1"/>
        <s v="5.- Gavetero" u="1"/>
        <s v="6.- Gavetero" u="1"/>
      </sharedItems>
    </cacheField>
    <cacheField name="PSC" numFmtId="0">
      <sharedItems containsNonDate="0" containsString="0" containsBlank="1"/>
    </cacheField>
    <cacheField name="EMPRESA" numFmtId="0">
      <sharedItems containsNonDate="0" containsString="0" containsBlank="1" containsNumber="1" containsInteger="1" minValue="0" maxValue="0" count="2">
        <m/>
        <n v="0" u="1"/>
      </sharedItems>
    </cacheField>
    <cacheField name="PSC # PESC" numFmtId="0">
      <sharedItems containsNonDate="0" containsString="0" containsBlank="1"/>
    </cacheField>
    <cacheField name="CONT" numFmtId="0">
      <sharedItems containsNonDate="0" containsString="0" containsBlank="1"/>
    </cacheField>
    <cacheField name="HORA INICI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4"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  <r>
    <m/>
    <x v="0"/>
    <m/>
    <m/>
    <m/>
    <x v="0"/>
    <x v="0"/>
    <m/>
    <x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1" cacheId="46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L4:N4" firstHeaderRow="1" firstDataRow="1" firstDataCol="2" rowPageCount="2" colPageCount="1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1">
        <item h="1" x="0"/>
        <item m="1" x="2"/>
        <item m="1" x="6"/>
        <item m="1" x="8"/>
        <item m="1" x="9"/>
        <item m="1" x="5"/>
        <item h="1" m="1" x="1"/>
        <item h="1" m="1" x="7"/>
        <item m="1" x="4"/>
        <item m="1" x="3"/>
        <item h="1" m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79">
        <item m="1" x="58"/>
        <item m="1" x="67"/>
        <item m="1" x="41"/>
        <item m="1" x="44"/>
        <item m="1" x="3"/>
        <item m="1" x="70"/>
        <item m="1" x="78"/>
        <item m="1" x="34"/>
        <item m="1" x="22"/>
        <item m="1" x="57"/>
        <item m="1" x="28"/>
        <item m="1" x="8"/>
        <item m="1" x="37"/>
        <item m="1" x="23"/>
        <item m="1" x="32"/>
        <item m="1" x="61"/>
        <item m="1" x="68"/>
        <item m="1" x="6"/>
        <item m="1" x="27"/>
        <item m="1" x="52"/>
        <item m="1" x="40"/>
        <item m="1" x="62"/>
        <item m="1" x="4"/>
        <item m="1" x="43"/>
        <item m="1" x="56"/>
        <item m="1" x="25"/>
        <item m="1" x="60"/>
        <item m="1" x="66"/>
        <item m="1" x="71"/>
        <item m="1" x="35"/>
        <item m="1" x="75"/>
        <item m="1" x="76"/>
        <item m="1" x="26"/>
        <item m="1" x="65"/>
        <item m="1" x="64"/>
        <item m="1" x="59"/>
        <item m="1" x="42"/>
        <item m="1" x="49"/>
        <item m="1" x="72"/>
        <item m="1" x="51"/>
        <item m="1" x="20"/>
        <item m="1" x="39"/>
        <item m="1" x="53"/>
        <item m="1" x="50"/>
        <item m="1" x="13"/>
        <item m="1" x="30"/>
        <item m="1" x="63"/>
        <item m="1" x="77"/>
        <item m="1" x="15"/>
        <item m="1" x="36"/>
        <item m="1" x="48"/>
        <item m="1" x="54"/>
        <item m="1" x="73"/>
        <item m="1" x="31"/>
        <item m="1" x="1"/>
        <item m="1" x="10"/>
        <item m="1" x="7"/>
        <item m="1" x="14"/>
        <item m="1" x="5"/>
        <item m="1" x="55"/>
        <item m="1" x="69"/>
        <item m="1" x="11"/>
        <item m="1" x="2"/>
        <item m="1" x="12"/>
        <item m="1" x="9"/>
        <item m="1" x="47"/>
        <item m="1" x="19"/>
        <item m="1" x="17"/>
        <item m="1" x="24"/>
        <item m="1" x="29"/>
        <item m="1" x="21"/>
        <item m="1" x="74"/>
        <item m="1" x="18"/>
        <item m="1" x="45"/>
        <item m="1" x="16"/>
        <item m="1" x="46"/>
        <item m="1" x="38"/>
        <item m="1" x="33"/>
        <item sd="0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10">
        <item m="1" x="6"/>
        <item m="1" x="1"/>
        <item m="1" x="3"/>
        <item m="1" x="2"/>
        <item m="1" x="4"/>
        <item m="1" x="9"/>
        <item m="1" x="7"/>
        <item x="0"/>
        <item m="1" x="5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7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6"/>
  </rowFields>
  <colItems count="1">
    <i/>
  </colItems>
  <pageFields count="2">
    <pageField fld="1" hier="-1"/>
    <pageField fld="8" hier="-1"/>
  </pageFields>
  <dataFields count="1">
    <dataField name="Cuenta de FUNCION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10" cacheId="46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A4:C4" firstHeaderRow="1" firstDataRow="1" firstDataCol="2" rowPageCount="2" colPageCount="1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1">
        <item h="1" x="0"/>
        <item m="1" x="2"/>
        <item h="1" m="1" x="6"/>
        <item m="1" x="8"/>
        <item h="1" m="1" x="9"/>
        <item h="1" m="1" x="5"/>
        <item h="1" m="1" x="1"/>
        <item m="1" x="7"/>
        <item h="1" m="1" x="4"/>
        <item h="1" m="1" x="3"/>
        <item m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79">
        <item m="1" x="58"/>
        <item m="1" x="67"/>
        <item m="1" x="41"/>
        <item m="1" x="44"/>
        <item m="1" x="3"/>
        <item m="1" x="70"/>
        <item m="1" x="78"/>
        <item m="1" x="34"/>
        <item m="1" x="22"/>
        <item m="1" x="57"/>
        <item m="1" x="28"/>
        <item m="1" x="8"/>
        <item m="1" x="37"/>
        <item m="1" x="23"/>
        <item m="1" x="32"/>
        <item m="1" x="61"/>
        <item m="1" x="68"/>
        <item m="1" x="6"/>
        <item m="1" x="27"/>
        <item m="1" x="52"/>
        <item m="1" x="40"/>
        <item m="1" x="62"/>
        <item m="1" x="4"/>
        <item m="1" x="43"/>
        <item m="1" x="56"/>
        <item m="1" x="25"/>
        <item m="1" x="60"/>
        <item m="1" x="66"/>
        <item m="1" x="71"/>
        <item m="1" x="35"/>
        <item m="1" x="75"/>
        <item m="1" x="76"/>
        <item m="1" x="26"/>
        <item m="1" x="65"/>
        <item m="1" x="64"/>
        <item m="1" x="59"/>
        <item m="1" x="42"/>
        <item m="1" x="49"/>
        <item m="1" x="72"/>
        <item m="1" x="51"/>
        <item m="1" x="20"/>
        <item m="1" x="39"/>
        <item m="1" x="53"/>
        <item m="1" x="50"/>
        <item m="1" x="13"/>
        <item m="1" x="30"/>
        <item m="1" x="63"/>
        <item m="1" x="77"/>
        <item m="1" x="15"/>
        <item m="1" x="36"/>
        <item m="1" x="48"/>
        <item m="1" x="54"/>
        <item m="1" x="73"/>
        <item m="1" x="31"/>
        <item m="1" x="1"/>
        <item m="1" x="10"/>
        <item m="1" x="7"/>
        <item m="1" x="14"/>
        <item m="1" x="5"/>
        <item m="1" x="55"/>
        <item m="1" x="69"/>
        <item m="1" x="11"/>
        <item m="1" x="2"/>
        <item m="1" x="12"/>
        <item m="1" x="9"/>
        <item m="1" x="47"/>
        <item m="1" x="19"/>
        <item m="1" x="17"/>
        <item m="1" x="24"/>
        <item m="1" x="29"/>
        <item m="1" x="21"/>
        <item m="1" x="74"/>
        <item m="1" x="18"/>
        <item m="1" x="45"/>
        <item m="1" x="16"/>
        <item m="1" x="46"/>
        <item m="1" x="38"/>
        <item m="1" x="3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10">
        <item m="1" x="6"/>
        <item m="1" x="1"/>
        <item m="1" x="3"/>
        <item m="1" x="2"/>
        <item m="1" x="4"/>
        <item m="1" x="9"/>
        <item m="1" x="7"/>
        <item x="0"/>
        <item m="1" x="5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7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6"/>
  </rowFields>
  <colItems count="1">
    <i/>
  </colItems>
  <pageFields count="2">
    <pageField fld="1" hier="-1"/>
    <pageField fld="8" hier="-1"/>
  </pageFields>
  <dataFields count="1">
    <dataField name="Cuenta de FUNCION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F0"/>
  </sheetPr>
  <dimension ref="A1:AE20"/>
  <sheetViews>
    <sheetView zoomScaleNormal="100" workbookViewId="0">
      <pane xSplit="4" ySplit="4" topLeftCell="S5" activePane="bottomRight" state="frozen"/>
      <selection pane="topRight" activeCell="E1" sqref="E1"/>
      <selection pane="bottomLeft" activeCell="A5" sqref="A5"/>
      <selection pane="bottomRight" activeCell="AD18" sqref="AD18"/>
    </sheetView>
  </sheetViews>
  <sheetFormatPr baseColWidth="10" defaultRowHeight="15" x14ac:dyDescent="0.25"/>
  <cols>
    <col min="1" max="1" width="5.140625" style="18" customWidth="1"/>
    <col min="2" max="2" width="33.42578125" style="19" bestFit="1" customWidth="1"/>
    <col min="3" max="3" width="15.5703125" style="19" bestFit="1" customWidth="1"/>
    <col min="4" max="4" width="12.85546875" style="19" bestFit="1" customWidth="1"/>
    <col min="5" max="5" width="11.42578125" style="23"/>
    <col min="6" max="6" width="9.7109375" style="23" customWidth="1"/>
    <col min="7" max="7" width="9.5703125" style="19" bestFit="1" customWidth="1"/>
    <col min="8" max="8" width="10.7109375" style="19" customWidth="1"/>
    <col min="9" max="9" width="33" style="19" customWidth="1"/>
    <col min="10" max="10" width="8.7109375" style="19" customWidth="1"/>
    <col min="11" max="11" width="9.85546875" style="19" customWidth="1"/>
    <col min="12" max="12" width="11.42578125" style="19"/>
    <col min="13" max="13" width="9.85546875" style="19" customWidth="1"/>
    <col min="14" max="14" width="8.5703125" style="19" customWidth="1"/>
    <col min="15" max="15" width="8.28515625" style="19" customWidth="1"/>
    <col min="16" max="16" width="9.85546875" style="19" customWidth="1"/>
    <col min="17" max="17" width="8.7109375" customWidth="1"/>
    <col min="18" max="18" width="10" bestFit="1" customWidth="1"/>
    <col min="21" max="21" width="12.28515625" customWidth="1"/>
    <col min="23" max="23" width="13.85546875" customWidth="1"/>
    <col min="24" max="24" width="13" customWidth="1"/>
    <col min="26" max="26" width="12.85546875" customWidth="1"/>
    <col min="27" max="28" width="13" customWidth="1"/>
    <col min="29" max="29" width="13.7109375" bestFit="1" customWidth="1"/>
  </cols>
  <sheetData>
    <row r="1" spans="1:31" ht="28.5" customHeight="1" x14ac:dyDescent="0.4">
      <c r="B1" s="306" t="s">
        <v>44</v>
      </c>
      <c r="C1" s="306"/>
      <c r="D1" s="306"/>
    </row>
    <row r="2" spans="1:31" ht="18.75" x14ac:dyDescent="0.3">
      <c r="B2" s="232" t="s">
        <v>91</v>
      </c>
      <c r="C2" s="233"/>
      <c r="D2" s="233"/>
      <c r="R2" s="25"/>
    </row>
    <row r="3" spans="1:31" s="221" customFormat="1" ht="20.25" customHeight="1" x14ac:dyDescent="0.3">
      <c r="A3" s="220"/>
      <c r="B3" s="232" t="s">
        <v>188</v>
      </c>
      <c r="C3" s="234"/>
      <c r="D3" s="234"/>
      <c r="E3" s="222"/>
      <c r="F3" s="222"/>
    </row>
    <row r="4" spans="1:31" ht="23.25" customHeight="1" x14ac:dyDescent="0.25">
      <c r="A4" s="20" t="s">
        <v>68</v>
      </c>
      <c r="B4" s="282" t="s">
        <v>60</v>
      </c>
      <c r="C4" s="282" t="s">
        <v>52</v>
      </c>
      <c r="D4" s="282" t="s">
        <v>1</v>
      </c>
      <c r="E4" s="283" t="s">
        <v>61</v>
      </c>
      <c r="F4" s="24" t="s">
        <v>53</v>
      </c>
      <c r="G4" s="21" t="s">
        <v>87</v>
      </c>
      <c r="H4" s="282" t="s">
        <v>62</v>
      </c>
      <c r="I4" s="282" t="s">
        <v>63</v>
      </c>
      <c r="J4" s="284" t="s">
        <v>66</v>
      </c>
      <c r="K4" s="20" t="s">
        <v>58</v>
      </c>
      <c r="L4" s="282" t="s">
        <v>67</v>
      </c>
      <c r="M4" s="20" t="s">
        <v>58</v>
      </c>
      <c r="N4" s="196" t="s">
        <v>64</v>
      </c>
      <c r="O4" s="21" t="s">
        <v>86</v>
      </c>
      <c r="P4" s="21" t="s">
        <v>65</v>
      </c>
      <c r="Q4" s="21" t="s">
        <v>90</v>
      </c>
      <c r="R4" s="21"/>
      <c r="S4" s="21"/>
      <c r="T4" s="21" t="s">
        <v>69</v>
      </c>
      <c r="U4" s="21" t="s">
        <v>70</v>
      </c>
      <c r="V4" s="21" t="s">
        <v>71</v>
      </c>
      <c r="W4" s="21" t="s">
        <v>72</v>
      </c>
      <c r="X4" s="21" t="s">
        <v>73</v>
      </c>
      <c r="Y4" s="21" t="s">
        <v>74</v>
      </c>
      <c r="Z4" s="21" t="s">
        <v>75</v>
      </c>
      <c r="AA4" s="21" t="s">
        <v>76</v>
      </c>
      <c r="AB4" s="21" t="s">
        <v>31</v>
      </c>
      <c r="AC4" s="21" t="s">
        <v>77</v>
      </c>
      <c r="AD4" s="284" t="s">
        <v>200</v>
      </c>
      <c r="AE4" s="14"/>
    </row>
    <row r="5" spans="1:31" ht="18" customHeight="1" x14ac:dyDescent="0.25">
      <c r="A5" s="197">
        <v>1</v>
      </c>
      <c r="B5" s="198" t="s">
        <v>182</v>
      </c>
      <c r="C5" s="198" t="s">
        <v>35</v>
      </c>
      <c r="D5" s="198" t="s">
        <v>24</v>
      </c>
      <c r="E5" s="304">
        <v>488.08</v>
      </c>
      <c r="F5" s="199"/>
      <c r="G5" s="198"/>
      <c r="H5" s="200">
        <v>41039</v>
      </c>
      <c r="I5" s="201" t="s">
        <v>183</v>
      </c>
      <c r="J5" s="197" t="s">
        <v>59</v>
      </c>
      <c r="K5" s="202"/>
      <c r="L5" s="197" t="s">
        <v>59</v>
      </c>
      <c r="M5" s="202"/>
      <c r="N5" s="203" t="s">
        <v>59</v>
      </c>
      <c r="O5" s="197" t="s">
        <v>59</v>
      </c>
      <c r="P5" s="202"/>
      <c r="Q5" s="204" t="str">
        <f t="shared" ref="Q5:Q19" si="0">IF(AND(ISTEXT(B5)),B5,"")</f>
        <v>ARMIJOS MIÑAN ANGEL OSWALDO</v>
      </c>
      <c r="R5" s="205"/>
      <c r="S5" s="205"/>
      <c r="T5" s="209">
        <v>1010922662</v>
      </c>
      <c r="U5" s="205"/>
      <c r="V5" s="206"/>
      <c r="W5" s="207"/>
      <c r="X5" s="207"/>
      <c r="Y5" s="207"/>
      <c r="Z5" s="207"/>
      <c r="AA5" s="207"/>
      <c r="AB5" s="207"/>
      <c r="AC5" s="207" t="s">
        <v>184</v>
      </c>
      <c r="AD5" s="281" t="s">
        <v>201</v>
      </c>
      <c r="AE5" s="208"/>
    </row>
    <row r="6" spans="1:31" ht="18" customHeight="1" x14ac:dyDescent="0.25">
      <c r="A6" s="197">
        <f t="shared" ref="A6:A19" si="1">IF(AND(ISTEXT(B6)),A5+1,"")</f>
        <v>2</v>
      </c>
      <c r="B6" s="210" t="s">
        <v>186</v>
      </c>
      <c r="C6" s="211" t="s">
        <v>187</v>
      </c>
      <c r="D6" s="217" t="s">
        <v>18</v>
      </c>
      <c r="E6" s="304">
        <v>476.58</v>
      </c>
      <c r="F6" s="199"/>
      <c r="G6" s="198"/>
      <c r="H6" s="212">
        <v>43594</v>
      </c>
      <c r="I6" s="201" t="s">
        <v>175</v>
      </c>
      <c r="J6" s="197" t="s">
        <v>59</v>
      </c>
      <c r="K6" s="213"/>
      <c r="L6" s="213" t="s">
        <v>162</v>
      </c>
      <c r="M6" s="213"/>
      <c r="N6" s="203" t="s">
        <v>162</v>
      </c>
      <c r="O6" s="214" t="s">
        <v>162</v>
      </c>
      <c r="P6" s="215"/>
      <c r="Q6" s="204" t="str">
        <f t="shared" si="0"/>
        <v>ORTIZ CORONEL WILMER ALBERTO</v>
      </c>
      <c r="R6" s="205"/>
      <c r="S6" s="205"/>
      <c r="T6" s="209" t="s">
        <v>185</v>
      </c>
      <c r="U6" s="216"/>
      <c r="V6" s="216"/>
      <c r="W6" s="216"/>
      <c r="X6" s="216"/>
      <c r="Y6" s="216"/>
      <c r="Z6" s="216"/>
      <c r="AA6" s="216"/>
      <c r="AB6" s="216"/>
      <c r="AC6" s="216"/>
      <c r="AD6" s="281" t="s">
        <v>202</v>
      </c>
      <c r="AE6" s="208"/>
    </row>
    <row r="7" spans="1:31" ht="18" customHeight="1" x14ac:dyDescent="0.25">
      <c r="A7" s="197">
        <f t="shared" si="1"/>
        <v>3</v>
      </c>
      <c r="B7" s="217" t="s">
        <v>212</v>
      </c>
      <c r="C7" s="217" t="s">
        <v>213</v>
      </c>
      <c r="D7" s="217" t="s">
        <v>18</v>
      </c>
      <c r="E7" s="304">
        <v>476.58</v>
      </c>
      <c r="F7" s="218"/>
      <c r="G7" s="198"/>
      <c r="H7" s="235">
        <v>44467</v>
      </c>
      <c r="I7" s="219" t="s">
        <v>214</v>
      </c>
      <c r="J7" s="197" t="s">
        <v>162</v>
      </c>
      <c r="K7" s="213"/>
      <c r="L7" s="213" t="s">
        <v>162</v>
      </c>
      <c r="M7" s="217"/>
      <c r="N7" s="203" t="s">
        <v>162</v>
      </c>
      <c r="O7" s="214" t="s">
        <v>162</v>
      </c>
      <c r="P7" s="217"/>
      <c r="Q7" s="204" t="str">
        <f t="shared" si="0"/>
        <v>MERECI MOREIRA LUIS FERNANDO</v>
      </c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281" t="s">
        <v>201</v>
      </c>
      <c r="AE7" s="14"/>
    </row>
    <row r="8" spans="1:31" ht="18" customHeight="1" x14ac:dyDescent="0.25">
      <c r="A8" s="197">
        <f t="shared" si="1"/>
        <v>4</v>
      </c>
      <c r="B8" s="217" t="s">
        <v>215</v>
      </c>
      <c r="C8" s="217" t="s">
        <v>216</v>
      </c>
      <c r="D8" s="217" t="s">
        <v>18</v>
      </c>
      <c r="E8" s="304">
        <v>476.58</v>
      </c>
      <c r="F8" s="218"/>
      <c r="G8" s="198"/>
      <c r="H8" s="235">
        <v>44986</v>
      </c>
      <c r="I8" s="219" t="s">
        <v>217</v>
      </c>
      <c r="J8" s="197" t="s">
        <v>162</v>
      </c>
      <c r="K8" s="213"/>
      <c r="L8" s="213" t="s">
        <v>162</v>
      </c>
      <c r="M8" s="217"/>
      <c r="N8" s="203" t="s">
        <v>162</v>
      </c>
      <c r="O8" s="214" t="s">
        <v>162</v>
      </c>
      <c r="P8" s="217"/>
      <c r="Q8" s="204" t="str">
        <f t="shared" si="0"/>
        <v>VELEZ PALACIOS RICARDO JOSE</v>
      </c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281" t="s">
        <v>202</v>
      </c>
      <c r="AE8" s="14"/>
    </row>
    <row r="9" spans="1:31" x14ac:dyDescent="0.25">
      <c r="A9" s="197">
        <f t="shared" si="1"/>
        <v>5</v>
      </c>
      <c r="B9" s="217" t="s">
        <v>219</v>
      </c>
      <c r="C9" s="217" t="s">
        <v>220</v>
      </c>
      <c r="D9" s="217" t="s">
        <v>18</v>
      </c>
      <c r="E9" s="304">
        <v>476.58</v>
      </c>
      <c r="F9" s="218"/>
      <c r="G9" s="198"/>
      <c r="H9" s="235">
        <v>45107</v>
      </c>
      <c r="I9" s="219" t="s">
        <v>218</v>
      </c>
      <c r="J9" s="197" t="s">
        <v>162</v>
      </c>
      <c r="K9" s="213"/>
      <c r="L9" s="213" t="s">
        <v>162</v>
      </c>
      <c r="M9" s="217"/>
      <c r="N9" s="203" t="s">
        <v>162</v>
      </c>
      <c r="O9" s="214" t="s">
        <v>162</v>
      </c>
      <c r="P9" s="217"/>
      <c r="Q9" s="204" t="str">
        <f t="shared" si="0"/>
        <v>FERNANDEZ VELEZ OSCAR FORTUNATO</v>
      </c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281" t="s">
        <v>201</v>
      </c>
      <c r="AE9" s="14"/>
    </row>
    <row r="10" spans="1:31" x14ac:dyDescent="0.25">
      <c r="A10" s="197">
        <f t="shared" si="1"/>
        <v>6</v>
      </c>
      <c r="B10" s="217" t="s">
        <v>228</v>
      </c>
      <c r="C10" s="217" t="s">
        <v>221</v>
      </c>
      <c r="D10" s="217" t="s">
        <v>18</v>
      </c>
      <c r="E10" s="304">
        <v>476.58</v>
      </c>
      <c r="F10" s="218"/>
      <c r="G10" s="198"/>
      <c r="H10" s="235">
        <v>45261</v>
      </c>
      <c r="I10" s="219" t="s">
        <v>222</v>
      </c>
      <c r="J10" s="197" t="s">
        <v>162</v>
      </c>
      <c r="K10" s="213"/>
      <c r="L10" s="213" t="s">
        <v>162</v>
      </c>
      <c r="M10" s="217"/>
      <c r="N10" s="203" t="s">
        <v>162</v>
      </c>
      <c r="O10" s="214" t="s">
        <v>162</v>
      </c>
      <c r="P10" s="217"/>
      <c r="Q10" s="204" t="str">
        <f t="shared" si="0"/>
        <v>CAMACHO CAMACHO CHRISTIAN EDUARDO</v>
      </c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281" t="s">
        <v>202</v>
      </c>
      <c r="AE10" s="14"/>
    </row>
    <row r="11" spans="1:31" x14ac:dyDescent="0.25">
      <c r="A11" s="197">
        <f t="shared" si="1"/>
        <v>7</v>
      </c>
      <c r="B11" s="217" t="s">
        <v>223</v>
      </c>
      <c r="C11" s="217" t="s">
        <v>224</v>
      </c>
      <c r="D11" s="217" t="s">
        <v>18</v>
      </c>
      <c r="E11" s="304">
        <v>476.58</v>
      </c>
      <c r="F11" s="218"/>
      <c r="G11" s="198"/>
      <c r="H11" s="235">
        <v>45261</v>
      </c>
      <c r="I11" s="219" t="s">
        <v>225</v>
      </c>
      <c r="J11" s="197" t="s">
        <v>162</v>
      </c>
      <c r="K11" s="213"/>
      <c r="L11" s="213" t="s">
        <v>162</v>
      </c>
      <c r="M11" s="217"/>
      <c r="N11" s="203" t="s">
        <v>162</v>
      </c>
      <c r="O11" s="214" t="s">
        <v>162</v>
      </c>
      <c r="P11" s="217"/>
      <c r="Q11" s="204" t="str">
        <f t="shared" si="0"/>
        <v>HERRERA ORDOÑEZ ELVIS ANTONIO</v>
      </c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281" t="s">
        <v>202</v>
      </c>
      <c r="AE11" s="14"/>
    </row>
    <row r="12" spans="1:31" x14ac:dyDescent="0.25">
      <c r="A12" s="197">
        <f t="shared" si="1"/>
        <v>8</v>
      </c>
      <c r="B12" s="217" t="s">
        <v>226</v>
      </c>
      <c r="C12" s="217" t="s">
        <v>227</v>
      </c>
      <c r="D12" s="217" t="s">
        <v>18</v>
      </c>
      <c r="E12" s="304">
        <v>476.58</v>
      </c>
      <c r="F12" s="218"/>
      <c r="G12" s="198"/>
      <c r="H12" s="235">
        <v>45310</v>
      </c>
      <c r="I12" s="219" t="s">
        <v>222</v>
      </c>
      <c r="J12" s="197" t="s">
        <v>162</v>
      </c>
      <c r="K12" s="213"/>
      <c r="L12" s="213" t="s">
        <v>162</v>
      </c>
      <c r="M12" s="217"/>
      <c r="N12" s="203" t="s">
        <v>162</v>
      </c>
      <c r="O12" s="214" t="s">
        <v>162</v>
      </c>
      <c r="P12" s="217"/>
      <c r="Q12" s="204" t="str">
        <f t="shared" si="0"/>
        <v>AREVALO SANCHEZ MAURICIO RAFAEL</v>
      </c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281" t="s">
        <v>202</v>
      </c>
      <c r="AE12" s="14"/>
    </row>
    <row r="13" spans="1:31" x14ac:dyDescent="0.25">
      <c r="A13" s="197">
        <f t="shared" si="1"/>
        <v>9</v>
      </c>
      <c r="B13" s="217" t="s">
        <v>229</v>
      </c>
      <c r="C13" s="217" t="s">
        <v>230</v>
      </c>
      <c r="D13" s="217" t="s">
        <v>18</v>
      </c>
      <c r="E13" s="304">
        <v>476.58</v>
      </c>
      <c r="F13" s="218"/>
      <c r="G13" s="198"/>
      <c r="H13" s="235">
        <v>45685</v>
      </c>
      <c r="I13" s="219" t="s">
        <v>222</v>
      </c>
      <c r="J13" s="197" t="s">
        <v>162</v>
      </c>
      <c r="K13" s="213"/>
      <c r="L13" s="213" t="s">
        <v>162</v>
      </c>
      <c r="M13" s="217"/>
      <c r="N13" s="203" t="s">
        <v>162</v>
      </c>
      <c r="O13" s="214" t="s">
        <v>162</v>
      </c>
      <c r="P13" s="217"/>
      <c r="Q13" s="204" t="str">
        <f t="shared" si="0"/>
        <v>CALLE RAMOS JHONNY RENE</v>
      </c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281" t="s">
        <v>202</v>
      </c>
      <c r="AE13" s="14"/>
    </row>
    <row r="14" spans="1:31" x14ac:dyDescent="0.25">
      <c r="A14" s="197">
        <f t="shared" si="1"/>
        <v>10</v>
      </c>
      <c r="B14" s="217" t="s">
        <v>231</v>
      </c>
      <c r="C14" s="217" t="s">
        <v>232</v>
      </c>
      <c r="D14" s="217" t="s">
        <v>18</v>
      </c>
      <c r="E14" s="304">
        <v>476.58</v>
      </c>
      <c r="F14" s="218"/>
      <c r="G14" s="198"/>
      <c r="H14" s="235">
        <v>45827</v>
      </c>
      <c r="I14" s="219" t="s">
        <v>233</v>
      </c>
      <c r="J14" s="197" t="s">
        <v>162</v>
      </c>
      <c r="K14" s="213"/>
      <c r="L14" s="213" t="s">
        <v>162</v>
      </c>
      <c r="M14" s="217"/>
      <c r="N14" s="203" t="s">
        <v>162</v>
      </c>
      <c r="O14" s="214" t="s">
        <v>162</v>
      </c>
      <c r="P14" s="217"/>
      <c r="Q14" s="204" t="str">
        <f t="shared" si="0"/>
        <v>MARQUEZ LASCANO EDISON JOEL</v>
      </c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281" t="s">
        <v>201</v>
      </c>
      <c r="AE14" s="14"/>
    </row>
    <row r="15" spans="1:31" x14ac:dyDescent="0.25">
      <c r="A15" s="197">
        <f t="shared" si="1"/>
        <v>11</v>
      </c>
      <c r="B15" s="217" t="s">
        <v>234</v>
      </c>
      <c r="C15" s="217" t="s">
        <v>235</v>
      </c>
      <c r="D15" s="217" t="s">
        <v>18</v>
      </c>
      <c r="E15" s="304">
        <v>476.58</v>
      </c>
      <c r="F15" s="218"/>
      <c r="G15" s="198"/>
      <c r="H15" s="235">
        <v>45839</v>
      </c>
      <c r="I15" s="219" t="s">
        <v>236</v>
      </c>
      <c r="J15" s="197" t="s">
        <v>162</v>
      </c>
      <c r="K15" s="213"/>
      <c r="L15" s="213" t="s">
        <v>162</v>
      </c>
      <c r="M15" s="217"/>
      <c r="N15" s="203" t="s">
        <v>162</v>
      </c>
      <c r="O15" s="214" t="s">
        <v>162</v>
      </c>
      <c r="P15" s="217"/>
      <c r="Q15" s="204" t="str">
        <f t="shared" si="0"/>
        <v>CEDEÑO JURADO JEFFERSON MANUEL</v>
      </c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281" t="s">
        <v>201</v>
      </c>
      <c r="AE15" s="14"/>
    </row>
    <row r="16" spans="1:31" x14ac:dyDescent="0.25">
      <c r="A16" s="197">
        <f t="shared" si="1"/>
        <v>12</v>
      </c>
      <c r="B16" s="217" t="s">
        <v>237</v>
      </c>
      <c r="C16" s="217" t="s">
        <v>238</v>
      </c>
      <c r="D16" s="217" t="s">
        <v>18</v>
      </c>
      <c r="E16" s="304">
        <v>476.58</v>
      </c>
      <c r="F16" s="218"/>
      <c r="G16" s="198"/>
      <c r="H16" s="235">
        <v>45846</v>
      </c>
      <c r="I16" s="219" t="s">
        <v>239</v>
      </c>
      <c r="J16" s="197" t="s">
        <v>162</v>
      </c>
      <c r="K16" s="213"/>
      <c r="L16" s="213" t="s">
        <v>162</v>
      </c>
      <c r="M16" s="217"/>
      <c r="N16" s="203" t="s">
        <v>162</v>
      </c>
      <c r="O16" s="214" t="s">
        <v>162</v>
      </c>
      <c r="P16" s="217"/>
      <c r="Q16" s="204" t="str">
        <f t="shared" si="0"/>
        <v>GUEVARA HERRERA NICOLAS ENRIQUE</v>
      </c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281" t="s">
        <v>202</v>
      </c>
      <c r="AE16" s="14"/>
    </row>
    <row r="17" spans="1:31" x14ac:dyDescent="0.25">
      <c r="A17" s="197">
        <f t="shared" si="1"/>
        <v>13</v>
      </c>
      <c r="B17" s="217" t="s">
        <v>240</v>
      </c>
      <c r="C17" s="217" t="s">
        <v>241</v>
      </c>
      <c r="D17" s="217" t="s">
        <v>18</v>
      </c>
      <c r="E17" s="304">
        <v>476.58</v>
      </c>
      <c r="F17" s="218"/>
      <c r="G17" s="198"/>
      <c r="H17" s="235">
        <v>45848</v>
      </c>
      <c r="I17" s="219" t="s">
        <v>242</v>
      </c>
      <c r="J17" s="197" t="s">
        <v>162</v>
      </c>
      <c r="K17" s="213"/>
      <c r="L17" s="213" t="s">
        <v>162</v>
      </c>
      <c r="M17" s="217"/>
      <c r="N17" s="203" t="s">
        <v>162</v>
      </c>
      <c r="O17" s="214" t="s">
        <v>162</v>
      </c>
      <c r="P17" s="217"/>
      <c r="Q17" s="204" t="str">
        <f t="shared" si="0"/>
        <v>QUITO QUEVEDO JONATHAN GERMAN</v>
      </c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281" t="s">
        <v>201</v>
      </c>
      <c r="AE17" s="14"/>
    </row>
    <row r="18" spans="1:31" x14ac:dyDescent="0.25">
      <c r="A18" s="197">
        <f t="shared" si="1"/>
        <v>14</v>
      </c>
      <c r="B18" s="217" t="s">
        <v>243</v>
      </c>
      <c r="C18" s="217" t="s">
        <v>244</v>
      </c>
      <c r="D18" s="217" t="s">
        <v>18</v>
      </c>
      <c r="E18" s="304">
        <v>476.58</v>
      </c>
      <c r="F18" s="218"/>
      <c r="G18" s="198"/>
      <c r="H18" s="235">
        <v>45849</v>
      </c>
      <c r="I18" s="219" t="s">
        <v>245</v>
      </c>
      <c r="J18" s="197" t="s">
        <v>162</v>
      </c>
      <c r="K18" s="213"/>
      <c r="L18" s="213" t="s">
        <v>162</v>
      </c>
      <c r="M18" s="217"/>
      <c r="N18" s="203" t="s">
        <v>162</v>
      </c>
      <c r="O18" s="214" t="s">
        <v>162</v>
      </c>
      <c r="P18" s="217"/>
      <c r="Q18" s="204" t="str">
        <f t="shared" si="0"/>
        <v>CABRERA PASACA JONATHAN EDUARDO</v>
      </c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281" t="s">
        <v>202</v>
      </c>
      <c r="AE18" s="14"/>
    </row>
    <row r="19" spans="1:31" x14ac:dyDescent="0.25">
      <c r="A19" s="197" t="str">
        <f t="shared" si="1"/>
        <v/>
      </c>
      <c r="B19" s="217"/>
      <c r="C19" s="217"/>
      <c r="D19" s="217"/>
      <c r="E19" s="304"/>
      <c r="F19" s="218"/>
      <c r="G19" s="198"/>
      <c r="H19" s="235"/>
      <c r="I19" s="219"/>
      <c r="J19" s="197"/>
      <c r="K19" s="213"/>
      <c r="L19" s="213"/>
      <c r="M19" s="217"/>
      <c r="N19" s="203"/>
      <c r="O19" s="214"/>
      <c r="P19" s="217"/>
      <c r="Q19" s="204" t="str">
        <f t="shared" si="0"/>
        <v/>
      </c>
      <c r="R19" s="305"/>
      <c r="S19" s="305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281"/>
      <c r="AE19" s="14"/>
    </row>
    <row r="20" spans="1:31" x14ac:dyDescent="0.25">
      <c r="B20" s="217"/>
      <c r="C20" s="217"/>
      <c r="D20" s="217"/>
      <c r="E20" s="304"/>
      <c r="F20" s="218"/>
      <c r="G20" s="198"/>
      <c r="H20" s="235"/>
      <c r="I20" s="219"/>
      <c r="J20" s="197"/>
      <c r="K20" s="213"/>
      <c r="L20" s="213"/>
      <c r="M20" s="217"/>
      <c r="N20" s="203"/>
      <c r="O20" s="214"/>
      <c r="P20" s="217"/>
    </row>
  </sheetData>
  <sheetProtection formatCells="0" formatColumns="0" formatRows="0" insertColumns="0" insertRows="0" insertHyperlinks="0" deleteColumns="0" deleteRows="0"/>
  <autoFilter ref="A4:AE4">
    <sortState ref="A5:AE19">
      <sortCondition ref="H4"/>
    </sortState>
  </autoFilter>
  <mergeCells count="1">
    <mergeCell ref="B1:D1"/>
  </mergeCells>
  <phoneticPr fontId="63" type="noConversion"/>
  <conditionalFormatting sqref="H5:I9 N4:N9 Q5:Q9 H14:I16 Q19">
    <cfRule type="containsBlanks" dxfId="8542" priority="42593">
      <formula>LEN(TRIM(H4))=0</formula>
    </cfRule>
  </conditionalFormatting>
  <conditionalFormatting sqref="Q8">
    <cfRule type="containsBlanks" dxfId="8541" priority="42571">
      <formula>LEN(TRIM(Q8))=0</formula>
    </cfRule>
  </conditionalFormatting>
  <conditionalFormatting sqref="H7:I7">
    <cfRule type="containsBlanks" dxfId="8540" priority="21723">
      <formula>LEN(TRIM(H7))=0</formula>
    </cfRule>
  </conditionalFormatting>
  <conditionalFormatting sqref="H7:I7">
    <cfRule type="containsBlanks" dxfId="8539" priority="21722">
      <formula>LEN(TRIM(H7))=0</formula>
    </cfRule>
  </conditionalFormatting>
  <conditionalFormatting sqref="H8">
    <cfRule type="containsBlanks" dxfId="8538" priority="21721">
      <formula>LEN(TRIM(H8))=0</formula>
    </cfRule>
  </conditionalFormatting>
  <conditionalFormatting sqref="H8">
    <cfRule type="containsBlanks" dxfId="8537" priority="21720">
      <formula>LEN(TRIM(H8))=0</formula>
    </cfRule>
  </conditionalFormatting>
  <conditionalFormatting sqref="H7">
    <cfRule type="containsBlanks" dxfId="8536" priority="21719">
      <formula>LEN(TRIM(H7))=0</formula>
    </cfRule>
  </conditionalFormatting>
  <conditionalFormatting sqref="H7">
    <cfRule type="containsBlanks" dxfId="8535" priority="21718">
      <formula>LEN(TRIM(H7))=0</formula>
    </cfRule>
  </conditionalFormatting>
  <conditionalFormatting sqref="I7">
    <cfRule type="containsBlanks" dxfId="8534" priority="21717">
      <formula>LEN(TRIM(I7))=0</formula>
    </cfRule>
  </conditionalFormatting>
  <conditionalFormatting sqref="I7">
    <cfRule type="containsBlanks" dxfId="8533" priority="21716">
      <formula>LEN(TRIM(I7))=0</formula>
    </cfRule>
  </conditionalFormatting>
  <conditionalFormatting sqref="H8">
    <cfRule type="containsBlanks" dxfId="8532" priority="21715">
      <formula>LEN(TRIM(H8))=0</formula>
    </cfRule>
  </conditionalFormatting>
  <conditionalFormatting sqref="N6 H6:I6">
    <cfRule type="containsBlanks" dxfId="8531" priority="21714">
      <formula>LEN(TRIM(H6))=0</formula>
    </cfRule>
  </conditionalFormatting>
  <conditionalFormatting sqref="N6 H6:I6">
    <cfRule type="containsBlanks" dxfId="8530" priority="21690">
      <formula>LEN(TRIM(H6))=0</formula>
    </cfRule>
  </conditionalFormatting>
  <conditionalFormatting sqref="N6 H6:I6">
    <cfRule type="containsBlanks" dxfId="8529" priority="21688">
      <formula>LEN(TRIM(H6))=0</formula>
    </cfRule>
  </conditionalFormatting>
  <conditionalFormatting sqref="N6 H6:I6">
    <cfRule type="containsBlanks" dxfId="8528" priority="21684">
      <formula>LEN(TRIM(H6))=0</formula>
    </cfRule>
  </conditionalFormatting>
  <conditionalFormatting sqref="N7">
    <cfRule type="containsBlanks" dxfId="8527" priority="21644">
      <formula>LEN(TRIM(N7))=0</formula>
    </cfRule>
  </conditionalFormatting>
  <conditionalFormatting sqref="N7">
    <cfRule type="containsBlanks" dxfId="8526" priority="21643">
      <formula>LEN(TRIM(N7))=0</formula>
    </cfRule>
  </conditionalFormatting>
  <conditionalFormatting sqref="N7">
    <cfRule type="containsBlanks" dxfId="8525" priority="21642">
      <formula>LEN(TRIM(N7))=0</formula>
    </cfRule>
  </conditionalFormatting>
  <conditionalFormatting sqref="N7">
    <cfRule type="containsBlanks" dxfId="8524" priority="21641">
      <formula>LEN(TRIM(N7))=0</formula>
    </cfRule>
  </conditionalFormatting>
  <conditionalFormatting sqref="N7">
    <cfRule type="containsBlanks" dxfId="8523" priority="21640">
      <formula>LEN(TRIM(N7))=0</formula>
    </cfRule>
  </conditionalFormatting>
  <conditionalFormatting sqref="N7">
    <cfRule type="containsBlanks" dxfId="8522" priority="21639">
      <formula>LEN(TRIM(N7))=0</formula>
    </cfRule>
  </conditionalFormatting>
  <conditionalFormatting sqref="N7">
    <cfRule type="containsBlanks" dxfId="8521" priority="21638">
      <formula>LEN(TRIM(N7))=0</formula>
    </cfRule>
  </conditionalFormatting>
  <conditionalFormatting sqref="N7">
    <cfRule type="containsBlanks" dxfId="8520" priority="21637">
      <formula>LEN(TRIM(N7))=0</formula>
    </cfRule>
  </conditionalFormatting>
  <conditionalFormatting sqref="I8">
    <cfRule type="containsBlanks" dxfId="8519" priority="21630">
      <formula>LEN(TRIM(I8))=0</formula>
    </cfRule>
  </conditionalFormatting>
  <conditionalFormatting sqref="I8">
    <cfRule type="containsBlanks" dxfId="8518" priority="21629">
      <formula>LEN(TRIM(I8))=0</formula>
    </cfRule>
  </conditionalFormatting>
  <conditionalFormatting sqref="I8">
    <cfRule type="containsBlanks" dxfId="8517" priority="21628">
      <formula>LEN(TRIM(I8))=0</formula>
    </cfRule>
  </conditionalFormatting>
  <conditionalFormatting sqref="I8">
    <cfRule type="containsBlanks" dxfId="8516" priority="21627">
      <formula>LEN(TRIM(I8))=0</formula>
    </cfRule>
  </conditionalFormatting>
  <conditionalFormatting sqref="N8">
    <cfRule type="containsBlanks" dxfId="8515" priority="21626">
      <formula>LEN(TRIM(N8))=0</formula>
    </cfRule>
  </conditionalFormatting>
  <conditionalFormatting sqref="N8">
    <cfRule type="containsBlanks" dxfId="8514" priority="21625">
      <formula>LEN(TRIM(N8))=0</formula>
    </cfRule>
  </conditionalFormatting>
  <conditionalFormatting sqref="N8">
    <cfRule type="containsBlanks" dxfId="8513" priority="21624">
      <formula>LEN(TRIM(N8))=0</formula>
    </cfRule>
  </conditionalFormatting>
  <conditionalFormatting sqref="N8">
    <cfRule type="containsBlanks" dxfId="8512" priority="21623">
      <formula>LEN(TRIM(N8))=0</formula>
    </cfRule>
  </conditionalFormatting>
  <conditionalFormatting sqref="N8">
    <cfRule type="containsBlanks" dxfId="8511" priority="21622">
      <formula>LEN(TRIM(N8))=0</formula>
    </cfRule>
  </conditionalFormatting>
  <conditionalFormatting sqref="N8">
    <cfRule type="containsBlanks" dxfId="8510" priority="21621">
      <formula>LEN(TRIM(N8))=0</formula>
    </cfRule>
  </conditionalFormatting>
  <conditionalFormatting sqref="N8">
    <cfRule type="containsBlanks" dxfId="8509" priority="21620">
      <formula>LEN(TRIM(N8))=0</formula>
    </cfRule>
  </conditionalFormatting>
  <conditionalFormatting sqref="N8">
    <cfRule type="containsBlanks" dxfId="8508" priority="21619">
      <formula>LEN(TRIM(N8))=0</formula>
    </cfRule>
  </conditionalFormatting>
  <conditionalFormatting sqref="H7">
    <cfRule type="containsBlanks" dxfId="8507" priority="21563">
      <formula>LEN(TRIM(H7))=0</formula>
    </cfRule>
  </conditionalFormatting>
  <conditionalFormatting sqref="H7">
    <cfRule type="containsBlanks" dxfId="8506" priority="21562">
      <formula>LEN(TRIM(H7))=0</formula>
    </cfRule>
  </conditionalFormatting>
  <conditionalFormatting sqref="H7">
    <cfRule type="containsBlanks" dxfId="8505" priority="21559">
      <formula>LEN(TRIM(H7))=0</formula>
    </cfRule>
  </conditionalFormatting>
  <conditionalFormatting sqref="I7">
    <cfRule type="containsBlanks" dxfId="8504" priority="21502">
      <formula>LEN(TRIM(I7))=0</formula>
    </cfRule>
  </conditionalFormatting>
  <conditionalFormatting sqref="I7">
    <cfRule type="containsBlanks" dxfId="8503" priority="21501">
      <formula>LEN(TRIM(I7))=0</formula>
    </cfRule>
  </conditionalFormatting>
  <conditionalFormatting sqref="I7">
    <cfRule type="containsBlanks" dxfId="8502" priority="21500">
      <formula>LEN(TRIM(I7))=0</formula>
    </cfRule>
  </conditionalFormatting>
  <conditionalFormatting sqref="I7">
    <cfRule type="containsBlanks" dxfId="8501" priority="21499">
      <formula>LEN(TRIM(I7))=0</formula>
    </cfRule>
  </conditionalFormatting>
  <conditionalFormatting sqref="N7">
    <cfRule type="containsBlanks" dxfId="8500" priority="21498">
      <formula>LEN(TRIM(N7))=0</formula>
    </cfRule>
  </conditionalFormatting>
  <conditionalFormatting sqref="N7">
    <cfRule type="containsBlanks" dxfId="8499" priority="21497">
      <formula>LEN(TRIM(N7))=0</formula>
    </cfRule>
  </conditionalFormatting>
  <conditionalFormatting sqref="N7">
    <cfRule type="containsBlanks" dxfId="8498" priority="21496">
      <formula>LEN(TRIM(N7))=0</formula>
    </cfRule>
  </conditionalFormatting>
  <conditionalFormatting sqref="N7">
    <cfRule type="containsBlanks" dxfId="8497" priority="21495">
      <formula>LEN(TRIM(N7))=0</formula>
    </cfRule>
  </conditionalFormatting>
  <conditionalFormatting sqref="N7">
    <cfRule type="containsBlanks" dxfId="8496" priority="21494">
      <formula>LEN(TRIM(N7))=0</formula>
    </cfRule>
  </conditionalFormatting>
  <conditionalFormatting sqref="N7">
    <cfRule type="containsBlanks" dxfId="8495" priority="21493">
      <formula>LEN(TRIM(N7))=0</formula>
    </cfRule>
  </conditionalFormatting>
  <conditionalFormatting sqref="N7">
    <cfRule type="containsBlanks" dxfId="8494" priority="21492">
      <formula>LEN(TRIM(N7))=0</formula>
    </cfRule>
  </conditionalFormatting>
  <conditionalFormatting sqref="N7">
    <cfRule type="containsBlanks" dxfId="8493" priority="21491">
      <formula>LEN(TRIM(N7))=0</formula>
    </cfRule>
  </conditionalFormatting>
  <conditionalFormatting sqref="N6 H6:I6">
    <cfRule type="containsBlanks" dxfId="8492" priority="21426">
      <formula>LEN(TRIM(H6))=0</formula>
    </cfRule>
  </conditionalFormatting>
  <conditionalFormatting sqref="N6 H6:I6">
    <cfRule type="containsBlanks" dxfId="8491" priority="21424">
      <formula>LEN(TRIM(H6))=0</formula>
    </cfRule>
  </conditionalFormatting>
  <conditionalFormatting sqref="N6 H6:I6">
    <cfRule type="containsBlanks" dxfId="8490" priority="21422">
      <formula>LEN(TRIM(H6))=0</formula>
    </cfRule>
  </conditionalFormatting>
  <conditionalFormatting sqref="N6 H6:I6">
    <cfRule type="containsBlanks" dxfId="8489" priority="21418">
      <formula>LEN(TRIM(H6))=0</formula>
    </cfRule>
  </conditionalFormatting>
  <conditionalFormatting sqref="H7">
    <cfRule type="containsBlanks" dxfId="8488" priority="21305">
      <formula>LEN(TRIM(H7))=0</formula>
    </cfRule>
  </conditionalFormatting>
  <conditionalFormatting sqref="H7">
    <cfRule type="containsBlanks" dxfId="8487" priority="21304">
      <formula>LEN(TRIM(H7))=0</formula>
    </cfRule>
  </conditionalFormatting>
  <conditionalFormatting sqref="H7">
    <cfRule type="containsBlanks" dxfId="8486" priority="21301">
      <formula>LEN(TRIM(H7))=0</formula>
    </cfRule>
  </conditionalFormatting>
  <conditionalFormatting sqref="I7">
    <cfRule type="containsBlanks" dxfId="8485" priority="21274">
      <formula>LEN(TRIM(I7))=0</formula>
    </cfRule>
  </conditionalFormatting>
  <conditionalFormatting sqref="I7">
    <cfRule type="containsBlanks" dxfId="8484" priority="21273">
      <formula>LEN(TRIM(I7))=0</formula>
    </cfRule>
  </conditionalFormatting>
  <conditionalFormatting sqref="I7">
    <cfRule type="containsBlanks" dxfId="8483" priority="21272">
      <formula>LEN(TRIM(I7))=0</formula>
    </cfRule>
  </conditionalFormatting>
  <conditionalFormatting sqref="I7">
    <cfRule type="containsBlanks" dxfId="8482" priority="21271">
      <formula>LEN(TRIM(I7))=0</formula>
    </cfRule>
  </conditionalFormatting>
  <conditionalFormatting sqref="N7">
    <cfRule type="containsBlanks" dxfId="8481" priority="21270">
      <formula>LEN(TRIM(N7))=0</formula>
    </cfRule>
  </conditionalFormatting>
  <conditionalFormatting sqref="N7">
    <cfRule type="containsBlanks" dxfId="8480" priority="21269">
      <formula>LEN(TRIM(N7))=0</formula>
    </cfRule>
  </conditionalFormatting>
  <conditionalFormatting sqref="N7">
    <cfRule type="containsBlanks" dxfId="8479" priority="21268">
      <formula>LEN(TRIM(N7))=0</formula>
    </cfRule>
  </conditionalFormatting>
  <conditionalFormatting sqref="N7">
    <cfRule type="containsBlanks" dxfId="8478" priority="21267">
      <formula>LEN(TRIM(N7))=0</formula>
    </cfRule>
  </conditionalFormatting>
  <conditionalFormatting sqref="N7">
    <cfRule type="containsBlanks" dxfId="8477" priority="21266">
      <formula>LEN(TRIM(N7))=0</formula>
    </cfRule>
  </conditionalFormatting>
  <conditionalFormatting sqref="N7">
    <cfRule type="containsBlanks" dxfId="8476" priority="21265">
      <formula>LEN(TRIM(N7))=0</formula>
    </cfRule>
  </conditionalFormatting>
  <conditionalFormatting sqref="N7">
    <cfRule type="containsBlanks" dxfId="8475" priority="21264">
      <formula>LEN(TRIM(N7))=0</formula>
    </cfRule>
  </conditionalFormatting>
  <conditionalFormatting sqref="N7">
    <cfRule type="containsBlanks" dxfId="8474" priority="21263">
      <formula>LEN(TRIM(N7))=0</formula>
    </cfRule>
  </conditionalFormatting>
  <conditionalFormatting sqref="H8">
    <cfRule type="containsBlanks" dxfId="8473" priority="21205">
      <formula>LEN(TRIM(H8))=0</formula>
    </cfRule>
  </conditionalFormatting>
  <conditionalFormatting sqref="N8">
    <cfRule type="containsBlanks" dxfId="8472" priority="21202">
      <formula>LEN(TRIM(N8))=0</formula>
    </cfRule>
  </conditionalFormatting>
  <conditionalFormatting sqref="N8">
    <cfRule type="containsBlanks" dxfId="8471" priority="21201">
      <formula>LEN(TRIM(N8))=0</formula>
    </cfRule>
  </conditionalFormatting>
  <conditionalFormatting sqref="I8">
    <cfRule type="containsBlanks" dxfId="8470" priority="21200">
      <formula>LEN(TRIM(I8))=0</formula>
    </cfRule>
  </conditionalFormatting>
  <conditionalFormatting sqref="I8">
    <cfRule type="containsBlanks" dxfId="8469" priority="21199">
      <formula>LEN(TRIM(I8))=0</formula>
    </cfRule>
  </conditionalFormatting>
  <conditionalFormatting sqref="I8">
    <cfRule type="containsBlanks" dxfId="8468" priority="21198">
      <formula>LEN(TRIM(I8))=0</formula>
    </cfRule>
  </conditionalFormatting>
  <conditionalFormatting sqref="I8">
    <cfRule type="containsBlanks" dxfId="8467" priority="21197">
      <formula>LEN(TRIM(I8))=0</formula>
    </cfRule>
  </conditionalFormatting>
  <conditionalFormatting sqref="H9">
    <cfRule type="containsBlanks" dxfId="8466" priority="21124">
      <formula>LEN(TRIM(H9))=0</formula>
    </cfRule>
  </conditionalFormatting>
  <conditionalFormatting sqref="I9">
    <cfRule type="containsBlanks" dxfId="8465" priority="21123">
      <formula>LEN(TRIM(I9))=0</formula>
    </cfRule>
  </conditionalFormatting>
  <conditionalFormatting sqref="I9">
    <cfRule type="containsBlanks" dxfId="8464" priority="21122">
      <formula>LEN(TRIM(I9))=0</formula>
    </cfRule>
  </conditionalFormatting>
  <conditionalFormatting sqref="N9">
    <cfRule type="containsBlanks" dxfId="8463" priority="21121">
      <formula>LEN(TRIM(N9))=0</formula>
    </cfRule>
  </conditionalFormatting>
  <conditionalFormatting sqref="N9">
    <cfRule type="containsBlanks" dxfId="8462" priority="21120">
      <formula>LEN(TRIM(N9))=0</formula>
    </cfRule>
  </conditionalFormatting>
  <conditionalFormatting sqref="N9">
    <cfRule type="containsBlanks" dxfId="8461" priority="21119">
      <formula>LEN(TRIM(N9))=0</formula>
    </cfRule>
  </conditionalFormatting>
  <conditionalFormatting sqref="N9">
    <cfRule type="containsBlanks" dxfId="8460" priority="21118">
      <formula>LEN(TRIM(N9))=0</formula>
    </cfRule>
  </conditionalFormatting>
  <conditionalFormatting sqref="N9">
    <cfRule type="containsBlanks" dxfId="8459" priority="21117">
      <formula>LEN(TRIM(N9))=0</formula>
    </cfRule>
  </conditionalFormatting>
  <conditionalFormatting sqref="N9">
    <cfRule type="containsBlanks" dxfId="8458" priority="21116">
      <formula>LEN(TRIM(N9))=0</formula>
    </cfRule>
  </conditionalFormatting>
  <conditionalFormatting sqref="N9">
    <cfRule type="containsBlanks" dxfId="8457" priority="21115">
      <formula>LEN(TRIM(N9))=0</formula>
    </cfRule>
  </conditionalFormatting>
  <conditionalFormatting sqref="N9">
    <cfRule type="containsBlanks" dxfId="8456" priority="21114">
      <formula>LEN(TRIM(N9))=0</formula>
    </cfRule>
  </conditionalFormatting>
  <conditionalFormatting sqref="N9">
    <cfRule type="containsBlanks" dxfId="8455" priority="21113">
      <formula>LEN(TRIM(N9))=0</formula>
    </cfRule>
  </conditionalFormatting>
  <conditionalFormatting sqref="N9">
    <cfRule type="containsBlanks" dxfId="8454" priority="21112">
      <formula>LEN(TRIM(N9))=0</formula>
    </cfRule>
  </conditionalFormatting>
  <conditionalFormatting sqref="N9">
    <cfRule type="containsBlanks" dxfId="8453" priority="21111">
      <formula>LEN(TRIM(N9))=0</formula>
    </cfRule>
  </conditionalFormatting>
  <conditionalFormatting sqref="N9">
    <cfRule type="containsBlanks" dxfId="8452" priority="21110">
      <formula>LEN(TRIM(N9))=0</formula>
    </cfRule>
  </conditionalFormatting>
  <conditionalFormatting sqref="N9">
    <cfRule type="containsBlanks" dxfId="8451" priority="21109">
      <formula>LEN(TRIM(N9))=0</formula>
    </cfRule>
  </conditionalFormatting>
  <conditionalFormatting sqref="N9">
    <cfRule type="containsBlanks" dxfId="8450" priority="21108">
      <formula>LEN(TRIM(N9))=0</formula>
    </cfRule>
  </conditionalFormatting>
  <conditionalFormatting sqref="N9">
    <cfRule type="containsBlanks" dxfId="8449" priority="21107">
      <formula>LEN(TRIM(N9))=0</formula>
    </cfRule>
  </conditionalFormatting>
  <conditionalFormatting sqref="N9">
    <cfRule type="containsBlanks" dxfId="8448" priority="21106">
      <formula>LEN(TRIM(N9))=0</formula>
    </cfRule>
  </conditionalFormatting>
  <conditionalFormatting sqref="N9">
    <cfRule type="containsBlanks" dxfId="8447" priority="21105">
      <formula>LEN(TRIM(N9))=0</formula>
    </cfRule>
  </conditionalFormatting>
  <conditionalFormatting sqref="N9">
    <cfRule type="containsBlanks" dxfId="8446" priority="21104">
      <formula>LEN(TRIM(N9))=0</formula>
    </cfRule>
  </conditionalFormatting>
  <conditionalFormatting sqref="N9">
    <cfRule type="containsBlanks" dxfId="8445" priority="21103">
      <formula>LEN(TRIM(N9))=0</formula>
    </cfRule>
  </conditionalFormatting>
  <conditionalFormatting sqref="N9">
    <cfRule type="containsBlanks" dxfId="8444" priority="21102">
      <formula>LEN(TRIM(N9))=0</formula>
    </cfRule>
  </conditionalFormatting>
  <conditionalFormatting sqref="N9">
    <cfRule type="containsBlanks" dxfId="8443" priority="21101">
      <formula>LEN(TRIM(N9))=0</formula>
    </cfRule>
  </conditionalFormatting>
  <conditionalFormatting sqref="N9">
    <cfRule type="containsBlanks" dxfId="8442" priority="21100">
      <formula>LEN(TRIM(N9))=0</formula>
    </cfRule>
  </conditionalFormatting>
  <conditionalFormatting sqref="N9">
    <cfRule type="containsBlanks" dxfId="8441" priority="21099">
      <formula>LEN(TRIM(N9))=0</formula>
    </cfRule>
  </conditionalFormatting>
  <conditionalFormatting sqref="N9">
    <cfRule type="containsBlanks" dxfId="8440" priority="21098">
      <formula>LEN(TRIM(N9))=0</formula>
    </cfRule>
  </conditionalFormatting>
  <conditionalFormatting sqref="N9">
    <cfRule type="containsBlanks" dxfId="8439" priority="21097">
      <formula>LEN(TRIM(N9))=0</formula>
    </cfRule>
  </conditionalFormatting>
  <conditionalFormatting sqref="N9">
    <cfRule type="containsBlanks" dxfId="8438" priority="21096">
      <formula>LEN(TRIM(N9))=0</formula>
    </cfRule>
  </conditionalFormatting>
  <conditionalFormatting sqref="N9">
    <cfRule type="containsBlanks" dxfId="8437" priority="21095">
      <formula>LEN(TRIM(N9))=0</formula>
    </cfRule>
  </conditionalFormatting>
  <conditionalFormatting sqref="N9">
    <cfRule type="containsBlanks" dxfId="8436" priority="21094">
      <formula>LEN(TRIM(N9))=0</formula>
    </cfRule>
  </conditionalFormatting>
  <conditionalFormatting sqref="N9">
    <cfRule type="containsBlanks" dxfId="8435" priority="21093">
      <formula>LEN(TRIM(N9))=0</formula>
    </cfRule>
  </conditionalFormatting>
  <conditionalFormatting sqref="N9">
    <cfRule type="containsBlanks" dxfId="8434" priority="21092">
      <formula>LEN(TRIM(N9))=0</formula>
    </cfRule>
  </conditionalFormatting>
  <conditionalFormatting sqref="N9">
    <cfRule type="containsBlanks" dxfId="8433" priority="21091">
      <formula>LEN(TRIM(N9))=0</formula>
    </cfRule>
  </conditionalFormatting>
  <conditionalFormatting sqref="N9">
    <cfRule type="containsBlanks" dxfId="8432" priority="21090">
      <formula>LEN(TRIM(N9))=0</formula>
    </cfRule>
  </conditionalFormatting>
  <conditionalFormatting sqref="N9">
    <cfRule type="containsBlanks" dxfId="8431" priority="21089">
      <formula>LEN(TRIM(N9))=0</formula>
    </cfRule>
  </conditionalFormatting>
  <conditionalFormatting sqref="N9">
    <cfRule type="containsBlanks" dxfId="8430" priority="21088">
      <formula>LEN(TRIM(N9))=0</formula>
    </cfRule>
  </conditionalFormatting>
  <conditionalFormatting sqref="H9">
    <cfRule type="containsBlanks" dxfId="8429" priority="21027">
      <formula>LEN(TRIM(H9))=0</formula>
    </cfRule>
  </conditionalFormatting>
  <conditionalFormatting sqref="I9">
    <cfRule type="containsBlanks" dxfId="8428" priority="21026">
      <formula>LEN(TRIM(I9))=0</formula>
    </cfRule>
  </conditionalFormatting>
  <conditionalFormatting sqref="I9">
    <cfRule type="containsBlanks" dxfId="8427" priority="21025">
      <formula>LEN(TRIM(I9))=0</formula>
    </cfRule>
  </conditionalFormatting>
  <conditionalFormatting sqref="I9">
    <cfRule type="containsBlanks" dxfId="8426" priority="21024">
      <formula>LEN(TRIM(I9))=0</formula>
    </cfRule>
  </conditionalFormatting>
  <conditionalFormatting sqref="I9">
    <cfRule type="containsBlanks" dxfId="8425" priority="21023">
      <formula>LEN(TRIM(I9))=0</formula>
    </cfRule>
  </conditionalFormatting>
  <conditionalFormatting sqref="N9">
    <cfRule type="containsBlanks" dxfId="8424" priority="21022">
      <formula>LEN(TRIM(N9))=0</formula>
    </cfRule>
  </conditionalFormatting>
  <conditionalFormatting sqref="N9">
    <cfRule type="containsBlanks" dxfId="8423" priority="21021">
      <formula>LEN(TRIM(N9))=0</formula>
    </cfRule>
  </conditionalFormatting>
  <conditionalFormatting sqref="H7">
    <cfRule type="containsBlanks" dxfId="8422" priority="20949">
      <formula>LEN(TRIM(H7))=0</formula>
    </cfRule>
  </conditionalFormatting>
  <conditionalFormatting sqref="H7">
    <cfRule type="containsBlanks" dxfId="8421" priority="20948">
      <formula>LEN(TRIM(H7))=0</formula>
    </cfRule>
  </conditionalFormatting>
  <conditionalFormatting sqref="H7">
    <cfRule type="containsBlanks" dxfId="8420" priority="20945">
      <formula>LEN(TRIM(H7))=0</formula>
    </cfRule>
  </conditionalFormatting>
  <conditionalFormatting sqref="I7">
    <cfRule type="containsBlanks" dxfId="8419" priority="20918">
      <formula>LEN(TRIM(I7))=0</formula>
    </cfRule>
  </conditionalFormatting>
  <conditionalFormatting sqref="I7">
    <cfRule type="containsBlanks" dxfId="8418" priority="20917">
      <formula>LEN(TRIM(I7))=0</formula>
    </cfRule>
  </conditionalFormatting>
  <conditionalFormatting sqref="I7">
    <cfRule type="containsBlanks" dxfId="8417" priority="20916">
      <formula>LEN(TRIM(I7))=0</formula>
    </cfRule>
  </conditionalFormatting>
  <conditionalFormatting sqref="I7">
    <cfRule type="containsBlanks" dxfId="8416" priority="20915">
      <formula>LEN(TRIM(I7))=0</formula>
    </cfRule>
  </conditionalFormatting>
  <conditionalFormatting sqref="N7">
    <cfRule type="containsBlanks" dxfId="8415" priority="20914">
      <formula>LEN(TRIM(N7))=0</formula>
    </cfRule>
  </conditionalFormatting>
  <conditionalFormatting sqref="N7">
    <cfRule type="containsBlanks" dxfId="8414" priority="20913">
      <formula>LEN(TRIM(N7))=0</formula>
    </cfRule>
  </conditionalFormatting>
  <conditionalFormatting sqref="N7">
    <cfRule type="containsBlanks" dxfId="8413" priority="20912">
      <formula>LEN(TRIM(N7))=0</formula>
    </cfRule>
  </conditionalFormatting>
  <conditionalFormatting sqref="N7">
    <cfRule type="containsBlanks" dxfId="8412" priority="20911">
      <formula>LEN(TRIM(N7))=0</formula>
    </cfRule>
  </conditionalFormatting>
  <conditionalFormatting sqref="N7">
    <cfRule type="containsBlanks" dxfId="8411" priority="20910">
      <formula>LEN(TRIM(N7))=0</formula>
    </cfRule>
  </conditionalFormatting>
  <conditionalFormatting sqref="N7">
    <cfRule type="containsBlanks" dxfId="8410" priority="20909">
      <formula>LEN(TRIM(N7))=0</formula>
    </cfRule>
  </conditionalFormatting>
  <conditionalFormatting sqref="N7">
    <cfRule type="containsBlanks" dxfId="8409" priority="20908">
      <formula>LEN(TRIM(N7))=0</formula>
    </cfRule>
  </conditionalFormatting>
  <conditionalFormatting sqref="N7">
    <cfRule type="containsBlanks" dxfId="8408" priority="20907">
      <formula>LEN(TRIM(N7))=0</formula>
    </cfRule>
  </conditionalFormatting>
  <conditionalFormatting sqref="H8">
    <cfRule type="containsBlanks" dxfId="8407" priority="20856">
      <formula>LEN(TRIM(H8))=0</formula>
    </cfRule>
  </conditionalFormatting>
  <conditionalFormatting sqref="N8">
    <cfRule type="containsBlanks" dxfId="8406" priority="20853">
      <formula>LEN(TRIM(N8))=0</formula>
    </cfRule>
  </conditionalFormatting>
  <conditionalFormatting sqref="N8">
    <cfRule type="containsBlanks" dxfId="8405" priority="20852">
      <formula>LEN(TRIM(N8))=0</formula>
    </cfRule>
  </conditionalFormatting>
  <conditionalFormatting sqref="I8">
    <cfRule type="containsBlanks" dxfId="8404" priority="20851">
      <formula>LEN(TRIM(I8))=0</formula>
    </cfRule>
  </conditionalFormatting>
  <conditionalFormatting sqref="I8">
    <cfRule type="containsBlanks" dxfId="8403" priority="20850">
      <formula>LEN(TRIM(I8))=0</formula>
    </cfRule>
  </conditionalFormatting>
  <conditionalFormatting sqref="I8">
    <cfRule type="containsBlanks" dxfId="8402" priority="20849">
      <formula>LEN(TRIM(I8))=0</formula>
    </cfRule>
  </conditionalFormatting>
  <conditionalFormatting sqref="I8">
    <cfRule type="containsBlanks" dxfId="8401" priority="20848">
      <formula>LEN(TRIM(I8))=0</formula>
    </cfRule>
  </conditionalFormatting>
  <conditionalFormatting sqref="H8">
    <cfRule type="containsBlanks" dxfId="8400" priority="20825">
      <formula>LEN(TRIM(H8))=0</formula>
    </cfRule>
  </conditionalFormatting>
  <conditionalFormatting sqref="N8">
    <cfRule type="containsBlanks" dxfId="8399" priority="20822">
      <formula>LEN(TRIM(N8))=0</formula>
    </cfRule>
  </conditionalFormatting>
  <conditionalFormatting sqref="N8">
    <cfRule type="containsBlanks" dxfId="8398" priority="20821">
      <formula>LEN(TRIM(N8))=0</formula>
    </cfRule>
  </conditionalFormatting>
  <conditionalFormatting sqref="I8">
    <cfRule type="containsBlanks" dxfId="8397" priority="20820">
      <formula>LEN(TRIM(I8))=0</formula>
    </cfRule>
  </conditionalFormatting>
  <conditionalFormatting sqref="I8">
    <cfRule type="containsBlanks" dxfId="8396" priority="20819">
      <formula>LEN(TRIM(I8))=0</formula>
    </cfRule>
  </conditionalFormatting>
  <conditionalFormatting sqref="I8">
    <cfRule type="containsBlanks" dxfId="8395" priority="20818">
      <formula>LEN(TRIM(I8))=0</formula>
    </cfRule>
  </conditionalFormatting>
  <conditionalFormatting sqref="I8">
    <cfRule type="containsBlanks" dxfId="8394" priority="20817">
      <formula>LEN(TRIM(I8))=0</formula>
    </cfRule>
  </conditionalFormatting>
  <conditionalFormatting sqref="H7">
    <cfRule type="containsBlanks" dxfId="8393" priority="20788">
      <formula>LEN(TRIM(H7))=0</formula>
    </cfRule>
  </conditionalFormatting>
  <conditionalFormatting sqref="N7">
    <cfRule type="containsBlanks" dxfId="8392" priority="20785">
      <formula>LEN(TRIM(N7))=0</formula>
    </cfRule>
  </conditionalFormatting>
  <conditionalFormatting sqref="N7">
    <cfRule type="containsBlanks" dxfId="8391" priority="20784">
      <formula>LEN(TRIM(N7))=0</formula>
    </cfRule>
  </conditionalFormatting>
  <conditionalFormatting sqref="I7">
    <cfRule type="containsBlanks" dxfId="8390" priority="20783">
      <formula>LEN(TRIM(I7))=0</formula>
    </cfRule>
  </conditionalFormatting>
  <conditionalFormatting sqref="I7">
    <cfRule type="containsBlanks" dxfId="8389" priority="20782">
      <formula>LEN(TRIM(I7))=0</formula>
    </cfRule>
  </conditionalFormatting>
  <conditionalFormatting sqref="I7">
    <cfRule type="containsBlanks" dxfId="8388" priority="20781">
      <formula>LEN(TRIM(I7))=0</formula>
    </cfRule>
  </conditionalFormatting>
  <conditionalFormatting sqref="I7">
    <cfRule type="containsBlanks" dxfId="8387" priority="20780">
      <formula>LEN(TRIM(I7))=0</formula>
    </cfRule>
  </conditionalFormatting>
  <conditionalFormatting sqref="H8">
    <cfRule type="containsBlanks" dxfId="8386" priority="20674">
      <formula>LEN(TRIM(H8))=0</formula>
    </cfRule>
  </conditionalFormatting>
  <conditionalFormatting sqref="N8">
    <cfRule type="containsBlanks" dxfId="8385" priority="20671">
      <formula>LEN(TRIM(N8))=0</formula>
    </cfRule>
  </conditionalFormatting>
  <conditionalFormatting sqref="N8">
    <cfRule type="containsBlanks" dxfId="8384" priority="20670">
      <formula>LEN(TRIM(N8))=0</formula>
    </cfRule>
  </conditionalFormatting>
  <conditionalFormatting sqref="I8">
    <cfRule type="containsBlanks" dxfId="8383" priority="20669">
      <formula>LEN(TRIM(I8))=0</formula>
    </cfRule>
  </conditionalFormatting>
  <conditionalFormatting sqref="I8">
    <cfRule type="containsBlanks" dxfId="8382" priority="20668">
      <formula>LEN(TRIM(I8))=0</formula>
    </cfRule>
  </conditionalFormatting>
  <conditionalFormatting sqref="I8">
    <cfRule type="containsBlanks" dxfId="8381" priority="20667">
      <formula>LEN(TRIM(I8))=0</formula>
    </cfRule>
  </conditionalFormatting>
  <conditionalFormatting sqref="I8">
    <cfRule type="containsBlanks" dxfId="8380" priority="20666">
      <formula>LEN(TRIM(I8))=0</formula>
    </cfRule>
  </conditionalFormatting>
  <conditionalFormatting sqref="H8">
    <cfRule type="containsBlanks" dxfId="8379" priority="20641">
      <formula>LEN(TRIM(H8))=0</formula>
    </cfRule>
  </conditionalFormatting>
  <conditionalFormatting sqref="I8">
    <cfRule type="containsBlanks" dxfId="8378" priority="20640">
      <formula>LEN(TRIM(I8))=0</formula>
    </cfRule>
  </conditionalFormatting>
  <conditionalFormatting sqref="I8">
    <cfRule type="containsBlanks" dxfId="8377" priority="20639">
      <formula>LEN(TRIM(I8))=0</formula>
    </cfRule>
  </conditionalFormatting>
  <conditionalFormatting sqref="I8">
    <cfRule type="containsBlanks" dxfId="8376" priority="20638">
      <formula>LEN(TRIM(I8))=0</formula>
    </cfRule>
  </conditionalFormatting>
  <conditionalFormatting sqref="I8">
    <cfRule type="containsBlanks" dxfId="8375" priority="20637">
      <formula>LEN(TRIM(I8))=0</formula>
    </cfRule>
  </conditionalFormatting>
  <conditionalFormatting sqref="N8">
    <cfRule type="containsBlanks" dxfId="8374" priority="20632">
      <formula>LEN(TRIM(N8))=0</formula>
    </cfRule>
  </conditionalFormatting>
  <conditionalFormatting sqref="N8">
    <cfRule type="containsBlanks" dxfId="8373" priority="20631">
      <formula>LEN(TRIM(N8))=0</formula>
    </cfRule>
  </conditionalFormatting>
  <conditionalFormatting sqref="H8">
    <cfRule type="containsBlanks" dxfId="8372" priority="20613">
      <formula>LEN(TRIM(H8))=0</formula>
    </cfRule>
  </conditionalFormatting>
  <conditionalFormatting sqref="I8">
    <cfRule type="containsBlanks" dxfId="8371" priority="20612">
      <formula>LEN(TRIM(I8))=0</formula>
    </cfRule>
  </conditionalFormatting>
  <conditionalFormatting sqref="I8">
    <cfRule type="containsBlanks" dxfId="8370" priority="20611">
      <formula>LEN(TRIM(I8))=0</formula>
    </cfRule>
  </conditionalFormatting>
  <conditionalFormatting sqref="I8">
    <cfRule type="containsBlanks" dxfId="8369" priority="20610">
      <formula>LEN(TRIM(I8))=0</formula>
    </cfRule>
  </conditionalFormatting>
  <conditionalFormatting sqref="I8">
    <cfRule type="containsBlanks" dxfId="8368" priority="20609">
      <formula>LEN(TRIM(I8))=0</formula>
    </cfRule>
  </conditionalFormatting>
  <conditionalFormatting sqref="N8">
    <cfRule type="containsBlanks" dxfId="8367" priority="20604">
      <formula>LEN(TRIM(N8))=0</formula>
    </cfRule>
  </conditionalFormatting>
  <conditionalFormatting sqref="N8">
    <cfRule type="containsBlanks" dxfId="8366" priority="20603">
      <formula>LEN(TRIM(N8))=0</formula>
    </cfRule>
  </conditionalFormatting>
  <conditionalFormatting sqref="H8">
    <cfRule type="containsBlanks" dxfId="8365" priority="20594">
      <formula>LEN(TRIM(H8))=0</formula>
    </cfRule>
  </conditionalFormatting>
  <conditionalFormatting sqref="I8">
    <cfRule type="containsBlanks" dxfId="8364" priority="20593">
      <formula>LEN(TRIM(I8))=0</formula>
    </cfRule>
  </conditionalFormatting>
  <conditionalFormatting sqref="I8">
    <cfRule type="containsBlanks" dxfId="8363" priority="20592">
      <formula>LEN(TRIM(I8))=0</formula>
    </cfRule>
  </conditionalFormatting>
  <conditionalFormatting sqref="I8">
    <cfRule type="containsBlanks" dxfId="8362" priority="20591">
      <formula>LEN(TRIM(I8))=0</formula>
    </cfRule>
  </conditionalFormatting>
  <conditionalFormatting sqref="I8">
    <cfRule type="containsBlanks" dxfId="8361" priority="20590">
      <formula>LEN(TRIM(I8))=0</formula>
    </cfRule>
  </conditionalFormatting>
  <conditionalFormatting sqref="N8">
    <cfRule type="containsBlanks" dxfId="8360" priority="20589">
      <formula>LEN(TRIM(N8))=0</formula>
    </cfRule>
  </conditionalFormatting>
  <conditionalFormatting sqref="N8">
    <cfRule type="containsBlanks" dxfId="8359" priority="20588">
      <formula>LEN(TRIM(N8))=0</formula>
    </cfRule>
  </conditionalFormatting>
  <conditionalFormatting sqref="AD5:AD6 AD9:AD19">
    <cfRule type="containsText" dxfId="8358" priority="20548" operator="containsText" text="GP2">
      <formula>NOT(ISERROR(SEARCH("GP2",AD5)))</formula>
    </cfRule>
    <cfRule type="containsText" dxfId="8357" priority="20549" operator="containsText" text="GP1">
      <formula>NOT(ISERROR(SEARCH("GP1",AD5)))</formula>
    </cfRule>
  </conditionalFormatting>
  <conditionalFormatting sqref="AD8">
    <cfRule type="containsText" dxfId="8356" priority="20394" operator="containsText" text="GP2">
      <formula>NOT(ISERROR(SEARCH("GP2",AD8)))</formula>
    </cfRule>
    <cfRule type="containsText" dxfId="8355" priority="20395" operator="containsText" text="GP1">
      <formula>NOT(ISERROR(SEARCH("GP1",AD8)))</formula>
    </cfRule>
  </conditionalFormatting>
  <conditionalFormatting sqref="AD8">
    <cfRule type="containsText" dxfId="8354" priority="20392" operator="containsText" text="GP2">
      <formula>NOT(ISERROR(SEARCH("GP2",AD8)))</formula>
    </cfRule>
    <cfRule type="containsText" dxfId="8353" priority="20393" operator="containsText" text="GP1">
      <formula>NOT(ISERROR(SEARCH("GP1",AD8)))</formula>
    </cfRule>
  </conditionalFormatting>
  <conditionalFormatting sqref="AD8">
    <cfRule type="containsText" dxfId="8352" priority="20390" operator="containsText" text="GP2">
      <formula>NOT(ISERROR(SEARCH("GP2",AD8)))</formula>
    </cfRule>
    <cfRule type="containsText" dxfId="8351" priority="20391" operator="containsText" text="GP1">
      <formula>NOT(ISERROR(SEARCH("GP1",AD8)))</formula>
    </cfRule>
  </conditionalFormatting>
  <conditionalFormatting sqref="AD8">
    <cfRule type="containsText" dxfId="8350" priority="20388" operator="containsText" text="GP2">
      <formula>NOT(ISERROR(SEARCH("GP2",AD8)))</formula>
    </cfRule>
    <cfRule type="containsText" dxfId="8349" priority="20389" operator="containsText" text="GP1">
      <formula>NOT(ISERROR(SEARCH("GP1",AD8)))</formula>
    </cfRule>
  </conditionalFormatting>
  <conditionalFormatting sqref="AD8">
    <cfRule type="containsText" dxfId="8348" priority="20386" operator="containsText" text="GP2">
      <formula>NOT(ISERROR(SEARCH("GP2",AD8)))</formula>
    </cfRule>
    <cfRule type="containsText" dxfId="8347" priority="20387" operator="containsText" text="GP1">
      <formula>NOT(ISERROR(SEARCH("GP1",AD8)))</formula>
    </cfRule>
  </conditionalFormatting>
  <conditionalFormatting sqref="AD8">
    <cfRule type="containsText" dxfId="8346" priority="20384" operator="containsText" text="GP2">
      <formula>NOT(ISERROR(SEARCH("GP2",AD8)))</formula>
    </cfRule>
    <cfRule type="containsText" dxfId="8345" priority="20385" operator="containsText" text="GP1">
      <formula>NOT(ISERROR(SEARCH("GP1",AD8)))</formula>
    </cfRule>
  </conditionalFormatting>
  <conditionalFormatting sqref="AD8">
    <cfRule type="containsText" dxfId="8344" priority="20382" operator="containsText" text="GP2">
      <formula>NOT(ISERROR(SEARCH("GP2",AD8)))</formula>
    </cfRule>
    <cfRule type="containsText" dxfId="8343" priority="20383" operator="containsText" text="GP1">
      <formula>NOT(ISERROR(SEARCH("GP1",AD8)))</formula>
    </cfRule>
  </conditionalFormatting>
  <conditionalFormatting sqref="AD8">
    <cfRule type="containsText" dxfId="8342" priority="20380" operator="containsText" text="GP2">
      <formula>NOT(ISERROR(SEARCH("GP2",AD8)))</formula>
    </cfRule>
    <cfRule type="containsText" dxfId="8341" priority="20381" operator="containsText" text="GP1">
      <formula>NOT(ISERROR(SEARCH("GP1",AD8)))</formula>
    </cfRule>
  </conditionalFormatting>
  <conditionalFormatting sqref="AD8">
    <cfRule type="containsText" dxfId="8340" priority="20378" operator="containsText" text="GP2">
      <formula>NOT(ISERROR(SEARCH("GP2",AD8)))</formula>
    </cfRule>
    <cfRule type="containsText" dxfId="8339" priority="20379" operator="containsText" text="GP1">
      <formula>NOT(ISERROR(SEARCH("GP1",AD8)))</formula>
    </cfRule>
  </conditionalFormatting>
  <conditionalFormatting sqref="AD8">
    <cfRule type="containsText" dxfId="8338" priority="20376" operator="containsText" text="GP2">
      <formula>NOT(ISERROR(SEARCH("GP2",AD8)))</formula>
    </cfRule>
    <cfRule type="containsText" dxfId="8337" priority="20377" operator="containsText" text="GP1">
      <formula>NOT(ISERROR(SEARCH("GP1",AD8)))</formula>
    </cfRule>
  </conditionalFormatting>
  <conditionalFormatting sqref="AD8">
    <cfRule type="containsText" dxfId="8336" priority="20374" operator="containsText" text="GP2">
      <formula>NOT(ISERROR(SEARCH("GP2",AD8)))</formula>
    </cfRule>
    <cfRule type="containsText" dxfId="8335" priority="20375" operator="containsText" text="GP1">
      <formula>NOT(ISERROR(SEARCH("GP1",AD8)))</formula>
    </cfRule>
  </conditionalFormatting>
  <conditionalFormatting sqref="AD8">
    <cfRule type="containsText" dxfId="8334" priority="20372" operator="containsText" text="GP2">
      <formula>NOT(ISERROR(SEARCH("GP2",AD8)))</formula>
    </cfRule>
    <cfRule type="containsText" dxfId="8333" priority="20373" operator="containsText" text="GP1">
      <formula>NOT(ISERROR(SEARCH("GP1",AD8)))</formula>
    </cfRule>
  </conditionalFormatting>
  <conditionalFormatting sqref="AD8">
    <cfRule type="containsText" dxfId="8332" priority="20370" operator="containsText" text="GP2">
      <formula>NOT(ISERROR(SEARCH("GP2",AD8)))</formula>
    </cfRule>
    <cfRule type="containsText" dxfId="8331" priority="20371" operator="containsText" text="GP1">
      <formula>NOT(ISERROR(SEARCH("GP1",AD8)))</formula>
    </cfRule>
  </conditionalFormatting>
  <conditionalFormatting sqref="AD8">
    <cfRule type="containsText" dxfId="8330" priority="20368" operator="containsText" text="GP2">
      <formula>NOT(ISERROR(SEARCH("GP2",AD8)))</formula>
    </cfRule>
    <cfRule type="containsText" dxfId="8329" priority="20369" operator="containsText" text="GP1">
      <formula>NOT(ISERROR(SEARCH("GP1",AD8)))</formula>
    </cfRule>
  </conditionalFormatting>
  <conditionalFormatting sqref="AD8">
    <cfRule type="containsText" dxfId="8328" priority="20366" operator="containsText" text="GP2">
      <formula>NOT(ISERROR(SEARCH("GP2",AD8)))</formula>
    </cfRule>
    <cfRule type="containsText" dxfId="8327" priority="20367" operator="containsText" text="GP1">
      <formula>NOT(ISERROR(SEARCH("GP1",AD8)))</formula>
    </cfRule>
  </conditionalFormatting>
  <conditionalFormatting sqref="AD8">
    <cfRule type="containsText" dxfId="8326" priority="20364" operator="containsText" text="GP2">
      <formula>NOT(ISERROR(SEARCH("GP2",AD8)))</formula>
    </cfRule>
    <cfRule type="containsText" dxfId="8325" priority="20365" operator="containsText" text="GP1">
      <formula>NOT(ISERROR(SEARCH("GP1",AD8)))</formula>
    </cfRule>
  </conditionalFormatting>
  <conditionalFormatting sqref="AD8">
    <cfRule type="containsText" dxfId="8324" priority="20362" operator="containsText" text="GP2">
      <formula>NOT(ISERROR(SEARCH("GP2",AD8)))</formula>
    </cfRule>
    <cfRule type="containsText" dxfId="8323" priority="20363" operator="containsText" text="GP1">
      <formula>NOT(ISERROR(SEARCH("GP1",AD8)))</formula>
    </cfRule>
  </conditionalFormatting>
  <conditionalFormatting sqref="AD8">
    <cfRule type="containsText" dxfId="8322" priority="20360" operator="containsText" text="GP2">
      <formula>NOT(ISERROR(SEARCH("GP2",AD8)))</formula>
    </cfRule>
    <cfRule type="containsText" dxfId="8321" priority="20361" operator="containsText" text="GP1">
      <formula>NOT(ISERROR(SEARCH("GP1",AD8)))</formula>
    </cfRule>
  </conditionalFormatting>
  <conditionalFormatting sqref="AD8">
    <cfRule type="containsText" dxfId="8320" priority="20358" operator="containsText" text="GP2">
      <formula>NOT(ISERROR(SEARCH("GP2",AD8)))</formula>
    </cfRule>
    <cfRule type="containsText" dxfId="8319" priority="20359" operator="containsText" text="GP1">
      <formula>NOT(ISERROR(SEARCH("GP1",AD8)))</formula>
    </cfRule>
  </conditionalFormatting>
  <conditionalFormatting sqref="AD8">
    <cfRule type="containsText" dxfId="8318" priority="20356" operator="containsText" text="GP2">
      <formula>NOT(ISERROR(SEARCH("GP2",AD8)))</formula>
    </cfRule>
    <cfRule type="containsText" dxfId="8317" priority="20357" operator="containsText" text="GP1">
      <formula>NOT(ISERROR(SEARCH("GP1",AD8)))</formula>
    </cfRule>
  </conditionalFormatting>
  <conditionalFormatting sqref="AD8">
    <cfRule type="containsText" dxfId="8316" priority="20354" operator="containsText" text="GP2">
      <formula>NOT(ISERROR(SEARCH("GP2",AD8)))</formula>
    </cfRule>
    <cfRule type="containsText" dxfId="8315" priority="20355" operator="containsText" text="GP1">
      <formula>NOT(ISERROR(SEARCH("GP1",AD8)))</formula>
    </cfRule>
  </conditionalFormatting>
  <conditionalFormatting sqref="AD8">
    <cfRule type="containsText" dxfId="8314" priority="20352" operator="containsText" text="GP2">
      <formula>NOT(ISERROR(SEARCH("GP2",AD8)))</formula>
    </cfRule>
    <cfRule type="containsText" dxfId="8313" priority="20353" operator="containsText" text="GP1">
      <formula>NOT(ISERROR(SEARCH("GP1",AD8)))</formula>
    </cfRule>
  </conditionalFormatting>
  <conditionalFormatting sqref="AD8">
    <cfRule type="containsText" dxfId="8312" priority="20350" operator="containsText" text="GP2">
      <formula>NOT(ISERROR(SEARCH("GP2",AD8)))</formula>
    </cfRule>
    <cfRule type="containsText" dxfId="8311" priority="20351" operator="containsText" text="GP1">
      <formula>NOT(ISERROR(SEARCH("GP1",AD8)))</formula>
    </cfRule>
  </conditionalFormatting>
  <conditionalFormatting sqref="AD8">
    <cfRule type="containsText" dxfId="8310" priority="20348" operator="containsText" text="GP2">
      <formula>NOT(ISERROR(SEARCH("GP2",AD8)))</formula>
    </cfRule>
    <cfRule type="containsText" dxfId="8309" priority="20349" operator="containsText" text="GP1">
      <formula>NOT(ISERROR(SEARCH("GP1",AD8)))</formula>
    </cfRule>
  </conditionalFormatting>
  <conditionalFormatting sqref="AD8">
    <cfRule type="containsText" dxfId="8308" priority="20346" operator="containsText" text="GP2">
      <formula>NOT(ISERROR(SEARCH("GP2",AD8)))</formula>
    </cfRule>
    <cfRule type="containsText" dxfId="8307" priority="20347" operator="containsText" text="GP1">
      <formula>NOT(ISERROR(SEARCH("GP1",AD8)))</formula>
    </cfRule>
  </conditionalFormatting>
  <conditionalFormatting sqref="AD8">
    <cfRule type="containsText" dxfId="8306" priority="20344" operator="containsText" text="GP2">
      <formula>NOT(ISERROR(SEARCH("GP2",AD8)))</formula>
    </cfRule>
    <cfRule type="containsText" dxfId="8305" priority="20345" operator="containsText" text="GP1">
      <formula>NOT(ISERROR(SEARCH("GP1",AD8)))</formula>
    </cfRule>
  </conditionalFormatting>
  <conditionalFormatting sqref="AD8">
    <cfRule type="containsText" dxfId="8304" priority="20342" operator="containsText" text="GP2">
      <formula>NOT(ISERROR(SEARCH("GP2",AD8)))</formula>
    </cfRule>
    <cfRule type="containsText" dxfId="8303" priority="20343" operator="containsText" text="GP1">
      <formula>NOT(ISERROR(SEARCH("GP1",AD8)))</formula>
    </cfRule>
  </conditionalFormatting>
  <conditionalFormatting sqref="AD8">
    <cfRule type="containsText" dxfId="8302" priority="20340" operator="containsText" text="GP2">
      <formula>NOT(ISERROR(SEARCH("GP2",AD8)))</formula>
    </cfRule>
    <cfRule type="containsText" dxfId="8301" priority="20341" operator="containsText" text="GP1">
      <formula>NOT(ISERROR(SEARCH("GP1",AD8)))</formula>
    </cfRule>
  </conditionalFormatting>
  <conditionalFormatting sqref="AD8">
    <cfRule type="containsText" dxfId="8300" priority="20338" operator="containsText" text="GP2">
      <formula>NOT(ISERROR(SEARCH("GP2",AD8)))</formula>
    </cfRule>
    <cfRule type="containsText" dxfId="8299" priority="20339" operator="containsText" text="GP1">
      <formula>NOT(ISERROR(SEARCH("GP1",AD8)))</formula>
    </cfRule>
  </conditionalFormatting>
  <conditionalFormatting sqref="AD8">
    <cfRule type="containsText" dxfId="8298" priority="20336" operator="containsText" text="GP2">
      <formula>NOT(ISERROR(SEARCH("GP2",AD8)))</formula>
    </cfRule>
    <cfRule type="containsText" dxfId="8297" priority="20337" operator="containsText" text="GP1">
      <formula>NOT(ISERROR(SEARCH("GP1",AD8)))</formula>
    </cfRule>
  </conditionalFormatting>
  <conditionalFormatting sqref="AD8">
    <cfRule type="containsText" dxfId="8296" priority="20334" operator="containsText" text="GP2">
      <formula>NOT(ISERROR(SEARCH("GP2",AD8)))</formula>
    </cfRule>
    <cfRule type="containsText" dxfId="8295" priority="20335" operator="containsText" text="GP1">
      <formula>NOT(ISERROR(SEARCH("GP1",AD8)))</formula>
    </cfRule>
  </conditionalFormatting>
  <conditionalFormatting sqref="AD8">
    <cfRule type="containsText" dxfId="8294" priority="20332" operator="containsText" text="GP2">
      <formula>NOT(ISERROR(SEARCH("GP2",AD8)))</formula>
    </cfRule>
    <cfRule type="containsText" dxfId="8293" priority="20333" operator="containsText" text="GP1">
      <formula>NOT(ISERROR(SEARCH("GP1",AD8)))</formula>
    </cfRule>
  </conditionalFormatting>
  <conditionalFormatting sqref="AD8">
    <cfRule type="containsText" dxfId="8292" priority="20330" operator="containsText" text="GP2">
      <formula>NOT(ISERROR(SEARCH("GP2",AD8)))</formula>
    </cfRule>
    <cfRule type="containsText" dxfId="8291" priority="20331" operator="containsText" text="GP1">
      <formula>NOT(ISERROR(SEARCH("GP1",AD8)))</formula>
    </cfRule>
  </conditionalFormatting>
  <conditionalFormatting sqref="AD8">
    <cfRule type="containsText" dxfId="8290" priority="20328" operator="containsText" text="GP2">
      <formula>NOT(ISERROR(SEARCH("GP2",AD8)))</formula>
    </cfRule>
    <cfRule type="containsText" dxfId="8289" priority="20329" operator="containsText" text="GP1">
      <formula>NOT(ISERROR(SEARCH("GP1",AD8)))</formula>
    </cfRule>
  </conditionalFormatting>
  <conditionalFormatting sqref="AD8">
    <cfRule type="containsText" dxfId="8288" priority="20326" operator="containsText" text="GP2">
      <formula>NOT(ISERROR(SEARCH("GP2",AD8)))</formula>
    </cfRule>
    <cfRule type="containsText" dxfId="8287" priority="20327" operator="containsText" text="GP1">
      <formula>NOT(ISERROR(SEARCH("GP1",AD8)))</formula>
    </cfRule>
  </conditionalFormatting>
  <conditionalFormatting sqref="AD8">
    <cfRule type="containsText" dxfId="8286" priority="20324" operator="containsText" text="GP2">
      <formula>NOT(ISERROR(SEARCH("GP2",AD8)))</formula>
    </cfRule>
    <cfRule type="containsText" dxfId="8285" priority="20325" operator="containsText" text="GP1">
      <formula>NOT(ISERROR(SEARCH("GP1",AD8)))</formula>
    </cfRule>
  </conditionalFormatting>
  <conditionalFormatting sqref="AD8">
    <cfRule type="containsText" dxfId="8284" priority="20322" operator="containsText" text="GP2">
      <formula>NOT(ISERROR(SEARCH("GP2",AD8)))</formula>
    </cfRule>
    <cfRule type="containsText" dxfId="8283" priority="20323" operator="containsText" text="GP1">
      <formula>NOT(ISERROR(SEARCH("GP1",AD8)))</formula>
    </cfRule>
  </conditionalFormatting>
  <conditionalFormatting sqref="AD8">
    <cfRule type="containsText" dxfId="8282" priority="20320" operator="containsText" text="GP2">
      <formula>NOT(ISERROR(SEARCH("GP2",AD8)))</formula>
    </cfRule>
    <cfRule type="containsText" dxfId="8281" priority="20321" operator="containsText" text="GP1">
      <formula>NOT(ISERROR(SEARCH("GP1",AD8)))</formula>
    </cfRule>
  </conditionalFormatting>
  <conditionalFormatting sqref="AD8">
    <cfRule type="containsText" dxfId="8280" priority="20318" operator="containsText" text="GP2">
      <formula>NOT(ISERROR(SEARCH("GP2",AD8)))</formula>
    </cfRule>
    <cfRule type="containsText" dxfId="8279" priority="20319" operator="containsText" text="GP1">
      <formula>NOT(ISERROR(SEARCH("GP1",AD8)))</formula>
    </cfRule>
  </conditionalFormatting>
  <conditionalFormatting sqref="AD8">
    <cfRule type="containsText" dxfId="8278" priority="20316" operator="containsText" text="GP2">
      <formula>NOT(ISERROR(SEARCH("GP2",AD8)))</formula>
    </cfRule>
    <cfRule type="containsText" dxfId="8277" priority="20317" operator="containsText" text="GP1">
      <formula>NOT(ISERROR(SEARCH("GP1",AD8)))</formula>
    </cfRule>
  </conditionalFormatting>
  <conditionalFormatting sqref="AD8">
    <cfRule type="containsText" dxfId="8276" priority="20314" operator="containsText" text="GP2">
      <formula>NOT(ISERROR(SEARCH("GP2",AD8)))</formula>
    </cfRule>
    <cfRule type="containsText" dxfId="8275" priority="20315" operator="containsText" text="GP1">
      <formula>NOT(ISERROR(SEARCH("GP1",AD8)))</formula>
    </cfRule>
  </conditionalFormatting>
  <conditionalFormatting sqref="AD8">
    <cfRule type="containsText" dxfId="8274" priority="20312" operator="containsText" text="GP2">
      <formula>NOT(ISERROR(SEARCH("GP2",AD8)))</formula>
    </cfRule>
    <cfRule type="containsText" dxfId="8273" priority="20313" operator="containsText" text="GP1">
      <formula>NOT(ISERROR(SEARCH("GP1",AD8)))</formula>
    </cfRule>
  </conditionalFormatting>
  <conditionalFormatting sqref="AD8">
    <cfRule type="containsText" dxfId="8272" priority="20310" operator="containsText" text="GP2">
      <formula>NOT(ISERROR(SEARCH("GP2",AD8)))</formula>
    </cfRule>
    <cfRule type="containsText" dxfId="8271" priority="20311" operator="containsText" text="GP1">
      <formula>NOT(ISERROR(SEARCH("GP1",AD8)))</formula>
    </cfRule>
  </conditionalFormatting>
  <conditionalFormatting sqref="AD8">
    <cfRule type="containsText" dxfId="8270" priority="20308" operator="containsText" text="GP2">
      <formula>NOT(ISERROR(SEARCH("GP2",AD8)))</formula>
    </cfRule>
    <cfRule type="containsText" dxfId="8269" priority="20309" operator="containsText" text="GP1">
      <formula>NOT(ISERROR(SEARCH("GP1",AD8)))</formula>
    </cfRule>
  </conditionalFormatting>
  <conditionalFormatting sqref="AD8">
    <cfRule type="containsText" dxfId="8268" priority="20306" operator="containsText" text="GP2">
      <formula>NOT(ISERROR(SEARCH("GP2",AD8)))</formula>
    </cfRule>
    <cfRule type="containsText" dxfId="8267" priority="20307" operator="containsText" text="GP1">
      <formula>NOT(ISERROR(SEARCH("GP1",AD8)))</formula>
    </cfRule>
  </conditionalFormatting>
  <conditionalFormatting sqref="AD8">
    <cfRule type="containsText" dxfId="8266" priority="20304" operator="containsText" text="GP2">
      <formula>NOT(ISERROR(SEARCH("GP2",AD8)))</formula>
    </cfRule>
    <cfRule type="containsText" dxfId="8265" priority="20305" operator="containsText" text="GP1">
      <formula>NOT(ISERROR(SEARCH("GP1",AD8)))</formula>
    </cfRule>
  </conditionalFormatting>
  <conditionalFormatting sqref="AD8">
    <cfRule type="containsText" dxfId="8264" priority="20302" operator="containsText" text="GP2">
      <formula>NOT(ISERROR(SEARCH("GP2",AD8)))</formula>
    </cfRule>
    <cfRule type="containsText" dxfId="8263" priority="20303" operator="containsText" text="GP1">
      <formula>NOT(ISERROR(SEARCH("GP1",AD8)))</formula>
    </cfRule>
  </conditionalFormatting>
  <conditionalFormatting sqref="AD8">
    <cfRule type="containsText" dxfId="8262" priority="20300" operator="containsText" text="GP2">
      <formula>NOT(ISERROR(SEARCH("GP2",AD8)))</formula>
    </cfRule>
    <cfRule type="containsText" dxfId="8261" priority="20301" operator="containsText" text="GP1">
      <formula>NOT(ISERROR(SEARCH("GP1",AD8)))</formula>
    </cfRule>
  </conditionalFormatting>
  <conditionalFormatting sqref="AD8">
    <cfRule type="containsText" dxfId="8260" priority="20298" operator="containsText" text="GP2">
      <formula>NOT(ISERROR(SEARCH("GP2",AD8)))</formula>
    </cfRule>
    <cfRule type="containsText" dxfId="8259" priority="20299" operator="containsText" text="GP1">
      <formula>NOT(ISERROR(SEARCH("GP1",AD8)))</formula>
    </cfRule>
  </conditionalFormatting>
  <conditionalFormatting sqref="AD8">
    <cfRule type="containsText" dxfId="8258" priority="20296" operator="containsText" text="GP2">
      <formula>NOT(ISERROR(SEARCH("GP2",AD8)))</formula>
    </cfRule>
    <cfRule type="containsText" dxfId="8257" priority="20297" operator="containsText" text="GP1">
      <formula>NOT(ISERROR(SEARCH("GP1",AD8)))</formula>
    </cfRule>
  </conditionalFormatting>
  <conditionalFormatting sqref="AD8">
    <cfRule type="containsText" dxfId="8256" priority="20294" operator="containsText" text="GP2">
      <formula>NOT(ISERROR(SEARCH("GP2",AD8)))</formula>
    </cfRule>
    <cfRule type="containsText" dxfId="8255" priority="20295" operator="containsText" text="GP1">
      <formula>NOT(ISERROR(SEARCH("GP1",AD8)))</formula>
    </cfRule>
  </conditionalFormatting>
  <conditionalFormatting sqref="AD8">
    <cfRule type="containsText" dxfId="8254" priority="20292" operator="containsText" text="GP2">
      <formula>NOT(ISERROR(SEARCH("GP2",AD8)))</formula>
    </cfRule>
    <cfRule type="containsText" dxfId="8253" priority="20293" operator="containsText" text="GP1">
      <formula>NOT(ISERROR(SEARCH("GP1",AD8)))</formula>
    </cfRule>
  </conditionalFormatting>
  <conditionalFormatting sqref="AD8">
    <cfRule type="containsText" dxfId="8252" priority="20290" operator="containsText" text="GP2">
      <formula>NOT(ISERROR(SEARCH("GP2",AD8)))</formula>
    </cfRule>
    <cfRule type="containsText" dxfId="8251" priority="20291" operator="containsText" text="GP1">
      <formula>NOT(ISERROR(SEARCH("GP1",AD8)))</formula>
    </cfRule>
  </conditionalFormatting>
  <conditionalFormatting sqref="AD8">
    <cfRule type="containsText" dxfId="8250" priority="20288" operator="containsText" text="GP2">
      <formula>NOT(ISERROR(SEARCH("GP2",AD8)))</formula>
    </cfRule>
    <cfRule type="containsText" dxfId="8249" priority="20289" operator="containsText" text="GP1">
      <formula>NOT(ISERROR(SEARCH("GP1",AD8)))</formula>
    </cfRule>
  </conditionalFormatting>
  <conditionalFormatting sqref="AD8">
    <cfRule type="containsText" dxfId="8248" priority="20286" operator="containsText" text="GP2">
      <formula>NOT(ISERROR(SEARCH("GP2",AD8)))</formula>
    </cfRule>
    <cfRule type="containsText" dxfId="8247" priority="20287" operator="containsText" text="GP1">
      <formula>NOT(ISERROR(SEARCH("GP1",AD8)))</formula>
    </cfRule>
  </conditionalFormatting>
  <conditionalFormatting sqref="AD8">
    <cfRule type="containsText" dxfId="8246" priority="20284" operator="containsText" text="GP2">
      <formula>NOT(ISERROR(SEARCH("GP2",AD8)))</formula>
    </cfRule>
    <cfRule type="containsText" dxfId="8245" priority="20285" operator="containsText" text="GP1">
      <formula>NOT(ISERROR(SEARCH("GP1",AD8)))</formula>
    </cfRule>
  </conditionalFormatting>
  <conditionalFormatting sqref="AD8">
    <cfRule type="containsText" dxfId="8244" priority="20282" operator="containsText" text="GP2">
      <formula>NOT(ISERROR(SEARCH("GP2",AD8)))</formula>
    </cfRule>
    <cfRule type="containsText" dxfId="8243" priority="20283" operator="containsText" text="GP1">
      <formula>NOT(ISERROR(SEARCH("GP1",AD8)))</formula>
    </cfRule>
  </conditionalFormatting>
  <conditionalFormatting sqref="AD8">
    <cfRule type="containsText" dxfId="8242" priority="20280" operator="containsText" text="GP2">
      <formula>NOT(ISERROR(SEARCH("GP2",AD8)))</formula>
    </cfRule>
    <cfRule type="containsText" dxfId="8241" priority="20281" operator="containsText" text="GP1">
      <formula>NOT(ISERROR(SEARCH("GP1",AD8)))</formula>
    </cfRule>
  </conditionalFormatting>
  <conditionalFormatting sqref="AD8">
    <cfRule type="containsText" dxfId="8240" priority="20278" operator="containsText" text="GP2">
      <formula>NOT(ISERROR(SEARCH("GP2",AD8)))</formula>
    </cfRule>
    <cfRule type="containsText" dxfId="8239" priority="20279" operator="containsText" text="GP1">
      <formula>NOT(ISERROR(SEARCH("GP1",AD8)))</formula>
    </cfRule>
  </conditionalFormatting>
  <conditionalFormatting sqref="AD8">
    <cfRule type="containsText" dxfId="8238" priority="20204" operator="containsText" text="GP2">
      <formula>NOT(ISERROR(SEARCH("GP2",AD8)))</formula>
    </cfRule>
    <cfRule type="containsText" dxfId="8237" priority="20205" operator="containsText" text="GP1">
      <formula>NOT(ISERROR(SEARCH("GP1",AD8)))</formula>
    </cfRule>
  </conditionalFormatting>
  <conditionalFormatting sqref="AD8">
    <cfRule type="containsText" dxfId="8236" priority="20202" operator="containsText" text="GP2">
      <formula>NOT(ISERROR(SEARCH("GP2",AD8)))</formula>
    </cfRule>
    <cfRule type="containsText" dxfId="8235" priority="20203" operator="containsText" text="GP1">
      <formula>NOT(ISERROR(SEARCH("GP1",AD8)))</formula>
    </cfRule>
  </conditionalFormatting>
  <conditionalFormatting sqref="AD8">
    <cfRule type="containsText" dxfId="8234" priority="20200" operator="containsText" text="GP2">
      <formula>NOT(ISERROR(SEARCH("GP2",AD8)))</formula>
    </cfRule>
    <cfRule type="containsText" dxfId="8233" priority="20201" operator="containsText" text="GP1">
      <formula>NOT(ISERROR(SEARCH("GP1",AD8)))</formula>
    </cfRule>
  </conditionalFormatting>
  <conditionalFormatting sqref="AD8">
    <cfRule type="containsText" dxfId="8232" priority="20198" operator="containsText" text="GP2">
      <formula>NOT(ISERROR(SEARCH("GP2",AD8)))</formula>
    </cfRule>
    <cfRule type="containsText" dxfId="8231" priority="20199" operator="containsText" text="GP1">
      <formula>NOT(ISERROR(SEARCH("GP1",AD8)))</formula>
    </cfRule>
  </conditionalFormatting>
  <conditionalFormatting sqref="AD8">
    <cfRule type="containsText" dxfId="8230" priority="20196" operator="containsText" text="GP2">
      <formula>NOT(ISERROR(SEARCH("GP2",AD8)))</formula>
    </cfRule>
    <cfRule type="containsText" dxfId="8229" priority="20197" operator="containsText" text="GP1">
      <formula>NOT(ISERROR(SEARCH("GP1",AD8)))</formula>
    </cfRule>
  </conditionalFormatting>
  <conditionalFormatting sqref="AD8">
    <cfRule type="containsText" dxfId="8228" priority="20194" operator="containsText" text="GP2">
      <formula>NOT(ISERROR(SEARCH("GP2",AD8)))</formula>
    </cfRule>
    <cfRule type="containsText" dxfId="8227" priority="20195" operator="containsText" text="GP1">
      <formula>NOT(ISERROR(SEARCH("GP1",AD8)))</formula>
    </cfRule>
  </conditionalFormatting>
  <conditionalFormatting sqref="AD8">
    <cfRule type="containsText" dxfId="8226" priority="20192" operator="containsText" text="GP2">
      <formula>NOT(ISERROR(SEARCH("GP2",AD8)))</formula>
    </cfRule>
    <cfRule type="containsText" dxfId="8225" priority="20193" operator="containsText" text="GP1">
      <formula>NOT(ISERROR(SEARCH("GP1",AD8)))</formula>
    </cfRule>
  </conditionalFormatting>
  <conditionalFormatting sqref="AD8">
    <cfRule type="containsText" dxfId="8224" priority="20190" operator="containsText" text="GP2">
      <formula>NOT(ISERROR(SEARCH("GP2",AD8)))</formula>
    </cfRule>
    <cfRule type="containsText" dxfId="8223" priority="20191" operator="containsText" text="GP1">
      <formula>NOT(ISERROR(SEARCH("GP1",AD8)))</formula>
    </cfRule>
  </conditionalFormatting>
  <conditionalFormatting sqref="AD8">
    <cfRule type="containsText" dxfId="8222" priority="20188" operator="containsText" text="GP2">
      <formula>NOT(ISERROR(SEARCH("GP2",AD8)))</formula>
    </cfRule>
    <cfRule type="containsText" dxfId="8221" priority="20189" operator="containsText" text="GP1">
      <formula>NOT(ISERROR(SEARCH("GP1",AD8)))</formula>
    </cfRule>
  </conditionalFormatting>
  <conditionalFormatting sqref="AD8">
    <cfRule type="containsText" dxfId="8220" priority="20186" operator="containsText" text="GP2">
      <formula>NOT(ISERROR(SEARCH("GP2",AD8)))</formula>
    </cfRule>
    <cfRule type="containsText" dxfId="8219" priority="20187" operator="containsText" text="GP1">
      <formula>NOT(ISERROR(SEARCH("GP1",AD8)))</formula>
    </cfRule>
  </conditionalFormatting>
  <conditionalFormatting sqref="AD8">
    <cfRule type="containsText" dxfId="8218" priority="20184" operator="containsText" text="GP2">
      <formula>NOT(ISERROR(SEARCH("GP2",AD8)))</formula>
    </cfRule>
    <cfRule type="containsText" dxfId="8217" priority="20185" operator="containsText" text="GP1">
      <formula>NOT(ISERROR(SEARCH("GP1",AD8)))</formula>
    </cfRule>
  </conditionalFormatting>
  <conditionalFormatting sqref="AD8">
    <cfRule type="containsText" dxfId="8216" priority="20182" operator="containsText" text="GP2">
      <formula>NOT(ISERROR(SEARCH("GP2",AD8)))</formula>
    </cfRule>
    <cfRule type="containsText" dxfId="8215" priority="20183" operator="containsText" text="GP1">
      <formula>NOT(ISERROR(SEARCH("GP1",AD8)))</formula>
    </cfRule>
  </conditionalFormatting>
  <conditionalFormatting sqref="AD8">
    <cfRule type="containsText" dxfId="8214" priority="20180" operator="containsText" text="GP2">
      <formula>NOT(ISERROR(SEARCH("GP2",AD8)))</formula>
    </cfRule>
    <cfRule type="containsText" dxfId="8213" priority="20181" operator="containsText" text="GP1">
      <formula>NOT(ISERROR(SEARCH("GP1",AD8)))</formula>
    </cfRule>
  </conditionalFormatting>
  <conditionalFormatting sqref="AD8">
    <cfRule type="containsText" dxfId="8212" priority="20178" operator="containsText" text="GP2">
      <formula>NOT(ISERROR(SEARCH("GP2",AD8)))</formula>
    </cfRule>
    <cfRule type="containsText" dxfId="8211" priority="20179" operator="containsText" text="GP1">
      <formula>NOT(ISERROR(SEARCH("GP1",AD8)))</formula>
    </cfRule>
  </conditionalFormatting>
  <conditionalFormatting sqref="AD8">
    <cfRule type="containsText" dxfId="8210" priority="20176" operator="containsText" text="GP2">
      <formula>NOT(ISERROR(SEARCH("GP2",AD8)))</formula>
    </cfRule>
    <cfRule type="containsText" dxfId="8209" priority="20177" operator="containsText" text="GP1">
      <formula>NOT(ISERROR(SEARCH("GP1",AD8)))</formula>
    </cfRule>
  </conditionalFormatting>
  <conditionalFormatting sqref="AD8">
    <cfRule type="containsText" dxfId="8208" priority="20174" operator="containsText" text="GP2">
      <formula>NOT(ISERROR(SEARCH("GP2",AD8)))</formula>
    </cfRule>
    <cfRule type="containsText" dxfId="8207" priority="20175" operator="containsText" text="GP1">
      <formula>NOT(ISERROR(SEARCH("GP1",AD8)))</formula>
    </cfRule>
  </conditionalFormatting>
  <conditionalFormatting sqref="AD8">
    <cfRule type="containsText" dxfId="8206" priority="20172" operator="containsText" text="GP2">
      <formula>NOT(ISERROR(SEARCH("GP2",AD8)))</formula>
    </cfRule>
    <cfRule type="containsText" dxfId="8205" priority="20173" operator="containsText" text="GP1">
      <formula>NOT(ISERROR(SEARCH("GP1",AD8)))</formula>
    </cfRule>
  </conditionalFormatting>
  <conditionalFormatting sqref="AD8">
    <cfRule type="containsText" dxfId="8204" priority="20170" operator="containsText" text="GP2">
      <formula>NOT(ISERROR(SEARCH("GP2",AD8)))</formula>
    </cfRule>
    <cfRule type="containsText" dxfId="8203" priority="20171" operator="containsText" text="GP1">
      <formula>NOT(ISERROR(SEARCH("GP1",AD8)))</formula>
    </cfRule>
  </conditionalFormatting>
  <conditionalFormatting sqref="AD8">
    <cfRule type="containsText" dxfId="8202" priority="20168" operator="containsText" text="GP2">
      <formula>NOT(ISERROR(SEARCH("GP2",AD8)))</formula>
    </cfRule>
    <cfRule type="containsText" dxfId="8201" priority="20169" operator="containsText" text="GP1">
      <formula>NOT(ISERROR(SEARCH("GP1",AD8)))</formula>
    </cfRule>
  </conditionalFormatting>
  <conditionalFormatting sqref="AD8">
    <cfRule type="containsText" dxfId="8200" priority="20166" operator="containsText" text="GP2">
      <formula>NOT(ISERROR(SEARCH("GP2",AD8)))</formula>
    </cfRule>
    <cfRule type="containsText" dxfId="8199" priority="20167" operator="containsText" text="GP1">
      <formula>NOT(ISERROR(SEARCH("GP1",AD8)))</formula>
    </cfRule>
  </conditionalFormatting>
  <conditionalFormatting sqref="AD8">
    <cfRule type="containsText" dxfId="8198" priority="20164" operator="containsText" text="GP2">
      <formula>NOT(ISERROR(SEARCH("GP2",AD8)))</formula>
    </cfRule>
    <cfRule type="containsText" dxfId="8197" priority="20165" operator="containsText" text="GP1">
      <formula>NOT(ISERROR(SEARCH("GP1",AD8)))</formula>
    </cfRule>
  </conditionalFormatting>
  <conditionalFormatting sqref="AD8">
    <cfRule type="containsText" dxfId="8196" priority="20162" operator="containsText" text="GP2">
      <formula>NOT(ISERROR(SEARCH("GP2",AD8)))</formula>
    </cfRule>
    <cfRule type="containsText" dxfId="8195" priority="20163" operator="containsText" text="GP1">
      <formula>NOT(ISERROR(SEARCH("GP1",AD8)))</formula>
    </cfRule>
  </conditionalFormatting>
  <conditionalFormatting sqref="AD8">
    <cfRule type="containsText" dxfId="8194" priority="20160" operator="containsText" text="GP2">
      <formula>NOT(ISERROR(SEARCH("GP2",AD8)))</formula>
    </cfRule>
    <cfRule type="containsText" dxfId="8193" priority="20161" operator="containsText" text="GP1">
      <formula>NOT(ISERROR(SEARCH("GP1",AD8)))</formula>
    </cfRule>
  </conditionalFormatting>
  <conditionalFormatting sqref="AD8">
    <cfRule type="containsText" dxfId="8192" priority="20158" operator="containsText" text="GP2">
      <formula>NOT(ISERROR(SEARCH("GP2",AD8)))</formula>
    </cfRule>
    <cfRule type="containsText" dxfId="8191" priority="20159" operator="containsText" text="GP1">
      <formula>NOT(ISERROR(SEARCH("GP1",AD8)))</formula>
    </cfRule>
  </conditionalFormatting>
  <conditionalFormatting sqref="AD8">
    <cfRule type="containsText" dxfId="8190" priority="20156" operator="containsText" text="GP2">
      <formula>NOT(ISERROR(SEARCH("GP2",AD8)))</formula>
    </cfRule>
    <cfRule type="containsText" dxfId="8189" priority="20157" operator="containsText" text="GP1">
      <formula>NOT(ISERROR(SEARCH("GP1",AD8)))</formula>
    </cfRule>
  </conditionalFormatting>
  <conditionalFormatting sqref="AD8">
    <cfRule type="containsText" dxfId="8188" priority="20154" operator="containsText" text="GP2">
      <formula>NOT(ISERROR(SEARCH("GP2",AD8)))</formula>
    </cfRule>
    <cfRule type="containsText" dxfId="8187" priority="20155" operator="containsText" text="GP1">
      <formula>NOT(ISERROR(SEARCH("GP1",AD8)))</formula>
    </cfRule>
  </conditionalFormatting>
  <conditionalFormatting sqref="AD8">
    <cfRule type="containsText" dxfId="8186" priority="20152" operator="containsText" text="GP2">
      <formula>NOT(ISERROR(SEARCH("GP2",AD8)))</formula>
    </cfRule>
    <cfRule type="containsText" dxfId="8185" priority="20153" operator="containsText" text="GP1">
      <formula>NOT(ISERROR(SEARCH("GP1",AD8)))</formula>
    </cfRule>
  </conditionalFormatting>
  <conditionalFormatting sqref="AD8">
    <cfRule type="containsText" dxfId="8184" priority="20150" operator="containsText" text="GP2">
      <formula>NOT(ISERROR(SEARCH("GP2",AD8)))</formula>
    </cfRule>
    <cfRule type="containsText" dxfId="8183" priority="20151" operator="containsText" text="GP1">
      <formula>NOT(ISERROR(SEARCH("GP1",AD8)))</formula>
    </cfRule>
  </conditionalFormatting>
  <conditionalFormatting sqref="AD8">
    <cfRule type="containsText" dxfId="8182" priority="20148" operator="containsText" text="GP2">
      <formula>NOT(ISERROR(SEARCH("GP2",AD8)))</formula>
    </cfRule>
    <cfRule type="containsText" dxfId="8181" priority="20149" operator="containsText" text="GP1">
      <formula>NOT(ISERROR(SEARCH("GP1",AD8)))</formula>
    </cfRule>
  </conditionalFormatting>
  <conditionalFormatting sqref="AD8">
    <cfRule type="containsText" dxfId="8180" priority="20146" operator="containsText" text="GP2">
      <formula>NOT(ISERROR(SEARCH("GP2",AD8)))</formula>
    </cfRule>
    <cfRule type="containsText" dxfId="8179" priority="20147" operator="containsText" text="GP1">
      <formula>NOT(ISERROR(SEARCH("GP1",AD8)))</formula>
    </cfRule>
  </conditionalFormatting>
  <conditionalFormatting sqref="AD8">
    <cfRule type="containsText" dxfId="8178" priority="20144" operator="containsText" text="GP2">
      <formula>NOT(ISERROR(SEARCH("GP2",AD8)))</formula>
    </cfRule>
    <cfRule type="containsText" dxfId="8177" priority="20145" operator="containsText" text="GP1">
      <formula>NOT(ISERROR(SEARCH("GP1",AD8)))</formula>
    </cfRule>
  </conditionalFormatting>
  <conditionalFormatting sqref="AD8">
    <cfRule type="containsText" dxfId="8176" priority="20142" operator="containsText" text="GP2">
      <formula>NOT(ISERROR(SEARCH("GP2",AD8)))</formula>
    </cfRule>
    <cfRule type="containsText" dxfId="8175" priority="20143" operator="containsText" text="GP1">
      <formula>NOT(ISERROR(SEARCH("GP1",AD8)))</formula>
    </cfRule>
  </conditionalFormatting>
  <conditionalFormatting sqref="AD8">
    <cfRule type="containsText" dxfId="8174" priority="20140" operator="containsText" text="GP2">
      <formula>NOT(ISERROR(SEARCH("GP2",AD8)))</formula>
    </cfRule>
    <cfRule type="containsText" dxfId="8173" priority="20141" operator="containsText" text="GP1">
      <formula>NOT(ISERROR(SEARCH("GP1",AD8)))</formula>
    </cfRule>
  </conditionalFormatting>
  <conditionalFormatting sqref="AD8">
    <cfRule type="containsText" dxfId="8172" priority="20138" operator="containsText" text="GP2">
      <formula>NOT(ISERROR(SEARCH("GP2",AD8)))</formula>
    </cfRule>
    <cfRule type="containsText" dxfId="8171" priority="20139" operator="containsText" text="GP1">
      <formula>NOT(ISERROR(SEARCH("GP1",AD8)))</formula>
    </cfRule>
  </conditionalFormatting>
  <conditionalFormatting sqref="AD8">
    <cfRule type="containsText" dxfId="8170" priority="20136" operator="containsText" text="GP2">
      <formula>NOT(ISERROR(SEARCH("GP2",AD8)))</formula>
    </cfRule>
    <cfRule type="containsText" dxfId="8169" priority="20137" operator="containsText" text="GP1">
      <formula>NOT(ISERROR(SEARCH("GP1",AD8)))</formula>
    </cfRule>
  </conditionalFormatting>
  <conditionalFormatting sqref="AD8">
    <cfRule type="containsText" dxfId="8168" priority="20134" operator="containsText" text="GP2">
      <formula>NOT(ISERROR(SEARCH("GP2",AD8)))</formula>
    </cfRule>
    <cfRule type="containsText" dxfId="8167" priority="20135" operator="containsText" text="GP1">
      <formula>NOT(ISERROR(SEARCH("GP1",AD8)))</formula>
    </cfRule>
  </conditionalFormatting>
  <conditionalFormatting sqref="AD8">
    <cfRule type="containsText" dxfId="8166" priority="20132" operator="containsText" text="GP2">
      <formula>NOT(ISERROR(SEARCH("GP2",AD8)))</formula>
    </cfRule>
    <cfRule type="containsText" dxfId="8165" priority="20133" operator="containsText" text="GP1">
      <formula>NOT(ISERROR(SEARCH("GP1",AD8)))</formula>
    </cfRule>
  </conditionalFormatting>
  <conditionalFormatting sqref="AD8">
    <cfRule type="containsText" dxfId="8164" priority="20130" operator="containsText" text="GP2">
      <formula>NOT(ISERROR(SEARCH("GP2",AD8)))</formula>
    </cfRule>
    <cfRule type="containsText" dxfId="8163" priority="20131" operator="containsText" text="GP1">
      <formula>NOT(ISERROR(SEARCH("GP1",AD8)))</formula>
    </cfRule>
  </conditionalFormatting>
  <conditionalFormatting sqref="AD8">
    <cfRule type="containsText" dxfId="8162" priority="20128" operator="containsText" text="GP2">
      <formula>NOT(ISERROR(SEARCH("GP2",AD8)))</formula>
    </cfRule>
    <cfRule type="containsText" dxfId="8161" priority="20129" operator="containsText" text="GP1">
      <formula>NOT(ISERROR(SEARCH("GP1",AD8)))</formula>
    </cfRule>
  </conditionalFormatting>
  <conditionalFormatting sqref="AD8">
    <cfRule type="containsText" dxfId="8160" priority="20126" operator="containsText" text="GP2">
      <formula>NOT(ISERROR(SEARCH("GP2",AD8)))</formula>
    </cfRule>
    <cfRule type="containsText" dxfId="8159" priority="20127" operator="containsText" text="GP1">
      <formula>NOT(ISERROR(SEARCH("GP1",AD8)))</formula>
    </cfRule>
  </conditionalFormatting>
  <conditionalFormatting sqref="AD8">
    <cfRule type="containsText" dxfId="8158" priority="20124" operator="containsText" text="GP2">
      <formula>NOT(ISERROR(SEARCH("GP2",AD8)))</formula>
    </cfRule>
    <cfRule type="containsText" dxfId="8157" priority="20125" operator="containsText" text="GP1">
      <formula>NOT(ISERROR(SEARCH("GP1",AD8)))</formula>
    </cfRule>
  </conditionalFormatting>
  <conditionalFormatting sqref="AD8">
    <cfRule type="containsText" dxfId="8156" priority="20122" operator="containsText" text="GP2">
      <formula>NOT(ISERROR(SEARCH("GP2",AD8)))</formula>
    </cfRule>
    <cfRule type="containsText" dxfId="8155" priority="20123" operator="containsText" text="GP1">
      <formula>NOT(ISERROR(SEARCH("GP1",AD8)))</formula>
    </cfRule>
  </conditionalFormatting>
  <conditionalFormatting sqref="AD8">
    <cfRule type="containsText" dxfId="8154" priority="20120" operator="containsText" text="GP2">
      <formula>NOT(ISERROR(SEARCH("GP2",AD8)))</formula>
    </cfRule>
    <cfRule type="containsText" dxfId="8153" priority="20121" operator="containsText" text="GP1">
      <formula>NOT(ISERROR(SEARCH("GP1",AD8)))</formula>
    </cfRule>
  </conditionalFormatting>
  <conditionalFormatting sqref="AD8">
    <cfRule type="containsText" dxfId="8152" priority="20118" operator="containsText" text="GP2">
      <formula>NOT(ISERROR(SEARCH("GP2",AD8)))</formula>
    </cfRule>
    <cfRule type="containsText" dxfId="8151" priority="20119" operator="containsText" text="GP1">
      <formula>NOT(ISERROR(SEARCH("GP1",AD8)))</formula>
    </cfRule>
  </conditionalFormatting>
  <conditionalFormatting sqref="AD8">
    <cfRule type="containsText" dxfId="8150" priority="20116" operator="containsText" text="GP2">
      <formula>NOT(ISERROR(SEARCH("GP2",AD8)))</formula>
    </cfRule>
    <cfRule type="containsText" dxfId="8149" priority="20117" operator="containsText" text="GP1">
      <formula>NOT(ISERROR(SEARCH("GP1",AD8)))</formula>
    </cfRule>
  </conditionalFormatting>
  <conditionalFormatting sqref="AD8">
    <cfRule type="containsText" dxfId="8148" priority="20114" operator="containsText" text="GP2">
      <formula>NOT(ISERROR(SEARCH("GP2",AD8)))</formula>
    </cfRule>
    <cfRule type="containsText" dxfId="8147" priority="20115" operator="containsText" text="GP1">
      <formula>NOT(ISERROR(SEARCH("GP1",AD8)))</formula>
    </cfRule>
  </conditionalFormatting>
  <conditionalFormatting sqref="AD8">
    <cfRule type="containsText" dxfId="8146" priority="20112" operator="containsText" text="GP2">
      <formula>NOT(ISERROR(SEARCH("GP2",AD8)))</formula>
    </cfRule>
    <cfRule type="containsText" dxfId="8145" priority="20113" operator="containsText" text="GP1">
      <formula>NOT(ISERROR(SEARCH("GP1",AD8)))</formula>
    </cfRule>
  </conditionalFormatting>
  <conditionalFormatting sqref="AD8">
    <cfRule type="containsText" dxfId="8144" priority="20110" operator="containsText" text="GP2">
      <formula>NOT(ISERROR(SEARCH("GP2",AD8)))</formula>
    </cfRule>
    <cfRule type="containsText" dxfId="8143" priority="20111" operator="containsText" text="GP1">
      <formula>NOT(ISERROR(SEARCH("GP1",AD8)))</formula>
    </cfRule>
  </conditionalFormatting>
  <conditionalFormatting sqref="AD8">
    <cfRule type="containsText" dxfId="8142" priority="20108" operator="containsText" text="GP2">
      <formula>NOT(ISERROR(SEARCH("GP2",AD8)))</formula>
    </cfRule>
    <cfRule type="containsText" dxfId="8141" priority="20109" operator="containsText" text="GP1">
      <formula>NOT(ISERROR(SEARCH("GP1",AD8)))</formula>
    </cfRule>
  </conditionalFormatting>
  <conditionalFormatting sqref="AD8">
    <cfRule type="containsText" dxfId="8140" priority="20106" operator="containsText" text="GP2">
      <formula>NOT(ISERROR(SEARCH("GP2",AD8)))</formula>
    </cfRule>
    <cfRule type="containsText" dxfId="8139" priority="20107" operator="containsText" text="GP1">
      <formula>NOT(ISERROR(SEARCH("GP1",AD8)))</formula>
    </cfRule>
  </conditionalFormatting>
  <conditionalFormatting sqref="AD8">
    <cfRule type="containsText" dxfId="8138" priority="20104" operator="containsText" text="GP2">
      <formula>NOT(ISERROR(SEARCH("GP2",AD8)))</formula>
    </cfRule>
    <cfRule type="containsText" dxfId="8137" priority="20105" operator="containsText" text="GP1">
      <formula>NOT(ISERROR(SEARCH("GP1",AD8)))</formula>
    </cfRule>
  </conditionalFormatting>
  <conditionalFormatting sqref="AD8">
    <cfRule type="containsText" dxfId="8136" priority="20102" operator="containsText" text="GP2">
      <formula>NOT(ISERROR(SEARCH("GP2",AD8)))</formula>
    </cfRule>
    <cfRule type="containsText" dxfId="8135" priority="20103" operator="containsText" text="GP1">
      <formula>NOT(ISERROR(SEARCH("GP1",AD8)))</formula>
    </cfRule>
  </conditionalFormatting>
  <conditionalFormatting sqref="AD8">
    <cfRule type="containsText" dxfId="8134" priority="20100" operator="containsText" text="GP2">
      <formula>NOT(ISERROR(SEARCH("GP2",AD8)))</formula>
    </cfRule>
    <cfRule type="containsText" dxfId="8133" priority="20101" operator="containsText" text="GP1">
      <formula>NOT(ISERROR(SEARCH("GP1",AD8)))</formula>
    </cfRule>
  </conditionalFormatting>
  <conditionalFormatting sqref="AD8">
    <cfRule type="containsText" dxfId="8132" priority="20098" operator="containsText" text="GP2">
      <formula>NOT(ISERROR(SEARCH("GP2",AD8)))</formula>
    </cfRule>
    <cfRule type="containsText" dxfId="8131" priority="20099" operator="containsText" text="GP1">
      <formula>NOT(ISERROR(SEARCH("GP1",AD8)))</formula>
    </cfRule>
  </conditionalFormatting>
  <conditionalFormatting sqref="AD8">
    <cfRule type="containsText" dxfId="8130" priority="20096" operator="containsText" text="GP2">
      <formula>NOT(ISERROR(SEARCH("GP2",AD8)))</formula>
    </cfRule>
    <cfRule type="containsText" dxfId="8129" priority="20097" operator="containsText" text="GP1">
      <formula>NOT(ISERROR(SEARCH("GP1",AD8)))</formula>
    </cfRule>
  </conditionalFormatting>
  <conditionalFormatting sqref="AD8">
    <cfRule type="containsText" dxfId="8128" priority="20094" operator="containsText" text="GP2">
      <formula>NOT(ISERROR(SEARCH("GP2",AD8)))</formula>
    </cfRule>
    <cfRule type="containsText" dxfId="8127" priority="20095" operator="containsText" text="GP1">
      <formula>NOT(ISERROR(SEARCH("GP1",AD8)))</formula>
    </cfRule>
  </conditionalFormatting>
  <conditionalFormatting sqref="AD8">
    <cfRule type="containsText" dxfId="8126" priority="20092" operator="containsText" text="GP2">
      <formula>NOT(ISERROR(SEARCH("GP2",AD8)))</formula>
    </cfRule>
    <cfRule type="containsText" dxfId="8125" priority="20093" operator="containsText" text="GP1">
      <formula>NOT(ISERROR(SEARCH("GP1",AD8)))</formula>
    </cfRule>
  </conditionalFormatting>
  <conditionalFormatting sqref="AD8">
    <cfRule type="containsText" dxfId="8124" priority="20090" operator="containsText" text="GP2">
      <formula>NOT(ISERROR(SEARCH("GP2",AD8)))</formula>
    </cfRule>
    <cfRule type="containsText" dxfId="8123" priority="20091" operator="containsText" text="GP1">
      <formula>NOT(ISERROR(SEARCH("GP1",AD8)))</formula>
    </cfRule>
  </conditionalFormatting>
  <conditionalFormatting sqref="AD8">
    <cfRule type="containsText" dxfId="8122" priority="20088" operator="containsText" text="GP2">
      <formula>NOT(ISERROR(SEARCH("GP2",AD8)))</formula>
    </cfRule>
    <cfRule type="containsText" dxfId="8121" priority="20089" operator="containsText" text="GP1">
      <formula>NOT(ISERROR(SEARCH("GP1",AD8)))</formula>
    </cfRule>
  </conditionalFormatting>
  <conditionalFormatting sqref="AD8">
    <cfRule type="containsText" dxfId="8120" priority="19648" operator="containsText" text="GP2">
      <formula>NOT(ISERROR(SEARCH("GP2",AD8)))</formula>
    </cfRule>
    <cfRule type="containsText" dxfId="8119" priority="19649" operator="containsText" text="GP1">
      <formula>NOT(ISERROR(SEARCH("GP1",AD8)))</formula>
    </cfRule>
  </conditionalFormatting>
  <conditionalFormatting sqref="AD8">
    <cfRule type="containsText" dxfId="8118" priority="19646" operator="containsText" text="GP2">
      <formula>NOT(ISERROR(SEARCH("GP2",AD8)))</formula>
    </cfRule>
    <cfRule type="containsText" dxfId="8117" priority="19647" operator="containsText" text="GP1">
      <formula>NOT(ISERROR(SEARCH("GP1",AD8)))</formula>
    </cfRule>
  </conditionalFormatting>
  <conditionalFormatting sqref="AD8">
    <cfRule type="containsText" dxfId="8116" priority="19644" operator="containsText" text="GP2">
      <formula>NOT(ISERROR(SEARCH("GP2",AD8)))</formula>
    </cfRule>
    <cfRule type="containsText" dxfId="8115" priority="19645" operator="containsText" text="GP1">
      <formula>NOT(ISERROR(SEARCH("GP1",AD8)))</formula>
    </cfRule>
  </conditionalFormatting>
  <conditionalFormatting sqref="AD8">
    <cfRule type="containsText" dxfId="8114" priority="19642" operator="containsText" text="GP2">
      <formula>NOT(ISERROR(SEARCH("GP2",AD8)))</formula>
    </cfRule>
    <cfRule type="containsText" dxfId="8113" priority="19643" operator="containsText" text="GP1">
      <formula>NOT(ISERROR(SEARCH("GP1",AD8)))</formula>
    </cfRule>
  </conditionalFormatting>
  <conditionalFormatting sqref="AD8">
    <cfRule type="containsText" dxfId="8112" priority="19640" operator="containsText" text="GP2">
      <formula>NOT(ISERROR(SEARCH("GP2",AD8)))</formula>
    </cfRule>
    <cfRule type="containsText" dxfId="8111" priority="19641" operator="containsText" text="GP1">
      <formula>NOT(ISERROR(SEARCH("GP1",AD8)))</formula>
    </cfRule>
  </conditionalFormatting>
  <conditionalFormatting sqref="AD8">
    <cfRule type="containsText" dxfId="8110" priority="19638" operator="containsText" text="GP2">
      <formula>NOT(ISERROR(SEARCH("GP2",AD8)))</formula>
    </cfRule>
    <cfRule type="containsText" dxfId="8109" priority="19639" operator="containsText" text="GP1">
      <formula>NOT(ISERROR(SEARCH("GP1",AD8)))</formula>
    </cfRule>
  </conditionalFormatting>
  <conditionalFormatting sqref="AD8">
    <cfRule type="containsText" dxfId="8108" priority="19636" operator="containsText" text="GP2">
      <formula>NOT(ISERROR(SEARCH("GP2",AD8)))</formula>
    </cfRule>
    <cfRule type="containsText" dxfId="8107" priority="19637" operator="containsText" text="GP1">
      <formula>NOT(ISERROR(SEARCH("GP1",AD8)))</formula>
    </cfRule>
  </conditionalFormatting>
  <conditionalFormatting sqref="AD8">
    <cfRule type="containsText" dxfId="8106" priority="19634" operator="containsText" text="GP2">
      <formula>NOT(ISERROR(SEARCH("GP2",AD8)))</formula>
    </cfRule>
    <cfRule type="containsText" dxfId="8105" priority="19635" operator="containsText" text="GP1">
      <formula>NOT(ISERROR(SEARCH("GP1",AD8)))</formula>
    </cfRule>
  </conditionalFormatting>
  <conditionalFormatting sqref="AD8">
    <cfRule type="containsText" dxfId="8104" priority="19632" operator="containsText" text="GP2">
      <formula>NOT(ISERROR(SEARCH("GP2",AD8)))</formula>
    </cfRule>
    <cfRule type="containsText" dxfId="8103" priority="19633" operator="containsText" text="GP1">
      <formula>NOT(ISERROR(SEARCH("GP1",AD8)))</formula>
    </cfRule>
  </conditionalFormatting>
  <conditionalFormatting sqref="AD8">
    <cfRule type="containsText" dxfId="8102" priority="19630" operator="containsText" text="GP2">
      <formula>NOT(ISERROR(SEARCH("GP2",AD8)))</formula>
    </cfRule>
    <cfRule type="containsText" dxfId="8101" priority="19631" operator="containsText" text="GP1">
      <formula>NOT(ISERROR(SEARCH("GP1",AD8)))</formula>
    </cfRule>
  </conditionalFormatting>
  <conditionalFormatting sqref="AD8">
    <cfRule type="containsText" dxfId="8100" priority="19628" operator="containsText" text="GP2">
      <formula>NOT(ISERROR(SEARCH("GP2",AD8)))</formula>
    </cfRule>
    <cfRule type="containsText" dxfId="8099" priority="19629" operator="containsText" text="GP1">
      <formula>NOT(ISERROR(SEARCH("GP1",AD8)))</formula>
    </cfRule>
  </conditionalFormatting>
  <conditionalFormatting sqref="AD8">
    <cfRule type="containsText" dxfId="8098" priority="19626" operator="containsText" text="GP2">
      <formula>NOT(ISERROR(SEARCH("GP2",AD8)))</formula>
    </cfRule>
    <cfRule type="containsText" dxfId="8097" priority="19627" operator="containsText" text="GP1">
      <formula>NOT(ISERROR(SEARCH("GP1",AD8)))</formula>
    </cfRule>
  </conditionalFormatting>
  <conditionalFormatting sqref="AD8">
    <cfRule type="containsText" dxfId="8096" priority="19624" operator="containsText" text="GP2">
      <formula>NOT(ISERROR(SEARCH("GP2",AD8)))</formula>
    </cfRule>
    <cfRule type="containsText" dxfId="8095" priority="19625" operator="containsText" text="GP1">
      <formula>NOT(ISERROR(SEARCH("GP1",AD8)))</formula>
    </cfRule>
  </conditionalFormatting>
  <conditionalFormatting sqref="AD8">
    <cfRule type="containsText" dxfId="8094" priority="19622" operator="containsText" text="GP2">
      <formula>NOT(ISERROR(SEARCH("GP2",AD8)))</formula>
    </cfRule>
    <cfRule type="containsText" dxfId="8093" priority="19623" operator="containsText" text="GP1">
      <formula>NOT(ISERROR(SEARCH("GP1",AD8)))</formula>
    </cfRule>
  </conditionalFormatting>
  <conditionalFormatting sqref="AD8">
    <cfRule type="containsText" dxfId="8092" priority="19620" operator="containsText" text="GP2">
      <formula>NOT(ISERROR(SEARCH("GP2",AD8)))</formula>
    </cfRule>
    <cfRule type="containsText" dxfId="8091" priority="19621" operator="containsText" text="GP1">
      <formula>NOT(ISERROR(SEARCH("GP1",AD8)))</formula>
    </cfRule>
  </conditionalFormatting>
  <conditionalFormatting sqref="AD8">
    <cfRule type="containsText" dxfId="8090" priority="19618" operator="containsText" text="GP2">
      <formula>NOT(ISERROR(SEARCH("GP2",AD8)))</formula>
    </cfRule>
    <cfRule type="containsText" dxfId="8089" priority="19619" operator="containsText" text="GP1">
      <formula>NOT(ISERROR(SEARCH("GP1",AD8)))</formula>
    </cfRule>
  </conditionalFormatting>
  <conditionalFormatting sqref="AD8">
    <cfRule type="containsText" dxfId="8088" priority="19616" operator="containsText" text="GP2">
      <formula>NOT(ISERROR(SEARCH("GP2",AD8)))</formula>
    </cfRule>
    <cfRule type="containsText" dxfId="8087" priority="19617" operator="containsText" text="GP1">
      <formula>NOT(ISERROR(SEARCH("GP1",AD8)))</formula>
    </cfRule>
  </conditionalFormatting>
  <conditionalFormatting sqref="AD8">
    <cfRule type="containsText" dxfId="8086" priority="19614" operator="containsText" text="GP2">
      <formula>NOT(ISERROR(SEARCH("GP2",AD8)))</formula>
    </cfRule>
    <cfRule type="containsText" dxfId="8085" priority="19615" operator="containsText" text="GP1">
      <formula>NOT(ISERROR(SEARCH("GP1",AD8)))</formula>
    </cfRule>
  </conditionalFormatting>
  <conditionalFormatting sqref="AD8">
    <cfRule type="containsText" dxfId="8084" priority="19612" operator="containsText" text="GP2">
      <formula>NOT(ISERROR(SEARCH("GP2",AD8)))</formula>
    </cfRule>
    <cfRule type="containsText" dxfId="8083" priority="19613" operator="containsText" text="GP1">
      <formula>NOT(ISERROR(SEARCH("GP1",AD8)))</formula>
    </cfRule>
  </conditionalFormatting>
  <conditionalFormatting sqref="AD8">
    <cfRule type="containsText" dxfId="8082" priority="19610" operator="containsText" text="GP2">
      <formula>NOT(ISERROR(SEARCH("GP2",AD8)))</formula>
    </cfRule>
    <cfRule type="containsText" dxfId="8081" priority="19611" operator="containsText" text="GP1">
      <formula>NOT(ISERROR(SEARCH("GP1",AD8)))</formula>
    </cfRule>
  </conditionalFormatting>
  <conditionalFormatting sqref="AD8">
    <cfRule type="containsText" dxfId="8080" priority="19608" operator="containsText" text="GP2">
      <formula>NOT(ISERROR(SEARCH("GP2",AD8)))</formula>
    </cfRule>
    <cfRule type="containsText" dxfId="8079" priority="19609" operator="containsText" text="GP1">
      <formula>NOT(ISERROR(SEARCH("GP1",AD8)))</formula>
    </cfRule>
  </conditionalFormatting>
  <conditionalFormatting sqref="AD8">
    <cfRule type="containsText" dxfId="8078" priority="19606" operator="containsText" text="GP2">
      <formula>NOT(ISERROR(SEARCH("GP2",AD8)))</formula>
    </cfRule>
    <cfRule type="containsText" dxfId="8077" priority="19607" operator="containsText" text="GP1">
      <formula>NOT(ISERROR(SEARCH("GP1",AD8)))</formula>
    </cfRule>
  </conditionalFormatting>
  <conditionalFormatting sqref="AD8">
    <cfRule type="containsText" dxfId="8076" priority="19604" operator="containsText" text="GP2">
      <formula>NOT(ISERROR(SEARCH("GP2",AD8)))</formula>
    </cfRule>
    <cfRule type="containsText" dxfId="8075" priority="19605" operator="containsText" text="GP1">
      <formula>NOT(ISERROR(SEARCH("GP1",AD8)))</formula>
    </cfRule>
  </conditionalFormatting>
  <conditionalFormatting sqref="AD8">
    <cfRule type="containsText" dxfId="8074" priority="19602" operator="containsText" text="GP2">
      <formula>NOT(ISERROR(SEARCH("GP2",AD8)))</formula>
    </cfRule>
    <cfRule type="containsText" dxfId="8073" priority="19603" operator="containsText" text="GP1">
      <formula>NOT(ISERROR(SEARCH("GP1",AD8)))</formula>
    </cfRule>
  </conditionalFormatting>
  <conditionalFormatting sqref="AD8">
    <cfRule type="containsText" dxfId="8072" priority="19600" operator="containsText" text="GP2">
      <formula>NOT(ISERROR(SEARCH("GP2",AD8)))</formula>
    </cfRule>
    <cfRule type="containsText" dxfId="8071" priority="19601" operator="containsText" text="GP1">
      <formula>NOT(ISERROR(SEARCH("GP1",AD8)))</formula>
    </cfRule>
  </conditionalFormatting>
  <conditionalFormatting sqref="AD8">
    <cfRule type="containsText" dxfId="8070" priority="19598" operator="containsText" text="GP2">
      <formula>NOT(ISERROR(SEARCH("GP2",AD8)))</formula>
    </cfRule>
    <cfRule type="containsText" dxfId="8069" priority="19599" operator="containsText" text="GP1">
      <formula>NOT(ISERROR(SEARCH("GP1",AD8)))</formula>
    </cfRule>
  </conditionalFormatting>
  <conditionalFormatting sqref="AD8">
    <cfRule type="containsText" dxfId="8068" priority="19596" operator="containsText" text="GP2">
      <formula>NOT(ISERROR(SEARCH("GP2",AD8)))</formula>
    </cfRule>
    <cfRule type="containsText" dxfId="8067" priority="19597" operator="containsText" text="GP1">
      <formula>NOT(ISERROR(SEARCH("GP1",AD8)))</formula>
    </cfRule>
  </conditionalFormatting>
  <conditionalFormatting sqref="AD8">
    <cfRule type="containsText" dxfId="8066" priority="19594" operator="containsText" text="GP2">
      <formula>NOT(ISERROR(SEARCH("GP2",AD8)))</formula>
    </cfRule>
    <cfRule type="containsText" dxfId="8065" priority="19595" operator="containsText" text="GP1">
      <formula>NOT(ISERROR(SEARCH("GP1",AD8)))</formula>
    </cfRule>
  </conditionalFormatting>
  <conditionalFormatting sqref="AD8">
    <cfRule type="containsText" dxfId="8064" priority="19592" operator="containsText" text="GP2">
      <formula>NOT(ISERROR(SEARCH("GP2",AD8)))</formula>
    </cfRule>
    <cfRule type="containsText" dxfId="8063" priority="19593" operator="containsText" text="GP1">
      <formula>NOT(ISERROR(SEARCH("GP1",AD8)))</formula>
    </cfRule>
  </conditionalFormatting>
  <conditionalFormatting sqref="AD8">
    <cfRule type="containsText" dxfId="8062" priority="19590" operator="containsText" text="GP2">
      <formula>NOT(ISERROR(SEARCH("GP2",AD8)))</formula>
    </cfRule>
    <cfRule type="containsText" dxfId="8061" priority="19591" operator="containsText" text="GP1">
      <formula>NOT(ISERROR(SEARCH("GP1",AD8)))</formula>
    </cfRule>
  </conditionalFormatting>
  <conditionalFormatting sqref="AD8">
    <cfRule type="containsText" dxfId="8060" priority="19588" operator="containsText" text="GP2">
      <formula>NOT(ISERROR(SEARCH("GP2",AD8)))</formula>
    </cfRule>
    <cfRule type="containsText" dxfId="8059" priority="19589" operator="containsText" text="GP1">
      <formula>NOT(ISERROR(SEARCH("GP1",AD8)))</formula>
    </cfRule>
  </conditionalFormatting>
  <conditionalFormatting sqref="AD8">
    <cfRule type="containsText" dxfId="8058" priority="19586" operator="containsText" text="GP2">
      <formula>NOT(ISERROR(SEARCH("GP2",AD8)))</formula>
    </cfRule>
    <cfRule type="containsText" dxfId="8057" priority="19587" operator="containsText" text="GP1">
      <formula>NOT(ISERROR(SEARCH("GP1",AD8)))</formula>
    </cfRule>
  </conditionalFormatting>
  <conditionalFormatting sqref="AD8">
    <cfRule type="containsText" dxfId="8056" priority="19584" operator="containsText" text="GP2">
      <formula>NOT(ISERROR(SEARCH("GP2",AD8)))</formula>
    </cfRule>
    <cfRule type="containsText" dxfId="8055" priority="19585" operator="containsText" text="GP1">
      <formula>NOT(ISERROR(SEARCH("GP1",AD8)))</formula>
    </cfRule>
  </conditionalFormatting>
  <conditionalFormatting sqref="AD8">
    <cfRule type="containsText" dxfId="8054" priority="19582" operator="containsText" text="GP2">
      <formula>NOT(ISERROR(SEARCH("GP2",AD8)))</formula>
    </cfRule>
    <cfRule type="containsText" dxfId="8053" priority="19583" operator="containsText" text="GP1">
      <formula>NOT(ISERROR(SEARCH("GP1",AD8)))</formula>
    </cfRule>
  </conditionalFormatting>
  <conditionalFormatting sqref="AD8">
    <cfRule type="containsText" dxfId="8052" priority="19580" operator="containsText" text="GP2">
      <formula>NOT(ISERROR(SEARCH("GP2",AD8)))</formula>
    </cfRule>
    <cfRule type="containsText" dxfId="8051" priority="19581" operator="containsText" text="GP1">
      <formula>NOT(ISERROR(SEARCH("GP1",AD8)))</formula>
    </cfRule>
  </conditionalFormatting>
  <conditionalFormatting sqref="AD8">
    <cfRule type="containsText" dxfId="8050" priority="19578" operator="containsText" text="GP2">
      <formula>NOT(ISERROR(SEARCH("GP2",AD8)))</formula>
    </cfRule>
    <cfRule type="containsText" dxfId="8049" priority="19579" operator="containsText" text="GP1">
      <formula>NOT(ISERROR(SEARCH("GP1",AD8)))</formula>
    </cfRule>
  </conditionalFormatting>
  <conditionalFormatting sqref="AD8">
    <cfRule type="containsText" dxfId="8048" priority="19576" operator="containsText" text="GP2">
      <formula>NOT(ISERROR(SEARCH("GP2",AD8)))</formula>
    </cfRule>
    <cfRule type="containsText" dxfId="8047" priority="19577" operator="containsText" text="GP1">
      <formula>NOT(ISERROR(SEARCH("GP1",AD8)))</formula>
    </cfRule>
  </conditionalFormatting>
  <conditionalFormatting sqref="AD8">
    <cfRule type="containsText" dxfId="8046" priority="19574" operator="containsText" text="GP2">
      <formula>NOT(ISERROR(SEARCH("GP2",AD8)))</formula>
    </cfRule>
    <cfRule type="containsText" dxfId="8045" priority="19575" operator="containsText" text="GP1">
      <formula>NOT(ISERROR(SEARCH("GP1",AD8)))</formula>
    </cfRule>
  </conditionalFormatting>
  <conditionalFormatting sqref="AD8">
    <cfRule type="containsText" dxfId="8044" priority="19572" operator="containsText" text="GP2">
      <formula>NOT(ISERROR(SEARCH("GP2",AD8)))</formula>
    </cfRule>
    <cfRule type="containsText" dxfId="8043" priority="19573" operator="containsText" text="GP1">
      <formula>NOT(ISERROR(SEARCH("GP1",AD8)))</formula>
    </cfRule>
  </conditionalFormatting>
  <conditionalFormatting sqref="AD8">
    <cfRule type="containsText" dxfId="8042" priority="19570" operator="containsText" text="GP2">
      <formula>NOT(ISERROR(SEARCH("GP2",AD8)))</formula>
    </cfRule>
    <cfRule type="containsText" dxfId="8041" priority="19571" operator="containsText" text="GP1">
      <formula>NOT(ISERROR(SEARCH("GP1",AD8)))</formula>
    </cfRule>
  </conditionalFormatting>
  <conditionalFormatting sqref="AD8">
    <cfRule type="containsText" dxfId="8040" priority="19568" operator="containsText" text="GP2">
      <formula>NOT(ISERROR(SEARCH("GP2",AD8)))</formula>
    </cfRule>
    <cfRule type="containsText" dxfId="8039" priority="19569" operator="containsText" text="GP1">
      <formula>NOT(ISERROR(SEARCH("GP1",AD8)))</formula>
    </cfRule>
  </conditionalFormatting>
  <conditionalFormatting sqref="AD8">
    <cfRule type="containsText" dxfId="8038" priority="19566" operator="containsText" text="GP2">
      <formula>NOT(ISERROR(SEARCH("GP2",AD8)))</formula>
    </cfRule>
    <cfRule type="containsText" dxfId="8037" priority="19567" operator="containsText" text="GP1">
      <formula>NOT(ISERROR(SEARCH("GP1",AD8)))</formula>
    </cfRule>
  </conditionalFormatting>
  <conditionalFormatting sqref="AD8">
    <cfRule type="containsText" dxfId="8036" priority="19564" operator="containsText" text="GP2">
      <formula>NOT(ISERROR(SEARCH("GP2",AD8)))</formula>
    </cfRule>
    <cfRule type="containsText" dxfId="8035" priority="19565" operator="containsText" text="GP1">
      <formula>NOT(ISERROR(SEARCH("GP1",AD8)))</formula>
    </cfRule>
  </conditionalFormatting>
  <conditionalFormatting sqref="AD8">
    <cfRule type="containsText" dxfId="8034" priority="19562" operator="containsText" text="GP2">
      <formula>NOT(ISERROR(SEARCH("GP2",AD8)))</formula>
    </cfRule>
    <cfRule type="containsText" dxfId="8033" priority="19563" operator="containsText" text="GP1">
      <formula>NOT(ISERROR(SEARCH("GP1",AD8)))</formula>
    </cfRule>
  </conditionalFormatting>
  <conditionalFormatting sqref="AD8">
    <cfRule type="containsText" dxfId="8032" priority="19560" operator="containsText" text="GP2">
      <formula>NOT(ISERROR(SEARCH("GP2",AD8)))</formula>
    </cfRule>
    <cfRule type="containsText" dxfId="8031" priority="19561" operator="containsText" text="GP1">
      <formula>NOT(ISERROR(SEARCH("GP1",AD8)))</formula>
    </cfRule>
  </conditionalFormatting>
  <conditionalFormatting sqref="AD8">
    <cfRule type="containsText" dxfId="8030" priority="19558" operator="containsText" text="GP2">
      <formula>NOT(ISERROR(SEARCH("GP2",AD8)))</formula>
    </cfRule>
    <cfRule type="containsText" dxfId="8029" priority="19559" operator="containsText" text="GP1">
      <formula>NOT(ISERROR(SEARCH("GP1",AD8)))</formula>
    </cfRule>
  </conditionalFormatting>
  <conditionalFormatting sqref="AD8">
    <cfRule type="containsText" dxfId="8028" priority="19556" operator="containsText" text="GP2">
      <formula>NOT(ISERROR(SEARCH("GP2",AD8)))</formula>
    </cfRule>
    <cfRule type="containsText" dxfId="8027" priority="19557" operator="containsText" text="GP1">
      <formula>NOT(ISERROR(SEARCH("GP1",AD8)))</formula>
    </cfRule>
  </conditionalFormatting>
  <conditionalFormatting sqref="AD8">
    <cfRule type="containsText" dxfId="8026" priority="19554" operator="containsText" text="GP2">
      <formula>NOT(ISERROR(SEARCH("GP2",AD8)))</formula>
    </cfRule>
    <cfRule type="containsText" dxfId="8025" priority="19555" operator="containsText" text="GP1">
      <formula>NOT(ISERROR(SEARCH("GP1",AD8)))</formula>
    </cfRule>
  </conditionalFormatting>
  <conditionalFormatting sqref="AD8">
    <cfRule type="containsText" dxfId="8024" priority="19552" operator="containsText" text="GP2">
      <formula>NOT(ISERROR(SEARCH("GP2",AD8)))</formula>
    </cfRule>
    <cfRule type="containsText" dxfId="8023" priority="19553" operator="containsText" text="GP1">
      <formula>NOT(ISERROR(SEARCH("GP1",AD8)))</formula>
    </cfRule>
  </conditionalFormatting>
  <conditionalFormatting sqref="AD8">
    <cfRule type="containsText" dxfId="8022" priority="19550" operator="containsText" text="GP2">
      <formula>NOT(ISERROR(SEARCH("GP2",AD8)))</formula>
    </cfRule>
    <cfRule type="containsText" dxfId="8021" priority="19551" operator="containsText" text="GP1">
      <formula>NOT(ISERROR(SEARCH("GP1",AD8)))</formula>
    </cfRule>
  </conditionalFormatting>
  <conditionalFormatting sqref="AD8">
    <cfRule type="containsText" dxfId="8020" priority="19548" operator="containsText" text="GP2">
      <formula>NOT(ISERROR(SEARCH("GP2",AD8)))</formula>
    </cfRule>
    <cfRule type="containsText" dxfId="8019" priority="19549" operator="containsText" text="GP1">
      <formula>NOT(ISERROR(SEARCH("GP1",AD8)))</formula>
    </cfRule>
  </conditionalFormatting>
  <conditionalFormatting sqref="AD8">
    <cfRule type="containsText" dxfId="8018" priority="19546" operator="containsText" text="GP2">
      <formula>NOT(ISERROR(SEARCH("GP2",AD8)))</formula>
    </cfRule>
    <cfRule type="containsText" dxfId="8017" priority="19547" operator="containsText" text="GP1">
      <formula>NOT(ISERROR(SEARCH("GP1",AD8)))</formula>
    </cfRule>
  </conditionalFormatting>
  <conditionalFormatting sqref="AD8">
    <cfRule type="containsText" dxfId="8016" priority="19544" operator="containsText" text="GP2">
      <formula>NOT(ISERROR(SEARCH("GP2",AD8)))</formula>
    </cfRule>
    <cfRule type="containsText" dxfId="8015" priority="19545" operator="containsText" text="GP1">
      <formula>NOT(ISERROR(SEARCH("GP1",AD8)))</formula>
    </cfRule>
  </conditionalFormatting>
  <conditionalFormatting sqref="AD8">
    <cfRule type="containsText" dxfId="8014" priority="19542" operator="containsText" text="GP2">
      <formula>NOT(ISERROR(SEARCH("GP2",AD8)))</formula>
    </cfRule>
    <cfRule type="containsText" dxfId="8013" priority="19543" operator="containsText" text="GP1">
      <formula>NOT(ISERROR(SEARCH("GP1",AD8)))</formula>
    </cfRule>
  </conditionalFormatting>
  <conditionalFormatting sqref="AD8">
    <cfRule type="containsText" dxfId="8012" priority="19540" operator="containsText" text="GP2">
      <formula>NOT(ISERROR(SEARCH("GP2",AD8)))</formula>
    </cfRule>
    <cfRule type="containsText" dxfId="8011" priority="19541" operator="containsText" text="GP1">
      <formula>NOT(ISERROR(SEARCH("GP1",AD8)))</formula>
    </cfRule>
  </conditionalFormatting>
  <conditionalFormatting sqref="AD8">
    <cfRule type="containsText" dxfId="8010" priority="19538" operator="containsText" text="GP2">
      <formula>NOT(ISERROR(SEARCH("GP2",AD8)))</formula>
    </cfRule>
    <cfRule type="containsText" dxfId="8009" priority="19539" operator="containsText" text="GP1">
      <formula>NOT(ISERROR(SEARCH("GP1",AD8)))</formula>
    </cfRule>
  </conditionalFormatting>
  <conditionalFormatting sqref="AD8">
    <cfRule type="containsText" dxfId="8008" priority="19536" operator="containsText" text="GP2">
      <formula>NOT(ISERROR(SEARCH("GP2",AD8)))</formula>
    </cfRule>
    <cfRule type="containsText" dxfId="8007" priority="19537" operator="containsText" text="GP1">
      <formula>NOT(ISERROR(SEARCH("GP1",AD8)))</formula>
    </cfRule>
  </conditionalFormatting>
  <conditionalFormatting sqref="AD8">
    <cfRule type="containsText" dxfId="8006" priority="19534" operator="containsText" text="GP2">
      <formula>NOT(ISERROR(SEARCH("GP2",AD8)))</formula>
    </cfRule>
    <cfRule type="containsText" dxfId="8005" priority="19535" operator="containsText" text="GP1">
      <formula>NOT(ISERROR(SEARCH("GP1",AD8)))</formula>
    </cfRule>
  </conditionalFormatting>
  <conditionalFormatting sqref="AD8">
    <cfRule type="containsText" dxfId="8004" priority="19532" operator="containsText" text="GP2">
      <formula>NOT(ISERROR(SEARCH("GP2",AD8)))</formula>
    </cfRule>
    <cfRule type="containsText" dxfId="8003" priority="19533" operator="containsText" text="GP1">
      <formula>NOT(ISERROR(SEARCH("GP1",AD8)))</formula>
    </cfRule>
  </conditionalFormatting>
  <conditionalFormatting sqref="AD8">
    <cfRule type="containsText" dxfId="8002" priority="19530" operator="containsText" text="GP2">
      <formula>NOT(ISERROR(SEARCH("GP2",AD8)))</formula>
    </cfRule>
    <cfRule type="containsText" dxfId="8001" priority="19531" operator="containsText" text="GP1">
      <formula>NOT(ISERROR(SEARCH("GP1",AD8)))</formula>
    </cfRule>
  </conditionalFormatting>
  <conditionalFormatting sqref="AD8">
    <cfRule type="containsText" dxfId="8000" priority="19528" operator="containsText" text="GP2">
      <formula>NOT(ISERROR(SEARCH("GP2",AD8)))</formula>
    </cfRule>
    <cfRule type="containsText" dxfId="7999" priority="19529" operator="containsText" text="GP1">
      <formula>NOT(ISERROR(SEARCH("GP1",AD8)))</formula>
    </cfRule>
  </conditionalFormatting>
  <conditionalFormatting sqref="AD8">
    <cfRule type="containsText" dxfId="7998" priority="19526" operator="containsText" text="GP2">
      <formula>NOT(ISERROR(SEARCH("GP2",AD8)))</formula>
    </cfRule>
    <cfRule type="containsText" dxfId="7997" priority="19527" operator="containsText" text="GP1">
      <formula>NOT(ISERROR(SEARCH("GP1",AD8)))</formula>
    </cfRule>
  </conditionalFormatting>
  <conditionalFormatting sqref="AD8">
    <cfRule type="containsText" dxfId="7996" priority="19524" operator="containsText" text="GP2">
      <formula>NOT(ISERROR(SEARCH("GP2",AD8)))</formula>
    </cfRule>
    <cfRule type="containsText" dxfId="7995" priority="19525" operator="containsText" text="GP1">
      <formula>NOT(ISERROR(SEARCH("GP1",AD8)))</formula>
    </cfRule>
  </conditionalFormatting>
  <conditionalFormatting sqref="AD8">
    <cfRule type="containsText" dxfId="7994" priority="19522" operator="containsText" text="GP2">
      <formula>NOT(ISERROR(SEARCH("GP2",AD8)))</formula>
    </cfRule>
    <cfRule type="containsText" dxfId="7993" priority="19523" operator="containsText" text="GP1">
      <formula>NOT(ISERROR(SEARCH("GP1",AD8)))</formula>
    </cfRule>
  </conditionalFormatting>
  <conditionalFormatting sqref="AD8">
    <cfRule type="containsText" dxfId="7992" priority="19520" operator="containsText" text="GP2">
      <formula>NOT(ISERROR(SEARCH("GP2",AD8)))</formula>
    </cfRule>
    <cfRule type="containsText" dxfId="7991" priority="19521" operator="containsText" text="GP1">
      <formula>NOT(ISERROR(SEARCH("GP1",AD8)))</formula>
    </cfRule>
  </conditionalFormatting>
  <conditionalFormatting sqref="AD8">
    <cfRule type="containsText" dxfId="7990" priority="19518" operator="containsText" text="GP2">
      <formula>NOT(ISERROR(SEARCH("GP2",AD8)))</formula>
    </cfRule>
    <cfRule type="containsText" dxfId="7989" priority="19519" operator="containsText" text="GP1">
      <formula>NOT(ISERROR(SEARCH("GP1",AD8)))</formula>
    </cfRule>
  </conditionalFormatting>
  <conditionalFormatting sqref="AD8">
    <cfRule type="containsText" dxfId="7988" priority="19516" operator="containsText" text="GP2">
      <formula>NOT(ISERROR(SEARCH("GP2",AD8)))</formula>
    </cfRule>
    <cfRule type="containsText" dxfId="7987" priority="19517" operator="containsText" text="GP1">
      <formula>NOT(ISERROR(SEARCH("GP1",AD8)))</formula>
    </cfRule>
  </conditionalFormatting>
  <conditionalFormatting sqref="AD8">
    <cfRule type="containsText" dxfId="7986" priority="19514" operator="containsText" text="GP2">
      <formula>NOT(ISERROR(SEARCH("GP2",AD8)))</formula>
    </cfRule>
    <cfRule type="containsText" dxfId="7985" priority="19515" operator="containsText" text="GP1">
      <formula>NOT(ISERROR(SEARCH("GP1",AD8)))</formula>
    </cfRule>
  </conditionalFormatting>
  <conditionalFormatting sqref="AD8">
    <cfRule type="containsText" dxfId="7984" priority="19512" operator="containsText" text="GP2">
      <formula>NOT(ISERROR(SEARCH("GP2",AD8)))</formula>
    </cfRule>
    <cfRule type="containsText" dxfId="7983" priority="19513" operator="containsText" text="GP1">
      <formula>NOT(ISERROR(SEARCH("GP1",AD8)))</formula>
    </cfRule>
  </conditionalFormatting>
  <conditionalFormatting sqref="AD8">
    <cfRule type="containsText" dxfId="7982" priority="19510" operator="containsText" text="GP2">
      <formula>NOT(ISERROR(SEARCH("GP2",AD8)))</formula>
    </cfRule>
    <cfRule type="containsText" dxfId="7981" priority="19511" operator="containsText" text="GP1">
      <formula>NOT(ISERROR(SEARCH("GP1",AD8)))</formula>
    </cfRule>
  </conditionalFormatting>
  <conditionalFormatting sqref="AD8">
    <cfRule type="containsText" dxfId="7980" priority="19508" operator="containsText" text="GP2">
      <formula>NOT(ISERROR(SEARCH("GP2",AD8)))</formula>
    </cfRule>
    <cfRule type="containsText" dxfId="7979" priority="19509" operator="containsText" text="GP1">
      <formula>NOT(ISERROR(SEARCH("GP1",AD8)))</formula>
    </cfRule>
  </conditionalFormatting>
  <conditionalFormatting sqref="AD8">
    <cfRule type="containsText" dxfId="7978" priority="19506" operator="containsText" text="GP2">
      <formula>NOT(ISERROR(SEARCH("GP2",AD8)))</formula>
    </cfRule>
    <cfRule type="containsText" dxfId="7977" priority="19507" operator="containsText" text="GP1">
      <formula>NOT(ISERROR(SEARCH("GP1",AD8)))</formula>
    </cfRule>
  </conditionalFormatting>
  <conditionalFormatting sqref="AD8">
    <cfRule type="containsText" dxfId="7976" priority="19504" operator="containsText" text="GP2">
      <formula>NOT(ISERROR(SEARCH("GP2",AD8)))</formula>
    </cfRule>
    <cfRule type="containsText" dxfId="7975" priority="19505" operator="containsText" text="GP1">
      <formula>NOT(ISERROR(SEARCH("GP1",AD8)))</formula>
    </cfRule>
  </conditionalFormatting>
  <conditionalFormatting sqref="AD8">
    <cfRule type="containsText" dxfId="7974" priority="19502" operator="containsText" text="GP2">
      <formula>NOT(ISERROR(SEARCH("GP2",AD8)))</formula>
    </cfRule>
    <cfRule type="containsText" dxfId="7973" priority="19503" operator="containsText" text="GP1">
      <formula>NOT(ISERROR(SEARCH("GP1",AD8)))</formula>
    </cfRule>
  </conditionalFormatting>
  <conditionalFormatting sqref="AD8">
    <cfRule type="containsText" dxfId="7972" priority="19500" operator="containsText" text="GP2">
      <formula>NOT(ISERROR(SEARCH("GP2",AD8)))</formula>
    </cfRule>
    <cfRule type="containsText" dxfId="7971" priority="19501" operator="containsText" text="GP1">
      <formula>NOT(ISERROR(SEARCH("GP1",AD8)))</formula>
    </cfRule>
  </conditionalFormatting>
  <conditionalFormatting sqref="AD8">
    <cfRule type="containsText" dxfId="7970" priority="19498" operator="containsText" text="GP2">
      <formula>NOT(ISERROR(SEARCH("GP2",AD8)))</formula>
    </cfRule>
    <cfRule type="containsText" dxfId="7969" priority="19499" operator="containsText" text="GP1">
      <formula>NOT(ISERROR(SEARCH("GP1",AD8)))</formula>
    </cfRule>
  </conditionalFormatting>
  <conditionalFormatting sqref="AD8">
    <cfRule type="containsText" dxfId="7968" priority="19496" operator="containsText" text="GP2">
      <formula>NOT(ISERROR(SEARCH("GP2",AD8)))</formula>
    </cfRule>
    <cfRule type="containsText" dxfId="7967" priority="19497" operator="containsText" text="GP1">
      <formula>NOT(ISERROR(SEARCH("GP1",AD8)))</formula>
    </cfRule>
  </conditionalFormatting>
  <conditionalFormatting sqref="AD8">
    <cfRule type="containsText" dxfId="7966" priority="19494" operator="containsText" text="GP2">
      <formula>NOT(ISERROR(SEARCH("GP2",AD8)))</formula>
    </cfRule>
    <cfRule type="containsText" dxfId="7965" priority="19495" operator="containsText" text="GP1">
      <formula>NOT(ISERROR(SEARCH("GP1",AD8)))</formula>
    </cfRule>
  </conditionalFormatting>
  <conditionalFormatting sqref="AD8">
    <cfRule type="containsText" dxfId="7964" priority="19492" operator="containsText" text="GP2">
      <formula>NOT(ISERROR(SEARCH("GP2",AD8)))</formula>
    </cfRule>
    <cfRule type="containsText" dxfId="7963" priority="19493" operator="containsText" text="GP1">
      <formula>NOT(ISERROR(SEARCH("GP1",AD8)))</formula>
    </cfRule>
  </conditionalFormatting>
  <conditionalFormatting sqref="AD8">
    <cfRule type="containsText" dxfId="7962" priority="19490" operator="containsText" text="GP2">
      <formula>NOT(ISERROR(SEARCH("GP2",AD8)))</formula>
    </cfRule>
    <cfRule type="containsText" dxfId="7961" priority="19491" operator="containsText" text="GP1">
      <formula>NOT(ISERROR(SEARCH("GP1",AD8)))</formula>
    </cfRule>
  </conditionalFormatting>
  <conditionalFormatting sqref="AD8">
    <cfRule type="containsText" dxfId="7960" priority="19488" operator="containsText" text="GP2">
      <formula>NOT(ISERROR(SEARCH("GP2",AD8)))</formula>
    </cfRule>
    <cfRule type="containsText" dxfId="7959" priority="19489" operator="containsText" text="GP1">
      <formula>NOT(ISERROR(SEARCH("GP1",AD8)))</formula>
    </cfRule>
  </conditionalFormatting>
  <conditionalFormatting sqref="AD8">
    <cfRule type="containsText" dxfId="7958" priority="19486" operator="containsText" text="GP2">
      <formula>NOT(ISERROR(SEARCH("GP2",AD8)))</formula>
    </cfRule>
    <cfRule type="containsText" dxfId="7957" priority="19487" operator="containsText" text="GP1">
      <formula>NOT(ISERROR(SEARCH("GP1",AD8)))</formula>
    </cfRule>
  </conditionalFormatting>
  <conditionalFormatting sqref="AD8">
    <cfRule type="containsText" dxfId="7956" priority="19484" operator="containsText" text="GP2">
      <formula>NOT(ISERROR(SEARCH("GP2",AD8)))</formula>
    </cfRule>
    <cfRule type="containsText" dxfId="7955" priority="19485" operator="containsText" text="GP1">
      <formula>NOT(ISERROR(SEARCH("GP1",AD8)))</formula>
    </cfRule>
  </conditionalFormatting>
  <conditionalFormatting sqref="AD8">
    <cfRule type="containsText" dxfId="7954" priority="19482" operator="containsText" text="GP2">
      <formula>NOT(ISERROR(SEARCH("GP2",AD8)))</formula>
    </cfRule>
    <cfRule type="containsText" dxfId="7953" priority="19483" operator="containsText" text="GP1">
      <formula>NOT(ISERROR(SEARCH("GP1",AD8)))</formula>
    </cfRule>
  </conditionalFormatting>
  <conditionalFormatting sqref="AD8">
    <cfRule type="containsText" dxfId="7952" priority="19480" operator="containsText" text="GP2">
      <formula>NOT(ISERROR(SEARCH("GP2",AD8)))</formula>
    </cfRule>
    <cfRule type="containsText" dxfId="7951" priority="19481" operator="containsText" text="GP1">
      <formula>NOT(ISERROR(SEARCH("GP1",AD8)))</formula>
    </cfRule>
  </conditionalFormatting>
  <conditionalFormatting sqref="AD8">
    <cfRule type="containsText" dxfId="7950" priority="19478" operator="containsText" text="GP2">
      <formula>NOT(ISERROR(SEARCH("GP2",AD8)))</formula>
    </cfRule>
    <cfRule type="containsText" dxfId="7949" priority="19479" operator="containsText" text="GP1">
      <formula>NOT(ISERROR(SEARCH("GP1",AD8)))</formula>
    </cfRule>
  </conditionalFormatting>
  <conditionalFormatting sqref="AD8">
    <cfRule type="containsText" dxfId="7948" priority="19476" operator="containsText" text="GP2">
      <formula>NOT(ISERROR(SEARCH("GP2",AD8)))</formula>
    </cfRule>
    <cfRule type="containsText" dxfId="7947" priority="19477" operator="containsText" text="GP1">
      <formula>NOT(ISERROR(SEARCH("GP1",AD8)))</formula>
    </cfRule>
  </conditionalFormatting>
  <conditionalFormatting sqref="AD8">
    <cfRule type="containsText" dxfId="7946" priority="19474" operator="containsText" text="GP2">
      <formula>NOT(ISERROR(SEARCH("GP2",AD8)))</formula>
    </cfRule>
    <cfRule type="containsText" dxfId="7945" priority="19475" operator="containsText" text="GP1">
      <formula>NOT(ISERROR(SEARCH("GP1",AD8)))</formula>
    </cfRule>
  </conditionalFormatting>
  <conditionalFormatting sqref="AD8">
    <cfRule type="containsText" dxfId="7944" priority="19472" operator="containsText" text="GP2">
      <formula>NOT(ISERROR(SEARCH("GP2",AD8)))</formula>
    </cfRule>
    <cfRule type="containsText" dxfId="7943" priority="19473" operator="containsText" text="GP1">
      <formula>NOT(ISERROR(SEARCH("GP1",AD8)))</formula>
    </cfRule>
  </conditionalFormatting>
  <conditionalFormatting sqref="AD8">
    <cfRule type="containsText" dxfId="7942" priority="19470" operator="containsText" text="GP2">
      <formula>NOT(ISERROR(SEARCH("GP2",AD8)))</formula>
    </cfRule>
    <cfRule type="containsText" dxfId="7941" priority="19471" operator="containsText" text="GP1">
      <formula>NOT(ISERROR(SEARCH("GP1",AD8)))</formula>
    </cfRule>
  </conditionalFormatting>
  <conditionalFormatting sqref="AD8">
    <cfRule type="containsText" dxfId="7940" priority="19468" operator="containsText" text="GP2">
      <formula>NOT(ISERROR(SEARCH("GP2",AD8)))</formula>
    </cfRule>
    <cfRule type="containsText" dxfId="7939" priority="19469" operator="containsText" text="GP1">
      <formula>NOT(ISERROR(SEARCH("GP1",AD8)))</formula>
    </cfRule>
  </conditionalFormatting>
  <conditionalFormatting sqref="AD8">
    <cfRule type="containsText" dxfId="7938" priority="19466" operator="containsText" text="GP2">
      <formula>NOT(ISERROR(SEARCH("GP2",AD8)))</formula>
    </cfRule>
    <cfRule type="containsText" dxfId="7937" priority="19467" operator="containsText" text="GP1">
      <formula>NOT(ISERROR(SEARCH("GP1",AD8)))</formula>
    </cfRule>
  </conditionalFormatting>
  <conditionalFormatting sqref="AD8">
    <cfRule type="containsText" dxfId="7936" priority="19464" operator="containsText" text="GP2">
      <formula>NOT(ISERROR(SEARCH("GP2",AD8)))</formula>
    </cfRule>
    <cfRule type="containsText" dxfId="7935" priority="19465" operator="containsText" text="GP1">
      <formula>NOT(ISERROR(SEARCH("GP1",AD8)))</formula>
    </cfRule>
  </conditionalFormatting>
  <conditionalFormatting sqref="AD8">
    <cfRule type="containsText" dxfId="7934" priority="19462" operator="containsText" text="GP2">
      <formula>NOT(ISERROR(SEARCH("GP2",AD8)))</formula>
    </cfRule>
    <cfRule type="containsText" dxfId="7933" priority="19463" operator="containsText" text="GP1">
      <formula>NOT(ISERROR(SEARCH("GP1",AD8)))</formula>
    </cfRule>
  </conditionalFormatting>
  <conditionalFormatting sqref="AD8">
    <cfRule type="containsText" dxfId="7932" priority="19460" operator="containsText" text="GP2">
      <formula>NOT(ISERROR(SEARCH("GP2",AD8)))</formula>
    </cfRule>
    <cfRule type="containsText" dxfId="7931" priority="19461" operator="containsText" text="GP1">
      <formula>NOT(ISERROR(SEARCH("GP1",AD8)))</formula>
    </cfRule>
  </conditionalFormatting>
  <conditionalFormatting sqref="AD8">
    <cfRule type="containsText" dxfId="7930" priority="19458" operator="containsText" text="GP2">
      <formula>NOT(ISERROR(SEARCH("GP2",AD8)))</formula>
    </cfRule>
    <cfRule type="containsText" dxfId="7929" priority="19459" operator="containsText" text="GP1">
      <formula>NOT(ISERROR(SEARCH("GP1",AD8)))</formula>
    </cfRule>
  </conditionalFormatting>
  <conditionalFormatting sqref="AD8">
    <cfRule type="containsText" dxfId="7928" priority="19456" operator="containsText" text="GP2">
      <formula>NOT(ISERROR(SEARCH("GP2",AD8)))</formula>
    </cfRule>
    <cfRule type="containsText" dxfId="7927" priority="19457" operator="containsText" text="GP1">
      <formula>NOT(ISERROR(SEARCH("GP1",AD8)))</formula>
    </cfRule>
  </conditionalFormatting>
  <conditionalFormatting sqref="AD8">
    <cfRule type="containsText" dxfId="7926" priority="19454" operator="containsText" text="GP2">
      <formula>NOT(ISERROR(SEARCH("GP2",AD8)))</formula>
    </cfRule>
    <cfRule type="containsText" dxfId="7925" priority="19455" operator="containsText" text="GP1">
      <formula>NOT(ISERROR(SEARCH("GP1",AD8)))</formula>
    </cfRule>
  </conditionalFormatting>
  <conditionalFormatting sqref="AD8">
    <cfRule type="containsText" dxfId="7924" priority="19452" operator="containsText" text="GP2">
      <formula>NOT(ISERROR(SEARCH("GP2",AD8)))</formula>
    </cfRule>
    <cfRule type="containsText" dxfId="7923" priority="19453" operator="containsText" text="GP1">
      <formula>NOT(ISERROR(SEARCH("GP1",AD8)))</formula>
    </cfRule>
  </conditionalFormatting>
  <conditionalFormatting sqref="AD8">
    <cfRule type="containsText" dxfId="7922" priority="19450" operator="containsText" text="GP2">
      <formula>NOT(ISERROR(SEARCH("GP2",AD8)))</formula>
    </cfRule>
    <cfRule type="containsText" dxfId="7921" priority="19451" operator="containsText" text="GP1">
      <formula>NOT(ISERROR(SEARCH("GP1",AD8)))</formula>
    </cfRule>
  </conditionalFormatting>
  <conditionalFormatting sqref="AD8">
    <cfRule type="containsText" dxfId="7920" priority="19448" operator="containsText" text="GP2">
      <formula>NOT(ISERROR(SEARCH("GP2",AD8)))</formula>
    </cfRule>
    <cfRule type="containsText" dxfId="7919" priority="19449" operator="containsText" text="GP1">
      <formula>NOT(ISERROR(SEARCH("GP1",AD8)))</formula>
    </cfRule>
  </conditionalFormatting>
  <conditionalFormatting sqref="AD8">
    <cfRule type="containsText" dxfId="7918" priority="19446" operator="containsText" text="GP2">
      <formula>NOT(ISERROR(SEARCH("GP2",AD8)))</formula>
    </cfRule>
    <cfRule type="containsText" dxfId="7917" priority="19447" operator="containsText" text="GP1">
      <formula>NOT(ISERROR(SEARCH("GP1",AD8)))</formula>
    </cfRule>
  </conditionalFormatting>
  <conditionalFormatting sqref="AD8">
    <cfRule type="containsText" dxfId="7916" priority="19444" operator="containsText" text="GP2">
      <formula>NOT(ISERROR(SEARCH("GP2",AD8)))</formula>
    </cfRule>
    <cfRule type="containsText" dxfId="7915" priority="19445" operator="containsText" text="GP1">
      <formula>NOT(ISERROR(SEARCH("GP1",AD8)))</formula>
    </cfRule>
  </conditionalFormatting>
  <conditionalFormatting sqref="AD8">
    <cfRule type="containsText" dxfId="7914" priority="19442" operator="containsText" text="GP2">
      <formula>NOT(ISERROR(SEARCH("GP2",AD8)))</formula>
    </cfRule>
    <cfRule type="containsText" dxfId="7913" priority="19443" operator="containsText" text="GP1">
      <formula>NOT(ISERROR(SEARCH("GP1",AD8)))</formula>
    </cfRule>
  </conditionalFormatting>
  <conditionalFormatting sqref="AD8">
    <cfRule type="containsText" dxfId="7912" priority="19440" operator="containsText" text="GP2">
      <formula>NOT(ISERROR(SEARCH("GP2",AD8)))</formula>
    </cfRule>
    <cfRule type="containsText" dxfId="7911" priority="19441" operator="containsText" text="GP1">
      <formula>NOT(ISERROR(SEARCH("GP1",AD8)))</formula>
    </cfRule>
  </conditionalFormatting>
  <conditionalFormatting sqref="AD8">
    <cfRule type="containsText" dxfId="7910" priority="19438" operator="containsText" text="GP2">
      <formula>NOT(ISERROR(SEARCH("GP2",AD8)))</formula>
    </cfRule>
    <cfRule type="containsText" dxfId="7909" priority="19439" operator="containsText" text="GP1">
      <formula>NOT(ISERROR(SEARCH("GP1",AD8)))</formula>
    </cfRule>
  </conditionalFormatting>
  <conditionalFormatting sqref="AD8">
    <cfRule type="containsText" dxfId="7908" priority="19436" operator="containsText" text="GP2">
      <formula>NOT(ISERROR(SEARCH("GP2",AD8)))</formula>
    </cfRule>
    <cfRule type="containsText" dxfId="7907" priority="19437" operator="containsText" text="GP1">
      <formula>NOT(ISERROR(SEARCH("GP1",AD8)))</formula>
    </cfRule>
  </conditionalFormatting>
  <conditionalFormatting sqref="AD8">
    <cfRule type="containsText" dxfId="7906" priority="19434" operator="containsText" text="GP2">
      <formula>NOT(ISERROR(SEARCH("GP2",AD8)))</formula>
    </cfRule>
    <cfRule type="containsText" dxfId="7905" priority="19435" operator="containsText" text="GP1">
      <formula>NOT(ISERROR(SEARCH("GP1",AD8)))</formula>
    </cfRule>
  </conditionalFormatting>
  <conditionalFormatting sqref="AD8">
    <cfRule type="containsText" dxfId="7904" priority="19432" operator="containsText" text="GP2">
      <formula>NOT(ISERROR(SEARCH("GP2",AD8)))</formula>
    </cfRule>
    <cfRule type="containsText" dxfId="7903" priority="19433" operator="containsText" text="GP1">
      <formula>NOT(ISERROR(SEARCH("GP1",AD8)))</formula>
    </cfRule>
  </conditionalFormatting>
  <conditionalFormatting sqref="AD8">
    <cfRule type="containsText" dxfId="7902" priority="19430" operator="containsText" text="GP2">
      <formula>NOT(ISERROR(SEARCH("GP2",AD8)))</formula>
    </cfRule>
    <cfRule type="containsText" dxfId="7901" priority="19431" operator="containsText" text="GP1">
      <formula>NOT(ISERROR(SEARCH("GP1",AD8)))</formula>
    </cfRule>
  </conditionalFormatting>
  <conditionalFormatting sqref="AD8">
    <cfRule type="containsText" dxfId="7900" priority="19428" operator="containsText" text="GP2">
      <formula>NOT(ISERROR(SEARCH("GP2",AD8)))</formula>
    </cfRule>
    <cfRule type="containsText" dxfId="7899" priority="19429" operator="containsText" text="GP1">
      <formula>NOT(ISERROR(SEARCH("GP1",AD8)))</formula>
    </cfRule>
  </conditionalFormatting>
  <conditionalFormatting sqref="AD8">
    <cfRule type="containsText" dxfId="7898" priority="19426" operator="containsText" text="GP2">
      <formula>NOT(ISERROR(SEARCH("GP2",AD8)))</formula>
    </cfRule>
    <cfRule type="containsText" dxfId="7897" priority="19427" operator="containsText" text="GP1">
      <formula>NOT(ISERROR(SEARCH("GP1",AD8)))</formula>
    </cfRule>
  </conditionalFormatting>
  <conditionalFormatting sqref="AD8">
    <cfRule type="containsText" dxfId="7896" priority="19424" operator="containsText" text="GP2">
      <formula>NOT(ISERROR(SEARCH("GP2",AD8)))</formula>
    </cfRule>
    <cfRule type="containsText" dxfId="7895" priority="19425" operator="containsText" text="GP1">
      <formula>NOT(ISERROR(SEARCH("GP1",AD8)))</formula>
    </cfRule>
  </conditionalFormatting>
  <conditionalFormatting sqref="AD8">
    <cfRule type="containsText" dxfId="7894" priority="19422" operator="containsText" text="GP2">
      <formula>NOT(ISERROR(SEARCH("GP2",AD8)))</formula>
    </cfRule>
    <cfRule type="containsText" dxfId="7893" priority="19423" operator="containsText" text="GP1">
      <formula>NOT(ISERROR(SEARCH("GP1",AD8)))</formula>
    </cfRule>
  </conditionalFormatting>
  <conditionalFormatting sqref="AD8">
    <cfRule type="containsText" dxfId="7892" priority="19420" operator="containsText" text="GP2">
      <formula>NOT(ISERROR(SEARCH("GP2",AD8)))</formula>
    </cfRule>
    <cfRule type="containsText" dxfId="7891" priority="19421" operator="containsText" text="GP1">
      <formula>NOT(ISERROR(SEARCH("GP1",AD8)))</formula>
    </cfRule>
  </conditionalFormatting>
  <conditionalFormatting sqref="AD8">
    <cfRule type="containsText" dxfId="7890" priority="19418" operator="containsText" text="GP2">
      <formula>NOT(ISERROR(SEARCH("GP2",AD8)))</formula>
    </cfRule>
    <cfRule type="containsText" dxfId="7889" priority="19419" operator="containsText" text="GP1">
      <formula>NOT(ISERROR(SEARCH("GP1",AD8)))</formula>
    </cfRule>
  </conditionalFormatting>
  <conditionalFormatting sqref="AD8">
    <cfRule type="containsText" dxfId="7888" priority="19416" operator="containsText" text="GP2">
      <formula>NOT(ISERROR(SEARCH("GP2",AD8)))</formula>
    </cfRule>
    <cfRule type="containsText" dxfId="7887" priority="19417" operator="containsText" text="GP1">
      <formula>NOT(ISERROR(SEARCH("GP1",AD8)))</formula>
    </cfRule>
  </conditionalFormatting>
  <conditionalFormatting sqref="AD8">
    <cfRule type="containsText" dxfId="7886" priority="19414" operator="containsText" text="GP2">
      <formula>NOT(ISERROR(SEARCH("GP2",AD8)))</formula>
    </cfRule>
    <cfRule type="containsText" dxfId="7885" priority="19415" operator="containsText" text="GP1">
      <formula>NOT(ISERROR(SEARCH("GP1",AD8)))</formula>
    </cfRule>
  </conditionalFormatting>
  <conditionalFormatting sqref="AD8">
    <cfRule type="containsText" dxfId="7884" priority="19204" operator="containsText" text="GP2">
      <formula>NOT(ISERROR(SEARCH("GP2",AD8)))</formula>
    </cfRule>
    <cfRule type="containsText" dxfId="7883" priority="19205" operator="containsText" text="GP1">
      <formula>NOT(ISERROR(SEARCH("GP1",AD8)))</formula>
    </cfRule>
  </conditionalFormatting>
  <conditionalFormatting sqref="AD8">
    <cfRule type="containsText" dxfId="7882" priority="19202" operator="containsText" text="GP2">
      <formula>NOT(ISERROR(SEARCH("GP2",AD8)))</formula>
    </cfRule>
    <cfRule type="containsText" dxfId="7881" priority="19203" operator="containsText" text="GP1">
      <formula>NOT(ISERROR(SEARCH("GP1",AD8)))</formula>
    </cfRule>
  </conditionalFormatting>
  <conditionalFormatting sqref="AD8">
    <cfRule type="containsText" dxfId="7880" priority="19200" operator="containsText" text="GP2">
      <formula>NOT(ISERROR(SEARCH("GP2",AD8)))</formula>
    </cfRule>
    <cfRule type="containsText" dxfId="7879" priority="19201" operator="containsText" text="GP1">
      <formula>NOT(ISERROR(SEARCH("GP1",AD8)))</formula>
    </cfRule>
  </conditionalFormatting>
  <conditionalFormatting sqref="AD8">
    <cfRule type="containsText" dxfId="7878" priority="19198" operator="containsText" text="GP2">
      <formula>NOT(ISERROR(SEARCH("GP2",AD8)))</formula>
    </cfRule>
    <cfRule type="containsText" dxfId="7877" priority="19199" operator="containsText" text="GP1">
      <formula>NOT(ISERROR(SEARCH("GP1",AD8)))</formula>
    </cfRule>
  </conditionalFormatting>
  <conditionalFormatting sqref="AD8">
    <cfRule type="containsText" dxfId="7876" priority="19196" operator="containsText" text="GP2">
      <formula>NOT(ISERROR(SEARCH("GP2",AD8)))</formula>
    </cfRule>
    <cfRule type="containsText" dxfId="7875" priority="19197" operator="containsText" text="GP1">
      <formula>NOT(ISERROR(SEARCH("GP1",AD8)))</formula>
    </cfRule>
  </conditionalFormatting>
  <conditionalFormatting sqref="AD8">
    <cfRule type="containsText" dxfId="7874" priority="19194" operator="containsText" text="GP2">
      <formula>NOT(ISERROR(SEARCH("GP2",AD8)))</formula>
    </cfRule>
    <cfRule type="containsText" dxfId="7873" priority="19195" operator="containsText" text="GP1">
      <formula>NOT(ISERROR(SEARCH("GP1",AD8)))</formula>
    </cfRule>
  </conditionalFormatting>
  <conditionalFormatting sqref="AD8">
    <cfRule type="containsText" dxfId="7872" priority="19208" operator="containsText" text="GP2">
      <formula>NOT(ISERROR(SEARCH("GP2",AD8)))</formula>
    </cfRule>
    <cfRule type="containsText" dxfId="7871" priority="19209" operator="containsText" text="GP1">
      <formula>NOT(ISERROR(SEARCH("GP1",AD8)))</formula>
    </cfRule>
  </conditionalFormatting>
  <conditionalFormatting sqref="AD8">
    <cfRule type="containsText" dxfId="7870" priority="19206" operator="containsText" text="GP2">
      <formula>NOT(ISERROR(SEARCH("GP2",AD8)))</formula>
    </cfRule>
    <cfRule type="containsText" dxfId="7869" priority="19207" operator="containsText" text="GP1">
      <formula>NOT(ISERROR(SEARCH("GP1",AD8)))</formula>
    </cfRule>
  </conditionalFormatting>
  <conditionalFormatting sqref="AD8">
    <cfRule type="containsText" dxfId="7868" priority="19192" operator="containsText" text="GP2">
      <formula>NOT(ISERROR(SEARCH("GP2",AD8)))</formula>
    </cfRule>
    <cfRule type="containsText" dxfId="7867" priority="19193" operator="containsText" text="GP1">
      <formula>NOT(ISERROR(SEARCH("GP1",AD8)))</formula>
    </cfRule>
  </conditionalFormatting>
  <conditionalFormatting sqref="AD8">
    <cfRule type="containsText" dxfId="7866" priority="19190" operator="containsText" text="GP2">
      <formula>NOT(ISERROR(SEARCH("GP2",AD8)))</formula>
    </cfRule>
    <cfRule type="containsText" dxfId="7865" priority="19191" operator="containsText" text="GP1">
      <formula>NOT(ISERROR(SEARCH("GP1",AD8)))</formula>
    </cfRule>
  </conditionalFormatting>
  <conditionalFormatting sqref="AD8">
    <cfRule type="containsText" dxfId="7864" priority="19188" operator="containsText" text="GP2">
      <formula>NOT(ISERROR(SEARCH("GP2",AD8)))</formula>
    </cfRule>
    <cfRule type="containsText" dxfId="7863" priority="19189" operator="containsText" text="GP1">
      <formula>NOT(ISERROR(SEARCH("GP1",AD8)))</formula>
    </cfRule>
  </conditionalFormatting>
  <conditionalFormatting sqref="AD8">
    <cfRule type="containsText" dxfId="7862" priority="19186" operator="containsText" text="GP2">
      <formula>NOT(ISERROR(SEARCH("GP2",AD8)))</formula>
    </cfRule>
    <cfRule type="containsText" dxfId="7861" priority="19187" operator="containsText" text="GP1">
      <formula>NOT(ISERROR(SEARCH("GP1",AD8)))</formula>
    </cfRule>
  </conditionalFormatting>
  <conditionalFormatting sqref="AD8">
    <cfRule type="containsText" dxfId="7860" priority="19184" operator="containsText" text="GP2">
      <formula>NOT(ISERROR(SEARCH("GP2",AD8)))</formula>
    </cfRule>
    <cfRule type="containsText" dxfId="7859" priority="19185" operator="containsText" text="GP1">
      <formula>NOT(ISERROR(SEARCH("GP1",AD8)))</formula>
    </cfRule>
  </conditionalFormatting>
  <conditionalFormatting sqref="AD8">
    <cfRule type="containsText" dxfId="7858" priority="19182" operator="containsText" text="GP2">
      <formula>NOT(ISERROR(SEARCH("GP2",AD8)))</formula>
    </cfRule>
    <cfRule type="containsText" dxfId="7857" priority="19183" operator="containsText" text="GP1">
      <formula>NOT(ISERROR(SEARCH("GP1",AD8)))</formula>
    </cfRule>
  </conditionalFormatting>
  <conditionalFormatting sqref="AD8">
    <cfRule type="containsText" dxfId="7856" priority="19180" operator="containsText" text="GP2">
      <formula>NOT(ISERROR(SEARCH("GP2",AD8)))</formula>
    </cfRule>
    <cfRule type="containsText" dxfId="7855" priority="19181" operator="containsText" text="GP1">
      <formula>NOT(ISERROR(SEARCH("GP1",AD8)))</formula>
    </cfRule>
  </conditionalFormatting>
  <conditionalFormatting sqref="AD8">
    <cfRule type="containsText" dxfId="7854" priority="19178" operator="containsText" text="GP2">
      <formula>NOT(ISERROR(SEARCH("GP2",AD8)))</formula>
    </cfRule>
    <cfRule type="containsText" dxfId="7853" priority="19179" operator="containsText" text="GP1">
      <formula>NOT(ISERROR(SEARCH("GP1",AD8)))</formula>
    </cfRule>
  </conditionalFormatting>
  <conditionalFormatting sqref="AD9">
    <cfRule type="containsText" dxfId="7852" priority="17896" operator="containsText" text="GP2">
      <formula>NOT(ISERROR(SEARCH("GP2",AD9)))</formula>
    </cfRule>
    <cfRule type="containsText" dxfId="7851" priority="17897" operator="containsText" text="GP1">
      <formula>NOT(ISERROR(SEARCH("GP1",AD9)))</formula>
    </cfRule>
  </conditionalFormatting>
  <conditionalFormatting sqref="AD9">
    <cfRule type="containsText" dxfId="7850" priority="17894" operator="containsText" text="GP2">
      <formula>NOT(ISERROR(SEARCH("GP2",AD9)))</formula>
    </cfRule>
    <cfRule type="containsText" dxfId="7849" priority="17895" operator="containsText" text="GP1">
      <formula>NOT(ISERROR(SEARCH("GP1",AD9)))</formula>
    </cfRule>
  </conditionalFormatting>
  <conditionalFormatting sqref="AD9">
    <cfRule type="containsText" dxfId="7848" priority="17892" operator="containsText" text="GP2">
      <formula>NOT(ISERROR(SEARCH("GP2",AD9)))</formula>
    </cfRule>
    <cfRule type="containsText" dxfId="7847" priority="17893" operator="containsText" text="GP1">
      <formula>NOT(ISERROR(SEARCH("GP1",AD9)))</formula>
    </cfRule>
  </conditionalFormatting>
  <conditionalFormatting sqref="AD9">
    <cfRule type="containsText" dxfId="7846" priority="17890" operator="containsText" text="GP2">
      <formula>NOT(ISERROR(SEARCH("GP2",AD9)))</formula>
    </cfRule>
    <cfRule type="containsText" dxfId="7845" priority="17891" operator="containsText" text="GP1">
      <formula>NOT(ISERROR(SEARCH("GP1",AD9)))</formula>
    </cfRule>
  </conditionalFormatting>
  <conditionalFormatting sqref="AD9">
    <cfRule type="containsText" dxfId="7844" priority="17888" operator="containsText" text="GP2">
      <formula>NOT(ISERROR(SEARCH("GP2",AD9)))</formula>
    </cfRule>
    <cfRule type="containsText" dxfId="7843" priority="17889" operator="containsText" text="GP1">
      <formula>NOT(ISERROR(SEARCH("GP1",AD9)))</formula>
    </cfRule>
  </conditionalFormatting>
  <conditionalFormatting sqref="AD9">
    <cfRule type="containsText" dxfId="7842" priority="17886" operator="containsText" text="GP2">
      <formula>NOT(ISERROR(SEARCH("GP2",AD9)))</formula>
    </cfRule>
    <cfRule type="containsText" dxfId="7841" priority="17887" operator="containsText" text="GP1">
      <formula>NOT(ISERROR(SEARCH("GP1",AD9)))</formula>
    </cfRule>
  </conditionalFormatting>
  <conditionalFormatting sqref="AD9">
    <cfRule type="containsText" dxfId="7840" priority="17900" operator="containsText" text="GP2">
      <formula>NOT(ISERROR(SEARCH("GP2",AD9)))</formula>
    </cfRule>
    <cfRule type="containsText" dxfId="7839" priority="17901" operator="containsText" text="GP1">
      <formula>NOT(ISERROR(SEARCH("GP1",AD9)))</formula>
    </cfRule>
  </conditionalFormatting>
  <conditionalFormatting sqref="AD9">
    <cfRule type="containsText" dxfId="7838" priority="17898" operator="containsText" text="GP2">
      <formula>NOT(ISERROR(SEARCH("GP2",AD9)))</formula>
    </cfRule>
    <cfRule type="containsText" dxfId="7837" priority="17899" operator="containsText" text="GP1">
      <formula>NOT(ISERROR(SEARCH("GP1",AD9)))</formula>
    </cfRule>
  </conditionalFormatting>
  <conditionalFormatting sqref="AD9">
    <cfRule type="containsText" dxfId="7836" priority="17884" operator="containsText" text="GP2">
      <formula>NOT(ISERROR(SEARCH("GP2",AD9)))</formula>
    </cfRule>
    <cfRule type="containsText" dxfId="7835" priority="17885" operator="containsText" text="GP1">
      <formula>NOT(ISERROR(SEARCH("GP1",AD9)))</formula>
    </cfRule>
  </conditionalFormatting>
  <conditionalFormatting sqref="AD9">
    <cfRule type="containsText" dxfId="7834" priority="17882" operator="containsText" text="GP2">
      <formula>NOT(ISERROR(SEARCH("GP2",AD9)))</formula>
    </cfRule>
    <cfRule type="containsText" dxfId="7833" priority="17883" operator="containsText" text="GP1">
      <formula>NOT(ISERROR(SEARCH("GP1",AD9)))</formula>
    </cfRule>
  </conditionalFormatting>
  <conditionalFormatting sqref="AD9">
    <cfRule type="containsText" dxfId="7832" priority="17880" operator="containsText" text="GP2">
      <formula>NOT(ISERROR(SEARCH("GP2",AD9)))</formula>
    </cfRule>
    <cfRule type="containsText" dxfId="7831" priority="17881" operator="containsText" text="GP1">
      <formula>NOT(ISERROR(SEARCH("GP1",AD9)))</formula>
    </cfRule>
  </conditionalFormatting>
  <conditionalFormatting sqref="AD9">
    <cfRule type="containsText" dxfId="7830" priority="17878" operator="containsText" text="GP2">
      <formula>NOT(ISERROR(SEARCH("GP2",AD9)))</formula>
    </cfRule>
    <cfRule type="containsText" dxfId="7829" priority="17879" operator="containsText" text="GP1">
      <formula>NOT(ISERROR(SEARCH("GP1",AD9)))</formula>
    </cfRule>
  </conditionalFormatting>
  <conditionalFormatting sqref="AD9">
    <cfRule type="containsText" dxfId="7828" priority="17876" operator="containsText" text="GP2">
      <formula>NOT(ISERROR(SEARCH("GP2",AD9)))</formula>
    </cfRule>
    <cfRule type="containsText" dxfId="7827" priority="17877" operator="containsText" text="GP1">
      <formula>NOT(ISERROR(SEARCH("GP1",AD9)))</formula>
    </cfRule>
  </conditionalFormatting>
  <conditionalFormatting sqref="AD9">
    <cfRule type="containsText" dxfId="7826" priority="17874" operator="containsText" text="GP2">
      <formula>NOT(ISERROR(SEARCH("GP2",AD9)))</formula>
    </cfRule>
    <cfRule type="containsText" dxfId="7825" priority="17875" operator="containsText" text="GP1">
      <formula>NOT(ISERROR(SEARCH("GP1",AD9)))</formula>
    </cfRule>
  </conditionalFormatting>
  <conditionalFormatting sqref="AD9">
    <cfRule type="containsText" dxfId="7824" priority="17872" operator="containsText" text="GP2">
      <formula>NOT(ISERROR(SEARCH("GP2",AD9)))</formula>
    </cfRule>
    <cfRule type="containsText" dxfId="7823" priority="17873" operator="containsText" text="GP1">
      <formula>NOT(ISERROR(SEARCH("GP1",AD9)))</formula>
    </cfRule>
  </conditionalFormatting>
  <conditionalFormatting sqref="AD9">
    <cfRule type="containsText" dxfId="7822" priority="17870" operator="containsText" text="GP2">
      <formula>NOT(ISERROR(SEARCH("GP2",AD9)))</formula>
    </cfRule>
    <cfRule type="containsText" dxfId="7821" priority="17871" operator="containsText" text="GP1">
      <formula>NOT(ISERROR(SEARCH("GP1",AD9)))</formula>
    </cfRule>
  </conditionalFormatting>
  <conditionalFormatting sqref="AD9">
    <cfRule type="containsText" dxfId="7820" priority="17868" operator="containsText" text="GP2">
      <formula>NOT(ISERROR(SEARCH("GP2",AD9)))</formula>
    </cfRule>
    <cfRule type="containsText" dxfId="7819" priority="17869" operator="containsText" text="GP1">
      <formula>NOT(ISERROR(SEARCH("GP1",AD9)))</formula>
    </cfRule>
  </conditionalFormatting>
  <conditionalFormatting sqref="AD9">
    <cfRule type="containsText" dxfId="7818" priority="17866" operator="containsText" text="GP2">
      <formula>NOT(ISERROR(SEARCH("GP2",AD9)))</formula>
    </cfRule>
    <cfRule type="containsText" dxfId="7817" priority="17867" operator="containsText" text="GP1">
      <formula>NOT(ISERROR(SEARCH("GP1",AD9)))</formula>
    </cfRule>
  </conditionalFormatting>
  <conditionalFormatting sqref="AD9">
    <cfRule type="containsText" dxfId="7816" priority="17864" operator="containsText" text="GP2">
      <formula>NOT(ISERROR(SEARCH("GP2",AD9)))</formula>
    </cfRule>
    <cfRule type="containsText" dxfId="7815" priority="17865" operator="containsText" text="GP1">
      <formula>NOT(ISERROR(SEARCH("GP1",AD9)))</formula>
    </cfRule>
  </conditionalFormatting>
  <conditionalFormatting sqref="AD9">
    <cfRule type="containsText" dxfId="7814" priority="17862" operator="containsText" text="GP2">
      <formula>NOT(ISERROR(SEARCH("GP2",AD9)))</formula>
    </cfRule>
    <cfRule type="containsText" dxfId="7813" priority="17863" operator="containsText" text="GP1">
      <formula>NOT(ISERROR(SEARCH("GP1",AD9)))</formula>
    </cfRule>
  </conditionalFormatting>
  <conditionalFormatting sqref="AD9">
    <cfRule type="containsText" dxfId="7812" priority="17860" operator="containsText" text="GP2">
      <formula>NOT(ISERROR(SEARCH("GP2",AD9)))</formula>
    </cfRule>
    <cfRule type="containsText" dxfId="7811" priority="17861" operator="containsText" text="GP1">
      <formula>NOT(ISERROR(SEARCH("GP1",AD9)))</formula>
    </cfRule>
  </conditionalFormatting>
  <conditionalFormatting sqref="AD9">
    <cfRule type="containsText" dxfId="7810" priority="17858" operator="containsText" text="GP2">
      <formula>NOT(ISERROR(SEARCH("GP2",AD9)))</formula>
    </cfRule>
    <cfRule type="containsText" dxfId="7809" priority="17859" operator="containsText" text="GP1">
      <formula>NOT(ISERROR(SEARCH("GP1",AD9)))</formula>
    </cfRule>
  </conditionalFormatting>
  <conditionalFormatting sqref="AD9">
    <cfRule type="containsText" dxfId="7808" priority="17856" operator="containsText" text="GP2">
      <formula>NOT(ISERROR(SEARCH("GP2",AD9)))</formula>
    </cfRule>
    <cfRule type="containsText" dxfId="7807" priority="17857" operator="containsText" text="GP1">
      <formula>NOT(ISERROR(SEARCH("GP1",AD9)))</formula>
    </cfRule>
  </conditionalFormatting>
  <conditionalFormatting sqref="AD9">
    <cfRule type="containsText" dxfId="7806" priority="17854" operator="containsText" text="GP2">
      <formula>NOT(ISERROR(SEARCH("GP2",AD9)))</formula>
    </cfRule>
    <cfRule type="containsText" dxfId="7805" priority="17855" operator="containsText" text="GP1">
      <formula>NOT(ISERROR(SEARCH("GP1",AD9)))</formula>
    </cfRule>
  </conditionalFormatting>
  <conditionalFormatting sqref="AD9">
    <cfRule type="containsText" dxfId="7804" priority="17852" operator="containsText" text="GP2">
      <formula>NOT(ISERROR(SEARCH("GP2",AD9)))</formula>
    </cfRule>
    <cfRule type="containsText" dxfId="7803" priority="17853" operator="containsText" text="GP1">
      <formula>NOT(ISERROR(SEARCH("GP1",AD9)))</formula>
    </cfRule>
  </conditionalFormatting>
  <conditionalFormatting sqref="AD9">
    <cfRule type="containsText" dxfId="7802" priority="17850" operator="containsText" text="GP2">
      <formula>NOT(ISERROR(SEARCH("GP2",AD9)))</formula>
    </cfRule>
    <cfRule type="containsText" dxfId="7801" priority="17851" operator="containsText" text="GP1">
      <formula>NOT(ISERROR(SEARCH("GP1",AD9)))</formula>
    </cfRule>
  </conditionalFormatting>
  <conditionalFormatting sqref="AD9">
    <cfRule type="containsText" dxfId="7800" priority="17848" operator="containsText" text="GP2">
      <formula>NOT(ISERROR(SEARCH("GP2",AD9)))</formula>
    </cfRule>
    <cfRule type="containsText" dxfId="7799" priority="17849" operator="containsText" text="GP1">
      <formula>NOT(ISERROR(SEARCH("GP1",AD9)))</formula>
    </cfRule>
  </conditionalFormatting>
  <conditionalFormatting sqref="AD9">
    <cfRule type="containsText" dxfId="7798" priority="17846" operator="containsText" text="GP2">
      <formula>NOT(ISERROR(SEARCH("GP2",AD9)))</formula>
    </cfRule>
    <cfRule type="containsText" dxfId="7797" priority="17847" operator="containsText" text="GP1">
      <formula>NOT(ISERROR(SEARCH("GP1",AD9)))</formula>
    </cfRule>
  </conditionalFormatting>
  <conditionalFormatting sqref="AD9">
    <cfRule type="containsText" dxfId="7796" priority="17844" operator="containsText" text="GP2">
      <formula>NOT(ISERROR(SEARCH("GP2",AD9)))</formula>
    </cfRule>
    <cfRule type="containsText" dxfId="7795" priority="17845" operator="containsText" text="GP1">
      <formula>NOT(ISERROR(SEARCH("GP1",AD9)))</formula>
    </cfRule>
  </conditionalFormatting>
  <conditionalFormatting sqref="AD9">
    <cfRule type="containsText" dxfId="7794" priority="17842" operator="containsText" text="GP2">
      <formula>NOT(ISERROR(SEARCH("GP2",AD9)))</formula>
    </cfRule>
    <cfRule type="containsText" dxfId="7793" priority="17843" operator="containsText" text="GP1">
      <formula>NOT(ISERROR(SEARCH("GP1",AD9)))</formula>
    </cfRule>
  </conditionalFormatting>
  <conditionalFormatting sqref="AD9">
    <cfRule type="containsText" dxfId="7792" priority="17840" operator="containsText" text="GP2">
      <formula>NOT(ISERROR(SEARCH("GP2",AD9)))</formula>
    </cfRule>
    <cfRule type="containsText" dxfId="7791" priority="17841" operator="containsText" text="GP1">
      <formula>NOT(ISERROR(SEARCH("GP1",AD9)))</formula>
    </cfRule>
  </conditionalFormatting>
  <conditionalFormatting sqref="AD9">
    <cfRule type="containsText" dxfId="7790" priority="17838" operator="containsText" text="GP2">
      <formula>NOT(ISERROR(SEARCH("GP2",AD9)))</formula>
    </cfRule>
    <cfRule type="containsText" dxfId="7789" priority="17839" operator="containsText" text="GP1">
      <formula>NOT(ISERROR(SEARCH("GP1",AD9)))</formula>
    </cfRule>
  </conditionalFormatting>
  <conditionalFormatting sqref="AD9">
    <cfRule type="containsText" dxfId="7788" priority="17836" operator="containsText" text="GP2">
      <formula>NOT(ISERROR(SEARCH("GP2",AD9)))</formula>
    </cfRule>
    <cfRule type="containsText" dxfId="7787" priority="17837" operator="containsText" text="GP1">
      <formula>NOT(ISERROR(SEARCH("GP1",AD9)))</formula>
    </cfRule>
  </conditionalFormatting>
  <conditionalFormatting sqref="AD9">
    <cfRule type="containsText" dxfId="7786" priority="17834" operator="containsText" text="GP2">
      <formula>NOT(ISERROR(SEARCH("GP2",AD9)))</formula>
    </cfRule>
    <cfRule type="containsText" dxfId="7785" priority="17835" operator="containsText" text="GP1">
      <formula>NOT(ISERROR(SEARCH("GP1",AD9)))</formula>
    </cfRule>
  </conditionalFormatting>
  <conditionalFormatting sqref="AD9">
    <cfRule type="containsText" dxfId="7784" priority="17832" operator="containsText" text="GP2">
      <formula>NOT(ISERROR(SEARCH("GP2",AD9)))</formula>
    </cfRule>
    <cfRule type="containsText" dxfId="7783" priority="17833" operator="containsText" text="GP1">
      <formula>NOT(ISERROR(SEARCH("GP1",AD9)))</formula>
    </cfRule>
  </conditionalFormatting>
  <conditionalFormatting sqref="AD9">
    <cfRule type="containsText" dxfId="7782" priority="17830" operator="containsText" text="GP2">
      <formula>NOT(ISERROR(SEARCH("GP2",AD9)))</formula>
    </cfRule>
    <cfRule type="containsText" dxfId="7781" priority="17831" operator="containsText" text="GP1">
      <formula>NOT(ISERROR(SEARCH("GP1",AD9)))</formula>
    </cfRule>
  </conditionalFormatting>
  <conditionalFormatting sqref="AD9">
    <cfRule type="containsText" dxfId="7780" priority="17828" operator="containsText" text="GP2">
      <formula>NOT(ISERROR(SEARCH("GP2",AD9)))</formula>
    </cfRule>
    <cfRule type="containsText" dxfId="7779" priority="17829" operator="containsText" text="GP1">
      <formula>NOT(ISERROR(SEARCH("GP1",AD9)))</formula>
    </cfRule>
  </conditionalFormatting>
  <conditionalFormatting sqref="AD9">
    <cfRule type="containsText" dxfId="7778" priority="17826" operator="containsText" text="GP2">
      <formula>NOT(ISERROR(SEARCH("GP2",AD9)))</formula>
    </cfRule>
    <cfRule type="containsText" dxfId="7777" priority="17827" operator="containsText" text="GP1">
      <formula>NOT(ISERROR(SEARCH("GP1",AD9)))</formula>
    </cfRule>
  </conditionalFormatting>
  <conditionalFormatting sqref="AD9">
    <cfRule type="containsText" dxfId="7776" priority="17824" operator="containsText" text="GP2">
      <formula>NOT(ISERROR(SEARCH("GP2",AD9)))</formula>
    </cfRule>
    <cfRule type="containsText" dxfId="7775" priority="17825" operator="containsText" text="GP1">
      <formula>NOT(ISERROR(SEARCH("GP1",AD9)))</formula>
    </cfRule>
  </conditionalFormatting>
  <conditionalFormatting sqref="AD9">
    <cfRule type="containsText" dxfId="7774" priority="17822" operator="containsText" text="GP2">
      <formula>NOT(ISERROR(SEARCH("GP2",AD9)))</formula>
    </cfRule>
    <cfRule type="containsText" dxfId="7773" priority="17823" operator="containsText" text="GP1">
      <formula>NOT(ISERROR(SEARCH("GP1",AD9)))</formula>
    </cfRule>
  </conditionalFormatting>
  <conditionalFormatting sqref="AD9">
    <cfRule type="containsText" dxfId="7772" priority="17820" operator="containsText" text="GP2">
      <formula>NOT(ISERROR(SEARCH("GP2",AD9)))</formula>
    </cfRule>
    <cfRule type="containsText" dxfId="7771" priority="17821" operator="containsText" text="GP1">
      <formula>NOT(ISERROR(SEARCH("GP1",AD9)))</formula>
    </cfRule>
  </conditionalFormatting>
  <conditionalFormatting sqref="AD9">
    <cfRule type="containsText" dxfId="7770" priority="17818" operator="containsText" text="GP2">
      <formula>NOT(ISERROR(SEARCH("GP2",AD9)))</formula>
    </cfRule>
    <cfRule type="containsText" dxfId="7769" priority="17819" operator="containsText" text="GP1">
      <formula>NOT(ISERROR(SEARCH("GP1",AD9)))</formula>
    </cfRule>
  </conditionalFormatting>
  <conditionalFormatting sqref="AD9">
    <cfRule type="containsText" dxfId="7768" priority="17816" operator="containsText" text="GP2">
      <formula>NOT(ISERROR(SEARCH("GP2",AD9)))</formula>
    </cfRule>
    <cfRule type="containsText" dxfId="7767" priority="17817" operator="containsText" text="GP1">
      <formula>NOT(ISERROR(SEARCH("GP1",AD9)))</formula>
    </cfRule>
  </conditionalFormatting>
  <conditionalFormatting sqref="AD9">
    <cfRule type="containsText" dxfId="7766" priority="17814" operator="containsText" text="GP2">
      <formula>NOT(ISERROR(SEARCH("GP2",AD9)))</formula>
    </cfRule>
    <cfRule type="containsText" dxfId="7765" priority="17815" operator="containsText" text="GP1">
      <formula>NOT(ISERROR(SEARCH("GP1",AD9)))</formula>
    </cfRule>
  </conditionalFormatting>
  <conditionalFormatting sqref="AD9">
    <cfRule type="containsText" dxfId="7764" priority="17812" operator="containsText" text="GP2">
      <formula>NOT(ISERROR(SEARCH("GP2",AD9)))</formula>
    </cfRule>
    <cfRule type="containsText" dxfId="7763" priority="17813" operator="containsText" text="GP1">
      <formula>NOT(ISERROR(SEARCH("GP1",AD9)))</formula>
    </cfRule>
  </conditionalFormatting>
  <conditionalFormatting sqref="AD9">
    <cfRule type="containsText" dxfId="7762" priority="17810" operator="containsText" text="GP2">
      <formula>NOT(ISERROR(SEARCH("GP2",AD9)))</formula>
    </cfRule>
    <cfRule type="containsText" dxfId="7761" priority="17811" operator="containsText" text="GP1">
      <formula>NOT(ISERROR(SEARCH("GP1",AD9)))</formula>
    </cfRule>
  </conditionalFormatting>
  <conditionalFormatting sqref="AD9">
    <cfRule type="containsText" dxfId="7760" priority="17808" operator="containsText" text="GP2">
      <formula>NOT(ISERROR(SEARCH("GP2",AD9)))</formula>
    </cfRule>
    <cfRule type="containsText" dxfId="7759" priority="17809" operator="containsText" text="GP1">
      <formula>NOT(ISERROR(SEARCH("GP1",AD9)))</formula>
    </cfRule>
  </conditionalFormatting>
  <conditionalFormatting sqref="AD9">
    <cfRule type="containsText" dxfId="7758" priority="17806" operator="containsText" text="GP2">
      <formula>NOT(ISERROR(SEARCH("GP2",AD9)))</formula>
    </cfRule>
    <cfRule type="containsText" dxfId="7757" priority="17807" operator="containsText" text="GP1">
      <formula>NOT(ISERROR(SEARCH("GP1",AD9)))</formula>
    </cfRule>
  </conditionalFormatting>
  <conditionalFormatting sqref="AD9">
    <cfRule type="containsText" dxfId="7756" priority="17804" operator="containsText" text="GP2">
      <formula>NOT(ISERROR(SEARCH("GP2",AD9)))</formula>
    </cfRule>
    <cfRule type="containsText" dxfId="7755" priority="17805" operator="containsText" text="GP1">
      <formula>NOT(ISERROR(SEARCH("GP1",AD9)))</formula>
    </cfRule>
  </conditionalFormatting>
  <conditionalFormatting sqref="AD9">
    <cfRule type="containsText" dxfId="7754" priority="17802" operator="containsText" text="GP2">
      <formula>NOT(ISERROR(SEARCH("GP2",AD9)))</formula>
    </cfRule>
    <cfRule type="containsText" dxfId="7753" priority="17803" operator="containsText" text="GP1">
      <formula>NOT(ISERROR(SEARCH("GP1",AD9)))</formula>
    </cfRule>
  </conditionalFormatting>
  <conditionalFormatting sqref="AD9">
    <cfRule type="containsText" dxfId="7752" priority="17800" operator="containsText" text="GP2">
      <formula>NOT(ISERROR(SEARCH("GP2",AD9)))</formula>
    </cfRule>
    <cfRule type="containsText" dxfId="7751" priority="17801" operator="containsText" text="GP1">
      <formula>NOT(ISERROR(SEARCH("GP1",AD9)))</formula>
    </cfRule>
  </conditionalFormatting>
  <conditionalFormatting sqref="AD9">
    <cfRule type="containsText" dxfId="7750" priority="17798" operator="containsText" text="GP2">
      <formula>NOT(ISERROR(SEARCH("GP2",AD9)))</formula>
    </cfRule>
    <cfRule type="containsText" dxfId="7749" priority="17799" operator="containsText" text="GP1">
      <formula>NOT(ISERROR(SEARCH("GP1",AD9)))</formula>
    </cfRule>
  </conditionalFormatting>
  <conditionalFormatting sqref="AD9">
    <cfRule type="containsText" dxfId="7748" priority="17796" operator="containsText" text="GP2">
      <formula>NOT(ISERROR(SEARCH("GP2",AD9)))</formula>
    </cfRule>
    <cfRule type="containsText" dxfId="7747" priority="17797" operator="containsText" text="GP1">
      <formula>NOT(ISERROR(SEARCH("GP1",AD9)))</formula>
    </cfRule>
  </conditionalFormatting>
  <conditionalFormatting sqref="AD9">
    <cfRule type="containsText" dxfId="7746" priority="17794" operator="containsText" text="GP2">
      <formula>NOT(ISERROR(SEARCH("GP2",AD9)))</formula>
    </cfRule>
    <cfRule type="containsText" dxfId="7745" priority="17795" operator="containsText" text="GP1">
      <formula>NOT(ISERROR(SEARCH("GP1",AD9)))</formula>
    </cfRule>
  </conditionalFormatting>
  <conditionalFormatting sqref="AD9">
    <cfRule type="containsText" dxfId="7744" priority="17792" operator="containsText" text="GP2">
      <formula>NOT(ISERROR(SEARCH("GP2",AD9)))</formula>
    </cfRule>
    <cfRule type="containsText" dxfId="7743" priority="17793" operator="containsText" text="GP1">
      <formula>NOT(ISERROR(SEARCH("GP1",AD9)))</formula>
    </cfRule>
  </conditionalFormatting>
  <conditionalFormatting sqref="AD9">
    <cfRule type="containsText" dxfId="7742" priority="17790" operator="containsText" text="GP2">
      <formula>NOT(ISERROR(SEARCH("GP2",AD9)))</formula>
    </cfRule>
    <cfRule type="containsText" dxfId="7741" priority="17791" operator="containsText" text="GP1">
      <formula>NOT(ISERROR(SEARCH("GP1",AD9)))</formula>
    </cfRule>
  </conditionalFormatting>
  <conditionalFormatting sqref="AD9">
    <cfRule type="containsText" dxfId="7740" priority="17788" operator="containsText" text="GP2">
      <formula>NOT(ISERROR(SEARCH("GP2",AD9)))</formula>
    </cfRule>
    <cfRule type="containsText" dxfId="7739" priority="17789" operator="containsText" text="GP1">
      <formula>NOT(ISERROR(SEARCH("GP1",AD9)))</formula>
    </cfRule>
  </conditionalFormatting>
  <conditionalFormatting sqref="AD9">
    <cfRule type="containsText" dxfId="7738" priority="17786" operator="containsText" text="GP2">
      <formula>NOT(ISERROR(SEARCH("GP2",AD9)))</formula>
    </cfRule>
    <cfRule type="containsText" dxfId="7737" priority="17787" operator="containsText" text="GP1">
      <formula>NOT(ISERROR(SEARCH("GP1",AD9)))</formula>
    </cfRule>
  </conditionalFormatting>
  <conditionalFormatting sqref="AD9">
    <cfRule type="containsText" dxfId="7736" priority="17784" operator="containsText" text="GP2">
      <formula>NOT(ISERROR(SEARCH("GP2",AD9)))</formula>
    </cfRule>
    <cfRule type="containsText" dxfId="7735" priority="17785" operator="containsText" text="GP1">
      <formula>NOT(ISERROR(SEARCH("GP1",AD9)))</formula>
    </cfRule>
  </conditionalFormatting>
  <conditionalFormatting sqref="AD9">
    <cfRule type="containsText" dxfId="7734" priority="17782" operator="containsText" text="GP2">
      <formula>NOT(ISERROR(SEARCH("GP2",AD9)))</formula>
    </cfRule>
    <cfRule type="containsText" dxfId="7733" priority="17783" operator="containsText" text="GP1">
      <formula>NOT(ISERROR(SEARCH("GP1",AD9)))</formula>
    </cfRule>
  </conditionalFormatting>
  <conditionalFormatting sqref="AD9">
    <cfRule type="containsText" dxfId="7732" priority="17780" operator="containsText" text="GP2">
      <formula>NOT(ISERROR(SEARCH("GP2",AD9)))</formula>
    </cfRule>
    <cfRule type="containsText" dxfId="7731" priority="17781" operator="containsText" text="GP1">
      <formula>NOT(ISERROR(SEARCH("GP1",AD9)))</formula>
    </cfRule>
  </conditionalFormatting>
  <conditionalFormatting sqref="AD9">
    <cfRule type="containsText" dxfId="7730" priority="17778" operator="containsText" text="GP2">
      <formula>NOT(ISERROR(SEARCH("GP2",AD9)))</formula>
    </cfRule>
    <cfRule type="containsText" dxfId="7729" priority="17779" operator="containsText" text="GP1">
      <formula>NOT(ISERROR(SEARCH("GP1",AD9)))</formula>
    </cfRule>
  </conditionalFormatting>
  <conditionalFormatting sqref="AD9">
    <cfRule type="containsText" dxfId="7728" priority="17776" operator="containsText" text="GP2">
      <formula>NOT(ISERROR(SEARCH("GP2",AD9)))</formula>
    </cfRule>
    <cfRule type="containsText" dxfId="7727" priority="17777" operator="containsText" text="GP1">
      <formula>NOT(ISERROR(SEARCH("GP1",AD9)))</formula>
    </cfRule>
  </conditionalFormatting>
  <conditionalFormatting sqref="AD9">
    <cfRule type="containsText" dxfId="7726" priority="17774" operator="containsText" text="GP2">
      <formula>NOT(ISERROR(SEARCH("GP2",AD9)))</formula>
    </cfRule>
    <cfRule type="containsText" dxfId="7725" priority="17775" operator="containsText" text="GP1">
      <formula>NOT(ISERROR(SEARCH("GP1",AD9)))</formula>
    </cfRule>
  </conditionalFormatting>
  <conditionalFormatting sqref="AD9">
    <cfRule type="containsText" dxfId="7724" priority="17772" operator="containsText" text="GP2">
      <formula>NOT(ISERROR(SEARCH("GP2",AD9)))</formula>
    </cfRule>
    <cfRule type="containsText" dxfId="7723" priority="17773" operator="containsText" text="GP1">
      <formula>NOT(ISERROR(SEARCH("GP1",AD9)))</formula>
    </cfRule>
  </conditionalFormatting>
  <conditionalFormatting sqref="AD9">
    <cfRule type="containsText" dxfId="7722" priority="17770" operator="containsText" text="GP2">
      <formula>NOT(ISERROR(SEARCH("GP2",AD9)))</formula>
    </cfRule>
    <cfRule type="containsText" dxfId="7721" priority="17771" operator="containsText" text="GP1">
      <formula>NOT(ISERROR(SEARCH("GP1",AD9)))</formula>
    </cfRule>
  </conditionalFormatting>
  <conditionalFormatting sqref="AD9">
    <cfRule type="containsText" dxfId="7720" priority="17768" operator="containsText" text="GP2">
      <formula>NOT(ISERROR(SEARCH("GP2",AD9)))</formula>
    </cfRule>
    <cfRule type="containsText" dxfId="7719" priority="17769" operator="containsText" text="GP1">
      <formula>NOT(ISERROR(SEARCH("GP1",AD9)))</formula>
    </cfRule>
  </conditionalFormatting>
  <conditionalFormatting sqref="AD9">
    <cfRule type="containsText" dxfId="7718" priority="17766" operator="containsText" text="GP2">
      <formula>NOT(ISERROR(SEARCH("GP2",AD9)))</formula>
    </cfRule>
    <cfRule type="containsText" dxfId="7717" priority="17767" operator="containsText" text="GP1">
      <formula>NOT(ISERROR(SEARCH("GP1",AD9)))</formula>
    </cfRule>
  </conditionalFormatting>
  <conditionalFormatting sqref="AD9">
    <cfRule type="containsText" dxfId="7716" priority="17764" operator="containsText" text="GP2">
      <formula>NOT(ISERROR(SEARCH("GP2",AD9)))</formula>
    </cfRule>
    <cfRule type="containsText" dxfId="7715" priority="17765" operator="containsText" text="GP1">
      <formula>NOT(ISERROR(SEARCH("GP1",AD9)))</formula>
    </cfRule>
  </conditionalFormatting>
  <conditionalFormatting sqref="AD9">
    <cfRule type="containsText" dxfId="7714" priority="17762" operator="containsText" text="GP2">
      <formula>NOT(ISERROR(SEARCH("GP2",AD9)))</formula>
    </cfRule>
    <cfRule type="containsText" dxfId="7713" priority="17763" operator="containsText" text="GP1">
      <formula>NOT(ISERROR(SEARCH("GP1",AD9)))</formula>
    </cfRule>
  </conditionalFormatting>
  <conditionalFormatting sqref="AD9">
    <cfRule type="containsText" dxfId="7712" priority="17760" operator="containsText" text="GP2">
      <formula>NOT(ISERROR(SEARCH("GP2",AD9)))</formula>
    </cfRule>
    <cfRule type="containsText" dxfId="7711" priority="17761" operator="containsText" text="GP1">
      <formula>NOT(ISERROR(SEARCH("GP1",AD9)))</formula>
    </cfRule>
  </conditionalFormatting>
  <conditionalFormatting sqref="AD9">
    <cfRule type="containsText" dxfId="7710" priority="17758" operator="containsText" text="GP2">
      <formula>NOT(ISERROR(SEARCH("GP2",AD9)))</formula>
    </cfRule>
    <cfRule type="containsText" dxfId="7709" priority="17759" operator="containsText" text="GP1">
      <formula>NOT(ISERROR(SEARCH("GP1",AD9)))</formula>
    </cfRule>
  </conditionalFormatting>
  <conditionalFormatting sqref="AD9">
    <cfRule type="containsText" dxfId="7708" priority="17756" operator="containsText" text="GP2">
      <formula>NOT(ISERROR(SEARCH("GP2",AD9)))</formula>
    </cfRule>
    <cfRule type="containsText" dxfId="7707" priority="17757" operator="containsText" text="GP1">
      <formula>NOT(ISERROR(SEARCH("GP1",AD9)))</formula>
    </cfRule>
  </conditionalFormatting>
  <conditionalFormatting sqref="AD9">
    <cfRule type="containsText" dxfId="7706" priority="17754" operator="containsText" text="GP2">
      <formula>NOT(ISERROR(SEARCH("GP2",AD9)))</formula>
    </cfRule>
    <cfRule type="containsText" dxfId="7705" priority="17755" operator="containsText" text="GP1">
      <formula>NOT(ISERROR(SEARCH("GP1",AD9)))</formula>
    </cfRule>
  </conditionalFormatting>
  <conditionalFormatting sqref="AD9">
    <cfRule type="containsText" dxfId="7704" priority="17752" operator="containsText" text="GP2">
      <formula>NOT(ISERROR(SEARCH("GP2",AD9)))</formula>
    </cfRule>
    <cfRule type="containsText" dxfId="7703" priority="17753" operator="containsText" text="GP1">
      <formula>NOT(ISERROR(SEARCH("GP1",AD9)))</formula>
    </cfRule>
  </conditionalFormatting>
  <conditionalFormatting sqref="AD9">
    <cfRule type="containsText" dxfId="7702" priority="17750" operator="containsText" text="GP2">
      <formula>NOT(ISERROR(SEARCH("GP2",AD9)))</formula>
    </cfRule>
    <cfRule type="containsText" dxfId="7701" priority="17751" operator="containsText" text="GP1">
      <formula>NOT(ISERROR(SEARCH("GP1",AD9)))</formula>
    </cfRule>
  </conditionalFormatting>
  <conditionalFormatting sqref="AD9">
    <cfRule type="containsText" dxfId="7700" priority="17748" operator="containsText" text="GP2">
      <formula>NOT(ISERROR(SEARCH("GP2",AD9)))</formula>
    </cfRule>
    <cfRule type="containsText" dxfId="7699" priority="17749" operator="containsText" text="GP1">
      <formula>NOT(ISERROR(SEARCH("GP1",AD9)))</formula>
    </cfRule>
  </conditionalFormatting>
  <conditionalFormatting sqref="AD9">
    <cfRule type="containsText" dxfId="7698" priority="17746" operator="containsText" text="GP2">
      <formula>NOT(ISERROR(SEARCH("GP2",AD9)))</formula>
    </cfRule>
    <cfRule type="containsText" dxfId="7697" priority="17747" operator="containsText" text="GP1">
      <formula>NOT(ISERROR(SEARCH("GP1",AD9)))</formula>
    </cfRule>
  </conditionalFormatting>
  <conditionalFormatting sqref="AD9">
    <cfRule type="containsText" dxfId="7696" priority="17744" operator="containsText" text="GP2">
      <formula>NOT(ISERROR(SEARCH("GP2",AD9)))</formula>
    </cfRule>
    <cfRule type="containsText" dxfId="7695" priority="17745" operator="containsText" text="GP1">
      <formula>NOT(ISERROR(SEARCH("GP1",AD9)))</formula>
    </cfRule>
  </conditionalFormatting>
  <conditionalFormatting sqref="AD9">
    <cfRule type="containsText" dxfId="7694" priority="17742" operator="containsText" text="GP2">
      <formula>NOT(ISERROR(SEARCH("GP2",AD9)))</formula>
    </cfRule>
    <cfRule type="containsText" dxfId="7693" priority="17743" operator="containsText" text="GP1">
      <formula>NOT(ISERROR(SEARCH("GP1",AD9)))</formula>
    </cfRule>
  </conditionalFormatting>
  <conditionalFormatting sqref="AD9">
    <cfRule type="containsText" dxfId="7692" priority="17740" operator="containsText" text="GP2">
      <formula>NOT(ISERROR(SEARCH("GP2",AD9)))</formula>
    </cfRule>
    <cfRule type="containsText" dxfId="7691" priority="17741" operator="containsText" text="GP1">
      <formula>NOT(ISERROR(SEARCH("GP1",AD9)))</formula>
    </cfRule>
  </conditionalFormatting>
  <conditionalFormatting sqref="AD9">
    <cfRule type="containsText" dxfId="7690" priority="17738" operator="containsText" text="GP2">
      <formula>NOT(ISERROR(SEARCH("GP2",AD9)))</formula>
    </cfRule>
    <cfRule type="containsText" dxfId="7689" priority="17739" operator="containsText" text="GP1">
      <formula>NOT(ISERROR(SEARCH("GP1",AD9)))</formula>
    </cfRule>
  </conditionalFormatting>
  <conditionalFormatting sqref="AD9">
    <cfRule type="containsText" dxfId="7688" priority="17736" operator="containsText" text="GP2">
      <formula>NOT(ISERROR(SEARCH("GP2",AD9)))</formula>
    </cfRule>
    <cfRule type="containsText" dxfId="7687" priority="17737" operator="containsText" text="GP1">
      <formula>NOT(ISERROR(SEARCH("GP1",AD9)))</formula>
    </cfRule>
  </conditionalFormatting>
  <conditionalFormatting sqref="AD9">
    <cfRule type="containsText" dxfId="7686" priority="17734" operator="containsText" text="GP2">
      <formula>NOT(ISERROR(SEARCH("GP2",AD9)))</formula>
    </cfRule>
    <cfRule type="containsText" dxfId="7685" priority="17735" operator="containsText" text="GP1">
      <formula>NOT(ISERROR(SEARCH("GP1",AD9)))</formula>
    </cfRule>
  </conditionalFormatting>
  <conditionalFormatting sqref="AD9">
    <cfRule type="containsText" dxfId="7684" priority="17732" operator="containsText" text="GP2">
      <formula>NOT(ISERROR(SEARCH("GP2",AD9)))</formula>
    </cfRule>
    <cfRule type="containsText" dxfId="7683" priority="17733" operator="containsText" text="GP1">
      <formula>NOT(ISERROR(SEARCH("GP1",AD9)))</formula>
    </cfRule>
  </conditionalFormatting>
  <conditionalFormatting sqref="AD9">
    <cfRule type="containsText" dxfId="7682" priority="17730" operator="containsText" text="GP2">
      <formula>NOT(ISERROR(SEARCH("GP2",AD9)))</formula>
    </cfRule>
    <cfRule type="containsText" dxfId="7681" priority="17731" operator="containsText" text="GP1">
      <formula>NOT(ISERROR(SEARCH("GP1",AD9)))</formula>
    </cfRule>
  </conditionalFormatting>
  <conditionalFormatting sqref="AD9">
    <cfRule type="containsText" dxfId="7680" priority="17728" operator="containsText" text="GP2">
      <formula>NOT(ISERROR(SEARCH("GP2",AD9)))</formula>
    </cfRule>
    <cfRule type="containsText" dxfId="7679" priority="17729" operator="containsText" text="GP1">
      <formula>NOT(ISERROR(SEARCH("GP1",AD9)))</formula>
    </cfRule>
  </conditionalFormatting>
  <conditionalFormatting sqref="AD9">
    <cfRule type="containsText" dxfId="7678" priority="17726" operator="containsText" text="GP2">
      <formula>NOT(ISERROR(SEARCH("GP2",AD9)))</formula>
    </cfRule>
    <cfRule type="containsText" dxfId="7677" priority="17727" operator="containsText" text="GP1">
      <formula>NOT(ISERROR(SEARCH("GP1",AD9)))</formula>
    </cfRule>
  </conditionalFormatting>
  <conditionalFormatting sqref="AD9">
    <cfRule type="containsText" dxfId="7676" priority="17724" operator="containsText" text="GP2">
      <formula>NOT(ISERROR(SEARCH("GP2",AD9)))</formula>
    </cfRule>
    <cfRule type="containsText" dxfId="7675" priority="17725" operator="containsText" text="GP1">
      <formula>NOT(ISERROR(SEARCH("GP1",AD9)))</formula>
    </cfRule>
  </conditionalFormatting>
  <conditionalFormatting sqref="AD9">
    <cfRule type="containsText" dxfId="7674" priority="17722" operator="containsText" text="GP2">
      <formula>NOT(ISERROR(SEARCH("GP2",AD9)))</formula>
    </cfRule>
    <cfRule type="containsText" dxfId="7673" priority="17723" operator="containsText" text="GP1">
      <formula>NOT(ISERROR(SEARCH("GP1",AD9)))</formula>
    </cfRule>
  </conditionalFormatting>
  <conditionalFormatting sqref="AD9">
    <cfRule type="containsText" dxfId="7672" priority="17720" operator="containsText" text="GP2">
      <formula>NOT(ISERROR(SEARCH("GP2",AD9)))</formula>
    </cfRule>
    <cfRule type="containsText" dxfId="7671" priority="17721" operator="containsText" text="GP1">
      <formula>NOT(ISERROR(SEARCH("GP1",AD9)))</formula>
    </cfRule>
  </conditionalFormatting>
  <conditionalFormatting sqref="AD9">
    <cfRule type="containsText" dxfId="7670" priority="17718" operator="containsText" text="GP2">
      <formula>NOT(ISERROR(SEARCH("GP2",AD9)))</formula>
    </cfRule>
    <cfRule type="containsText" dxfId="7669" priority="17719" operator="containsText" text="GP1">
      <formula>NOT(ISERROR(SEARCH("GP1",AD9)))</formula>
    </cfRule>
  </conditionalFormatting>
  <conditionalFormatting sqref="AD9">
    <cfRule type="containsText" dxfId="7668" priority="17716" operator="containsText" text="GP2">
      <formula>NOT(ISERROR(SEARCH("GP2",AD9)))</formula>
    </cfRule>
    <cfRule type="containsText" dxfId="7667" priority="17717" operator="containsText" text="GP1">
      <formula>NOT(ISERROR(SEARCH("GP1",AD9)))</formula>
    </cfRule>
  </conditionalFormatting>
  <conditionalFormatting sqref="AD9">
    <cfRule type="containsText" dxfId="7666" priority="17714" operator="containsText" text="GP2">
      <formula>NOT(ISERROR(SEARCH("GP2",AD9)))</formula>
    </cfRule>
    <cfRule type="containsText" dxfId="7665" priority="17715" operator="containsText" text="GP1">
      <formula>NOT(ISERROR(SEARCH("GP1",AD9)))</formula>
    </cfRule>
  </conditionalFormatting>
  <conditionalFormatting sqref="AD9">
    <cfRule type="containsText" dxfId="7664" priority="17712" operator="containsText" text="GP2">
      <formula>NOT(ISERROR(SEARCH("GP2",AD9)))</formula>
    </cfRule>
    <cfRule type="containsText" dxfId="7663" priority="17713" operator="containsText" text="GP1">
      <formula>NOT(ISERROR(SEARCH("GP1",AD9)))</formula>
    </cfRule>
  </conditionalFormatting>
  <conditionalFormatting sqref="AD9">
    <cfRule type="containsText" dxfId="7662" priority="17710" operator="containsText" text="GP2">
      <formula>NOT(ISERROR(SEARCH("GP2",AD9)))</formula>
    </cfRule>
    <cfRule type="containsText" dxfId="7661" priority="17711" operator="containsText" text="GP1">
      <formula>NOT(ISERROR(SEARCH("GP1",AD9)))</formula>
    </cfRule>
  </conditionalFormatting>
  <conditionalFormatting sqref="AD9">
    <cfRule type="containsText" dxfId="7660" priority="17708" operator="containsText" text="GP2">
      <formula>NOT(ISERROR(SEARCH("GP2",AD9)))</formula>
    </cfRule>
    <cfRule type="containsText" dxfId="7659" priority="17709" operator="containsText" text="GP1">
      <formula>NOT(ISERROR(SEARCH("GP1",AD9)))</formula>
    </cfRule>
  </conditionalFormatting>
  <conditionalFormatting sqref="AD9">
    <cfRule type="containsText" dxfId="7658" priority="17706" operator="containsText" text="GP2">
      <formula>NOT(ISERROR(SEARCH("GP2",AD9)))</formula>
    </cfRule>
    <cfRule type="containsText" dxfId="7657" priority="17707" operator="containsText" text="GP1">
      <formula>NOT(ISERROR(SEARCH("GP1",AD9)))</formula>
    </cfRule>
  </conditionalFormatting>
  <conditionalFormatting sqref="AD9">
    <cfRule type="containsText" dxfId="7656" priority="17704" operator="containsText" text="GP2">
      <formula>NOT(ISERROR(SEARCH("GP2",AD9)))</formula>
    </cfRule>
    <cfRule type="containsText" dxfId="7655" priority="17705" operator="containsText" text="GP1">
      <formula>NOT(ISERROR(SEARCH("GP1",AD9)))</formula>
    </cfRule>
  </conditionalFormatting>
  <conditionalFormatting sqref="AD9">
    <cfRule type="containsText" dxfId="7654" priority="17702" operator="containsText" text="GP2">
      <formula>NOT(ISERROR(SEARCH("GP2",AD9)))</formula>
    </cfRule>
    <cfRule type="containsText" dxfId="7653" priority="17703" operator="containsText" text="GP1">
      <formula>NOT(ISERROR(SEARCH("GP1",AD9)))</formula>
    </cfRule>
  </conditionalFormatting>
  <conditionalFormatting sqref="AD9">
    <cfRule type="containsText" dxfId="7652" priority="17700" operator="containsText" text="GP2">
      <formula>NOT(ISERROR(SEARCH("GP2",AD9)))</formula>
    </cfRule>
    <cfRule type="containsText" dxfId="7651" priority="17701" operator="containsText" text="GP1">
      <formula>NOT(ISERROR(SEARCH("GP1",AD9)))</formula>
    </cfRule>
  </conditionalFormatting>
  <conditionalFormatting sqref="AD9">
    <cfRule type="containsText" dxfId="7650" priority="17698" operator="containsText" text="GP2">
      <formula>NOT(ISERROR(SEARCH("GP2",AD9)))</formula>
    </cfRule>
    <cfRule type="containsText" dxfId="7649" priority="17699" operator="containsText" text="GP1">
      <formula>NOT(ISERROR(SEARCH("GP1",AD9)))</formula>
    </cfRule>
  </conditionalFormatting>
  <conditionalFormatting sqref="AD9">
    <cfRule type="containsText" dxfId="7648" priority="17696" operator="containsText" text="GP2">
      <formula>NOT(ISERROR(SEARCH("GP2",AD9)))</formula>
    </cfRule>
    <cfRule type="containsText" dxfId="7647" priority="17697" operator="containsText" text="GP1">
      <formula>NOT(ISERROR(SEARCH("GP1",AD9)))</formula>
    </cfRule>
  </conditionalFormatting>
  <conditionalFormatting sqref="AD9">
    <cfRule type="containsText" dxfId="7646" priority="17694" operator="containsText" text="GP2">
      <formula>NOT(ISERROR(SEARCH("GP2",AD9)))</formula>
    </cfRule>
    <cfRule type="containsText" dxfId="7645" priority="17695" operator="containsText" text="GP1">
      <formula>NOT(ISERROR(SEARCH("GP1",AD9)))</formula>
    </cfRule>
  </conditionalFormatting>
  <conditionalFormatting sqref="AD9">
    <cfRule type="containsText" dxfId="7644" priority="17692" operator="containsText" text="GP2">
      <formula>NOT(ISERROR(SEARCH("GP2",AD9)))</formula>
    </cfRule>
    <cfRule type="containsText" dxfId="7643" priority="17693" operator="containsText" text="GP1">
      <formula>NOT(ISERROR(SEARCH("GP1",AD9)))</formula>
    </cfRule>
  </conditionalFormatting>
  <conditionalFormatting sqref="AD9">
    <cfRule type="containsText" dxfId="7642" priority="17690" operator="containsText" text="GP2">
      <formula>NOT(ISERROR(SEARCH("GP2",AD9)))</formula>
    </cfRule>
    <cfRule type="containsText" dxfId="7641" priority="17691" operator="containsText" text="GP1">
      <formula>NOT(ISERROR(SEARCH("GP1",AD9)))</formula>
    </cfRule>
  </conditionalFormatting>
  <conditionalFormatting sqref="AD9">
    <cfRule type="containsText" dxfId="7640" priority="17688" operator="containsText" text="GP2">
      <formula>NOT(ISERROR(SEARCH("GP2",AD9)))</formula>
    </cfRule>
    <cfRule type="containsText" dxfId="7639" priority="17689" operator="containsText" text="GP1">
      <formula>NOT(ISERROR(SEARCH("GP1",AD9)))</formula>
    </cfRule>
  </conditionalFormatting>
  <conditionalFormatting sqref="AD9">
    <cfRule type="containsText" dxfId="7638" priority="17686" operator="containsText" text="GP2">
      <formula>NOT(ISERROR(SEARCH("GP2",AD9)))</formula>
    </cfRule>
    <cfRule type="containsText" dxfId="7637" priority="17687" operator="containsText" text="GP1">
      <formula>NOT(ISERROR(SEARCH("GP1",AD9)))</formula>
    </cfRule>
  </conditionalFormatting>
  <conditionalFormatting sqref="AD9">
    <cfRule type="containsText" dxfId="7636" priority="17684" operator="containsText" text="GP2">
      <formula>NOT(ISERROR(SEARCH("GP2",AD9)))</formula>
    </cfRule>
    <cfRule type="containsText" dxfId="7635" priority="17685" operator="containsText" text="GP1">
      <formula>NOT(ISERROR(SEARCH("GP1",AD9)))</formula>
    </cfRule>
  </conditionalFormatting>
  <conditionalFormatting sqref="AD9">
    <cfRule type="containsText" dxfId="7634" priority="17682" operator="containsText" text="GP2">
      <formula>NOT(ISERROR(SEARCH("GP2",AD9)))</formula>
    </cfRule>
    <cfRule type="containsText" dxfId="7633" priority="17683" operator="containsText" text="GP1">
      <formula>NOT(ISERROR(SEARCH("GP1",AD9)))</formula>
    </cfRule>
  </conditionalFormatting>
  <conditionalFormatting sqref="AD9">
    <cfRule type="containsText" dxfId="7632" priority="17680" operator="containsText" text="GP2">
      <formula>NOT(ISERROR(SEARCH("GP2",AD9)))</formula>
    </cfRule>
    <cfRule type="containsText" dxfId="7631" priority="17681" operator="containsText" text="GP1">
      <formula>NOT(ISERROR(SEARCH("GP1",AD9)))</formula>
    </cfRule>
  </conditionalFormatting>
  <conditionalFormatting sqref="AD9">
    <cfRule type="containsText" dxfId="7630" priority="17678" operator="containsText" text="GP2">
      <formula>NOT(ISERROR(SEARCH("GP2",AD9)))</formula>
    </cfRule>
    <cfRule type="containsText" dxfId="7629" priority="17679" operator="containsText" text="GP1">
      <formula>NOT(ISERROR(SEARCH("GP1",AD9)))</formula>
    </cfRule>
  </conditionalFormatting>
  <conditionalFormatting sqref="AD9">
    <cfRule type="containsText" dxfId="7628" priority="17676" operator="containsText" text="GP2">
      <formula>NOT(ISERROR(SEARCH("GP2",AD9)))</formula>
    </cfRule>
    <cfRule type="containsText" dxfId="7627" priority="17677" operator="containsText" text="GP1">
      <formula>NOT(ISERROR(SEARCH("GP1",AD9)))</formula>
    </cfRule>
  </conditionalFormatting>
  <conditionalFormatting sqref="AD9">
    <cfRule type="containsText" dxfId="7626" priority="17674" operator="containsText" text="GP2">
      <formula>NOT(ISERROR(SEARCH("GP2",AD9)))</formula>
    </cfRule>
    <cfRule type="containsText" dxfId="7625" priority="17675" operator="containsText" text="GP1">
      <formula>NOT(ISERROR(SEARCH("GP1",AD9)))</formula>
    </cfRule>
  </conditionalFormatting>
  <conditionalFormatting sqref="AD9">
    <cfRule type="containsText" dxfId="7624" priority="17672" operator="containsText" text="GP2">
      <formula>NOT(ISERROR(SEARCH("GP2",AD9)))</formula>
    </cfRule>
    <cfRule type="containsText" dxfId="7623" priority="17673" operator="containsText" text="GP1">
      <formula>NOT(ISERROR(SEARCH("GP1",AD9)))</formula>
    </cfRule>
  </conditionalFormatting>
  <conditionalFormatting sqref="AD9">
    <cfRule type="containsText" dxfId="7622" priority="17670" operator="containsText" text="GP2">
      <formula>NOT(ISERROR(SEARCH("GP2",AD9)))</formula>
    </cfRule>
    <cfRule type="containsText" dxfId="7621" priority="17671" operator="containsText" text="GP1">
      <formula>NOT(ISERROR(SEARCH("GP1",AD9)))</formula>
    </cfRule>
  </conditionalFormatting>
  <conditionalFormatting sqref="AD9">
    <cfRule type="containsText" dxfId="7620" priority="17668" operator="containsText" text="GP2">
      <formula>NOT(ISERROR(SEARCH("GP2",AD9)))</formula>
    </cfRule>
    <cfRule type="containsText" dxfId="7619" priority="17669" operator="containsText" text="GP1">
      <formula>NOT(ISERROR(SEARCH("GP1",AD9)))</formula>
    </cfRule>
  </conditionalFormatting>
  <conditionalFormatting sqref="AD9">
    <cfRule type="containsText" dxfId="7618" priority="17666" operator="containsText" text="GP2">
      <formula>NOT(ISERROR(SEARCH("GP2",AD9)))</formula>
    </cfRule>
    <cfRule type="containsText" dxfId="7617" priority="17667" operator="containsText" text="GP1">
      <formula>NOT(ISERROR(SEARCH("GP1",AD9)))</formula>
    </cfRule>
  </conditionalFormatting>
  <conditionalFormatting sqref="AD9">
    <cfRule type="containsText" dxfId="7616" priority="17664" operator="containsText" text="GP2">
      <formula>NOT(ISERROR(SEARCH("GP2",AD9)))</formula>
    </cfRule>
    <cfRule type="containsText" dxfId="7615" priority="17665" operator="containsText" text="GP1">
      <formula>NOT(ISERROR(SEARCH("GP1",AD9)))</formula>
    </cfRule>
  </conditionalFormatting>
  <conditionalFormatting sqref="AD9">
    <cfRule type="containsText" dxfId="7614" priority="17662" operator="containsText" text="GP2">
      <formula>NOT(ISERROR(SEARCH("GP2",AD9)))</formula>
    </cfRule>
    <cfRule type="containsText" dxfId="7613" priority="17663" operator="containsText" text="GP1">
      <formula>NOT(ISERROR(SEARCH("GP1",AD9)))</formula>
    </cfRule>
  </conditionalFormatting>
  <conditionalFormatting sqref="AD9">
    <cfRule type="containsText" dxfId="7612" priority="17660" operator="containsText" text="GP2">
      <formula>NOT(ISERROR(SEARCH("GP2",AD9)))</formula>
    </cfRule>
    <cfRule type="containsText" dxfId="7611" priority="17661" operator="containsText" text="GP1">
      <formula>NOT(ISERROR(SEARCH("GP1",AD9)))</formula>
    </cfRule>
  </conditionalFormatting>
  <conditionalFormatting sqref="AD9">
    <cfRule type="containsText" dxfId="7610" priority="17658" operator="containsText" text="GP2">
      <formula>NOT(ISERROR(SEARCH("GP2",AD9)))</formula>
    </cfRule>
    <cfRule type="containsText" dxfId="7609" priority="17659" operator="containsText" text="GP1">
      <formula>NOT(ISERROR(SEARCH("GP1",AD9)))</formula>
    </cfRule>
  </conditionalFormatting>
  <conditionalFormatting sqref="AD9">
    <cfRule type="containsText" dxfId="7608" priority="17656" operator="containsText" text="GP2">
      <formula>NOT(ISERROR(SEARCH("GP2",AD9)))</formula>
    </cfRule>
    <cfRule type="containsText" dxfId="7607" priority="17657" operator="containsText" text="GP1">
      <formula>NOT(ISERROR(SEARCH("GP1",AD9)))</formula>
    </cfRule>
  </conditionalFormatting>
  <conditionalFormatting sqref="AD9">
    <cfRule type="containsText" dxfId="7606" priority="17654" operator="containsText" text="GP2">
      <formula>NOT(ISERROR(SEARCH("GP2",AD9)))</formula>
    </cfRule>
    <cfRule type="containsText" dxfId="7605" priority="17655" operator="containsText" text="GP1">
      <formula>NOT(ISERROR(SEARCH("GP1",AD9)))</formula>
    </cfRule>
  </conditionalFormatting>
  <conditionalFormatting sqref="AD9">
    <cfRule type="containsText" dxfId="7604" priority="17652" operator="containsText" text="GP2">
      <formula>NOT(ISERROR(SEARCH("GP2",AD9)))</formula>
    </cfRule>
    <cfRule type="containsText" dxfId="7603" priority="17653" operator="containsText" text="GP1">
      <formula>NOT(ISERROR(SEARCH("GP1",AD9)))</formula>
    </cfRule>
  </conditionalFormatting>
  <conditionalFormatting sqref="AD9">
    <cfRule type="containsText" dxfId="7602" priority="17650" operator="containsText" text="GP2">
      <formula>NOT(ISERROR(SEARCH("GP2",AD9)))</formula>
    </cfRule>
    <cfRule type="containsText" dxfId="7601" priority="17651" operator="containsText" text="GP1">
      <formula>NOT(ISERROR(SEARCH("GP1",AD9)))</formula>
    </cfRule>
  </conditionalFormatting>
  <conditionalFormatting sqref="AD9">
    <cfRule type="containsText" dxfId="7600" priority="17648" operator="containsText" text="GP2">
      <formula>NOT(ISERROR(SEARCH("GP2",AD9)))</formula>
    </cfRule>
    <cfRule type="containsText" dxfId="7599" priority="17649" operator="containsText" text="GP1">
      <formula>NOT(ISERROR(SEARCH("GP1",AD9)))</formula>
    </cfRule>
  </conditionalFormatting>
  <conditionalFormatting sqref="AD9">
    <cfRule type="containsText" dxfId="7598" priority="17646" operator="containsText" text="GP2">
      <formula>NOT(ISERROR(SEARCH("GP2",AD9)))</formula>
    </cfRule>
    <cfRule type="containsText" dxfId="7597" priority="17647" operator="containsText" text="GP1">
      <formula>NOT(ISERROR(SEARCH("GP1",AD9)))</formula>
    </cfRule>
  </conditionalFormatting>
  <conditionalFormatting sqref="AD9">
    <cfRule type="containsText" dxfId="7596" priority="17644" operator="containsText" text="GP2">
      <formula>NOT(ISERROR(SEARCH("GP2",AD9)))</formula>
    </cfRule>
    <cfRule type="containsText" dxfId="7595" priority="17645" operator="containsText" text="GP1">
      <formula>NOT(ISERROR(SEARCH("GP1",AD9)))</formula>
    </cfRule>
  </conditionalFormatting>
  <conditionalFormatting sqref="AD9">
    <cfRule type="containsText" dxfId="7594" priority="17642" operator="containsText" text="GP2">
      <formula>NOT(ISERROR(SEARCH("GP2",AD9)))</formula>
    </cfRule>
    <cfRule type="containsText" dxfId="7593" priority="17643" operator="containsText" text="GP1">
      <formula>NOT(ISERROR(SEARCH("GP1",AD9)))</formula>
    </cfRule>
  </conditionalFormatting>
  <conditionalFormatting sqref="AD9">
    <cfRule type="containsText" dxfId="7592" priority="17640" operator="containsText" text="GP2">
      <formula>NOT(ISERROR(SEARCH("GP2",AD9)))</formula>
    </cfRule>
    <cfRule type="containsText" dxfId="7591" priority="17641" operator="containsText" text="GP1">
      <formula>NOT(ISERROR(SEARCH("GP1",AD9)))</formula>
    </cfRule>
  </conditionalFormatting>
  <conditionalFormatting sqref="AD9">
    <cfRule type="containsText" dxfId="7590" priority="17638" operator="containsText" text="GP2">
      <formula>NOT(ISERROR(SEARCH("GP2",AD9)))</formula>
    </cfRule>
    <cfRule type="containsText" dxfId="7589" priority="17639" operator="containsText" text="GP1">
      <formula>NOT(ISERROR(SEARCH("GP1",AD9)))</formula>
    </cfRule>
  </conditionalFormatting>
  <conditionalFormatting sqref="AD9">
    <cfRule type="containsText" dxfId="7588" priority="17636" operator="containsText" text="GP2">
      <formula>NOT(ISERROR(SEARCH("GP2",AD9)))</formula>
    </cfRule>
    <cfRule type="containsText" dxfId="7587" priority="17637" operator="containsText" text="GP1">
      <formula>NOT(ISERROR(SEARCH("GP1",AD9)))</formula>
    </cfRule>
  </conditionalFormatting>
  <conditionalFormatting sqref="AD9">
    <cfRule type="containsText" dxfId="7586" priority="17634" operator="containsText" text="GP2">
      <formula>NOT(ISERROR(SEARCH("GP2",AD9)))</formula>
    </cfRule>
    <cfRule type="containsText" dxfId="7585" priority="17635" operator="containsText" text="GP1">
      <formula>NOT(ISERROR(SEARCH("GP1",AD9)))</formula>
    </cfRule>
  </conditionalFormatting>
  <conditionalFormatting sqref="AD9">
    <cfRule type="containsText" dxfId="7584" priority="17632" operator="containsText" text="GP2">
      <formula>NOT(ISERROR(SEARCH("GP2",AD9)))</formula>
    </cfRule>
    <cfRule type="containsText" dxfId="7583" priority="17633" operator="containsText" text="GP1">
      <formula>NOT(ISERROR(SEARCH("GP1",AD9)))</formula>
    </cfRule>
  </conditionalFormatting>
  <conditionalFormatting sqref="AD9">
    <cfRule type="containsText" dxfId="7582" priority="17630" operator="containsText" text="GP2">
      <formula>NOT(ISERROR(SEARCH("GP2",AD9)))</formula>
    </cfRule>
    <cfRule type="containsText" dxfId="7581" priority="17631" operator="containsText" text="GP1">
      <formula>NOT(ISERROR(SEARCH("GP1",AD9)))</formula>
    </cfRule>
  </conditionalFormatting>
  <conditionalFormatting sqref="AD9">
    <cfRule type="containsText" dxfId="7580" priority="17628" operator="containsText" text="GP2">
      <formula>NOT(ISERROR(SEARCH("GP2",AD9)))</formula>
    </cfRule>
    <cfRule type="containsText" dxfId="7579" priority="17629" operator="containsText" text="GP1">
      <formula>NOT(ISERROR(SEARCH("GP1",AD9)))</formula>
    </cfRule>
  </conditionalFormatting>
  <conditionalFormatting sqref="AD9">
    <cfRule type="containsText" dxfId="7578" priority="17626" operator="containsText" text="GP2">
      <formula>NOT(ISERROR(SEARCH("GP2",AD9)))</formula>
    </cfRule>
    <cfRule type="containsText" dxfId="7577" priority="17627" operator="containsText" text="GP1">
      <formula>NOT(ISERROR(SEARCH("GP1",AD9)))</formula>
    </cfRule>
  </conditionalFormatting>
  <conditionalFormatting sqref="AD9">
    <cfRule type="containsText" dxfId="7576" priority="17624" operator="containsText" text="GP2">
      <formula>NOT(ISERROR(SEARCH("GP2",AD9)))</formula>
    </cfRule>
    <cfRule type="containsText" dxfId="7575" priority="17625" operator="containsText" text="GP1">
      <formula>NOT(ISERROR(SEARCH("GP1",AD9)))</formula>
    </cfRule>
  </conditionalFormatting>
  <conditionalFormatting sqref="AD9">
    <cfRule type="containsText" dxfId="7574" priority="17622" operator="containsText" text="GP2">
      <formula>NOT(ISERROR(SEARCH("GP2",AD9)))</formula>
    </cfRule>
    <cfRule type="containsText" dxfId="7573" priority="17623" operator="containsText" text="GP1">
      <formula>NOT(ISERROR(SEARCH("GP1",AD9)))</formula>
    </cfRule>
  </conditionalFormatting>
  <conditionalFormatting sqref="AD9">
    <cfRule type="containsText" dxfId="7572" priority="17620" operator="containsText" text="GP2">
      <formula>NOT(ISERROR(SEARCH("GP2",AD9)))</formula>
    </cfRule>
    <cfRule type="containsText" dxfId="7571" priority="17621" operator="containsText" text="GP1">
      <formula>NOT(ISERROR(SEARCH("GP1",AD9)))</formula>
    </cfRule>
  </conditionalFormatting>
  <conditionalFormatting sqref="AD9">
    <cfRule type="containsText" dxfId="7570" priority="17618" operator="containsText" text="GP2">
      <formula>NOT(ISERROR(SEARCH("GP2",AD9)))</formula>
    </cfRule>
    <cfRule type="containsText" dxfId="7569" priority="17619" operator="containsText" text="GP1">
      <formula>NOT(ISERROR(SEARCH("GP1",AD9)))</formula>
    </cfRule>
  </conditionalFormatting>
  <conditionalFormatting sqref="AD9">
    <cfRule type="containsText" dxfId="7568" priority="17616" operator="containsText" text="GP2">
      <formula>NOT(ISERROR(SEARCH("GP2",AD9)))</formula>
    </cfRule>
    <cfRule type="containsText" dxfId="7567" priority="17617" operator="containsText" text="GP1">
      <formula>NOT(ISERROR(SEARCH("GP1",AD9)))</formula>
    </cfRule>
  </conditionalFormatting>
  <conditionalFormatting sqref="AD9">
    <cfRule type="containsText" dxfId="7566" priority="17614" operator="containsText" text="GP2">
      <formula>NOT(ISERROR(SEARCH("GP2",AD9)))</formula>
    </cfRule>
    <cfRule type="containsText" dxfId="7565" priority="17615" operator="containsText" text="GP1">
      <formula>NOT(ISERROR(SEARCH("GP1",AD9)))</formula>
    </cfRule>
  </conditionalFormatting>
  <conditionalFormatting sqref="AD9">
    <cfRule type="containsText" dxfId="7564" priority="17612" operator="containsText" text="GP2">
      <formula>NOT(ISERROR(SEARCH("GP2",AD9)))</formula>
    </cfRule>
    <cfRule type="containsText" dxfId="7563" priority="17613" operator="containsText" text="GP1">
      <formula>NOT(ISERROR(SEARCH("GP1",AD9)))</formula>
    </cfRule>
  </conditionalFormatting>
  <conditionalFormatting sqref="AD9">
    <cfRule type="containsText" dxfId="7562" priority="17610" operator="containsText" text="GP2">
      <formula>NOT(ISERROR(SEARCH("GP2",AD9)))</formula>
    </cfRule>
    <cfRule type="containsText" dxfId="7561" priority="17611" operator="containsText" text="GP1">
      <formula>NOT(ISERROR(SEARCH("GP1",AD9)))</formula>
    </cfRule>
  </conditionalFormatting>
  <conditionalFormatting sqref="AD9">
    <cfRule type="containsText" dxfId="7560" priority="17608" operator="containsText" text="GP2">
      <formula>NOT(ISERROR(SEARCH("GP2",AD9)))</formula>
    </cfRule>
    <cfRule type="containsText" dxfId="7559" priority="17609" operator="containsText" text="GP1">
      <formula>NOT(ISERROR(SEARCH("GP1",AD9)))</formula>
    </cfRule>
  </conditionalFormatting>
  <conditionalFormatting sqref="AD9">
    <cfRule type="containsText" dxfId="7558" priority="17606" operator="containsText" text="GP2">
      <formula>NOT(ISERROR(SEARCH("GP2",AD9)))</formula>
    </cfRule>
    <cfRule type="containsText" dxfId="7557" priority="17607" operator="containsText" text="GP1">
      <formula>NOT(ISERROR(SEARCH("GP1",AD9)))</formula>
    </cfRule>
  </conditionalFormatting>
  <conditionalFormatting sqref="AD9">
    <cfRule type="containsText" dxfId="7556" priority="17604" operator="containsText" text="GP2">
      <formula>NOT(ISERROR(SEARCH("GP2",AD9)))</formula>
    </cfRule>
    <cfRule type="containsText" dxfId="7555" priority="17605" operator="containsText" text="GP1">
      <formula>NOT(ISERROR(SEARCH("GP1",AD9)))</formula>
    </cfRule>
  </conditionalFormatting>
  <conditionalFormatting sqref="AD9">
    <cfRule type="containsText" dxfId="7554" priority="17602" operator="containsText" text="GP2">
      <formula>NOT(ISERROR(SEARCH("GP2",AD9)))</formula>
    </cfRule>
    <cfRule type="containsText" dxfId="7553" priority="17603" operator="containsText" text="GP1">
      <formula>NOT(ISERROR(SEARCH("GP1",AD9)))</formula>
    </cfRule>
  </conditionalFormatting>
  <conditionalFormatting sqref="AD9">
    <cfRule type="containsText" dxfId="7552" priority="17600" operator="containsText" text="GP2">
      <formula>NOT(ISERROR(SEARCH("GP2",AD9)))</formula>
    </cfRule>
    <cfRule type="containsText" dxfId="7551" priority="17601" operator="containsText" text="GP1">
      <formula>NOT(ISERROR(SEARCH("GP1",AD9)))</formula>
    </cfRule>
  </conditionalFormatting>
  <conditionalFormatting sqref="AD9">
    <cfRule type="containsText" dxfId="7550" priority="17598" operator="containsText" text="GP2">
      <formula>NOT(ISERROR(SEARCH("GP2",AD9)))</formula>
    </cfRule>
    <cfRule type="containsText" dxfId="7549" priority="17599" operator="containsText" text="GP1">
      <formula>NOT(ISERROR(SEARCH("GP1",AD9)))</formula>
    </cfRule>
  </conditionalFormatting>
  <conditionalFormatting sqref="AD9">
    <cfRule type="containsText" dxfId="7548" priority="17596" operator="containsText" text="GP2">
      <formula>NOT(ISERROR(SEARCH("GP2",AD9)))</formula>
    </cfRule>
    <cfRule type="containsText" dxfId="7547" priority="17597" operator="containsText" text="GP1">
      <formula>NOT(ISERROR(SEARCH("GP1",AD9)))</formula>
    </cfRule>
  </conditionalFormatting>
  <conditionalFormatting sqref="AD9">
    <cfRule type="containsText" dxfId="7546" priority="17594" operator="containsText" text="GP2">
      <formula>NOT(ISERROR(SEARCH("GP2",AD9)))</formula>
    </cfRule>
    <cfRule type="containsText" dxfId="7545" priority="17595" operator="containsText" text="GP1">
      <formula>NOT(ISERROR(SEARCH("GP1",AD9)))</formula>
    </cfRule>
  </conditionalFormatting>
  <conditionalFormatting sqref="AD9">
    <cfRule type="containsText" dxfId="7544" priority="17592" operator="containsText" text="GP2">
      <formula>NOT(ISERROR(SEARCH("GP2",AD9)))</formula>
    </cfRule>
    <cfRule type="containsText" dxfId="7543" priority="17593" operator="containsText" text="GP1">
      <formula>NOT(ISERROR(SEARCH("GP1",AD9)))</formula>
    </cfRule>
  </conditionalFormatting>
  <conditionalFormatting sqref="AD9">
    <cfRule type="containsText" dxfId="7542" priority="17590" operator="containsText" text="GP2">
      <formula>NOT(ISERROR(SEARCH("GP2",AD9)))</formula>
    </cfRule>
    <cfRule type="containsText" dxfId="7541" priority="17591" operator="containsText" text="GP1">
      <formula>NOT(ISERROR(SEARCH("GP1",AD9)))</formula>
    </cfRule>
  </conditionalFormatting>
  <conditionalFormatting sqref="AD9">
    <cfRule type="containsText" dxfId="7540" priority="17588" operator="containsText" text="GP2">
      <formula>NOT(ISERROR(SEARCH("GP2",AD9)))</formula>
    </cfRule>
    <cfRule type="containsText" dxfId="7539" priority="17589" operator="containsText" text="GP1">
      <formula>NOT(ISERROR(SEARCH("GP1",AD9)))</formula>
    </cfRule>
  </conditionalFormatting>
  <conditionalFormatting sqref="AD9">
    <cfRule type="containsText" dxfId="7538" priority="17586" operator="containsText" text="GP2">
      <formula>NOT(ISERROR(SEARCH("GP2",AD9)))</formula>
    </cfRule>
    <cfRule type="containsText" dxfId="7537" priority="17587" operator="containsText" text="GP1">
      <formula>NOT(ISERROR(SEARCH("GP1",AD9)))</formula>
    </cfRule>
  </conditionalFormatting>
  <conditionalFormatting sqref="AD9">
    <cfRule type="containsText" dxfId="7536" priority="17584" operator="containsText" text="GP2">
      <formula>NOT(ISERROR(SEARCH("GP2",AD9)))</formula>
    </cfRule>
    <cfRule type="containsText" dxfId="7535" priority="17585" operator="containsText" text="GP1">
      <formula>NOT(ISERROR(SEARCH("GP1",AD9)))</formula>
    </cfRule>
  </conditionalFormatting>
  <conditionalFormatting sqref="AD9">
    <cfRule type="containsText" dxfId="7534" priority="17582" operator="containsText" text="GP2">
      <formula>NOT(ISERROR(SEARCH("GP2",AD9)))</formula>
    </cfRule>
    <cfRule type="containsText" dxfId="7533" priority="17583" operator="containsText" text="GP1">
      <formula>NOT(ISERROR(SEARCH("GP1",AD9)))</formula>
    </cfRule>
  </conditionalFormatting>
  <conditionalFormatting sqref="AD9">
    <cfRule type="containsText" dxfId="7532" priority="17580" operator="containsText" text="GP2">
      <formula>NOT(ISERROR(SEARCH("GP2",AD9)))</formula>
    </cfRule>
    <cfRule type="containsText" dxfId="7531" priority="17581" operator="containsText" text="GP1">
      <formula>NOT(ISERROR(SEARCH("GP1",AD9)))</formula>
    </cfRule>
  </conditionalFormatting>
  <conditionalFormatting sqref="AD9">
    <cfRule type="containsText" dxfId="7530" priority="17578" operator="containsText" text="GP2">
      <formula>NOT(ISERROR(SEARCH("GP2",AD9)))</formula>
    </cfRule>
    <cfRule type="containsText" dxfId="7529" priority="17579" operator="containsText" text="GP1">
      <formula>NOT(ISERROR(SEARCH("GP1",AD9)))</formula>
    </cfRule>
  </conditionalFormatting>
  <conditionalFormatting sqref="AD9">
    <cfRule type="containsText" dxfId="7528" priority="17576" operator="containsText" text="GP2">
      <formula>NOT(ISERROR(SEARCH("GP2",AD9)))</formula>
    </cfRule>
    <cfRule type="containsText" dxfId="7527" priority="17577" operator="containsText" text="GP1">
      <formula>NOT(ISERROR(SEARCH("GP1",AD9)))</formula>
    </cfRule>
  </conditionalFormatting>
  <conditionalFormatting sqref="AD9">
    <cfRule type="containsText" dxfId="7526" priority="17574" operator="containsText" text="GP2">
      <formula>NOT(ISERROR(SEARCH("GP2",AD9)))</formula>
    </cfRule>
    <cfRule type="containsText" dxfId="7525" priority="17575" operator="containsText" text="GP1">
      <formula>NOT(ISERROR(SEARCH("GP1",AD9)))</formula>
    </cfRule>
  </conditionalFormatting>
  <conditionalFormatting sqref="AD9">
    <cfRule type="containsText" dxfId="7524" priority="17572" operator="containsText" text="GP2">
      <formula>NOT(ISERROR(SEARCH("GP2",AD9)))</formula>
    </cfRule>
    <cfRule type="containsText" dxfId="7523" priority="17573" operator="containsText" text="GP1">
      <formula>NOT(ISERROR(SEARCH("GP1",AD9)))</formula>
    </cfRule>
  </conditionalFormatting>
  <conditionalFormatting sqref="AD9">
    <cfRule type="containsText" dxfId="7522" priority="17570" operator="containsText" text="GP2">
      <formula>NOT(ISERROR(SEARCH("GP2",AD9)))</formula>
    </cfRule>
    <cfRule type="containsText" dxfId="7521" priority="17571" operator="containsText" text="GP1">
      <formula>NOT(ISERROR(SEARCH("GP1",AD9)))</formula>
    </cfRule>
  </conditionalFormatting>
  <conditionalFormatting sqref="AD9">
    <cfRule type="containsText" dxfId="7520" priority="17568" operator="containsText" text="GP2">
      <formula>NOT(ISERROR(SEARCH("GP2",AD9)))</formula>
    </cfRule>
    <cfRule type="containsText" dxfId="7519" priority="17569" operator="containsText" text="GP1">
      <formula>NOT(ISERROR(SEARCH("GP1",AD9)))</formula>
    </cfRule>
  </conditionalFormatting>
  <conditionalFormatting sqref="AD9">
    <cfRule type="containsText" dxfId="7518" priority="17566" operator="containsText" text="GP2">
      <formula>NOT(ISERROR(SEARCH("GP2",AD9)))</formula>
    </cfRule>
    <cfRule type="containsText" dxfId="7517" priority="17567" operator="containsText" text="GP1">
      <formula>NOT(ISERROR(SEARCH("GP1",AD9)))</formula>
    </cfRule>
  </conditionalFormatting>
  <conditionalFormatting sqref="AD9">
    <cfRule type="containsText" dxfId="7516" priority="17564" operator="containsText" text="GP2">
      <formula>NOT(ISERROR(SEARCH("GP2",AD9)))</formula>
    </cfRule>
    <cfRule type="containsText" dxfId="7515" priority="17565" operator="containsText" text="GP1">
      <formula>NOT(ISERROR(SEARCH("GP1",AD9)))</formula>
    </cfRule>
  </conditionalFormatting>
  <conditionalFormatting sqref="AD9">
    <cfRule type="containsText" dxfId="7514" priority="17562" operator="containsText" text="GP2">
      <formula>NOT(ISERROR(SEARCH("GP2",AD9)))</formula>
    </cfRule>
    <cfRule type="containsText" dxfId="7513" priority="17563" operator="containsText" text="GP1">
      <formula>NOT(ISERROR(SEARCH("GP1",AD9)))</formula>
    </cfRule>
  </conditionalFormatting>
  <conditionalFormatting sqref="AD9">
    <cfRule type="containsText" dxfId="7512" priority="17560" operator="containsText" text="GP2">
      <formula>NOT(ISERROR(SEARCH("GP2",AD9)))</formula>
    </cfRule>
    <cfRule type="containsText" dxfId="7511" priority="17561" operator="containsText" text="GP1">
      <formula>NOT(ISERROR(SEARCH("GP1",AD9)))</formula>
    </cfRule>
  </conditionalFormatting>
  <conditionalFormatting sqref="AD9">
    <cfRule type="containsText" dxfId="7510" priority="17558" operator="containsText" text="GP2">
      <formula>NOT(ISERROR(SEARCH("GP2",AD9)))</formula>
    </cfRule>
    <cfRule type="containsText" dxfId="7509" priority="17559" operator="containsText" text="GP1">
      <formula>NOT(ISERROR(SEARCH("GP1",AD9)))</formula>
    </cfRule>
  </conditionalFormatting>
  <conditionalFormatting sqref="AD9">
    <cfRule type="containsText" dxfId="7508" priority="17556" operator="containsText" text="GP2">
      <formula>NOT(ISERROR(SEARCH("GP2",AD9)))</formula>
    </cfRule>
    <cfRule type="containsText" dxfId="7507" priority="17557" operator="containsText" text="GP1">
      <formula>NOT(ISERROR(SEARCH("GP1",AD9)))</formula>
    </cfRule>
  </conditionalFormatting>
  <conditionalFormatting sqref="AD9">
    <cfRule type="containsText" dxfId="7506" priority="17554" operator="containsText" text="GP2">
      <formula>NOT(ISERROR(SEARCH("GP2",AD9)))</formula>
    </cfRule>
    <cfRule type="containsText" dxfId="7505" priority="17555" operator="containsText" text="GP1">
      <formula>NOT(ISERROR(SEARCH("GP1",AD9)))</formula>
    </cfRule>
  </conditionalFormatting>
  <conditionalFormatting sqref="AD9">
    <cfRule type="containsText" dxfId="7504" priority="17552" operator="containsText" text="GP2">
      <formula>NOT(ISERROR(SEARCH("GP2",AD9)))</formula>
    </cfRule>
    <cfRule type="containsText" dxfId="7503" priority="17553" operator="containsText" text="GP1">
      <formula>NOT(ISERROR(SEARCH("GP1",AD9)))</formula>
    </cfRule>
  </conditionalFormatting>
  <conditionalFormatting sqref="AD9">
    <cfRule type="containsText" dxfId="7502" priority="17550" operator="containsText" text="GP2">
      <formula>NOT(ISERROR(SEARCH("GP2",AD9)))</formula>
    </cfRule>
    <cfRule type="containsText" dxfId="7501" priority="17551" operator="containsText" text="GP1">
      <formula>NOT(ISERROR(SEARCH("GP1",AD9)))</formula>
    </cfRule>
  </conditionalFormatting>
  <conditionalFormatting sqref="AD9">
    <cfRule type="containsText" dxfId="7500" priority="17548" operator="containsText" text="GP2">
      <formula>NOT(ISERROR(SEARCH("GP2",AD9)))</formula>
    </cfRule>
    <cfRule type="containsText" dxfId="7499" priority="17549" operator="containsText" text="GP1">
      <formula>NOT(ISERROR(SEARCH("GP1",AD9)))</formula>
    </cfRule>
  </conditionalFormatting>
  <conditionalFormatting sqref="AD9">
    <cfRule type="containsText" dxfId="7498" priority="17546" operator="containsText" text="GP2">
      <formula>NOT(ISERROR(SEARCH("GP2",AD9)))</formula>
    </cfRule>
    <cfRule type="containsText" dxfId="7497" priority="17547" operator="containsText" text="GP1">
      <formula>NOT(ISERROR(SEARCH("GP1",AD9)))</formula>
    </cfRule>
  </conditionalFormatting>
  <conditionalFormatting sqref="AD9">
    <cfRule type="containsText" dxfId="7496" priority="17544" operator="containsText" text="GP2">
      <formula>NOT(ISERROR(SEARCH("GP2",AD9)))</formula>
    </cfRule>
    <cfRule type="containsText" dxfId="7495" priority="17545" operator="containsText" text="GP1">
      <formula>NOT(ISERROR(SEARCH("GP1",AD9)))</formula>
    </cfRule>
  </conditionalFormatting>
  <conditionalFormatting sqref="AD9">
    <cfRule type="containsText" dxfId="7494" priority="17542" operator="containsText" text="GP2">
      <formula>NOT(ISERROR(SEARCH("GP2",AD9)))</formula>
    </cfRule>
    <cfRule type="containsText" dxfId="7493" priority="17543" operator="containsText" text="GP1">
      <formula>NOT(ISERROR(SEARCH("GP1",AD9)))</formula>
    </cfRule>
  </conditionalFormatting>
  <conditionalFormatting sqref="AD9">
    <cfRule type="containsText" dxfId="7492" priority="17540" operator="containsText" text="GP2">
      <formula>NOT(ISERROR(SEARCH("GP2",AD9)))</formula>
    </cfRule>
    <cfRule type="containsText" dxfId="7491" priority="17541" operator="containsText" text="GP1">
      <formula>NOT(ISERROR(SEARCH("GP1",AD9)))</formula>
    </cfRule>
  </conditionalFormatting>
  <conditionalFormatting sqref="AD9">
    <cfRule type="containsText" dxfId="7490" priority="17538" operator="containsText" text="GP2">
      <formula>NOT(ISERROR(SEARCH("GP2",AD9)))</formula>
    </cfRule>
    <cfRule type="containsText" dxfId="7489" priority="17539" operator="containsText" text="GP1">
      <formula>NOT(ISERROR(SEARCH("GP1",AD9)))</formula>
    </cfRule>
  </conditionalFormatting>
  <conditionalFormatting sqref="AD9">
    <cfRule type="containsText" dxfId="7488" priority="17536" operator="containsText" text="GP2">
      <formula>NOT(ISERROR(SEARCH("GP2",AD9)))</formula>
    </cfRule>
    <cfRule type="containsText" dxfId="7487" priority="17537" operator="containsText" text="GP1">
      <formula>NOT(ISERROR(SEARCH("GP1",AD9)))</formula>
    </cfRule>
  </conditionalFormatting>
  <conditionalFormatting sqref="AD9">
    <cfRule type="containsText" dxfId="7486" priority="17534" operator="containsText" text="GP2">
      <formula>NOT(ISERROR(SEARCH("GP2",AD9)))</formula>
    </cfRule>
    <cfRule type="containsText" dxfId="7485" priority="17535" operator="containsText" text="GP1">
      <formula>NOT(ISERROR(SEARCH("GP1",AD9)))</formula>
    </cfRule>
  </conditionalFormatting>
  <conditionalFormatting sqref="AD9">
    <cfRule type="containsText" dxfId="7484" priority="17532" operator="containsText" text="GP2">
      <formula>NOT(ISERROR(SEARCH("GP2",AD9)))</formula>
    </cfRule>
    <cfRule type="containsText" dxfId="7483" priority="17533" operator="containsText" text="GP1">
      <formula>NOT(ISERROR(SEARCH("GP1",AD9)))</formula>
    </cfRule>
  </conditionalFormatting>
  <conditionalFormatting sqref="AD9">
    <cfRule type="containsText" dxfId="7482" priority="17530" operator="containsText" text="GP2">
      <formula>NOT(ISERROR(SEARCH("GP2",AD9)))</formula>
    </cfRule>
    <cfRule type="containsText" dxfId="7481" priority="17531" operator="containsText" text="GP1">
      <formula>NOT(ISERROR(SEARCH("GP1",AD9)))</formula>
    </cfRule>
  </conditionalFormatting>
  <conditionalFormatting sqref="AD9">
    <cfRule type="containsText" dxfId="7480" priority="17528" operator="containsText" text="GP2">
      <formula>NOT(ISERROR(SEARCH("GP2",AD9)))</formula>
    </cfRule>
    <cfRule type="containsText" dxfId="7479" priority="17529" operator="containsText" text="GP1">
      <formula>NOT(ISERROR(SEARCH("GP1",AD9)))</formula>
    </cfRule>
  </conditionalFormatting>
  <conditionalFormatting sqref="AD9">
    <cfRule type="containsText" dxfId="7478" priority="17526" operator="containsText" text="GP2">
      <formula>NOT(ISERROR(SEARCH("GP2",AD9)))</formula>
    </cfRule>
    <cfRule type="containsText" dxfId="7477" priority="17527" operator="containsText" text="GP1">
      <formula>NOT(ISERROR(SEARCH("GP1",AD9)))</formula>
    </cfRule>
  </conditionalFormatting>
  <conditionalFormatting sqref="AD9">
    <cfRule type="containsText" dxfId="7476" priority="17524" operator="containsText" text="GP2">
      <formula>NOT(ISERROR(SEARCH("GP2",AD9)))</formula>
    </cfRule>
    <cfRule type="containsText" dxfId="7475" priority="17525" operator="containsText" text="GP1">
      <formula>NOT(ISERROR(SEARCH("GP1",AD9)))</formula>
    </cfRule>
  </conditionalFormatting>
  <conditionalFormatting sqref="AD9">
    <cfRule type="containsText" dxfId="7474" priority="17522" operator="containsText" text="GP2">
      <formula>NOT(ISERROR(SEARCH("GP2",AD9)))</formula>
    </cfRule>
    <cfRule type="containsText" dxfId="7473" priority="17523" operator="containsText" text="GP1">
      <formula>NOT(ISERROR(SEARCH("GP1",AD9)))</formula>
    </cfRule>
  </conditionalFormatting>
  <conditionalFormatting sqref="AD9">
    <cfRule type="containsText" dxfId="7472" priority="17520" operator="containsText" text="GP2">
      <formula>NOT(ISERROR(SEARCH("GP2",AD9)))</formula>
    </cfRule>
    <cfRule type="containsText" dxfId="7471" priority="17521" operator="containsText" text="GP1">
      <formula>NOT(ISERROR(SEARCH("GP1",AD9)))</formula>
    </cfRule>
  </conditionalFormatting>
  <conditionalFormatting sqref="AD9">
    <cfRule type="containsText" dxfId="7470" priority="17518" operator="containsText" text="GP2">
      <formula>NOT(ISERROR(SEARCH("GP2",AD9)))</formula>
    </cfRule>
    <cfRule type="containsText" dxfId="7469" priority="17519" operator="containsText" text="GP1">
      <formula>NOT(ISERROR(SEARCH("GP1",AD9)))</formula>
    </cfRule>
  </conditionalFormatting>
  <conditionalFormatting sqref="AD9">
    <cfRule type="containsText" dxfId="7468" priority="17516" operator="containsText" text="GP2">
      <formula>NOT(ISERROR(SEARCH("GP2",AD9)))</formula>
    </cfRule>
    <cfRule type="containsText" dxfId="7467" priority="17517" operator="containsText" text="GP1">
      <formula>NOT(ISERROR(SEARCH("GP1",AD9)))</formula>
    </cfRule>
  </conditionalFormatting>
  <conditionalFormatting sqref="AD9">
    <cfRule type="containsText" dxfId="7466" priority="17514" operator="containsText" text="GP2">
      <formula>NOT(ISERROR(SEARCH("GP2",AD9)))</formula>
    </cfRule>
    <cfRule type="containsText" dxfId="7465" priority="17515" operator="containsText" text="GP1">
      <formula>NOT(ISERROR(SEARCH("GP1",AD9)))</formula>
    </cfRule>
  </conditionalFormatting>
  <conditionalFormatting sqref="AD9">
    <cfRule type="containsText" dxfId="7464" priority="17512" operator="containsText" text="GP2">
      <formula>NOT(ISERROR(SEARCH("GP2",AD9)))</formula>
    </cfRule>
    <cfRule type="containsText" dxfId="7463" priority="17513" operator="containsText" text="GP1">
      <formula>NOT(ISERROR(SEARCH("GP1",AD9)))</formula>
    </cfRule>
  </conditionalFormatting>
  <conditionalFormatting sqref="AD9">
    <cfRule type="containsText" dxfId="7462" priority="17510" operator="containsText" text="GP2">
      <formula>NOT(ISERROR(SEARCH("GP2",AD9)))</formula>
    </cfRule>
    <cfRule type="containsText" dxfId="7461" priority="17511" operator="containsText" text="GP1">
      <formula>NOT(ISERROR(SEARCH("GP1",AD9)))</formula>
    </cfRule>
  </conditionalFormatting>
  <conditionalFormatting sqref="AD9">
    <cfRule type="containsText" dxfId="7460" priority="17508" operator="containsText" text="GP2">
      <formula>NOT(ISERROR(SEARCH("GP2",AD9)))</formula>
    </cfRule>
    <cfRule type="containsText" dxfId="7459" priority="17509" operator="containsText" text="GP1">
      <formula>NOT(ISERROR(SEARCH("GP1",AD9)))</formula>
    </cfRule>
  </conditionalFormatting>
  <conditionalFormatting sqref="AD9">
    <cfRule type="containsText" dxfId="7458" priority="17506" operator="containsText" text="GP2">
      <formula>NOT(ISERROR(SEARCH("GP2",AD9)))</formula>
    </cfRule>
    <cfRule type="containsText" dxfId="7457" priority="17507" operator="containsText" text="GP1">
      <formula>NOT(ISERROR(SEARCH("GP1",AD9)))</formula>
    </cfRule>
  </conditionalFormatting>
  <conditionalFormatting sqref="AD9">
    <cfRule type="containsText" dxfId="7456" priority="17504" operator="containsText" text="GP2">
      <formula>NOT(ISERROR(SEARCH("GP2",AD9)))</formula>
    </cfRule>
    <cfRule type="containsText" dxfId="7455" priority="17505" operator="containsText" text="GP1">
      <formula>NOT(ISERROR(SEARCH("GP1",AD9)))</formula>
    </cfRule>
  </conditionalFormatting>
  <conditionalFormatting sqref="AD9">
    <cfRule type="containsText" dxfId="7454" priority="17502" operator="containsText" text="GP2">
      <formula>NOT(ISERROR(SEARCH("GP2",AD9)))</formula>
    </cfRule>
    <cfRule type="containsText" dxfId="7453" priority="17503" operator="containsText" text="GP1">
      <formula>NOT(ISERROR(SEARCH("GP1",AD9)))</formula>
    </cfRule>
  </conditionalFormatting>
  <conditionalFormatting sqref="AD9">
    <cfRule type="containsText" dxfId="7452" priority="17500" operator="containsText" text="GP2">
      <formula>NOT(ISERROR(SEARCH("GP2",AD9)))</formula>
    </cfRule>
    <cfRule type="containsText" dxfId="7451" priority="17501" operator="containsText" text="GP1">
      <formula>NOT(ISERROR(SEARCH("GP1",AD9)))</formula>
    </cfRule>
  </conditionalFormatting>
  <conditionalFormatting sqref="AD9">
    <cfRule type="containsText" dxfId="7450" priority="17498" operator="containsText" text="GP2">
      <formula>NOT(ISERROR(SEARCH("GP2",AD9)))</formula>
    </cfRule>
    <cfRule type="containsText" dxfId="7449" priority="17499" operator="containsText" text="GP1">
      <formula>NOT(ISERROR(SEARCH("GP1",AD9)))</formula>
    </cfRule>
  </conditionalFormatting>
  <conditionalFormatting sqref="AD9">
    <cfRule type="containsText" dxfId="7448" priority="17496" operator="containsText" text="GP2">
      <formula>NOT(ISERROR(SEARCH("GP2",AD9)))</formula>
    </cfRule>
    <cfRule type="containsText" dxfId="7447" priority="17497" operator="containsText" text="GP1">
      <formula>NOT(ISERROR(SEARCH("GP1",AD9)))</formula>
    </cfRule>
  </conditionalFormatting>
  <conditionalFormatting sqref="AD9">
    <cfRule type="containsText" dxfId="7446" priority="17494" operator="containsText" text="GP2">
      <formula>NOT(ISERROR(SEARCH("GP2",AD9)))</formula>
    </cfRule>
    <cfRule type="containsText" dxfId="7445" priority="17495" operator="containsText" text="GP1">
      <formula>NOT(ISERROR(SEARCH("GP1",AD9)))</formula>
    </cfRule>
  </conditionalFormatting>
  <conditionalFormatting sqref="AD9">
    <cfRule type="containsText" dxfId="7444" priority="17492" operator="containsText" text="GP2">
      <formula>NOT(ISERROR(SEARCH("GP2",AD9)))</formula>
    </cfRule>
    <cfRule type="containsText" dxfId="7443" priority="17493" operator="containsText" text="GP1">
      <formula>NOT(ISERROR(SEARCH("GP1",AD9)))</formula>
    </cfRule>
  </conditionalFormatting>
  <conditionalFormatting sqref="AD9">
    <cfRule type="containsText" dxfId="7442" priority="17490" operator="containsText" text="GP2">
      <formula>NOT(ISERROR(SEARCH("GP2",AD9)))</formula>
    </cfRule>
    <cfRule type="containsText" dxfId="7441" priority="17491" operator="containsText" text="GP1">
      <formula>NOT(ISERROR(SEARCH("GP1",AD9)))</formula>
    </cfRule>
  </conditionalFormatting>
  <conditionalFormatting sqref="AD9">
    <cfRule type="containsText" dxfId="7440" priority="17488" operator="containsText" text="GP2">
      <formula>NOT(ISERROR(SEARCH("GP2",AD9)))</formula>
    </cfRule>
    <cfRule type="containsText" dxfId="7439" priority="17489" operator="containsText" text="GP1">
      <formula>NOT(ISERROR(SEARCH("GP1",AD9)))</formula>
    </cfRule>
  </conditionalFormatting>
  <conditionalFormatting sqref="AD9">
    <cfRule type="containsText" dxfId="7438" priority="17486" operator="containsText" text="GP2">
      <formula>NOT(ISERROR(SEARCH("GP2",AD9)))</formula>
    </cfRule>
    <cfRule type="containsText" dxfId="7437" priority="17487" operator="containsText" text="GP1">
      <formula>NOT(ISERROR(SEARCH("GP1",AD9)))</formula>
    </cfRule>
  </conditionalFormatting>
  <conditionalFormatting sqref="AD9">
    <cfRule type="containsText" dxfId="7436" priority="17484" operator="containsText" text="GP2">
      <formula>NOT(ISERROR(SEARCH("GP2",AD9)))</formula>
    </cfRule>
    <cfRule type="containsText" dxfId="7435" priority="17485" operator="containsText" text="GP1">
      <formula>NOT(ISERROR(SEARCH("GP1",AD9)))</formula>
    </cfRule>
  </conditionalFormatting>
  <conditionalFormatting sqref="AD9">
    <cfRule type="containsText" dxfId="7434" priority="17482" operator="containsText" text="GP2">
      <formula>NOT(ISERROR(SEARCH("GP2",AD9)))</formula>
    </cfRule>
    <cfRule type="containsText" dxfId="7433" priority="17483" operator="containsText" text="GP1">
      <formula>NOT(ISERROR(SEARCH("GP1",AD9)))</formula>
    </cfRule>
  </conditionalFormatting>
  <conditionalFormatting sqref="AD9">
    <cfRule type="containsText" dxfId="7432" priority="17480" operator="containsText" text="GP2">
      <formula>NOT(ISERROR(SEARCH("GP2",AD9)))</formula>
    </cfRule>
    <cfRule type="containsText" dxfId="7431" priority="17481" operator="containsText" text="GP1">
      <formula>NOT(ISERROR(SEARCH("GP1",AD9)))</formula>
    </cfRule>
  </conditionalFormatting>
  <conditionalFormatting sqref="AD9">
    <cfRule type="containsText" dxfId="7430" priority="17478" operator="containsText" text="GP2">
      <formula>NOT(ISERROR(SEARCH("GP2",AD9)))</formula>
    </cfRule>
    <cfRule type="containsText" dxfId="7429" priority="17479" operator="containsText" text="GP1">
      <formula>NOT(ISERROR(SEARCH("GP1",AD9)))</formula>
    </cfRule>
  </conditionalFormatting>
  <conditionalFormatting sqref="AD9">
    <cfRule type="containsText" dxfId="7428" priority="17476" operator="containsText" text="GP2">
      <formula>NOT(ISERROR(SEARCH("GP2",AD9)))</formula>
    </cfRule>
    <cfRule type="containsText" dxfId="7427" priority="17477" operator="containsText" text="GP1">
      <formula>NOT(ISERROR(SEARCH("GP1",AD9)))</formula>
    </cfRule>
  </conditionalFormatting>
  <conditionalFormatting sqref="AD9">
    <cfRule type="containsText" dxfId="7426" priority="17474" operator="containsText" text="GP2">
      <formula>NOT(ISERROR(SEARCH("GP2",AD9)))</formula>
    </cfRule>
    <cfRule type="containsText" dxfId="7425" priority="17475" operator="containsText" text="GP1">
      <formula>NOT(ISERROR(SEARCH("GP1",AD9)))</formula>
    </cfRule>
  </conditionalFormatting>
  <conditionalFormatting sqref="AD9">
    <cfRule type="containsText" dxfId="7424" priority="17472" operator="containsText" text="GP2">
      <formula>NOT(ISERROR(SEARCH("GP2",AD9)))</formula>
    </cfRule>
    <cfRule type="containsText" dxfId="7423" priority="17473" operator="containsText" text="GP1">
      <formula>NOT(ISERROR(SEARCH("GP1",AD9)))</formula>
    </cfRule>
  </conditionalFormatting>
  <conditionalFormatting sqref="AD9">
    <cfRule type="containsText" dxfId="7422" priority="17470" operator="containsText" text="GP2">
      <formula>NOT(ISERROR(SEARCH("GP2",AD9)))</formula>
    </cfRule>
    <cfRule type="containsText" dxfId="7421" priority="17471" operator="containsText" text="GP1">
      <formula>NOT(ISERROR(SEARCH("GP1",AD9)))</formula>
    </cfRule>
  </conditionalFormatting>
  <conditionalFormatting sqref="AD9">
    <cfRule type="containsText" dxfId="7420" priority="17468" operator="containsText" text="GP2">
      <formula>NOT(ISERROR(SEARCH("GP2",AD9)))</formula>
    </cfRule>
    <cfRule type="containsText" dxfId="7419" priority="17469" operator="containsText" text="GP1">
      <formula>NOT(ISERROR(SEARCH("GP1",AD9)))</formula>
    </cfRule>
  </conditionalFormatting>
  <conditionalFormatting sqref="AD9">
    <cfRule type="containsText" dxfId="7418" priority="17466" operator="containsText" text="GP2">
      <formula>NOT(ISERROR(SEARCH("GP2",AD9)))</formula>
    </cfRule>
    <cfRule type="containsText" dxfId="7417" priority="17467" operator="containsText" text="GP1">
      <formula>NOT(ISERROR(SEARCH("GP1",AD9)))</formula>
    </cfRule>
  </conditionalFormatting>
  <conditionalFormatting sqref="AD9">
    <cfRule type="containsText" dxfId="7416" priority="17464" operator="containsText" text="GP2">
      <formula>NOT(ISERROR(SEARCH("GP2",AD9)))</formula>
    </cfRule>
    <cfRule type="containsText" dxfId="7415" priority="17465" operator="containsText" text="GP1">
      <formula>NOT(ISERROR(SEARCH("GP1",AD9)))</formula>
    </cfRule>
  </conditionalFormatting>
  <conditionalFormatting sqref="AD9">
    <cfRule type="containsText" dxfId="7414" priority="17462" operator="containsText" text="GP2">
      <formula>NOT(ISERROR(SEARCH("GP2",AD9)))</formula>
    </cfRule>
    <cfRule type="containsText" dxfId="7413" priority="17463" operator="containsText" text="GP1">
      <formula>NOT(ISERROR(SEARCH("GP1",AD9)))</formula>
    </cfRule>
  </conditionalFormatting>
  <conditionalFormatting sqref="AD9">
    <cfRule type="containsText" dxfId="7412" priority="17460" operator="containsText" text="GP2">
      <formula>NOT(ISERROR(SEARCH("GP2",AD9)))</formula>
    </cfRule>
    <cfRule type="containsText" dxfId="7411" priority="17461" operator="containsText" text="GP1">
      <formula>NOT(ISERROR(SEARCH("GP1",AD9)))</formula>
    </cfRule>
  </conditionalFormatting>
  <conditionalFormatting sqref="AD9">
    <cfRule type="containsText" dxfId="7410" priority="17458" operator="containsText" text="GP2">
      <formula>NOT(ISERROR(SEARCH("GP2",AD9)))</formula>
    </cfRule>
    <cfRule type="containsText" dxfId="7409" priority="17459" operator="containsText" text="GP1">
      <formula>NOT(ISERROR(SEARCH("GP1",AD9)))</formula>
    </cfRule>
  </conditionalFormatting>
  <conditionalFormatting sqref="AD9">
    <cfRule type="containsText" dxfId="7408" priority="17456" operator="containsText" text="GP2">
      <formula>NOT(ISERROR(SEARCH("GP2",AD9)))</formula>
    </cfRule>
    <cfRule type="containsText" dxfId="7407" priority="17457" operator="containsText" text="GP1">
      <formula>NOT(ISERROR(SEARCH("GP1",AD9)))</formula>
    </cfRule>
  </conditionalFormatting>
  <conditionalFormatting sqref="AD9">
    <cfRule type="containsText" dxfId="7406" priority="17454" operator="containsText" text="GP2">
      <formula>NOT(ISERROR(SEARCH("GP2",AD9)))</formula>
    </cfRule>
    <cfRule type="containsText" dxfId="7405" priority="17455" operator="containsText" text="GP1">
      <formula>NOT(ISERROR(SEARCH("GP1",AD9)))</formula>
    </cfRule>
  </conditionalFormatting>
  <conditionalFormatting sqref="AD9">
    <cfRule type="containsText" dxfId="7404" priority="17452" operator="containsText" text="GP2">
      <formula>NOT(ISERROR(SEARCH("GP2",AD9)))</formula>
    </cfRule>
    <cfRule type="containsText" dxfId="7403" priority="17453" operator="containsText" text="GP1">
      <formula>NOT(ISERROR(SEARCH("GP1",AD9)))</formula>
    </cfRule>
  </conditionalFormatting>
  <conditionalFormatting sqref="AD9">
    <cfRule type="containsText" dxfId="7402" priority="17450" operator="containsText" text="GP2">
      <formula>NOT(ISERROR(SEARCH("GP2",AD9)))</formula>
    </cfRule>
    <cfRule type="containsText" dxfId="7401" priority="17451" operator="containsText" text="GP1">
      <formula>NOT(ISERROR(SEARCH("GP1",AD9)))</formula>
    </cfRule>
  </conditionalFormatting>
  <conditionalFormatting sqref="AD9">
    <cfRule type="containsText" dxfId="7400" priority="17448" operator="containsText" text="GP2">
      <formula>NOT(ISERROR(SEARCH("GP2",AD9)))</formula>
    </cfRule>
    <cfRule type="containsText" dxfId="7399" priority="17449" operator="containsText" text="GP1">
      <formula>NOT(ISERROR(SEARCH("GP1",AD9)))</formula>
    </cfRule>
  </conditionalFormatting>
  <conditionalFormatting sqref="AD9">
    <cfRule type="containsText" dxfId="7398" priority="17446" operator="containsText" text="GP2">
      <formula>NOT(ISERROR(SEARCH("GP2",AD9)))</formula>
    </cfRule>
    <cfRule type="containsText" dxfId="7397" priority="17447" operator="containsText" text="GP1">
      <formula>NOT(ISERROR(SEARCH("GP1",AD9)))</formula>
    </cfRule>
  </conditionalFormatting>
  <conditionalFormatting sqref="AD9">
    <cfRule type="containsText" dxfId="7396" priority="17444" operator="containsText" text="GP2">
      <formula>NOT(ISERROR(SEARCH("GP2",AD9)))</formula>
    </cfRule>
    <cfRule type="containsText" dxfId="7395" priority="17445" operator="containsText" text="GP1">
      <formula>NOT(ISERROR(SEARCH("GP1",AD9)))</formula>
    </cfRule>
  </conditionalFormatting>
  <conditionalFormatting sqref="AD9">
    <cfRule type="containsText" dxfId="7394" priority="17442" operator="containsText" text="GP2">
      <formula>NOT(ISERROR(SEARCH("GP2",AD9)))</formula>
    </cfRule>
    <cfRule type="containsText" dxfId="7393" priority="17443" operator="containsText" text="GP1">
      <formula>NOT(ISERROR(SEARCH("GP1",AD9)))</formula>
    </cfRule>
  </conditionalFormatting>
  <conditionalFormatting sqref="AD9">
    <cfRule type="containsText" dxfId="7392" priority="17440" operator="containsText" text="GP2">
      <formula>NOT(ISERROR(SEARCH("GP2",AD9)))</formula>
    </cfRule>
    <cfRule type="containsText" dxfId="7391" priority="17441" operator="containsText" text="GP1">
      <formula>NOT(ISERROR(SEARCH("GP1",AD9)))</formula>
    </cfRule>
  </conditionalFormatting>
  <conditionalFormatting sqref="AD9">
    <cfRule type="containsText" dxfId="7390" priority="17438" operator="containsText" text="GP2">
      <formula>NOT(ISERROR(SEARCH("GP2",AD9)))</formula>
    </cfRule>
    <cfRule type="containsText" dxfId="7389" priority="17439" operator="containsText" text="GP1">
      <formula>NOT(ISERROR(SEARCH("GP1",AD9)))</formula>
    </cfRule>
  </conditionalFormatting>
  <conditionalFormatting sqref="AD9">
    <cfRule type="containsText" dxfId="7388" priority="17436" operator="containsText" text="GP2">
      <formula>NOT(ISERROR(SEARCH("GP2",AD9)))</formula>
    </cfRule>
    <cfRule type="containsText" dxfId="7387" priority="17437" operator="containsText" text="GP1">
      <formula>NOT(ISERROR(SEARCH("GP1",AD9)))</formula>
    </cfRule>
  </conditionalFormatting>
  <conditionalFormatting sqref="AD9">
    <cfRule type="containsText" dxfId="7386" priority="17434" operator="containsText" text="GP2">
      <formula>NOT(ISERROR(SEARCH("GP2",AD9)))</formula>
    </cfRule>
    <cfRule type="containsText" dxfId="7385" priority="17435" operator="containsText" text="GP1">
      <formula>NOT(ISERROR(SEARCH("GP1",AD9)))</formula>
    </cfRule>
  </conditionalFormatting>
  <conditionalFormatting sqref="AD9">
    <cfRule type="containsText" dxfId="7384" priority="17432" operator="containsText" text="GP2">
      <formula>NOT(ISERROR(SEARCH("GP2",AD9)))</formula>
    </cfRule>
    <cfRule type="containsText" dxfId="7383" priority="17433" operator="containsText" text="GP1">
      <formula>NOT(ISERROR(SEARCH("GP1",AD9)))</formula>
    </cfRule>
  </conditionalFormatting>
  <conditionalFormatting sqref="AD9">
    <cfRule type="containsText" dxfId="7382" priority="17430" operator="containsText" text="GP2">
      <formula>NOT(ISERROR(SEARCH("GP2",AD9)))</formula>
    </cfRule>
    <cfRule type="containsText" dxfId="7381" priority="17431" operator="containsText" text="GP1">
      <formula>NOT(ISERROR(SEARCH("GP1",AD9)))</formula>
    </cfRule>
  </conditionalFormatting>
  <conditionalFormatting sqref="AD9">
    <cfRule type="containsText" dxfId="7380" priority="17428" operator="containsText" text="GP2">
      <formula>NOT(ISERROR(SEARCH("GP2",AD9)))</formula>
    </cfRule>
    <cfRule type="containsText" dxfId="7379" priority="17429" operator="containsText" text="GP1">
      <formula>NOT(ISERROR(SEARCH("GP1",AD9)))</formula>
    </cfRule>
  </conditionalFormatting>
  <conditionalFormatting sqref="AD9">
    <cfRule type="containsText" dxfId="7378" priority="17426" operator="containsText" text="GP2">
      <formula>NOT(ISERROR(SEARCH("GP2",AD9)))</formula>
    </cfRule>
    <cfRule type="containsText" dxfId="7377" priority="17427" operator="containsText" text="GP1">
      <formula>NOT(ISERROR(SEARCH("GP1",AD9)))</formula>
    </cfRule>
  </conditionalFormatting>
  <conditionalFormatting sqref="AD9">
    <cfRule type="containsText" dxfId="7376" priority="17424" operator="containsText" text="GP2">
      <formula>NOT(ISERROR(SEARCH("GP2",AD9)))</formula>
    </cfRule>
    <cfRule type="containsText" dxfId="7375" priority="17425" operator="containsText" text="GP1">
      <formula>NOT(ISERROR(SEARCH("GP1",AD9)))</formula>
    </cfRule>
  </conditionalFormatting>
  <conditionalFormatting sqref="AD9">
    <cfRule type="containsText" dxfId="7374" priority="17422" operator="containsText" text="GP2">
      <formula>NOT(ISERROR(SEARCH("GP2",AD9)))</formula>
    </cfRule>
    <cfRule type="containsText" dxfId="7373" priority="17423" operator="containsText" text="GP1">
      <formula>NOT(ISERROR(SEARCH("GP1",AD9)))</formula>
    </cfRule>
  </conditionalFormatting>
  <conditionalFormatting sqref="AD9">
    <cfRule type="containsText" dxfId="7372" priority="17420" operator="containsText" text="GP2">
      <formula>NOT(ISERROR(SEARCH("GP2",AD9)))</formula>
    </cfRule>
    <cfRule type="containsText" dxfId="7371" priority="17421" operator="containsText" text="GP1">
      <formula>NOT(ISERROR(SEARCH("GP1",AD9)))</formula>
    </cfRule>
  </conditionalFormatting>
  <conditionalFormatting sqref="AD9">
    <cfRule type="containsText" dxfId="7370" priority="17418" operator="containsText" text="GP2">
      <formula>NOT(ISERROR(SEARCH("GP2",AD9)))</formula>
    </cfRule>
    <cfRule type="containsText" dxfId="7369" priority="17419" operator="containsText" text="GP1">
      <formula>NOT(ISERROR(SEARCH("GP1",AD9)))</formula>
    </cfRule>
  </conditionalFormatting>
  <conditionalFormatting sqref="AD9">
    <cfRule type="containsText" dxfId="7368" priority="17416" operator="containsText" text="GP2">
      <formula>NOT(ISERROR(SEARCH("GP2",AD9)))</formula>
    </cfRule>
    <cfRule type="containsText" dxfId="7367" priority="17417" operator="containsText" text="GP1">
      <formula>NOT(ISERROR(SEARCH("GP1",AD9)))</formula>
    </cfRule>
  </conditionalFormatting>
  <conditionalFormatting sqref="AD9">
    <cfRule type="containsText" dxfId="7366" priority="17414" operator="containsText" text="GP2">
      <formula>NOT(ISERROR(SEARCH("GP2",AD9)))</formula>
    </cfRule>
    <cfRule type="containsText" dxfId="7365" priority="17415" operator="containsText" text="GP1">
      <formula>NOT(ISERROR(SEARCH("GP1",AD9)))</formula>
    </cfRule>
  </conditionalFormatting>
  <conditionalFormatting sqref="AD9">
    <cfRule type="containsText" dxfId="7364" priority="17412" operator="containsText" text="GP2">
      <formula>NOT(ISERROR(SEARCH("GP2",AD9)))</formula>
    </cfRule>
    <cfRule type="containsText" dxfId="7363" priority="17413" operator="containsText" text="GP1">
      <formula>NOT(ISERROR(SEARCH("GP1",AD9)))</formula>
    </cfRule>
  </conditionalFormatting>
  <conditionalFormatting sqref="AD9">
    <cfRule type="containsText" dxfId="7362" priority="17410" operator="containsText" text="GP2">
      <formula>NOT(ISERROR(SEARCH("GP2",AD9)))</formula>
    </cfRule>
    <cfRule type="containsText" dxfId="7361" priority="17411" operator="containsText" text="GP1">
      <formula>NOT(ISERROR(SEARCH("GP1",AD9)))</formula>
    </cfRule>
  </conditionalFormatting>
  <conditionalFormatting sqref="AD9">
    <cfRule type="containsText" dxfId="7360" priority="17408" operator="containsText" text="GP2">
      <formula>NOT(ISERROR(SEARCH("GP2",AD9)))</formula>
    </cfRule>
    <cfRule type="containsText" dxfId="7359" priority="17409" operator="containsText" text="GP1">
      <formula>NOT(ISERROR(SEARCH("GP1",AD9)))</formula>
    </cfRule>
  </conditionalFormatting>
  <conditionalFormatting sqref="AD9">
    <cfRule type="containsText" dxfId="7358" priority="17406" operator="containsText" text="GP2">
      <formula>NOT(ISERROR(SEARCH("GP2",AD9)))</formula>
    </cfRule>
    <cfRule type="containsText" dxfId="7357" priority="17407" operator="containsText" text="GP1">
      <formula>NOT(ISERROR(SEARCH("GP1",AD9)))</formula>
    </cfRule>
  </conditionalFormatting>
  <conditionalFormatting sqref="AD9">
    <cfRule type="containsText" dxfId="7356" priority="17404" operator="containsText" text="GP2">
      <formula>NOT(ISERROR(SEARCH("GP2",AD9)))</formula>
    </cfRule>
    <cfRule type="containsText" dxfId="7355" priority="17405" operator="containsText" text="GP1">
      <formula>NOT(ISERROR(SEARCH("GP1",AD9)))</formula>
    </cfRule>
  </conditionalFormatting>
  <conditionalFormatting sqref="AD9">
    <cfRule type="containsText" dxfId="7354" priority="17402" operator="containsText" text="GP2">
      <formula>NOT(ISERROR(SEARCH("GP2",AD9)))</formula>
    </cfRule>
    <cfRule type="containsText" dxfId="7353" priority="17403" operator="containsText" text="GP1">
      <formula>NOT(ISERROR(SEARCH("GP1",AD9)))</formula>
    </cfRule>
  </conditionalFormatting>
  <conditionalFormatting sqref="AD9">
    <cfRule type="containsText" dxfId="7352" priority="17400" operator="containsText" text="GP2">
      <formula>NOT(ISERROR(SEARCH("GP2",AD9)))</formula>
    </cfRule>
    <cfRule type="containsText" dxfId="7351" priority="17401" operator="containsText" text="GP1">
      <formula>NOT(ISERROR(SEARCH("GP1",AD9)))</formula>
    </cfRule>
  </conditionalFormatting>
  <conditionalFormatting sqref="AD9">
    <cfRule type="containsText" dxfId="7350" priority="17398" operator="containsText" text="GP2">
      <formula>NOT(ISERROR(SEARCH("GP2",AD9)))</formula>
    </cfRule>
    <cfRule type="containsText" dxfId="7349" priority="17399" operator="containsText" text="GP1">
      <formula>NOT(ISERROR(SEARCH("GP1",AD9)))</formula>
    </cfRule>
  </conditionalFormatting>
  <conditionalFormatting sqref="AD7">
    <cfRule type="containsText" dxfId="7348" priority="17396" operator="containsText" text="GP2">
      <formula>NOT(ISERROR(SEARCH("GP2",AD7)))</formula>
    </cfRule>
    <cfRule type="containsText" dxfId="7347" priority="17397" operator="containsText" text="GP1">
      <formula>NOT(ISERROR(SEARCH("GP1",AD7)))</formula>
    </cfRule>
  </conditionalFormatting>
  <conditionalFormatting sqref="I13">
    <cfRule type="containsBlanks" dxfId="7346" priority="17392">
      <formula>LEN(TRIM(I13))=0</formula>
    </cfRule>
  </conditionalFormatting>
  <conditionalFormatting sqref="I13">
    <cfRule type="containsBlanks" dxfId="7345" priority="17307">
      <formula>LEN(TRIM(I13))=0</formula>
    </cfRule>
  </conditionalFormatting>
  <conditionalFormatting sqref="H8">
    <cfRule type="containsBlanks" dxfId="7344" priority="16794">
      <formula>LEN(TRIM(H8))=0</formula>
    </cfRule>
  </conditionalFormatting>
  <conditionalFormatting sqref="N8">
    <cfRule type="containsBlanks" dxfId="7343" priority="16791">
      <formula>LEN(TRIM(N8))=0</formula>
    </cfRule>
  </conditionalFormatting>
  <conditionalFormatting sqref="N8">
    <cfRule type="containsBlanks" dxfId="7342" priority="16790">
      <formula>LEN(TRIM(N8))=0</formula>
    </cfRule>
  </conditionalFormatting>
  <conditionalFormatting sqref="I8">
    <cfRule type="containsBlanks" dxfId="7341" priority="16789">
      <formula>LEN(TRIM(I8))=0</formula>
    </cfRule>
  </conditionalFormatting>
  <conditionalFormatting sqref="I8">
    <cfRule type="containsBlanks" dxfId="7340" priority="16788">
      <formula>LEN(TRIM(I8))=0</formula>
    </cfRule>
  </conditionalFormatting>
  <conditionalFormatting sqref="I8">
    <cfRule type="containsBlanks" dxfId="7339" priority="16787">
      <formula>LEN(TRIM(I8))=0</formula>
    </cfRule>
  </conditionalFormatting>
  <conditionalFormatting sqref="I8">
    <cfRule type="containsBlanks" dxfId="7338" priority="16786">
      <formula>LEN(TRIM(I8))=0</formula>
    </cfRule>
  </conditionalFormatting>
  <conditionalFormatting sqref="H8">
    <cfRule type="containsBlanks" dxfId="7337" priority="16774">
      <formula>LEN(TRIM(H8))=0</formula>
    </cfRule>
  </conditionalFormatting>
  <conditionalFormatting sqref="N8">
    <cfRule type="containsBlanks" dxfId="7336" priority="16771">
      <formula>LEN(TRIM(N8))=0</formula>
    </cfRule>
  </conditionalFormatting>
  <conditionalFormatting sqref="N8">
    <cfRule type="containsBlanks" dxfId="7335" priority="16770">
      <formula>LEN(TRIM(N8))=0</formula>
    </cfRule>
  </conditionalFormatting>
  <conditionalFormatting sqref="I8">
    <cfRule type="containsBlanks" dxfId="7334" priority="16769">
      <formula>LEN(TRIM(I8))=0</formula>
    </cfRule>
  </conditionalFormatting>
  <conditionalFormatting sqref="I8">
    <cfRule type="containsBlanks" dxfId="7333" priority="16768">
      <formula>LEN(TRIM(I8))=0</formula>
    </cfRule>
  </conditionalFormatting>
  <conditionalFormatting sqref="I8">
    <cfRule type="containsBlanks" dxfId="7332" priority="16767">
      <formula>LEN(TRIM(I8))=0</formula>
    </cfRule>
  </conditionalFormatting>
  <conditionalFormatting sqref="I8">
    <cfRule type="containsBlanks" dxfId="7331" priority="16766">
      <formula>LEN(TRIM(I8))=0</formula>
    </cfRule>
  </conditionalFormatting>
  <conditionalFormatting sqref="H8">
    <cfRule type="containsBlanks" dxfId="7330" priority="16654">
      <formula>LEN(TRIM(H8))=0</formula>
    </cfRule>
  </conditionalFormatting>
  <conditionalFormatting sqref="N8">
    <cfRule type="containsBlanks" dxfId="7329" priority="16651">
      <formula>LEN(TRIM(N8))=0</formula>
    </cfRule>
  </conditionalFormatting>
  <conditionalFormatting sqref="N8">
    <cfRule type="containsBlanks" dxfId="7328" priority="16650">
      <formula>LEN(TRIM(N8))=0</formula>
    </cfRule>
  </conditionalFormatting>
  <conditionalFormatting sqref="I8">
    <cfRule type="containsBlanks" dxfId="7327" priority="16649">
      <formula>LEN(TRIM(I8))=0</formula>
    </cfRule>
  </conditionalFormatting>
  <conditionalFormatting sqref="I8">
    <cfRule type="containsBlanks" dxfId="7326" priority="16648">
      <formula>LEN(TRIM(I8))=0</formula>
    </cfRule>
  </conditionalFormatting>
  <conditionalFormatting sqref="I8">
    <cfRule type="containsBlanks" dxfId="7325" priority="16647">
      <formula>LEN(TRIM(I8))=0</formula>
    </cfRule>
  </conditionalFormatting>
  <conditionalFormatting sqref="I8">
    <cfRule type="containsBlanks" dxfId="7324" priority="16646">
      <formula>LEN(TRIM(I8))=0</formula>
    </cfRule>
  </conditionalFormatting>
  <conditionalFormatting sqref="H8">
    <cfRule type="containsBlanks" dxfId="7323" priority="16641">
      <formula>LEN(TRIM(H8))=0</formula>
    </cfRule>
  </conditionalFormatting>
  <conditionalFormatting sqref="I8">
    <cfRule type="containsBlanks" dxfId="7322" priority="16640">
      <formula>LEN(TRIM(I8))=0</formula>
    </cfRule>
  </conditionalFormatting>
  <conditionalFormatting sqref="I8">
    <cfRule type="containsBlanks" dxfId="7321" priority="16639">
      <formula>LEN(TRIM(I8))=0</formula>
    </cfRule>
  </conditionalFormatting>
  <conditionalFormatting sqref="I8">
    <cfRule type="containsBlanks" dxfId="7320" priority="16638">
      <formula>LEN(TRIM(I8))=0</formula>
    </cfRule>
  </conditionalFormatting>
  <conditionalFormatting sqref="I8">
    <cfRule type="containsBlanks" dxfId="7319" priority="16637">
      <formula>LEN(TRIM(I8))=0</formula>
    </cfRule>
  </conditionalFormatting>
  <conditionalFormatting sqref="N8">
    <cfRule type="containsBlanks" dxfId="7318" priority="16632">
      <formula>LEN(TRIM(N8))=0</formula>
    </cfRule>
  </conditionalFormatting>
  <conditionalFormatting sqref="N8">
    <cfRule type="containsBlanks" dxfId="7317" priority="16631">
      <formula>LEN(TRIM(N8))=0</formula>
    </cfRule>
  </conditionalFormatting>
  <conditionalFormatting sqref="H8">
    <cfRule type="containsBlanks" dxfId="7316" priority="16628">
      <formula>LEN(TRIM(H8))=0</formula>
    </cfRule>
  </conditionalFormatting>
  <conditionalFormatting sqref="I8">
    <cfRule type="containsBlanks" dxfId="7315" priority="16627">
      <formula>LEN(TRIM(I8))=0</formula>
    </cfRule>
  </conditionalFormatting>
  <conditionalFormatting sqref="I8">
    <cfRule type="containsBlanks" dxfId="7314" priority="16626">
      <formula>LEN(TRIM(I8))=0</formula>
    </cfRule>
  </conditionalFormatting>
  <conditionalFormatting sqref="I8">
    <cfRule type="containsBlanks" dxfId="7313" priority="16625">
      <formula>LEN(TRIM(I8))=0</formula>
    </cfRule>
  </conditionalFormatting>
  <conditionalFormatting sqref="I8">
    <cfRule type="containsBlanks" dxfId="7312" priority="16624">
      <formula>LEN(TRIM(I8))=0</formula>
    </cfRule>
  </conditionalFormatting>
  <conditionalFormatting sqref="N8">
    <cfRule type="containsBlanks" dxfId="7311" priority="16619">
      <formula>LEN(TRIM(N8))=0</formula>
    </cfRule>
  </conditionalFormatting>
  <conditionalFormatting sqref="N8">
    <cfRule type="containsBlanks" dxfId="7310" priority="16618">
      <formula>LEN(TRIM(N8))=0</formula>
    </cfRule>
  </conditionalFormatting>
  <conditionalFormatting sqref="H8">
    <cfRule type="containsBlanks" dxfId="7309" priority="16617">
      <formula>LEN(TRIM(H8))=0</formula>
    </cfRule>
  </conditionalFormatting>
  <conditionalFormatting sqref="I8">
    <cfRule type="containsBlanks" dxfId="7308" priority="16616">
      <formula>LEN(TRIM(I8))=0</formula>
    </cfRule>
  </conditionalFormatting>
  <conditionalFormatting sqref="I8">
    <cfRule type="containsBlanks" dxfId="7307" priority="16615">
      <formula>LEN(TRIM(I8))=0</formula>
    </cfRule>
  </conditionalFormatting>
  <conditionalFormatting sqref="I8">
    <cfRule type="containsBlanks" dxfId="7306" priority="16614">
      <formula>LEN(TRIM(I8))=0</formula>
    </cfRule>
  </conditionalFormatting>
  <conditionalFormatting sqref="I8">
    <cfRule type="containsBlanks" dxfId="7305" priority="16613">
      <formula>LEN(TRIM(I8))=0</formula>
    </cfRule>
  </conditionalFormatting>
  <conditionalFormatting sqref="N8">
    <cfRule type="containsBlanks" dxfId="7304" priority="16612">
      <formula>LEN(TRIM(N8))=0</formula>
    </cfRule>
  </conditionalFormatting>
  <conditionalFormatting sqref="N8">
    <cfRule type="containsBlanks" dxfId="7303" priority="16611">
      <formula>LEN(TRIM(N8))=0</formula>
    </cfRule>
  </conditionalFormatting>
  <conditionalFormatting sqref="H8">
    <cfRule type="containsBlanks" dxfId="7302" priority="16518">
      <formula>LEN(TRIM(H8))=0</formula>
    </cfRule>
  </conditionalFormatting>
  <conditionalFormatting sqref="N8">
    <cfRule type="containsBlanks" dxfId="7301" priority="16515">
      <formula>LEN(TRIM(N8))=0</formula>
    </cfRule>
  </conditionalFormatting>
  <conditionalFormatting sqref="N8">
    <cfRule type="containsBlanks" dxfId="7300" priority="16514">
      <formula>LEN(TRIM(N8))=0</formula>
    </cfRule>
  </conditionalFormatting>
  <conditionalFormatting sqref="I8">
    <cfRule type="containsBlanks" dxfId="7299" priority="16513">
      <formula>LEN(TRIM(I8))=0</formula>
    </cfRule>
  </conditionalFormatting>
  <conditionalFormatting sqref="I8">
    <cfRule type="containsBlanks" dxfId="7298" priority="16512">
      <formula>LEN(TRIM(I8))=0</formula>
    </cfRule>
  </conditionalFormatting>
  <conditionalFormatting sqref="I8">
    <cfRule type="containsBlanks" dxfId="7297" priority="16511">
      <formula>LEN(TRIM(I8))=0</formula>
    </cfRule>
  </conditionalFormatting>
  <conditionalFormatting sqref="I8">
    <cfRule type="containsBlanks" dxfId="7296" priority="16510">
      <formula>LEN(TRIM(I8))=0</formula>
    </cfRule>
  </conditionalFormatting>
  <conditionalFormatting sqref="H8">
    <cfRule type="containsBlanks" dxfId="7295" priority="16505">
      <formula>LEN(TRIM(H8))=0</formula>
    </cfRule>
  </conditionalFormatting>
  <conditionalFormatting sqref="I8">
    <cfRule type="containsBlanks" dxfId="7294" priority="16504">
      <formula>LEN(TRIM(I8))=0</formula>
    </cfRule>
  </conditionalFormatting>
  <conditionalFormatting sqref="I8">
    <cfRule type="containsBlanks" dxfId="7293" priority="16503">
      <formula>LEN(TRIM(I8))=0</formula>
    </cfRule>
  </conditionalFormatting>
  <conditionalFormatting sqref="I8">
    <cfRule type="containsBlanks" dxfId="7292" priority="16502">
      <formula>LEN(TRIM(I8))=0</formula>
    </cfRule>
  </conditionalFormatting>
  <conditionalFormatting sqref="I8">
    <cfRule type="containsBlanks" dxfId="7291" priority="16501">
      <formula>LEN(TRIM(I8))=0</formula>
    </cfRule>
  </conditionalFormatting>
  <conditionalFormatting sqref="N8">
    <cfRule type="containsBlanks" dxfId="7290" priority="16496">
      <formula>LEN(TRIM(N8))=0</formula>
    </cfRule>
  </conditionalFormatting>
  <conditionalFormatting sqref="N8">
    <cfRule type="containsBlanks" dxfId="7289" priority="16495">
      <formula>LEN(TRIM(N8))=0</formula>
    </cfRule>
  </conditionalFormatting>
  <conditionalFormatting sqref="H8">
    <cfRule type="containsBlanks" dxfId="7288" priority="16492">
      <formula>LEN(TRIM(H8))=0</formula>
    </cfRule>
  </conditionalFormatting>
  <conditionalFormatting sqref="I8">
    <cfRule type="containsBlanks" dxfId="7287" priority="16491">
      <formula>LEN(TRIM(I8))=0</formula>
    </cfRule>
  </conditionalFormatting>
  <conditionalFormatting sqref="I8">
    <cfRule type="containsBlanks" dxfId="7286" priority="16490">
      <formula>LEN(TRIM(I8))=0</formula>
    </cfRule>
  </conditionalFormatting>
  <conditionalFormatting sqref="I8">
    <cfRule type="containsBlanks" dxfId="7285" priority="16489">
      <formula>LEN(TRIM(I8))=0</formula>
    </cfRule>
  </conditionalFormatting>
  <conditionalFormatting sqref="I8">
    <cfRule type="containsBlanks" dxfId="7284" priority="16488">
      <formula>LEN(TRIM(I8))=0</formula>
    </cfRule>
  </conditionalFormatting>
  <conditionalFormatting sqref="N8">
    <cfRule type="containsBlanks" dxfId="7283" priority="16483">
      <formula>LEN(TRIM(N8))=0</formula>
    </cfRule>
  </conditionalFormatting>
  <conditionalFormatting sqref="N8">
    <cfRule type="containsBlanks" dxfId="7282" priority="16482">
      <formula>LEN(TRIM(N8))=0</formula>
    </cfRule>
  </conditionalFormatting>
  <conditionalFormatting sqref="H8">
    <cfRule type="containsBlanks" dxfId="7281" priority="16481">
      <formula>LEN(TRIM(H8))=0</formula>
    </cfRule>
  </conditionalFormatting>
  <conditionalFormatting sqref="I8">
    <cfRule type="containsBlanks" dxfId="7280" priority="16480">
      <formula>LEN(TRIM(I8))=0</formula>
    </cfRule>
  </conditionalFormatting>
  <conditionalFormatting sqref="I8">
    <cfRule type="containsBlanks" dxfId="7279" priority="16479">
      <formula>LEN(TRIM(I8))=0</formula>
    </cfRule>
  </conditionalFormatting>
  <conditionalFormatting sqref="I8">
    <cfRule type="containsBlanks" dxfId="7278" priority="16478">
      <formula>LEN(TRIM(I8))=0</formula>
    </cfRule>
  </conditionalFormatting>
  <conditionalFormatting sqref="I8">
    <cfRule type="containsBlanks" dxfId="7277" priority="16477">
      <formula>LEN(TRIM(I8))=0</formula>
    </cfRule>
  </conditionalFormatting>
  <conditionalFormatting sqref="N8">
    <cfRule type="containsBlanks" dxfId="7276" priority="16476">
      <formula>LEN(TRIM(N8))=0</formula>
    </cfRule>
  </conditionalFormatting>
  <conditionalFormatting sqref="N8">
    <cfRule type="containsBlanks" dxfId="7275" priority="16475">
      <formula>LEN(TRIM(N8))=0</formula>
    </cfRule>
  </conditionalFormatting>
  <conditionalFormatting sqref="H8">
    <cfRule type="containsBlanks" dxfId="7274" priority="16395">
      <formula>LEN(TRIM(H8))=0</formula>
    </cfRule>
  </conditionalFormatting>
  <conditionalFormatting sqref="I8">
    <cfRule type="containsBlanks" dxfId="7273" priority="16394">
      <formula>LEN(TRIM(I8))=0</formula>
    </cfRule>
  </conditionalFormatting>
  <conditionalFormatting sqref="I8">
    <cfRule type="containsBlanks" dxfId="7272" priority="16393">
      <formula>LEN(TRIM(I8))=0</formula>
    </cfRule>
  </conditionalFormatting>
  <conditionalFormatting sqref="I8">
    <cfRule type="containsBlanks" dxfId="7271" priority="16392">
      <formula>LEN(TRIM(I8))=0</formula>
    </cfRule>
  </conditionalFormatting>
  <conditionalFormatting sqref="I8">
    <cfRule type="containsBlanks" dxfId="7270" priority="16391">
      <formula>LEN(TRIM(I8))=0</formula>
    </cfRule>
  </conditionalFormatting>
  <conditionalFormatting sqref="N8">
    <cfRule type="containsBlanks" dxfId="7269" priority="16386">
      <formula>LEN(TRIM(N8))=0</formula>
    </cfRule>
  </conditionalFormatting>
  <conditionalFormatting sqref="N8">
    <cfRule type="containsBlanks" dxfId="7268" priority="16385">
      <formula>LEN(TRIM(N8))=0</formula>
    </cfRule>
  </conditionalFormatting>
  <conditionalFormatting sqref="H8">
    <cfRule type="containsBlanks" dxfId="7267" priority="16384">
      <formula>LEN(TRIM(H8))=0</formula>
    </cfRule>
  </conditionalFormatting>
  <conditionalFormatting sqref="I8">
    <cfRule type="containsBlanks" dxfId="7266" priority="16383">
      <formula>LEN(TRIM(I8))=0</formula>
    </cfRule>
  </conditionalFormatting>
  <conditionalFormatting sqref="I8">
    <cfRule type="containsBlanks" dxfId="7265" priority="16382">
      <formula>LEN(TRIM(I8))=0</formula>
    </cfRule>
  </conditionalFormatting>
  <conditionalFormatting sqref="I8">
    <cfRule type="containsBlanks" dxfId="7264" priority="16381">
      <formula>LEN(TRIM(I8))=0</formula>
    </cfRule>
  </conditionalFormatting>
  <conditionalFormatting sqref="I8">
    <cfRule type="containsBlanks" dxfId="7263" priority="16380">
      <formula>LEN(TRIM(I8))=0</formula>
    </cfRule>
  </conditionalFormatting>
  <conditionalFormatting sqref="N8">
    <cfRule type="containsBlanks" dxfId="7262" priority="16379">
      <formula>LEN(TRIM(N8))=0</formula>
    </cfRule>
  </conditionalFormatting>
  <conditionalFormatting sqref="N8">
    <cfRule type="containsBlanks" dxfId="7261" priority="16378">
      <formula>LEN(TRIM(N8))=0</formula>
    </cfRule>
  </conditionalFormatting>
  <conditionalFormatting sqref="H8">
    <cfRule type="containsBlanks" dxfId="7260" priority="16369">
      <formula>LEN(TRIM(H8))=0</formula>
    </cfRule>
  </conditionalFormatting>
  <conditionalFormatting sqref="I8">
    <cfRule type="containsBlanks" dxfId="7259" priority="16368">
      <formula>LEN(TRIM(I8))=0</formula>
    </cfRule>
  </conditionalFormatting>
  <conditionalFormatting sqref="I8">
    <cfRule type="containsBlanks" dxfId="7258" priority="16367">
      <formula>LEN(TRIM(I8))=0</formula>
    </cfRule>
  </conditionalFormatting>
  <conditionalFormatting sqref="I8">
    <cfRule type="containsBlanks" dxfId="7257" priority="16366">
      <formula>LEN(TRIM(I8))=0</formula>
    </cfRule>
  </conditionalFormatting>
  <conditionalFormatting sqref="I8">
    <cfRule type="containsBlanks" dxfId="7256" priority="16365">
      <formula>LEN(TRIM(I8))=0</formula>
    </cfRule>
  </conditionalFormatting>
  <conditionalFormatting sqref="N8">
    <cfRule type="containsBlanks" dxfId="7255" priority="16364">
      <formula>LEN(TRIM(N8))=0</formula>
    </cfRule>
  </conditionalFormatting>
  <conditionalFormatting sqref="N8">
    <cfRule type="containsBlanks" dxfId="7254" priority="16363">
      <formula>LEN(TRIM(N8))=0</formula>
    </cfRule>
  </conditionalFormatting>
  <conditionalFormatting sqref="H8">
    <cfRule type="containsBlanks" dxfId="7253" priority="16354">
      <formula>LEN(TRIM(H8))=0</formula>
    </cfRule>
  </conditionalFormatting>
  <conditionalFormatting sqref="I8">
    <cfRule type="containsBlanks" dxfId="7252" priority="16353">
      <formula>LEN(TRIM(I8))=0</formula>
    </cfRule>
  </conditionalFormatting>
  <conditionalFormatting sqref="I8">
    <cfRule type="containsBlanks" dxfId="7251" priority="16352">
      <formula>LEN(TRIM(I8))=0</formula>
    </cfRule>
  </conditionalFormatting>
  <conditionalFormatting sqref="I8">
    <cfRule type="containsBlanks" dxfId="7250" priority="16351">
      <formula>LEN(TRIM(I8))=0</formula>
    </cfRule>
  </conditionalFormatting>
  <conditionalFormatting sqref="I8">
    <cfRule type="containsBlanks" dxfId="7249" priority="16350">
      <formula>LEN(TRIM(I8))=0</formula>
    </cfRule>
  </conditionalFormatting>
  <conditionalFormatting sqref="N8">
    <cfRule type="containsBlanks" dxfId="7248" priority="16349">
      <formula>LEN(TRIM(N8))=0</formula>
    </cfRule>
  </conditionalFormatting>
  <conditionalFormatting sqref="N8">
    <cfRule type="containsBlanks" dxfId="7247" priority="16348">
      <formula>LEN(TRIM(N8))=0</formula>
    </cfRule>
  </conditionalFormatting>
  <conditionalFormatting sqref="AD8">
    <cfRule type="containsText" dxfId="7246" priority="16235" operator="containsText" text="GP2">
      <formula>NOT(ISERROR(SEARCH("GP2",AD8)))</formula>
    </cfRule>
    <cfRule type="containsText" dxfId="7245" priority="16236" operator="containsText" text="GP1">
      <formula>NOT(ISERROR(SEARCH("GP1",AD8)))</formula>
    </cfRule>
  </conditionalFormatting>
  <conditionalFormatting sqref="AD8">
    <cfRule type="containsText" dxfId="7244" priority="16233" operator="containsText" text="GP2">
      <formula>NOT(ISERROR(SEARCH("GP2",AD8)))</formula>
    </cfRule>
    <cfRule type="containsText" dxfId="7243" priority="16234" operator="containsText" text="GP1">
      <formula>NOT(ISERROR(SEARCH("GP1",AD8)))</formula>
    </cfRule>
  </conditionalFormatting>
  <conditionalFormatting sqref="AD8">
    <cfRule type="containsText" dxfId="7242" priority="16231" operator="containsText" text="GP2">
      <formula>NOT(ISERROR(SEARCH("GP2",AD8)))</formula>
    </cfRule>
    <cfRule type="containsText" dxfId="7241" priority="16232" operator="containsText" text="GP1">
      <formula>NOT(ISERROR(SEARCH("GP1",AD8)))</formula>
    </cfRule>
  </conditionalFormatting>
  <conditionalFormatting sqref="AD8">
    <cfRule type="containsText" dxfId="7240" priority="16229" operator="containsText" text="GP2">
      <formula>NOT(ISERROR(SEARCH("GP2",AD8)))</formula>
    </cfRule>
    <cfRule type="containsText" dxfId="7239" priority="16230" operator="containsText" text="GP1">
      <formula>NOT(ISERROR(SEARCH("GP1",AD8)))</formula>
    </cfRule>
  </conditionalFormatting>
  <conditionalFormatting sqref="AD8">
    <cfRule type="containsText" dxfId="7238" priority="16227" operator="containsText" text="GP2">
      <formula>NOT(ISERROR(SEARCH("GP2",AD8)))</formula>
    </cfRule>
    <cfRule type="containsText" dxfId="7237" priority="16228" operator="containsText" text="GP1">
      <formula>NOT(ISERROR(SEARCH("GP1",AD8)))</formula>
    </cfRule>
  </conditionalFormatting>
  <conditionalFormatting sqref="AD8">
    <cfRule type="containsText" dxfId="7236" priority="16225" operator="containsText" text="GP2">
      <formula>NOT(ISERROR(SEARCH("GP2",AD8)))</formula>
    </cfRule>
    <cfRule type="containsText" dxfId="7235" priority="16226" operator="containsText" text="GP1">
      <formula>NOT(ISERROR(SEARCH("GP1",AD8)))</formula>
    </cfRule>
  </conditionalFormatting>
  <conditionalFormatting sqref="AD8">
    <cfRule type="containsText" dxfId="7234" priority="16223" operator="containsText" text="GP2">
      <formula>NOT(ISERROR(SEARCH("GP2",AD8)))</formula>
    </cfRule>
    <cfRule type="containsText" dxfId="7233" priority="16224" operator="containsText" text="GP1">
      <formula>NOT(ISERROR(SEARCH("GP1",AD8)))</formula>
    </cfRule>
  </conditionalFormatting>
  <conditionalFormatting sqref="AD8">
    <cfRule type="containsText" dxfId="7232" priority="16221" operator="containsText" text="GP2">
      <formula>NOT(ISERROR(SEARCH("GP2",AD8)))</formula>
    </cfRule>
    <cfRule type="containsText" dxfId="7231" priority="16222" operator="containsText" text="GP1">
      <formula>NOT(ISERROR(SEARCH("GP1",AD8)))</formula>
    </cfRule>
  </conditionalFormatting>
  <conditionalFormatting sqref="AD8">
    <cfRule type="containsText" dxfId="7230" priority="16219" operator="containsText" text="GP2">
      <formula>NOT(ISERROR(SEARCH("GP2",AD8)))</formula>
    </cfRule>
    <cfRule type="containsText" dxfId="7229" priority="16220" operator="containsText" text="GP1">
      <formula>NOT(ISERROR(SEARCH("GP1",AD8)))</formula>
    </cfRule>
  </conditionalFormatting>
  <conditionalFormatting sqref="AD8">
    <cfRule type="containsText" dxfId="7228" priority="16217" operator="containsText" text="GP2">
      <formula>NOT(ISERROR(SEARCH("GP2",AD8)))</formula>
    </cfRule>
    <cfRule type="containsText" dxfId="7227" priority="16218" operator="containsText" text="GP1">
      <formula>NOT(ISERROR(SEARCH("GP1",AD8)))</formula>
    </cfRule>
  </conditionalFormatting>
  <conditionalFormatting sqref="AD8">
    <cfRule type="containsText" dxfId="7226" priority="16215" operator="containsText" text="GP2">
      <formula>NOT(ISERROR(SEARCH("GP2",AD8)))</formula>
    </cfRule>
    <cfRule type="containsText" dxfId="7225" priority="16216" operator="containsText" text="GP1">
      <formula>NOT(ISERROR(SEARCH("GP1",AD8)))</formula>
    </cfRule>
  </conditionalFormatting>
  <conditionalFormatting sqref="AD8">
    <cfRule type="containsText" dxfId="7224" priority="16213" operator="containsText" text="GP2">
      <formula>NOT(ISERROR(SEARCH("GP2",AD8)))</formula>
    </cfRule>
    <cfRule type="containsText" dxfId="7223" priority="16214" operator="containsText" text="GP1">
      <formula>NOT(ISERROR(SEARCH("GP1",AD8)))</formula>
    </cfRule>
  </conditionalFormatting>
  <conditionalFormatting sqref="AD8">
    <cfRule type="containsText" dxfId="7222" priority="16211" operator="containsText" text="GP2">
      <formula>NOT(ISERROR(SEARCH("GP2",AD8)))</formula>
    </cfRule>
    <cfRule type="containsText" dxfId="7221" priority="16212" operator="containsText" text="GP1">
      <formula>NOT(ISERROR(SEARCH("GP1",AD8)))</formula>
    </cfRule>
  </conditionalFormatting>
  <conditionalFormatting sqref="AD8">
    <cfRule type="containsText" dxfId="7220" priority="16209" operator="containsText" text="GP2">
      <formula>NOT(ISERROR(SEARCH("GP2",AD8)))</formula>
    </cfRule>
    <cfRule type="containsText" dxfId="7219" priority="16210" operator="containsText" text="GP1">
      <formula>NOT(ISERROR(SEARCH("GP1",AD8)))</formula>
    </cfRule>
  </conditionalFormatting>
  <conditionalFormatting sqref="AD8">
    <cfRule type="containsText" dxfId="7218" priority="16207" operator="containsText" text="GP2">
      <formula>NOT(ISERROR(SEARCH("GP2",AD8)))</formula>
    </cfRule>
    <cfRule type="containsText" dxfId="7217" priority="16208" operator="containsText" text="GP1">
      <formula>NOT(ISERROR(SEARCH("GP1",AD8)))</formula>
    </cfRule>
  </conditionalFormatting>
  <conditionalFormatting sqref="AD8">
    <cfRule type="containsText" dxfId="7216" priority="16205" operator="containsText" text="GP2">
      <formula>NOT(ISERROR(SEARCH("GP2",AD8)))</formula>
    </cfRule>
    <cfRule type="containsText" dxfId="7215" priority="16206" operator="containsText" text="GP1">
      <formula>NOT(ISERROR(SEARCH("GP1",AD8)))</formula>
    </cfRule>
  </conditionalFormatting>
  <conditionalFormatting sqref="AD8">
    <cfRule type="containsText" dxfId="7214" priority="16203" operator="containsText" text="GP2">
      <formula>NOT(ISERROR(SEARCH("GP2",AD8)))</formula>
    </cfRule>
    <cfRule type="containsText" dxfId="7213" priority="16204" operator="containsText" text="GP1">
      <formula>NOT(ISERROR(SEARCH("GP1",AD8)))</formula>
    </cfRule>
  </conditionalFormatting>
  <conditionalFormatting sqref="AD8">
    <cfRule type="containsText" dxfId="7212" priority="16201" operator="containsText" text="GP2">
      <formula>NOT(ISERROR(SEARCH("GP2",AD8)))</formula>
    </cfRule>
    <cfRule type="containsText" dxfId="7211" priority="16202" operator="containsText" text="GP1">
      <formula>NOT(ISERROR(SEARCH("GP1",AD8)))</formula>
    </cfRule>
  </conditionalFormatting>
  <conditionalFormatting sqref="AD8">
    <cfRule type="containsText" dxfId="7210" priority="16199" operator="containsText" text="GP2">
      <formula>NOT(ISERROR(SEARCH("GP2",AD8)))</formula>
    </cfRule>
    <cfRule type="containsText" dxfId="7209" priority="16200" operator="containsText" text="GP1">
      <formula>NOT(ISERROR(SEARCH("GP1",AD8)))</formula>
    </cfRule>
  </conditionalFormatting>
  <conditionalFormatting sqref="AD8">
    <cfRule type="containsText" dxfId="7208" priority="16197" operator="containsText" text="GP2">
      <formula>NOT(ISERROR(SEARCH("GP2",AD8)))</formula>
    </cfRule>
    <cfRule type="containsText" dxfId="7207" priority="16198" operator="containsText" text="GP1">
      <formula>NOT(ISERROR(SEARCH("GP1",AD8)))</formula>
    </cfRule>
  </conditionalFormatting>
  <conditionalFormatting sqref="AD8">
    <cfRule type="containsText" dxfId="7206" priority="16195" operator="containsText" text="GP2">
      <formula>NOT(ISERROR(SEARCH("GP2",AD8)))</formula>
    </cfRule>
    <cfRule type="containsText" dxfId="7205" priority="16196" operator="containsText" text="GP1">
      <formula>NOT(ISERROR(SEARCH("GP1",AD8)))</formula>
    </cfRule>
  </conditionalFormatting>
  <conditionalFormatting sqref="AD8">
    <cfRule type="containsText" dxfId="7204" priority="16193" operator="containsText" text="GP2">
      <formula>NOT(ISERROR(SEARCH("GP2",AD8)))</formula>
    </cfRule>
    <cfRule type="containsText" dxfId="7203" priority="16194" operator="containsText" text="GP1">
      <formula>NOT(ISERROR(SEARCH("GP1",AD8)))</formula>
    </cfRule>
  </conditionalFormatting>
  <conditionalFormatting sqref="AD8">
    <cfRule type="containsText" dxfId="7202" priority="16191" operator="containsText" text="GP2">
      <formula>NOT(ISERROR(SEARCH("GP2",AD8)))</formula>
    </cfRule>
    <cfRule type="containsText" dxfId="7201" priority="16192" operator="containsText" text="GP1">
      <formula>NOT(ISERROR(SEARCH("GP1",AD8)))</formula>
    </cfRule>
  </conditionalFormatting>
  <conditionalFormatting sqref="AD8">
    <cfRule type="containsText" dxfId="7200" priority="16189" operator="containsText" text="GP2">
      <formula>NOT(ISERROR(SEARCH("GP2",AD8)))</formula>
    </cfRule>
    <cfRule type="containsText" dxfId="7199" priority="16190" operator="containsText" text="GP1">
      <formula>NOT(ISERROR(SEARCH("GP1",AD8)))</formula>
    </cfRule>
  </conditionalFormatting>
  <conditionalFormatting sqref="AD8">
    <cfRule type="containsText" dxfId="7198" priority="16187" operator="containsText" text="GP2">
      <formula>NOT(ISERROR(SEARCH("GP2",AD8)))</formula>
    </cfRule>
    <cfRule type="containsText" dxfId="7197" priority="16188" operator="containsText" text="GP1">
      <formula>NOT(ISERROR(SEARCH("GP1",AD8)))</formula>
    </cfRule>
  </conditionalFormatting>
  <conditionalFormatting sqref="AD8">
    <cfRule type="containsText" dxfId="7196" priority="16185" operator="containsText" text="GP2">
      <formula>NOT(ISERROR(SEARCH("GP2",AD8)))</formula>
    </cfRule>
    <cfRule type="containsText" dxfId="7195" priority="16186" operator="containsText" text="GP1">
      <formula>NOT(ISERROR(SEARCH("GP1",AD8)))</formula>
    </cfRule>
  </conditionalFormatting>
  <conditionalFormatting sqref="AD8">
    <cfRule type="containsText" dxfId="7194" priority="16183" operator="containsText" text="GP2">
      <formula>NOT(ISERROR(SEARCH("GP2",AD8)))</formula>
    </cfRule>
    <cfRule type="containsText" dxfId="7193" priority="16184" operator="containsText" text="GP1">
      <formula>NOT(ISERROR(SEARCH("GP1",AD8)))</formula>
    </cfRule>
  </conditionalFormatting>
  <conditionalFormatting sqref="AD8">
    <cfRule type="containsText" dxfId="7192" priority="16181" operator="containsText" text="GP2">
      <formula>NOT(ISERROR(SEARCH("GP2",AD8)))</formula>
    </cfRule>
    <cfRule type="containsText" dxfId="7191" priority="16182" operator="containsText" text="GP1">
      <formula>NOT(ISERROR(SEARCH("GP1",AD8)))</formula>
    </cfRule>
  </conditionalFormatting>
  <conditionalFormatting sqref="AD8">
    <cfRule type="containsText" dxfId="7190" priority="16179" operator="containsText" text="GP2">
      <formula>NOT(ISERROR(SEARCH("GP2",AD8)))</formula>
    </cfRule>
    <cfRule type="containsText" dxfId="7189" priority="16180" operator="containsText" text="GP1">
      <formula>NOT(ISERROR(SEARCH("GP1",AD8)))</formula>
    </cfRule>
  </conditionalFormatting>
  <conditionalFormatting sqref="AD8">
    <cfRule type="containsText" dxfId="7188" priority="16177" operator="containsText" text="GP2">
      <formula>NOT(ISERROR(SEARCH("GP2",AD8)))</formula>
    </cfRule>
    <cfRule type="containsText" dxfId="7187" priority="16178" operator="containsText" text="GP1">
      <formula>NOT(ISERROR(SEARCH("GP1",AD8)))</formula>
    </cfRule>
  </conditionalFormatting>
  <conditionalFormatting sqref="AD8">
    <cfRule type="containsText" dxfId="7186" priority="16175" operator="containsText" text="GP2">
      <formula>NOT(ISERROR(SEARCH("GP2",AD8)))</formula>
    </cfRule>
    <cfRule type="containsText" dxfId="7185" priority="16176" operator="containsText" text="GP1">
      <formula>NOT(ISERROR(SEARCH("GP1",AD8)))</formula>
    </cfRule>
  </conditionalFormatting>
  <conditionalFormatting sqref="AD8">
    <cfRule type="containsText" dxfId="7184" priority="16173" operator="containsText" text="GP2">
      <formula>NOT(ISERROR(SEARCH("GP2",AD8)))</formula>
    </cfRule>
    <cfRule type="containsText" dxfId="7183" priority="16174" operator="containsText" text="GP1">
      <formula>NOT(ISERROR(SEARCH("GP1",AD8)))</formula>
    </cfRule>
  </conditionalFormatting>
  <conditionalFormatting sqref="AD8">
    <cfRule type="containsText" dxfId="7182" priority="16171" operator="containsText" text="GP2">
      <formula>NOT(ISERROR(SEARCH("GP2",AD8)))</formula>
    </cfRule>
    <cfRule type="containsText" dxfId="7181" priority="16172" operator="containsText" text="GP1">
      <formula>NOT(ISERROR(SEARCH("GP1",AD8)))</formula>
    </cfRule>
  </conditionalFormatting>
  <conditionalFormatting sqref="AD8">
    <cfRule type="containsText" dxfId="7180" priority="16169" operator="containsText" text="GP2">
      <formula>NOT(ISERROR(SEARCH("GP2",AD8)))</formula>
    </cfRule>
    <cfRule type="containsText" dxfId="7179" priority="16170" operator="containsText" text="GP1">
      <formula>NOT(ISERROR(SEARCH("GP1",AD8)))</formula>
    </cfRule>
  </conditionalFormatting>
  <conditionalFormatting sqref="AD8">
    <cfRule type="containsText" dxfId="7178" priority="16167" operator="containsText" text="GP2">
      <formula>NOT(ISERROR(SEARCH("GP2",AD8)))</formula>
    </cfRule>
    <cfRule type="containsText" dxfId="7177" priority="16168" operator="containsText" text="GP1">
      <formula>NOT(ISERROR(SEARCH("GP1",AD8)))</formula>
    </cfRule>
  </conditionalFormatting>
  <conditionalFormatting sqref="AD8">
    <cfRule type="containsText" dxfId="7176" priority="16165" operator="containsText" text="GP2">
      <formula>NOT(ISERROR(SEARCH("GP2",AD8)))</formula>
    </cfRule>
    <cfRule type="containsText" dxfId="7175" priority="16166" operator="containsText" text="GP1">
      <formula>NOT(ISERROR(SEARCH("GP1",AD8)))</formula>
    </cfRule>
  </conditionalFormatting>
  <conditionalFormatting sqref="AD8">
    <cfRule type="containsText" dxfId="7174" priority="16163" operator="containsText" text="GP2">
      <formula>NOT(ISERROR(SEARCH("GP2",AD8)))</formula>
    </cfRule>
    <cfRule type="containsText" dxfId="7173" priority="16164" operator="containsText" text="GP1">
      <formula>NOT(ISERROR(SEARCH("GP1",AD8)))</formula>
    </cfRule>
  </conditionalFormatting>
  <conditionalFormatting sqref="AD8">
    <cfRule type="containsText" dxfId="7172" priority="16161" operator="containsText" text="GP2">
      <formula>NOT(ISERROR(SEARCH("GP2",AD8)))</formula>
    </cfRule>
    <cfRule type="containsText" dxfId="7171" priority="16162" operator="containsText" text="GP1">
      <formula>NOT(ISERROR(SEARCH("GP1",AD8)))</formula>
    </cfRule>
  </conditionalFormatting>
  <conditionalFormatting sqref="AD8">
    <cfRule type="containsText" dxfId="7170" priority="16159" operator="containsText" text="GP2">
      <formula>NOT(ISERROR(SEARCH("GP2",AD8)))</formula>
    </cfRule>
    <cfRule type="containsText" dxfId="7169" priority="16160" operator="containsText" text="GP1">
      <formula>NOT(ISERROR(SEARCH("GP1",AD8)))</formula>
    </cfRule>
  </conditionalFormatting>
  <conditionalFormatting sqref="AD8">
    <cfRule type="containsText" dxfId="7168" priority="16157" operator="containsText" text="GP2">
      <formula>NOT(ISERROR(SEARCH("GP2",AD8)))</formula>
    </cfRule>
    <cfRule type="containsText" dxfId="7167" priority="16158" operator="containsText" text="GP1">
      <formula>NOT(ISERROR(SEARCH("GP1",AD8)))</formula>
    </cfRule>
  </conditionalFormatting>
  <conditionalFormatting sqref="AD8">
    <cfRule type="containsText" dxfId="7166" priority="16155" operator="containsText" text="GP2">
      <formula>NOT(ISERROR(SEARCH("GP2",AD8)))</formula>
    </cfRule>
    <cfRule type="containsText" dxfId="7165" priority="16156" operator="containsText" text="GP1">
      <formula>NOT(ISERROR(SEARCH("GP1",AD8)))</formula>
    </cfRule>
  </conditionalFormatting>
  <conditionalFormatting sqref="AD8">
    <cfRule type="containsText" dxfId="7164" priority="16153" operator="containsText" text="GP2">
      <formula>NOT(ISERROR(SEARCH("GP2",AD8)))</formula>
    </cfRule>
    <cfRule type="containsText" dxfId="7163" priority="16154" operator="containsText" text="GP1">
      <formula>NOT(ISERROR(SEARCH("GP1",AD8)))</formula>
    </cfRule>
  </conditionalFormatting>
  <conditionalFormatting sqref="AD8">
    <cfRule type="containsText" dxfId="7162" priority="16151" operator="containsText" text="GP2">
      <formula>NOT(ISERROR(SEARCH("GP2",AD8)))</formula>
    </cfRule>
    <cfRule type="containsText" dxfId="7161" priority="16152" operator="containsText" text="GP1">
      <formula>NOT(ISERROR(SEARCH("GP1",AD8)))</formula>
    </cfRule>
  </conditionalFormatting>
  <conditionalFormatting sqref="AD8">
    <cfRule type="containsText" dxfId="7160" priority="16149" operator="containsText" text="GP2">
      <formula>NOT(ISERROR(SEARCH("GP2",AD8)))</formula>
    </cfRule>
    <cfRule type="containsText" dxfId="7159" priority="16150" operator="containsText" text="GP1">
      <formula>NOT(ISERROR(SEARCH("GP1",AD8)))</formula>
    </cfRule>
  </conditionalFormatting>
  <conditionalFormatting sqref="AD8">
    <cfRule type="containsText" dxfId="7158" priority="16147" operator="containsText" text="GP2">
      <formula>NOT(ISERROR(SEARCH("GP2",AD8)))</formula>
    </cfRule>
    <cfRule type="containsText" dxfId="7157" priority="16148" operator="containsText" text="GP1">
      <formula>NOT(ISERROR(SEARCH("GP1",AD8)))</formula>
    </cfRule>
  </conditionalFormatting>
  <conditionalFormatting sqref="AD8">
    <cfRule type="containsText" dxfId="7156" priority="16145" operator="containsText" text="GP2">
      <formula>NOT(ISERROR(SEARCH("GP2",AD8)))</formula>
    </cfRule>
    <cfRule type="containsText" dxfId="7155" priority="16146" operator="containsText" text="GP1">
      <formula>NOT(ISERROR(SEARCH("GP1",AD8)))</formula>
    </cfRule>
  </conditionalFormatting>
  <conditionalFormatting sqref="AD8">
    <cfRule type="containsText" dxfId="7154" priority="16143" operator="containsText" text="GP2">
      <formula>NOT(ISERROR(SEARCH("GP2",AD8)))</formula>
    </cfRule>
    <cfRule type="containsText" dxfId="7153" priority="16144" operator="containsText" text="GP1">
      <formula>NOT(ISERROR(SEARCH("GP1",AD8)))</formula>
    </cfRule>
  </conditionalFormatting>
  <conditionalFormatting sqref="AD8">
    <cfRule type="containsText" dxfId="7152" priority="16141" operator="containsText" text="GP2">
      <formula>NOT(ISERROR(SEARCH("GP2",AD8)))</formula>
    </cfRule>
    <cfRule type="containsText" dxfId="7151" priority="16142" operator="containsText" text="GP1">
      <formula>NOT(ISERROR(SEARCH("GP1",AD8)))</formula>
    </cfRule>
  </conditionalFormatting>
  <conditionalFormatting sqref="AD8">
    <cfRule type="containsText" dxfId="7150" priority="16139" operator="containsText" text="GP2">
      <formula>NOT(ISERROR(SEARCH("GP2",AD8)))</formula>
    </cfRule>
    <cfRule type="containsText" dxfId="7149" priority="16140" operator="containsText" text="GP1">
      <formula>NOT(ISERROR(SEARCH("GP1",AD8)))</formula>
    </cfRule>
  </conditionalFormatting>
  <conditionalFormatting sqref="AD8">
    <cfRule type="containsText" dxfId="7148" priority="16137" operator="containsText" text="GP2">
      <formula>NOT(ISERROR(SEARCH("GP2",AD8)))</formula>
    </cfRule>
    <cfRule type="containsText" dxfId="7147" priority="16138" operator="containsText" text="GP1">
      <formula>NOT(ISERROR(SEARCH("GP1",AD8)))</formula>
    </cfRule>
  </conditionalFormatting>
  <conditionalFormatting sqref="AD8">
    <cfRule type="containsText" dxfId="7146" priority="16135" operator="containsText" text="GP2">
      <formula>NOT(ISERROR(SEARCH("GP2",AD8)))</formula>
    </cfRule>
    <cfRule type="containsText" dxfId="7145" priority="16136" operator="containsText" text="GP1">
      <formula>NOT(ISERROR(SEARCH("GP1",AD8)))</formula>
    </cfRule>
  </conditionalFormatting>
  <conditionalFormatting sqref="AD8">
    <cfRule type="containsText" dxfId="7144" priority="16133" operator="containsText" text="GP2">
      <formula>NOT(ISERROR(SEARCH("GP2",AD8)))</formula>
    </cfRule>
    <cfRule type="containsText" dxfId="7143" priority="16134" operator="containsText" text="GP1">
      <formula>NOT(ISERROR(SEARCH("GP1",AD8)))</formula>
    </cfRule>
  </conditionalFormatting>
  <conditionalFormatting sqref="AD8">
    <cfRule type="containsText" dxfId="7142" priority="16131" operator="containsText" text="GP2">
      <formula>NOT(ISERROR(SEARCH("GP2",AD8)))</formula>
    </cfRule>
    <cfRule type="containsText" dxfId="7141" priority="16132" operator="containsText" text="GP1">
      <formula>NOT(ISERROR(SEARCH("GP1",AD8)))</formula>
    </cfRule>
  </conditionalFormatting>
  <conditionalFormatting sqref="AD8">
    <cfRule type="containsText" dxfId="7140" priority="16129" operator="containsText" text="GP2">
      <formula>NOT(ISERROR(SEARCH("GP2",AD8)))</formula>
    </cfRule>
    <cfRule type="containsText" dxfId="7139" priority="16130" operator="containsText" text="GP1">
      <formula>NOT(ISERROR(SEARCH("GP1",AD8)))</formula>
    </cfRule>
  </conditionalFormatting>
  <conditionalFormatting sqref="AD8">
    <cfRule type="containsText" dxfId="7138" priority="16127" operator="containsText" text="GP2">
      <formula>NOT(ISERROR(SEARCH("GP2",AD8)))</formula>
    </cfRule>
    <cfRule type="containsText" dxfId="7137" priority="16128" operator="containsText" text="GP1">
      <formula>NOT(ISERROR(SEARCH("GP1",AD8)))</formula>
    </cfRule>
  </conditionalFormatting>
  <conditionalFormatting sqref="AD8">
    <cfRule type="containsText" dxfId="7136" priority="16125" operator="containsText" text="GP2">
      <formula>NOT(ISERROR(SEARCH("GP2",AD8)))</formula>
    </cfRule>
    <cfRule type="containsText" dxfId="7135" priority="16126" operator="containsText" text="GP1">
      <formula>NOT(ISERROR(SEARCH("GP1",AD8)))</formula>
    </cfRule>
  </conditionalFormatting>
  <conditionalFormatting sqref="AD8">
    <cfRule type="containsText" dxfId="7134" priority="16123" operator="containsText" text="GP2">
      <formula>NOT(ISERROR(SEARCH("GP2",AD8)))</formula>
    </cfRule>
    <cfRule type="containsText" dxfId="7133" priority="16124" operator="containsText" text="GP1">
      <formula>NOT(ISERROR(SEARCH("GP1",AD8)))</formula>
    </cfRule>
  </conditionalFormatting>
  <conditionalFormatting sqref="AD8">
    <cfRule type="containsText" dxfId="7132" priority="16121" operator="containsText" text="GP2">
      <formula>NOT(ISERROR(SEARCH("GP2",AD8)))</formula>
    </cfRule>
    <cfRule type="containsText" dxfId="7131" priority="16122" operator="containsText" text="GP1">
      <formula>NOT(ISERROR(SEARCH("GP1",AD8)))</formula>
    </cfRule>
  </conditionalFormatting>
  <conditionalFormatting sqref="AD8">
    <cfRule type="containsText" dxfId="7130" priority="16119" operator="containsText" text="GP2">
      <formula>NOT(ISERROR(SEARCH("GP2",AD8)))</formula>
    </cfRule>
    <cfRule type="containsText" dxfId="7129" priority="16120" operator="containsText" text="GP1">
      <formula>NOT(ISERROR(SEARCH("GP1",AD8)))</formula>
    </cfRule>
  </conditionalFormatting>
  <conditionalFormatting sqref="AD8">
    <cfRule type="containsText" dxfId="7128" priority="16117" operator="containsText" text="GP2">
      <formula>NOT(ISERROR(SEARCH("GP2",AD8)))</formula>
    </cfRule>
    <cfRule type="containsText" dxfId="7127" priority="16118" operator="containsText" text="GP1">
      <formula>NOT(ISERROR(SEARCH("GP1",AD8)))</formula>
    </cfRule>
  </conditionalFormatting>
  <conditionalFormatting sqref="AD8">
    <cfRule type="containsText" dxfId="7126" priority="16115" operator="containsText" text="GP2">
      <formula>NOT(ISERROR(SEARCH("GP2",AD8)))</formula>
    </cfRule>
    <cfRule type="containsText" dxfId="7125" priority="16116" operator="containsText" text="GP1">
      <formula>NOT(ISERROR(SEARCH("GP1",AD8)))</formula>
    </cfRule>
  </conditionalFormatting>
  <conditionalFormatting sqref="AD8">
    <cfRule type="containsText" dxfId="7124" priority="16113" operator="containsText" text="GP2">
      <formula>NOT(ISERROR(SEARCH("GP2",AD8)))</formula>
    </cfRule>
    <cfRule type="containsText" dxfId="7123" priority="16114" operator="containsText" text="GP1">
      <formula>NOT(ISERROR(SEARCH("GP1",AD8)))</formula>
    </cfRule>
  </conditionalFormatting>
  <conditionalFormatting sqref="AD8">
    <cfRule type="containsText" dxfId="7122" priority="16111" operator="containsText" text="GP2">
      <formula>NOT(ISERROR(SEARCH("GP2",AD8)))</formula>
    </cfRule>
    <cfRule type="containsText" dxfId="7121" priority="16112" operator="containsText" text="GP1">
      <formula>NOT(ISERROR(SEARCH("GP1",AD8)))</formula>
    </cfRule>
  </conditionalFormatting>
  <conditionalFormatting sqref="AD8">
    <cfRule type="containsText" dxfId="7120" priority="16109" operator="containsText" text="GP2">
      <formula>NOT(ISERROR(SEARCH("GP2",AD8)))</formula>
    </cfRule>
    <cfRule type="containsText" dxfId="7119" priority="16110" operator="containsText" text="GP1">
      <formula>NOT(ISERROR(SEARCH("GP1",AD8)))</formula>
    </cfRule>
  </conditionalFormatting>
  <conditionalFormatting sqref="AD8">
    <cfRule type="containsText" dxfId="7118" priority="16107" operator="containsText" text="GP2">
      <formula>NOT(ISERROR(SEARCH("GP2",AD8)))</formula>
    </cfRule>
    <cfRule type="containsText" dxfId="7117" priority="16108" operator="containsText" text="GP1">
      <formula>NOT(ISERROR(SEARCH("GP1",AD8)))</formula>
    </cfRule>
  </conditionalFormatting>
  <conditionalFormatting sqref="AD8">
    <cfRule type="containsText" dxfId="7116" priority="16105" operator="containsText" text="GP2">
      <formula>NOT(ISERROR(SEARCH("GP2",AD8)))</formula>
    </cfRule>
    <cfRule type="containsText" dxfId="7115" priority="16106" operator="containsText" text="GP1">
      <formula>NOT(ISERROR(SEARCH("GP1",AD8)))</formula>
    </cfRule>
  </conditionalFormatting>
  <conditionalFormatting sqref="AD8">
    <cfRule type="containsText" dxfId="7114" priority="16103" operator="containsText" text="GP2">
      <formula>NOT(ISERROR(SEARCH("GP2",AD8)))</formula>
    </cfRule>
    <cfRule type="containsText" dxfId="7113" priority="16104" operator="containsText" text="GP1">
      <formula>NOT(ISERROR(SEARCH("GP1",AD8)))</formula>
    </cfRule>
  </conditionalFormatting>
  <conditionalFormatting sqref="AD8">
    <cfRule type="containsText" dxfId="7112" priority="16101" operator="containsText" text="GP2">
      <formula>NOT(ISERROR(SEARCH("GP2",AD8)))</formula>
    </cfRule>
    <cfRule type="containsText" dxfId="7111" priority="16102" operator="containsText" text="GP1">
      <formula>NOT(ISERROR(SEARCH("GP1",AD8)))</formula>
    </cfRule>
  </conditionalFormatting>
  <conditionalFormatting sqref="AD8">
    <cfRule type="containsText" dxfId="7110" priority="16099" operator="containsText" text="GP2">
      <formula>NOT(ISERROR(SEARCH("GP2",AD8)))</formula>
    </cfRule>
    <cfRule type="containsText" dxfId="7109" priority="16100" operator="containsText" text="GP1">
      <formula>NOT(ISERROR(SEARCH("GP1",AD8)))</formula>
    </cfRule>
  </conditionalFormatting>
  <conditionalFormatting sqref="AD8">
    <cfRule type="containsText" dxfId="7108" priority="16097" operator="containsText" text="GP2">
      <formula>NOT(ISERROR(SEARCH("GP2",AD8)))</formula>
    </cfRule>
    <cfRule type="containsText" dxfId="7107" priority="16098" operator="containsText" text="GP1">
      <formula>NOT(ISERROR(SEARCH("GP1",AD8)))</formula>
    </cfRule>
  </conditionalFormatting>
  <conditionalFormatting sqref="AD8">
    <cfRule type="containsText" dxfId="7106" priority="16095" operator="containsText" text="GP2">
      <formula>NOT(ISERROR(SEARCH("GP2",AD8)))</formula>
    </cfRule>
    <cfRule type="containsText" dxfId="7105" priority="16096" operator="containsText" text="GP1">
      <formula>NOT(ISERROR(SEARCH("GP1",AD8)))</formula>
    </cfRule>
  </conditionalFormatting>
  <conditionalFormatting sqref="AD8">
    <cfRule type="containsText" dxfId="7104" priority="16093" operator="containsText" text="GP2">
      <formula>NOT(ISERROR(SEARCH("GP2",AD8)))</formula>
    </cfRule>
    <cfRule type="containsText" dxfId="7103" priority="16094" operator="containsText" text="GP1">
      <formula>NOT(ISERROR(SEARCH("GP1",AD8)))</formula>
    </cfRule>
  </conditionalFormatting>
  <conditionalFormatting sqref="AD8">
    <cfRule type="containsText" dxfId="7102" priority="16091" operator="containsText" text="GP2">
      <formula>NOT(ISERROR(SEARCH("GP2",AD8)))</formula>
    </cfRule>
    <cfRule type="containsText" dxfId="7101" priority="16092" operator="containsText" text="GP1">
      <formula>NOT(ISERROR(SEARCH("GP1",AD8)))</formula>
    </cfRule>
  </conditionalFormatting>
  <conditionalFormatting sqref="AD8">
    <cfRule type="containsText" dxfId="7100" priority="16089" operator="containsText" text="GP2">
      <formula>NOT(ISERROR(SEARCH("GP2",AD8)))</formula>
    </cfRule>
    <cfRule type="containsText" dxfId="7099" priority="16090" operator="containsText" text="GP1">
      <formula>NOT(ISERROR(SEARCH("GP1",AD8)))</formula>
    </cfRule>
  </conditionalFormatting>
  <conditionalFormatting sqref="AD8">
    <cfRule type="containsText" dxfId="7098" priority="16087" operator="containsText" text="GP2">
      <formula>NOT(ISERROR(SEARCH("GP2",AD8)))</formula>
    </cfRule>
    <cfRule type="containsText" dxfId="7097" priority="16088" operator="containsText" text="GP1">
      <formula>NOT(ISERROR(SEARCH("GP1",AD8)))</formula>
    </cfRule>
  </conditionalFormatting>
  <conditionalFormatting sqref="AD8">
    <cfRule type="containsText" dxfId="7096" priority="16085" operator="containsText" text="GP2">
      <formula>NOT(ISERROR(SEARCH("GP2",AD8)))</formula>
    </cfRule>
    <cfRule type="containsText" dxfId="7095" priority="16086" operator="containsText" text="GP1">
      <formula>NOT(ISERROR(SEARCH("GP1",AD8)))</formula>
    </cfRule>
  </conditionalFormatting>
  <conditionalFormatting sqref="AD8">
    <cfRule type="containsText" dxfId="7094" priority="16083" operator="containsText" text="GP2">
      <formula>NOT(ISERROR(SEARCH("GP2",AD8)))</formula>
    </cfRule>
    <cfRule type="containsText" dxfId="7093" priority="16084" operator="containsText" text="GP1">
      <formula>NOT(ISERROR(SEARCH("GP1",AD8)))</formula>
    </cfRule>
  </conditionalFormatting>
  <conditionalFormatting sqref="AD8">
    <cfRule type="containsText" dxfId="7092" priority="16081" operator="containsText" text="GP2">
      <formula>NOT(ISERROR(SEARCH("GP2",AD8)))</formula>
    </cfRule>
    <cfRule type="containsText" dxfId="7091" priority="16082" operator="containsText" text="GP1">
      <formula>NOT(ISERROR(SEARCH("GP1",AD8)))</formula>
    </cfRule>
  </conditionalFormatting>
  <conditionalFormatting sqref="AD8">
    <cfRule type="containsText" dxfId="7090" priority="16079" operator="containsText" text="GP2">
      <formula>NOT(ISERROR(SEARCH("GP2",AD8)))</formula>
    </cfRule>
    <cfRule type="containsText" dxfId="7089" priority="16080" operator="containsText" text="GP1">
      <formula>NOT(ISERROR(SEARCH("GP1",AD8)))</formula>
    </cfRule>
  </conditionalFormatting>
  <conditionalFormatting sqref="AD8">
    <cfRule type="containsText" dxfId="7088" priority="16077" operator="containsText" text="GP2">
      <formula>NOT(ISERROR(SEARCH("GP2",AD8)))</formula>
    </cfRule>
    <cfRule type="containsText" dxfId="7087" priority="16078" operator="containsText" text="GP1">
      <formula>NOT(ISERROR(SEARCH("GP1",AD8)))</formula>
    </cfRule>
  </conditionalFormatting>
  <conditionalFormatting sqref="AD8">
    <cfRule type="containsText" dxfId="7086" priority="16075" operator="containsText" text="GP2">
      <formula>NOT(ISERROR(SEARCH("GP2",AD8)))</formula>
    </cfRule>
    <cfRule type="containsText" dxfId="7085" priority="16076" operator="containsText" text="GP1">
      <formula>NOT(ISERROR(SEARCH("GP1",AD8)))</formula>
    </cfRule>
  </conditionalFormatting>
  <conditionalFormatting sqref="AD8">
    <cfRule type="containsText" dxfId="7084" priority="16073" operator="containsText" text="GP2">
      <formula>NOT(ISERROR(SEARCH("GP2",AD8)))</formula>
    </cfRule>
    <cfRule type="containsText" dxfId="7083" priority="16074" operator="containsText" text="GP1">
      <formula>NOT(ISERROR(SEARCH("GP1",AD8)))</formula>
    </cfRule>
  </conditionalFormatting>
  <conditionalFormatting sqref="AD8">
    <cfRule type="containsText" dxfId="7082" priority="16071" operator="containsText" text="GP2">
      <formula>NOT(ISERROR(SEARCH("GP2",AD8)))</formula>
    </cfRule>
    <cfRule type="containsText" dxfId="7081" priority="16072" operator="containsText" text="GP1">
      <formula>NOT(ISERROR(SEARCH("GP1",AD8)))</formula>
    </cfRule>
  </conditionalFormatting>
  <conditionalFormatting sqref="AD8">
    <cfRule type="containsText" dxfId="7080" priority="16069" operator="containsText" text="GP2">
      <formula>NOT(ISERROR(SEARCH("GP2",AD8)))</formula>
    </cfRule>
    <cfRule type="containsText" dxfId="7079" priority="16070" operator="containsText" text="GP1">
      <formula>NOT(ISERROR(SEARCH("GP1",AD8)))</formula>
    </cfRule>
  </conditionalFormatting>
  <conditionalFormatting sqref="AD8">
    <cfRule type="containsText" dxfId="7078" priority="16067" operator="containsText" text="GP2">
      <formula>NOT(ISERROR(SEARCH("GP2",AD8)))</formula>
    </cfRule>
    <cfRule type="containsText" dxfId="7077" priority="16068" operator="containsText" text="GP1">
      <formula>NOT(ISERROR(SEARCH("GP1",AD8)))</formula>
    </cfRule>
  </conditionalFormatting>
  <conditionalFormatting sqref="AD8">
    <cfRule type="containsText" dxfId="7076" priority="16065" operator="containsText" text="GP2">
      <formula>NOT(ISERROR(SEARCH("GP2",AD8)))</formula>
    </cfRule>
    <cfRule type="containsText" dxfId="7075" priority="16066" operator="containsText" text="GP1">
      <formula>NOT(ISERROR(SEARCH("GP1",AD8)))</formula>
    </cfRule>
  </conditionalFormatting>
  <conditionalFormatting sqref="AD8">
    <cfRule type="containsText" dxfId="7074" priority="16063" operator="containsText" text="GP2">
      <formula>NOT(ISERROR(SEARCH("GP2",AD8)))</formula>
    </cfRule>
    <cfRule type="containsText" dxfId="7073" priority="16064" operator="containsText" text="GP1">
      <formula>NOT(ISERROR(SEARCH("GP1",AD8)))</formula>
    </cfRule>
  </conditionalFormatting>
  <conditionalFormatting sqref="AD8">
    <cfRule type="containsText" dxfId="7072" priority="16061" operator="containsText" text="GP2">
      <formula>NOT(ISERROR(SEARCH("GP2",AD8)))</formula>
    </cfRule>
    <cfRule type="containsText" dxfId="7071" priority="16062" operator="containsText" text="GP1">
      <formula>NOT(ISERROR(SEARCH("GP1",AD8)))</formula>
    </cfRule>
  </conditionalFormatting>
  <conditionalFormatting sqref="AD8">
    <cfRule type="containsText" dxfId="7070" priority="16059" operator="containsText" text="GP2">
      <formula>NOT(ISERROR(SEARCH("GP2",AD8)))</formula>
    </cfRule>
    <cfRule type="containsText" dxfId="7069" priority="16060" operator="containsText" text="GP1">
      <formula>NOT(ISERROR(SEARCH("GP1",AD8)))</formula>
    </cfRule>
  </conditionalFormatting>
  <conditionalFormatting sqref="AD8">
    <cfRule type="containsText" dxfId="7068" priority="16057" operator="containsText" text="GP2">
      <formula>NOT(ISERROR(SEARCH("GP2",AD8)))</formula>
    </cfRule>
    <cfRule type="containsText" dxfId="7067" priority="16058" operator="containsText" text="GP1">
      <formula>NOT(ISERROR(SEARCH("GP1",AD8)))</formula>
    </cfRule>
  </conditionalFormatting>
  <conditionalFormatting sqref="AD8">
    <cfRule type="containsText" dxfId="7066" priority="16055" operator="containsText" text="GP2">
      <formula>NOT(ISERROR(SEARCH("GP2",AD8)))</formula>
    </cfRule>
    <cfRule type="containsText" dxfId="7065" priority="16056" operator="containsText" text="GP1">
      <formula>NOT(ISERROR(SEARCH("GP1",AD8)))</formula>
    </cfRule>
  </conditionalFormatting>
  <conditionalFormatting sqref="AD8">
    <cfRule type="containsText" dxfId="7064" priority="16053" operator="containsText" text="GP2">
      <formula>NOT(ISERROR(SEARCH("GP2",AD8)))</formula>
    </cfRule>
    <cfRule type="containsText" dxfId="7063" priority="16054" operator="containsText" text="GP1">
      <formula>NOT(ISERROR(SEARCH("GP1",AD8)))</formula>
    </cfRule>
  </conditionalFormatting>
  <conditionalFormatting sqref="AD8">
    <cfRule type="containsText" dxfId="7062" priority="16051" operator="containsText" text="GP2">
      <formula>NOT(ISERROR(SEARCH("GP2",AD8)))</formula>
    </cfRule>
    <cfRule type="containsText" dxfId="7061" priority="16052" operator="containsText" text="GP1">
      <formula>NOT(ISERROR(SEARCH("GP1",AD8)))</formula>
    </cfRule>
  </conditionalFormatting>
  <conditionalFormatting sqref="AD8">
    <cfRule type="containsText" dxfId="7060" priority="16049" operator="containsText" text="GP2">
      <formula>NOT(ISERROR(SEARCH("GP2",AD8)))</formula>
    </cfRule>
    <cfRule type="containsText" dxfId="7059" priority="16050" operator="containsText" text="GP1">
      <formula>NOT(ISERROR(SEARCH("GP1",AD8)))</formula>
    </cfRule>
  </conditionalFormatting>
  <conditionalFormatting sqref="AD8">
    <cfRule type="containsText" dxfId="7058" priority="16047" operator="containsText" text="GP2">
      <formula>NOT(ISERROR(SEARCH("GP2",AD8)))</formula>
    </cfRule>
    <cfRule type="containsText" dxfId="7057" priority="16048" operator="containsText" text="GP1">
      <formula>NOT(ISERROR(SEARCH("GP1",AD8)))</formula>
    </cfRule>
  </conditionalFormatting>
  <conditionalFormatting sqref="AD8">
    <cfRule type="containsText" dxfId="7056" priority="16045" operator="containsText" text="GP2">
      <formula>NOT(ISERROR(SEARCH("GP2",AD8)))</formula>
    </cfRule>
    <cfRule type="containsText" dxfId="7055" priority="16046" operator="containsText" text="GP1">
      <formula>NOT(ISERROR(SEARCH("GP1",AD8)))</formula>
    </cfRule>
  </conditionalFormatting>
  <conditionalFormatting sqref="AD8">
    <cfRule type="containsText" dxfId="7054" priority="16043" operator="containsText" text="GP2">
      <formula>NOT(ISERROR(SEARCH("GP2",AD8)))</formula>
    </cfRule>
    <cfRule type="containsText" dxfId="7053" priority="16044" operator="containsText" text="GP1">
      <formula>NOT(ISERROR(SEARCH("GP1",AD8)))</formula>
    </cfRule>
  </conditionalFormatting>
  <conditionalFormatting sqref="AD8">
    <cfRule type="containsText" dxfId="7052" priority="16041" operator="containsText" text="GP2">
      <formula>NOT(ISERROR(SEARCH("GP2",AD8)))</formula>
    </cfRule>
    <cfRule type="containsText" dxfId="7051" priority="16042" operator="containsText" text="GP1">
      <formula>NOT(ISERROR(SEARCH("GP1",AD8)))</formula>
    </cfRule>
  </conditionalFormatting>
  <conditionalFormatting sqref="AD8">
    <cfRule type="containsText" dxfId="7050" priority="16039" operator="containsText" text="GP2">
      <formula>NOT(ISERROR(SEARCH("GP2",AD8)))</formula>
    </cfRule>
    <cfRule type="containsText" dxfId="7049" priority="16040" operator="containsText" text="GP1">
      <formula>NOT(ISERROR(SEARCH("GP1",AD8)))</formula>
    </cfRule>
  </conditionalFormatting>
  <conditionalFormatting sqref="AD8">
    <cfRule type="containsText" dxfId="7048" priority="16037" operator="containsText" text="GP2">
      <formula>NOT(ISERROR(SEARCH("GP2",AD8)))</formula>
    </cfRule>
    <cfRule type="containsText" dxfId="7047" priority="16038" operator="containsText" text="GP1">
      <formula>NOT(ISERROR(SEARCH("GP1",AD8)))</formula>
    </cfRule>
  </conditionalFormatting>
  <conditionalFormatting sqref="AD8">
    <cfRule type="containsText" dxfId="7046" priority="16035" operator="containsText" text="GP2">
      <formula>NOT(ISERROR(SEARCH("GP2",AD8)))</formula>
    </cfRule>
    <cfRule type="containsText" dxfId="7045" priority="16036" operator="containsText" text="GP1">
      <formula>NOT(ISERROR(SEARCH("GP1",AD8)))</formula>
    </cfRule>
  </conditionalFormatting>
  <conditionalFormatting sqref="AD8">
    <cfRule type="containsText" dxfId="7044" priority="16033" operator="containsText" text="GP2">
      <formula>NOT(ISERROR(SEARCH("GP2",AD8)))</formula>
    </cfRule>
    <cfRule type="containsText" dxfId="7043" priority="16034" operator="containsText" text="GP1">
      <formula>NOT(ISERROR(SEARCH("GP1",AD8)))</formula>
    </cfRule>
  </conditionalFormatting>
  <conditionalFormatting sqref="AD8">
    <cfRule type="containsText" dxfId="7042" priority="16031" operator="containsText" text="GP2">
      <formula>NOT(ISERROR(SEARCH("GP2",AD8)))</formula>
    </cfRule>
    <cfRule type="containsText" dxfId="7041" priority="16032" operator="containsText" text="GP1">
      <formula>NOT(ISERROR(SEARCH("GP1",AD8)))</formula>
    </cfRule>
  </conditionalFormatting>
  <conditionalFormatting sqref="AD8">
    <cfRule type="containsText" dxfId="7040" priority="16029" operator="containsText" text="GP2">
      <formula>NOT(ISERROR(SEARCH("GP2",AD8)))</formula>
    </cfRule>
    <cfRule type="containsText" dxfId="7039" priority="16030" operator="containsText" text="GP1">
      <formula>NOT(ISERROR(SEARCH("GP1",AD8)))</formula>
    </cfRule>
  </conditionalFormatting>
  <conditionalFormatting sqref="AD8">
    <cfRule type="containsText" dxfId="7038" priority="16027" operator="containsText" text="GP2">
      <formula>NOT(ISERROR(SEARCH("GP2",AD8)))</formula>
    </cfRule>
    <cfRule type="containsText" dxfId="7037" priority="16028" operator="containsText" text="GP1">
      <formula>NOT(ISERROR(SEARCH("GP1",AD8)))</formula>
    </cfRule>
  </conditionalFormatting>
  <conditionalFormatting sqref="AD8">
    <cfRule type="containsText" dxfId="7036" priority="16025" operator="containsText" text="GP2">
      <formula>NOT(ISERROR(SEARCH("GP2",AD8)))</formula>
    </cfRule>
    <cfRule type="containsText" dxfId="7035" priority="16026" operator="containsText" text="GP1">
      <formula>NOT(ISERROR(SEARCH("GP1",AD8)))</formula>
    </cfRule>
  </conditionalFormatting>
  <conditionalFormatting sqref="AD8">
    <cfRule type="containsText" dxfId="7034" priority="16023" operator="containsText" text="GP2">
      <formula>NOT(ISERROR(SEARCH("GP2",AD8)))</formula>
    </cfRule>
    <cfRule type="containsText" dxfId="7033" priority="16024" operator="containsText" text="GP1">
      <formula>NOT(ISERROR(SEARCH("GP1",AD8)))</formula>
    </cfRule>
  </conditionalFormatting>
  <conditionalFormatting sqref="AD8">
    <cfRule type="containsText" dxfId="7032" priority="16021" operator="containsText" text="GP2">
      <formula>NOT(ISERROR(SEARCH("GP2",AD8)))</formula>
    </cfRule>
    <cfRule type="containsText" dxfId="7031" priority="16022" operator="containsText" text="GP1">
      <formula>NOT(ISERROR(SEARCH("GP1",AD8)))</formula>
    </cfRule>
  </conditionalFormatting>
  <conditionalFormatting sqref="AD8">
    <cfRule type="containsText" dxfId="7030" priority="16019" operator="containsText" text="GP2">
      <formula>NOT(ISERROR(SEARCH("GP2",AD8)))</formula>
    </cfRule>
    <cfRule type="containsText" dxfId="7029" priority="16020" operator="containsText" text="GP1">
      <formula>NOT(ISERROR(SEARCH("GP1",AD8)))</formula>
    </cfRule>
  </conditionalFormatting>
  <conditionalFormatting sqref="AD8">
    <cfRule type="containsText" dxfId="7028" priority="16017" operator="containsText" text="GP2">
      <formula>NOT(ISERROR(SEARCH("GP2",AD8)))</formula>
    </cfRule>
    <cfRule type="containsText" dxfId="7027" priority="16018" operator="containsText" text="GP1">
      <formula>NOT(ISERROR(SEARCH("GP1",AD8)))</formula>
    </cfRule>
  </conditionalFormatting>
  <conditionalFormatting sqref="AD8">
    <cfRule type="containsText" dxfId="7026" priority="16015" operator="containsText" text="GP2">
      <formula>NOT(ISERROR(SEARCH("GP2",AD8)))</formula>
    </cfRule>
    <cfRule type="containsText" dxfId="7025" priority="16016" operator="containsText" text="GP1">
      <formula>NOT(ISERROR(SEARCH("GP1",AD8)))</formula>
    </cfRule>
  </conditionalFormatting>
  <conditionalFormatting sqref="AD8">
    <cfRule type="containsText" dxfId="7024" priority="16013" operator="containsText" text="GP2">
      <formula>NOT(ISERROR(SEARCH("GP2",AD8)))</formula>
    </cfRule>
    <cfRule type="containsText" dxfId="7023" priority="16014" operator="containsText" text="GP1">
      <formula>NOT(ISERROR(SEARCH("GP1",AD8)))</formula>
    </cfRule>
  </conditionalFormatting>
  <conditionalFormatting sqref="AD8">
    <cfRule type="containsText" dxfId="7022" priority="16011" operator="containsText" text="GP2">
      <formula>NOT(ISERROR(SEARCH("GP2",AD8)))</formula>
    </cfRule>
    <cfRule type="containsText" dxfId="7021" priority="16012" operator="containsText" text="GP1">
      <formula>NOT(ISERROR(SEARCH("GP1",AD8)))</formula>
    </cfRule>
  </conditionalFormatting>
  <conditionalFormatting sqref="AD8">
    <cfRule type="containsText" dxfId="7020" priority="16009" operator="containsText" text="GP2">
      <formula>NOT(ISERROR(SEARCH("GP2",AD8)))</formula>
    </cfRule>
    <cfRule type="containsText" dxfId="7019" priority="16010" operator="containsText" text="GP1">
      <formula>NOT(ISERROR(SEARCH("GP1",AD8)))</formula>
    </cfRule>
  </conditionalFormatting>
  <conditionalFormatting sqref="AD8">
    <cfRule type="containsText" dxfId="7018" priority="16007" operator="containsText" text="GP2">
      <formula>NOT(ISERROR(SEARCH("GP2",AD8)))</formula>
    </cfRule>
    <cfRule type="containsText" dxfId="7017" priority="16008" operator="containsText" text="GP1">
      <formula>NOT(ISERROR(SEARCH("GP1",AD8)))</formula>
    </cfRule>
  </conditionalFormatting>
  <conditionalFormatting sqref="AD8">
    <cfRule type="containsText" dxfId="7016" priority="16005" operator="containsText" text="GP2">
      <formula>NOT(ISERROR(SEARCH("GP2",AD8)))</formula>
    </cfRule>
    <cfRule type="containsText" dxfId="7015" priority="16006" operator="containsText" text="GP1">
      <formula>NOT(ISERROR(SEARCH("GP1",AD8)))</formula>
    </cfRule>
  </conditionalFormatting>
  <conditionalFormatting sqref="AD8">
    <cfRule type="containsText" dxfId="7014" priority="16003" operator="containsText" text="GP2">
      <formula>NOT(ISERROR(SEARCH("GP2",AD8)))</formula>
    </cfRule>
    <cfRule type="containsText" dxfId="7013" priority="16004" operator="containsText" text="GP1">
      <formula>NOT(ISERROR(SEARCH("GP1",AD8)))</formula>
    </cfRule>
  </conditionalFormatting>
  <conditionalFormatting sqref="AD8">
    <cfRule type="containsText" dxfId="7012" priority="16001" operator="containsText" text="GP2">
      <formula>NOT(ISERROR(SEARCH("GP2",AD8)))</formula>
    </cfRule>
    <cfRule type="containsText" dxfId="7011" priority="16002" operator="containsText" text="GP1">
      <formula>NOT(ISERROR(SEARCH("GP1",AD8)))</formula>
    </cfRule>
  </conditionalFormatting>
  <conditionalFormatting sqref="AD8">
    <cfRule type="containsText" dxfId="7010" priority="15999" operator="containsText" text="GP2">
      <formula>NOT(ISERROR(SEARCH("GP2",AD8)))</formula>
    </cfRule>
    <cfRule type="containsText" dxfId="7009" priority="16000" operator="containsText" text="GP1">
      <formula>NOT(ISERROR(SEARCH("GP1",AD8)))</formula>
    </cfRule>
  </conditionalFormatting>
  <conditionalFormatting sqref="AD8">
    <cfRule type="containsText" dxfId="7008" priority="15997" operator="containsText" text="GP2">
      <formula>NOT(ISERROR(SEARCH("GP2",AD8)))</formula>
    </cfRule>
    <cfRule type="containsText" dxfId="7007" priority="15998" operator="containsText" text="GP1">
      <formula>NOT(ISERROR(SEARCH("GP1",AD8)))</formula>
    </cfRule>
  </conditionalFormatting>
  <conditionalFormatting sqref="AD8">
    <cfRule type="containsText" dxfId="7006" priority="15995" operator="containsText" text="GP2">
      <formula>NOT(ISERROR(SEARCH("GP2",AD8)))</formula>
    </cfRule>
    <cfRule type="containsText" dxfId="7005" priority="15996" operator="containsText" text="GP1">
      <formula>NOT(ISERROR(SEARCH("GP1",AD8)))</formula>
    </cfRule>
  </conditionalFormatting>
  <conditionalFormatting sqref="AD8">
    <cfRule type="containsText" dxfId="7004" priority="15993" operator="containsText" text="GP2">
      <formula>NOT(ISERROR(SEARCH("GP2",AD8)))</formula>
    </cfRule>
    <cfRule type="containsText" dxfId="7003" priority="15994" operator="containsText" text="GP1">
      <formula>NOT(ISERROR(SEARCH("GP1",AD8)))</formula>
    </cfRule>
  </conditionalFormatting>
  <conditionalFormatting sqref="AD8">
    <cfRule type="containsText" dxfId="7002" priority="15991" operator="containsText" text="GP2">
      <formula>NOT(ISERROR(SEARCH("GP2",AD8)))</formula>
    </cfRule>
    <cfRule type="containsText" dxfId="7001" priority="15992" operator="containsText" text="GP1">
      <formula>NOT(ISERROR(SEARCH("GP1",AD8)))</formula>
    </cfRule>
  </conditionalFormatting>
  <conditionalFormatting sqref="AD8">
    <cfRule type="containsText" dxfId="7000" priority="15989" operator="containsText" text="GP2">
      <formula>NOT(ISERROR(SEARCH("GP2",AD8)))</formula>
    </cfRule>
    <cfRule type="containsText" dxfId="6999" priority="15990" operator="containsText" text="GP1">
      <formula>NOT(ISERROR(SEARCH("GP1",AD8)))</formula>
    </cfRule>
  </conditionalFormatting>
  <conditionalFormatting sqref="AD8">
    <cfRule type="containsText" dxfId="6998" priority="15987" operator="containsText" text="GP2">
      <formula>NOT(ISERROR(SEARCH("GP2",AD8)))</formula>
    </cfRule>
    <cfRule type="containsText" dxfId="6997" priority="15988" operator="containsText" text="GP1">
      <formula>NOT(ISERROR(SEARCH("GP1",AD8)))</formula>
    </cfRule>
  </conditionalFormatting>
  <conditionalFormatting sqref="AD8">
    <cfRule type="containsText" dxfId="6996" priority="15985" operator="containsText" text="GP2">
      <formula>NOT(ISERROR(SEARCH("GP2",AD8)))</formula>
    </cfRule>
    <cfRule type="containsText" dxfId="6995" priority="15986" operator="containsText" text="GP1">
      <formula>NOT(ISERROR(SEARCH("GP1",AD8)))</formula>
    </cfRule>
  </conditionalFormatting>
  <conditionalFormatting sqref="AD8">
    <cfRule type="containsText" dxfId="6994" priority="15983" operator="containsText" text="GP2">
      <formula>NOT(ISERROR(SEARCH("GP2",AD8)))</formula>
    </cfRule>
    <cfRule type="containsText" dxfId="6993" priority="15984" operator="containsText" text="GP1">
      <formula>NOT(ISERROR(SEARCH("GP1",AD8)))</formula>
    </cfRule>
  </conditionalFormatting>
  <conditionalFormatting sqref="AD8">
    <cfRule type="containsText" dxfId="6992" priority="15981" operator="containsText" text="GP2">
      <formula>NOT(ISERROR(SEARCH("GP2",AD8)))</formula>
    </cfRule>
    <cfRule type="containsText" dxfId="6991" priority="15982" operator="containsText" text="GP1">
      <formula>NOT(ISERROR(SEARCH("GP1",AD8)))</formula>
    </cfRule>
  </conditionalFormatting>
  <conditionalFormatting sqref="AD8">
    <cfRule type="containsText" dxfId="6990" priority="15979" operator="containsText" text="GP2">
      <formula>NOT(ISERROR(SEARCH("GP2",AD8)))</formula>
    </cfRule>
    <cfRule type="containsText" dxfId="6989" priority="15980" operator="containsText" text="GP1">
      <formula>NOT(ISERROR(SEARCH("GP1",AD8)))</formula>
    </cfRule>
  </conditionalFormatting>
  <conditionalFormatting sqref="AD8">
    <cfRule type="containsText" dxfId="6988" priority="15977" operator="containsText" text="GP2">
      <formula>NOT(ISERROR(SEARCH("GP2",AD8)))</formula>
    </cfRule>
    <cfRule type="containsText" dxfId="6987" priority="15978" operator="containsText" text="GP1">
      <formula>NOT(ISERROR(SEARCH("GP1",AD8)))</formula>
    </cfRule>
  </conditionalFormatting>
  <conditionalFormatting sqref="AD8">
    <cfRule type="containsText" dxfId="6986" priority="15975" operator="containsText" text="GP2">
      <formula>NOT(ISERROR(SEARCH("GP2",AD8)))</formula>
    </cfRule>
    <cfRule type="containsText" dxfId="6985" priority="15976" operator="containsText" text="GP1">
      <formula>NOT(ISERROR(SEARCH("GP1",AD8)))</formula>
    </cfRule>
  </conditionalFormatting>
  <conditionalFormatting sqref="AD8">
    <cfRule type="containsText" dxfId="6984" priority="15973" operator="containsText" text="GP2">
      <formula>NOT(ISERROR(SEARCH("GP2",AD8)))</formula>
    </cfRule>
    <cfRule type="containsText" dxfId="6983" priority="15974" operator="containsText" text="GP1">
      <formula>NOT(ISERROR(SEARCH("GP1",AD8)))</formula>
    </cfRule>
  </conditionalFormatting>
  <conditionalFormatting sqref="AD8">
    <cfRule type="containsText" dxfId="6982" priority="15971" operator="containsText" text="GP2">
      <formula>NOT(ISERROR(SEARCH("GP2",AD8)))</formula>
    </cfRule>
    <cfRule type="containsText" dxfId="6981" priority="15972" operator="containsText" text="GP1">
      <formula>NOT(ISERROR(SEARCH("GP1",AD8)))</formula>
    </cfRule>
  </conditionalFormatting>
  <conditionalFormatting sqref="AD8">
    <cfRule type="containsText" dxfId="6980" priority="15969" operator="containsText" text="GP2">
      <formula>NOT(ISERROR(SEARCH("GP2",AD8)))</formula>
    </cfRule>
    <cfRule type="containsText" dxfId="6979" priority="15970" operator="containsText" text="GP1">
      <formula>NOT(ISERROR(SEARCH("GP1",AD8)))</formula>
    </cfRule>
  </conditionalFormatting>
  <conditionalFormatting sqref="AD8">
    <cfRule type="containsText" dxfId="6978" priority="15967" operator="containsText" text="GP2">
      <formula>NOT(ISERROR(SEARCH("GP2",AD8)))</formula>
    </cfRule>
    <cfRule type="containsText" dxfId="6977" priority="15968" operator="containsText" text="GP1">
      <formula>NOT(ISERROR(SEARCH("GP1",AD8)))</formula>
    </cfRule>
  </conditionalFormatting>
  <conditionalFormatting sqref="AD8">
    <cfRule type="containsText" dxfId="6976" priority="15965" operator="containsText" text="GP2">
      <formula>NOT(ISERROR(SEARCH("GP2",AD8)))</formula>
    </cfRule>
    <cfRule type="containsText" dxfId="6975" priority="15966" operator="containsText" text="GP1">
      <formula>NOT(ISERROR(SEARCH("GP1",AD8)))</formula>
    </cfRule>
  </conditionalFormatting>
  <conditionalFormatting sqref="AD8">
    <cfRule type="containsText" dxfId="6974" priority="15963" operator="containsText" text="GP2">
      <formula>NOT(ISERROR(SEARCH("GP2",AD8)))</formula>
    </cfRule>
    <cfRule type="containsText" dxfId="6973" priority="15964" operator="containsText" text="GP1">
      <formula>NOT(ISERROR(SEARCH("GP1",AD8)))</formula>
    </cfRule>
  </conditionalFormatting>
  <conditionalFormatting sqref="AD8">
    <cfRule type="containsText" dxfId="6972" priority="15961" operator="containsText" text="GP2">
      <formula>NOT(ISERROR(SEARCH("GP2",AD8)))</formula>
    </cfRule>
    <cfRule type="containsText" dxfId="6971" priority="15962" operator="containsText" text="GP1">
      <formula>NOT(ISERROR(SEARCH("GP1",AD8)))</formula>
    </cfRule>
  </conditionalFormatting>
  <conditionalFormatting sqref="AD8">
    <cfRule type="containsText" dxfId="6970" priority="15959" operator="containsText" text="GP2">
      <formula>NOT(ISERROR(SEARCH("GP2",AD8)))</formula>
    </cfRule>
    <cfRule type="containsText" dxfId="6969" priority="15960" operator="containsText" text="GP1">
      <formula>NOT(ISERROR(SEARCH("GP1",AD8)))</formula>
    </cfRule>
  </conditionalFormatting>
  <conditionalFormatting sqref="AD8">
    <cfRule type="containsText" dxfId="6968" priority="15957" operator="containsText" text="GP2">
      <formula>NOT(ISERROR(SEARCH("GP2",AD8)))</formula>
    </cfRule>
    <cfRule type="containsText" dxfId="6967" priority="15958" operator="containsText" text="GP1">
      <formula>NOT(ISERROR(SEARCH("GP1",AD8)))</formula>
    </cfRule>
  </conditionalFormatting>
  <conditionalFormatting sqref="AD8">
    <cfRule type="containsText" dxfId="6966" priority="15955" operator="containsText" text="GP2">
      <formula>NOT(ISERROR(SEARCH("GP2",AD8)))</formula>
    </cfRule>
    <cfRule type="containsText" dxfId="6965" priority="15956" operator="containsText" text="GP1">
      <formula>NOT(ISERROR(SEARCH("GP1",AD8)))</formula>
    </cfRule>
  </conditionalFormatting>
  <conditionalFormatting sqref="AD8">
    <cfRule type="containsText" dxfId="6964" priority="15953" operator="containsText" text="GP2">
      <formula>NOT(ISERROR(SEARCH("GP2",AD8)))</formula>
    </cfRule>
    <cfRule type="containsText" dxfId="6963" priority="15954" operator="containsText" text="GP1">
      <formula>NOT(ISERROR(SEARCH("GP1",AD8)))</formula>
    </cfRule>
  </conditionalFormatting>
  <conditionalFormatting sqref="AD8">
    <cfRule type="containsText" dxfId="6962" priority="15951" operator="containsText" text="GP2">
      <formula>NOT(ISERROR(SEARCH("GP2",AD8)))</formula>
    </cfRule>
    <cfRule type="containsText" dxfId="6961" priority="15952" operator="containsText" text="GP1">
      <formula>NOT(ISERROR(SEARCH("GP1",AD8)))</formula>
    </cfRule>
  </conditionalFormatting>
  <conditionalFormatting sqref="AD8">
    <cfRule type="containsText" dxfId="6960" priority="15949" operator="containsText" text="GP2">
      <formula>NOT(ISERROR(SEARCH("GP2",AD8)))</formula>
    </cfRule>
    <cfRule type="containsText" dxfId="6959" priority="15950" operator="containsText" text="GP1">
      <formula>NOT(ISERROR(SEARCH("GP1",AD8)))</formula>
    </cfRule>
  </conditionalFormatting>
  <conditionalFormatting sqref="AD8">
    <cfRule type="containsText" dxfId="6958" priority="15947" operator="containsText" text="GP2">
      <formula>NOT(ISERROR(SEARCH("GP2",AD8)))</formula>
    </cfRule>
    <cfRule type="containsText" dxfId="6957" priority="15948" operator="containsText" text="GP1">
      <formula>NOT(ISERROR(SEARCH("GP1",AD8)))</formula>
    </cfRule>
  </conditionalFormatting>
  <conditionalFormatting sqref="AD8">
    <cfRule type="containsText" dxfId="6956" priority="15945" operator="containsText" text="GP2">
      <formula>NOT(ISERROR(SEARCH("GP2",AD8)))</formula>
    </cfRule>
    <cfRule type="containsText" dxfId="6955" priority="15946" operator="containsText" text="GP1">
      <formula>NOT(ISERROR(SEARCH("GP1",AD8)))</formula>
    </cfRule>
  </conditionalFormatting>
  <conditionalFormatting sqref="AD8">
    <cfRule type="containsText" dxfId="6954" priority="15943" operator="containsText" text="GP2">
      <formula>NOT(ISERROR(SEARCH("GP2",AD8)))</formula>
    </cfRule>
    <cfRule type="containsText" dxfId="6953" priority="15944" operator="containsText" text="GP1">
      <formula>NOT(ISERROR(SEARCH("GP1",AD8)))</formula>
    </cfRule>
  </conditionalFormatting>
  <conditionalFormatting sqref="AD8">
    <cfRule type="containsText" dxfId="6952" priority="15941" operator="containsText" text="GP2">
      <formula>NOT(ISERROR(SEARCH("GP2",AD8)))</formula>
    </cfRule>
    <cfRule type="containsText" dxfId="6951" priority="15942" operator="containsText" text="GP1">
      <formula>NOT(ISERROR(SEARCH("GP1",AD8)))</formula>
    </cfRule>
  </conditionalFormatting>
  <conditionalFormatting sqref="AD8">
    <cfRule type="containsText" dxfId="6950" priority="15939" operator="containsText" text="GP2">
      <formula>NOT(ISERROR(SEARCH("GP2",AD8)))</formula>
    </cfRule>
    <cfRule type="containsText" dxfId="6949" priority="15940" operator="containsText" text="GP1">
      <formula>NOT(ISERROR(SEARCH("GP1",AD8)))</formula>
    </cfRule>
  </conditionalFormatting>
  <conditionalFormatting sqref="AD8">
    <cfRule type="containsText" dxfId="6948" priority="15937" operator="containsText" text="GP2">
      <formula>NOT(ISERROR(SEARCH("GP2",AD8)))</formula>
    </cfRule>
    <cfRule type="containsText" dxfId="6947" priority="15938" operator="containsText" text="GP1">
      <formula>NOT(ISERROR(SEARCH("GP1",AD8)))</formula>
    </cfRule>
  </conditionalFormatting>
  <conditionalFormatting sqref="AD8">
    <cfRule type="containsText" dxfId="6946" priority="15935" operator="containsText" text="GP2">
      <formula>NOT(ISERROR(SEARCH("GP2",AD8)))</formula>
    </cfRule>
    <cfRule type="containsText" dxfId="6945" priority="15936" operator="containsText" text="GP1">
      <formula>NOT(ISERROR(SEARCH("GP1",AD8)))</formula>
    </cfRule>
  </conditionalFormatting>
  <conditionalFormatting sqref="AD8">
    <cfRule type="containsText" dxfId="6944" priority="15933" operator="containsText" text="GP2">
      <formula>NOT(ISERROR(SEARCH("GP2",AD8)))</formula>
    </cfRule>
    <cfRule type="containsText" dxfId="6943" priority="15934" operator="containsText" text="GP1">
      <formula>NOT(ISERROR(SEARCH("GP1",AD8)))</formula>
    </cfRule>
  </conditionalFormatting>
  <conditionalFormatting sqref="AD8">
    <cfRule type="containsText" dxfId="6942" priority="15931" operator="containsText" text="GP2">
      <formula>NOT(ISERROR(SEARCH("GP2",AD8)))</formula>
    </cfRule>
    <cfRule type="containsText" dxfId="6941" priority="15932" operator="containsText" text="GP1">
      <formula>NOT(ISERROR(SEARCH("GP1",AD8)))</formula>
    </cfRule>
  </conditionalFormatting>
  <conditionalFormatting sqref="AD8">
    <cfRule type="containsText" dxfId="6940" priority="15929" operator="containsText" text="GP2">
      <formula>NOT(ISERROR(SEARCH("GP2",AD8)))</formula>
    </cfRule>
    <cfRule type="containsText" dxfId="6939" priority="15930" operator="containsText" text="GP1">
      <formula>NOT(ISERROR(SEARCH("GP1",AD8)))</formula>
    </cfRule>
  </conditionalFormatting>
  <conditionalFormatting sqref="AD8">
    <cfRule type="containsText" dxfId="6938" priority="15927" operator="containsText" text="GP2">
      <formula>NOT(ISERROR(SEARCH("GP2",AD8)))</formula>
    </cfRule>
    <cfRule type="containsText" dxfId="6937" priority="15928" operator="containsText" text="GP1">
      <formula>NOT(ISERROR(SEARCH("GP1",AD8)))</formula>
    </cfRule>
  </conditionalFormatting>
  <conditionalFormatting sqref="AD8">
    <cfRule type="containsText" dxfId="6936" priority="15925" operator="containsText" text="GP2">
      <formula>NOT(ISERROR(SEARCH("GP2",AD8)))</formula>
    </cfRule>
    <cfRule type="containsText" dxfId="6935" priority="15926" operator="containsText" text="GP1">
      <formula>NOT(ISERROR(SEARCH("GP1",AD8)))</formula>
    </cfRule>
  </conditionalFormatting>
  <conditionalFormatting sqref="AD8">
    <cfRule type="containsText" dxfId="6934" priority="15923" operator="containsText" text="GP2">
      <formula>NOT(ISERROR(SEARCH("GP2",AD8)))</formula>
    </cfRule>
    <cfRule type="containsText" dxfId="6933" priority="15924" operator="containsText" text="GP1">
      <formula>NOT(ISERROR(SEARCH("GP1",AD8)))</formula>
    </cfRule>
  </conditionalFormatting>
  <conditionalFormatting sqref="AD8">
    <cfRule type="containsText" dxfId="6932" priority="15921" operator="containsText" text="GP2">
      <formula>NOT(ISERROR(SEARCH("GP2",AD8)))</formula>
    </cfRule>
    <cfRule type="containsText" dxfId="6931" priority="15922" operator="containsText" text="GP1">
      <formula>NOT(ISERROR(SEARCH("GP1",AD8)))</formula>
    </cfRule>
  </conditionalFormatting>
  <conditionalFormatting sqref="AD8">
    <cfRule type="containsText" dxfId="6930" priority="15919" operator="containsText" text="GP2">
      <formula>NOT(ISERROR(SEARCH("GP2",AD8)))</formula>
    </cfRule>
    <cfRule type="containsText" dxfId="6929" priority="15920" operator="containsText" text="GP1">
      <formula>NOT(ISERROR(SEARCH("GP1",AD8)))</formula>
    </cfRule>
  </conditionalFormatting>
  <conditionalFormatting sqref="AD8">
    <cfRule type="containsText" dxfId="6928" priority="15917" operator="containsText" text="GP2">
      <formula>NOT(ISERROR(SEARCH("GP2",AD8)))</formula>
    </cfRule>
    <cfRule type="containsText" dxfId="6927" priority="15918" operator="containsText" text="GP1">
      <formula>NOT(ISERROR(SEARCH("GP1",AD8)))</formula>
    </cfRule>
  </conditionalFormatting>
  <conditionalFormatting sqref="AD8">
    <cfRule type="containsText" dxfId="6926" priority="15915" operator="containsText" text="GP2">
      <formula>NOT(ISERROR(SEARCH("GP2",AD8)))</formula>
    </cfRule>
    <cfRule type="containsText" dxfId="6925" priority="15916" operator="containsText" text="GP1">
      <formula>NOT(ISERROR(SEARCH("GP1",AD8)))</formula>
    </cfRule>
  </conditionalFormatting>
  <conditionalFormatting sqref="AD8">
    <cfRule type="containsText" dxfId="6924" priority="15913" operator="containsText" text="GP2">
      <formula>NOT(ISERROR(SEARCH("GP2",AD8)))</formula>
    </cfRule>
    <cfRule type="containsText" dxfId="6923" priority="15914" operator="containsText" text="GP1">
      <formula>NOT(ISERROR(SEARCH("GP1",AD8)))</formula>
    </cfRule>
  </conditionalFormatting>
  <conditionalFormatting sqref="AD8">
    <cfRule type="containsText" dxfId="6922" priority="15911" operator="containsText" text="GP2">
      <formula>NOT(ISERROR(SEARCH("GP2",AD8)))</formula>
    </cfRule>
    <cfRule type="containsText" dxfId="6921" priority="15912" operator="containsText" text="GP1">
      <formula>NOT(ISERROR(SEARCH("GP1",AD8)))</formula>
    </cfRule>
  </conditionalFormatting>
  <conditionalFormatting sqref="AD8">
    <cfRule type="containsText" dxfId="6920" priority="15909" operator="containsText" text="GP2">
      <formula>NOT(ISERROR(SEARCH("GP2",AD8)))</formula>
    </cfRule>
    <cfRule type="containsText" dxfId="6919" priority="15910" operator="containsText" text="GP1">
      <formula>NOT(ISERROR(SEARCH("GP1",AD8)))</formula>
    </cfRule>
  </conditionalFormatting>
  <conditionalFormatting sqref="AD8">
    <cfRule type="containsText" dxfId="6918" priority="15907" operator="containsText" text="GP2">
      <formula>NOT(ISERROR(SEARCH("GP2",AD8)))</formula>
    </cfRule>
    <cfRule type="containsText" dxfId="6917" priority="15908" operator="containsText" text="GP1">
      <formula>NOT(ISERROR(SEARCH("GP1",AD8)))</formula>
    </cfRule>
  </conditionalFormatting>
  <conditionalFormatting sqref="AD8">
    <cfRule type="containsText" dxfId="6916" priority="15905" operator="containsText" text="GP2">
      <formula>NOT(ISERROR(SEARCH("GP2",AD8)))</formula>
    </cfRule>
    <cfRule type="containsText" dxfId="6915" priority="15906" operator="containsText" text="GP1">
      <formula>NOT(ISERROR(SEARCH("GP1",AD8)))</formula>
    </cfRule>
  </conditionalFormatting>
  <conditionalFormatting sqref="AD8">
    <cfRule type="containsText" dxfId="6914" priority="15903" operator="containsText" text="GP2">
      <formula>NOT(ISERROR(SEARCH("GP2",AD8)))</formula>
    </cfRule>
    <cfRule type="containsText" dxfId="6913" priority="15904" operator="containsText" text="GP1">
      <formula>NOT(ISERROR(SEARCH("GP1",AD8)))</formula>
    </cfRule>
  </conditionalFormatting>
  <conditionalFormatting sqref="AD8">
    <cfRule type="containsText" dxfId="6912" priority="15901" operator="containsText" text="GP2">
      <formula>NOT(ISERROR(SEARCH("GP2",AD8)))</formula>
    </cfRule>
    <cfRule type="containsText" dxfId="6911" priority="15902" operator="containsText" text="GP1">
      <formula>NOT(ISERROR(SEARCH("GP1",AD8)))</formula>
    </cfRule>
  </conditionalFormatting>
  <conditionalFormatting sqref="AD8">
    <cfRule type="containsText" dxfId="6910" priority="15899" operator="containsText" text="GP2">
      <formula>NOT(ISERROR(SEARCH("GP2",AD8)))</formula>
    </cfRule>
    <cfRule type="containsText" dxfId="6909" priority="15900" operator="containsText" text="GP1">
      <formula>NOT(ISERROR(SEARCH("GP1",AD8)))</formula>
    </cfRule>
  </conditionalFormatting>
  <conditionalFormatting sqref="AD8">
    <cfRule type="containsText" dxfId="6908" priority="15897" operator="containsText" text="GP2">
      <formula>NOT(ISERROR(SEARCH("GP2",AD8)))</formula>
    </cfRule>
    <cfRule type="containsText" dxfId="6907" priority="15898" operator="containsText" text="GP1">
      <formula>NOT(ISERROR(SEARCH("GP1",AD8)))</formula>
    </cfRule>
  </conditionalFormatting>
  <conditionalFormatting sqref="AD8">
    <cfRule type="containsText" dxfId="6906" priority="15895" operator="containsText" text="GP2">
      <formula>NOT(ISERROR(SEARCH("GP2",AD8)))</formula>
    </cfRule>
    <cfRule type="containsText" dxfId="6905" priority="15896" operator="containsText" text="GP1">
      <formula>NOT(ISERROR(SEARCH("GP1",AD8)))</formula>
    </cfRule>
  </conditionalFormatting>
  <conditionalFormatting sqref="AD8">
    <cfRule type="containsText" dxfId="6904" priority="15893" operator="containsText" text="GP2">
      <formula>NOT(ISERROR(SEARCH("GP2",AD8)))</formula>
    </cfRule>
    <cfRule type="containsText" dxfId="6903" priority="15894" operator="containsText" text="GP1">
      <formula>NOT(ISERROR(SEARCH("GP1",AD8)))</formula>
    </cfRule>
  </conditionalFormatting>
  <conditionalFormatting sqref="AD8">
    <cfRule type="containsText" dxfId="6902" priority="15891" operator="containsText" text="GP2">
      <formula>NOT(ISERROR(SEARCH("GP2",AD8)))</formula>
    </cfRule>
    <cfRule type="containsText" dxfId="6901" priority="15892" operator="containsText" text="GP1">
      <formula>NOT(ISERROR(SEARCH("GP1",AD8)))</formula>
    </cfRule>
  </conditionalFormatting>
  <conditionalFormatting sqref="AD8">
    <cfRule type="containsText" dxfId="6900" priority="15889" operator="containsText" text="GP2">
      <formula>NOT(ISERROR(SEARCH("GP2",AD8)))</formula>
    </cfRule>
    <cfRule type="containsText" dxfId="6899" priority="15890" operator="containsText" text="GP1">
      <formula>NOT(ISERROR(SEARCH("GP1",AD8)))</formula>
    </cfRule>
  </conditionalFormatting>
  <conditionalFormatting sqref="AD8">
    <cfRule type="containsText" dxfId="6898" priority="15887" operator="containsText" text="GP2">
      <formula>NOT(ISERROR(SEARCH("GP2",AD8)))</formula>
    </cfRule>
    <cfRule type="containsText" dxfId="6897" priority="15888" operator="containsText" text="GP1">
      <formula>NOT(ISERROR(SEARCH("GP1",AD8)))</formula>
    </cfRule>
  </conditionalFormatting>
  <conditionalFormatting sqref="AD8">
    <cfRule type="containsText" dxfId="6896" priority="15885" operator="containsText" text="GP2">
      <formula>NOT(ISERROR(SEARCH("GP2",AD8)))</formula>
    </cfRule>
    <cfRule type="containsText" dxfId="6895" priority="15886" operator="containsText" text="GP1">
      <formula>NOT(ISERROR(SEARCH("GP1",AD8)))</formula>
    </cfRule>
  </conditionalFormatting>
  <conditionalFormatting sqref="AD8">
    <cfRule type="containsText" dxfId="6894" priority="15883" operator="containsText" text="GP2">
      <formula>NOT(ISERROR(SEARCH("GP2",AD8)))</formula>
    </cfRule>
    <cfRule type="containsText" dxfId="6893" priority="15884" operator="containsText" text="GP1">
      <formula>NOT(ISERROR(SEARCH("GP1",AD8)))</formula>
    </cfRule>
  </conditionalFormatting>
  <conditionalFormatting sqref="AD8">
    <cfRule type="containsText" dxfId="6892" priority="15881" operator="containsText" text="GP2">
      <formula>NOT(ISERROR(SEARCH("GP2",AD8)))</formula>
    </cfRule>
    <cfRule type="containsText" dxfId="6891" priority="15882" operator="containsText" text="GP1">
      <formula>NOT(ISERROR(SEARCH("GP1",AD8)))</formula>
    </cfRule>
  </conditionalFormatting>
  <conditionalFormatting sqref="AD8">
    <cfRule type="containsText" dxfId="6890" priority="15879" operator="containsText" text="GP2">
      <formula>NOT(ISERROR(SEARCH("GP2",AD8)))</formula>
    </cfRule>
    <cfRule type="containsText" dxfId="6889" priority="15880" operator="containsText" text="GP1">
      <formula>NOT(ISERROR(SEARCH("GP1",AD8)))</formula>
    </cfRule>
  </conditionalFormatting>
  <conditionalFormatting sqref="AD8">
    <cfRule type="containsText" dxfId="6888" priority="15877" operator="containsText" text="GP2">
      <formula>NOT(ISERROR(SEARCH("GP2",AD8)))</formula>
    </cfRule>
    <cfRule type="containsText" dxfId="6887" priority="15878" operator="containsText" text="GP1">
      <formula>NOT(ISERROR(SEARCH("GP1",AD8)))</formula>
    </cfRule>
  </conditionalFormatting>
  <conditionalFormatting sqref="AD8">
    <cfRule type="containsText" dxfId="6886" priority="15875" operator="containsText" text="GP2">
      <formula>NOT(ISERROR(SEARCH("GP2",AD8)))</formula>
    </cfRule>
    <cfRule type="containsText" dxfId="6885" priority="15876" operator="containsText" text="GP1">
      <formula>NOT(ISERROR(SEARCH("GP1",AD8)))</formula>
    </cfRule>
  </conditionalFormatting>
  <conditionalFormatting sqref="AD8">
    <cfRule type="containsText" dxfId="6884" priority="15873" operator="containsText" text="GP2">
      <formula>NOT(ISERROR(SEARCH("GP2",AD8)))</formula>
    </cfRule>
    <cfRule type="containsText" dxfId="6883" priority="15874" operator="containsText" text="GP1">
      <formula>NOT(ISERROR(SEARCH("GP1",AD8)))</formula>
    </cfRule>
  </conditionalFormatting>
  <conditionalFormatting sqref="AD8">
    <cfRule type="containsText" dxfId="6882" priority="15871" operator="containsText" text="GP2">
      <formula>NOT(ISERROR(SEARCH("GP2",AD8)))</formula>
    </cfRule>
    <cfRule type="containsText" dxfId="6881" priority="15872" operator="containsText" text="GP1">
      <formula>NOT(ISERROR(SEARCH("GP1",AD8)))</formula>
    </cfRule>
  </conditionalFormatting>
  <conditionalFormatting sqref="AD8">
    <cfRule type="containsText" dxfId="6880" priority="15869" operator="containsText" text="GP2">
      <formula>NOT(ISERROR(SEARCH("GP2",AD8)))</formula>
    </cfRule>
    <cfRule type="containsText" dxfId="6879" priority="15870" operator="containsText" text="GP1">
      <formula>NOT(ISERROR(SEARCH("GP1",AD8)))</formula>
    </cfRule>
  </conditionalFormatting>
  <conditionalFormatting sqref="AD8">
    <cfRule type="containsText" dxfId="6878" priority="15867" operator="containsText" text="GP2">
      <formula>NOT(ISERROR(SEARCH("GP2",AD8)))</formula>
    </cfRule>
    <cfRule type="containsText" dxfId="6877" priority="15868" operator="containsText" text="GP1">
      <formula>NOT(ISERROR(SEARCH("GP1",AD8)))</formula>
    </cfRule>
  </conditionalFormatting>
  <conditionalFormatting sqref="AD8">
    <cfRule type="containsText" dxfId="6876" priority="15865" operator="containsText" text="GP2">
      <formula>NOT(ISERROR(SEARCH("GP2",AD8)))</formula>
    </cfRule>
    <cfRule type="containsText" dxfId="6875" priority="15866" operator="containsText" text="GP1">
      <formula>NOT(ISERROR(SEARCH("GP1",AD8)))</formula>
    </cfRule>
  </conditionalFormatting>
  <conditionalFormatting sqref="AD8">
    <cfRule type="containsText" dxfId="6874" priority="15863" operator="containsText" text="GP2">
      <formula>NOT(ISERROR(SEARCH("GP2",AD8)))</formula>
    </cfRule>
    <cfRule type="containsText" dxfId="6873" priority="15864" operator="containsText" text="GP1">
      <formula>NOT(ISERROR(SEARCH("GP1",AD8)))</formula>
    </cfRule>
  </conditionalFormatting>
  <conditionalFormatting sqref="AD8">
    <cfRule type="containsText" dxfId="6872" priority="15861" operator="containsText" text="GP2">
      <formula>NOT(ISERROR(SEARCH("GP2",AD8)))</formula>
    </cfRule>
    <cfRule type="containsText" dxfId="6871" priority="15862" operator="containsText" text="GP1">
      <formula>NOT(ISERROR(SEARCH("GP1",AD8)))</formula>
    </cfRule>
  </conditionalFormatting>
  <conditionalFormatting sqref="AD8">
    <cfRule type="containsText" dxfId="6870" priority="15859" operator="containsText" text="GP2">
      <formula>NOT(ISERROR(SEARCH("GP2",AD8)))</formula>
    </cfRule>
    <cfRule type="containsText" dxfId="6869" priority="15860" operator="containsText" text="GP1">
      <formula>NOT(ISERROR(SEARCH("GP1",AD8)))</formula>
    </cfRule>
  </conditionalFormatting>
  <conditionalFormatting sqref="AD8">
    <cfRule type="containsText" dxfId="6868" priority="15857" operator="containsText" text="GP2">
      <formula>NOT(ISERROR(SEARCH("GP2",AD8)))</formula>
    </cfRule>
    <cfRule type="containsText" dxfId="6867" priority="15858" operator="containsText" text="GP1">
      <formula>NOT(ISERROR(SEARCH("GP1",AD8)))</formula>
    </cfRule>
  </conditionalFormatting>
  <conditionalFormatting sqref="AD8">
    <cfRule type="containsText" dxfId="6866" priority="15855" operator="containsText" text="GP2">
      <formula>NOT(ISERROR(SEARCH("GP2",AD8)))</formula>
    </cfRule>
    <cfRule type="containsText" dxfId="6865" priority="15856" operator="containsText" text="GP1">
      <formula>NOT(ISERROR(SEARCH("GP1",AD8)))</formula>
    </cfRule>
  </conditionalFormatting>
  <conditionalFormatting sqref="AD8">
    <cfRule type="containsText" dxfId="6864" priority="15853" operator="containsText" text="GP2">
      <formula>NOT(ISERROR(SEARCH("GP2",AD8)))</formula>
    </cfRule>
    <cfRule type="containsText" dxfId="6863" priority="15854" operator="containsText" text="GP1">
      <formula>NOT(ISERROR(SEARCH("GP1",AD8)))</formula>
    </cfRule>
  </conditionalFormatting>
  <conditionalFormatting sqref="AD8">
    <cfRule type="containsText" dxfId="6862" priority="15851" operator="containsText" text="GP2">
      <formula>NOT(ISERROR(SEARCH("GP2",AD8)))</formula>
    </cfRule>
    <cfRule type="containsText" dxfId="6861" priority="15852" operator="containsText" text="GP1">
      <formula>NOT(ISERROR(SEARCH("GP1",AD8)))</formula>
    </cfRule>
  </conditionalFormatting>
  <conditionalFormatting sqref="AD8">
    <cfRule type="containsText" dxfId="6860" priority="15849" operator="containsText" text="GP2">
      <formula>NOT(ISERROR(SEARCH("GP2",AD8)))</formula>
    </cfRule>
    <cfRule type="containsText" dxfId="6859" priority="15850" operator="containsText" text="GP1">
      <formula>NOT(ISERROR(SEARCH("GP1",AD8)))</formula>
    </cfRule>
  </conditionalFormatting>
  <conditionalFormatting sqref="AD8">
    <cfRule type="containsText" dxfId="6858" priority="15847" operator="containsText" text="GP2">
      <formula>NOT(ISERROR(SEARCH("GP2",AD8)))</formula>
    </cfRule>
    <cfRule type="containsText" dxfId="6857" priority="15848" operator="containsText" text="GP1">
      <formula>NOT(ISERROR(SEARCH("GP1",AD8)))</formula>
    </cfRule>
  </conditionalFormatting>
  <conditionalFormatting sqref="AD8">
    <cfRule type="containsText" dxfId="6856" priority="15845" operator="containsText" text="GP2">
      <formula>NOT(ISERROR(SEARCH("GP2",AD8)))</formula>
    </cfRule>
    <cfRule type="containsText" dxfId="6855" priority="15846" operator="containsText" text="GP1">
      <formula>NOT(ISERROR(SEARCH("GP1",AD8)))</formula>
    </cfRule>
  </conditionalFormatting>
  <conditionalFormatting sqref="AD8">
    <cfRule type="containsText" dxfId="6854" priority="15843" operator="containsText" text="GP2">
      <formula>NOT(ISERROR(SEARCH("GP2",AD8)))</formula>
    </cfRule>
    <cfRule type="containsText" dxfId="6853" priority="15844" operator="containsText" text="GP1">
      <formula>NOT(ISERROR(SEARCH("GP1",AD8)))</formula>
    </cfRule>
  </conditionalFormatting>
  <conditionalFormatting sqref="AD8">
    <cfRule type="containsText" dxfId="6852" priority="15841" operator="containsText" text="GP2">
      <formula>NOT(ISERROR(SEARCH("GP2",AD8)))</formula>
    </cfRule>
    <cfRule type="containsText" dxfId="6851" priority="15842" operator="containsText" text="GP1">
      <formula>NOT(ISERROR(SEARCH("GP1",AD8)))</formula>
    </cfRule>
  </conditionalFormatting>
  <conditionalFormatting sqref="AD8">
    <cfRule type="containsText" dxfId="6850" priority="15839" operator="containsText" text="GP2">
      <formula>NOT(ISERROR(SEARCH("GP2",AD8)))</formula>
    </cfRule>
    <cfRule type="containsText" dxfId="6849" priority="15840" operator="containsText" text="GP1">
      <formula>NOT(ISERROR(SEARCH("GP1",AD8)))</formula>
    </cfRule>
  </conditionalFormatting>
  <conditionalFormatting sqref="AD8">
    <cfRule type="containsText" dxfId="6848" priority="15837" operator="containsText" text="GP2">
      <formula>NOT(ISERROR(SEARCH("GP2",AD8)))</formula>
    </cfRule>
    <cfRule type="containsText" dxfId="6847" priority="15838" operator="containsText" text="GP1">
      <formula>NOT(ISERROR(SEARCH("GP1",AD8)))</formula>
    </cfRule>
  </conditionalFormatting>
  <conditionalFormatting sqref="AD8">
    <cfRule type="containsText" dxfId="6846" priority="15835" operator="containsText" text="GP2">
      <formula>NOT(ISERROR(SEARCH("GP2",AD8)))</formula>
    </cfRule>
    <cfRule type="containsText" dxfId="6845" priority="15836" operator="containsText" text="GP1">
      <formula>NOT(ISERROR(SEARCH("GP1",AD8)))</formula>
    </cfRule>
  </conditionalFormatting>
  <conditionalFormatting sqref="AD8">
    <cfRule type="containsText" dxfId="6844" priority="15833" operator="containsText" text="GP2">
      <formula>NOT(ISERROR(SEARCH("GP2",AD8)))</formula>
    </cfRule>
    <cfRule type="containsText" dxfId="6843" priority="15834" operator="containsText" text="GP1">
      <formula>NOT(ISERROR(SEARCH("GP1",AD8)))</formula>
    </cfRule>
  </conditionalFormatting>
  <conditionalFormatting sqref="AD8">
    <cfRule type="containsText" dxfId="6842" priority="15831" operator="containsText" text="GP2">
      <formula>NOT(ISERROR(SEARCH("GP2",AD8)))</formula>
    </cfRule>
    <cfRule type="containsText" dxfId="6841" priority="15832" operator="containsText" text="GP1">
      <formula>NOT(ISERROR(SEARCH("GP1",AD8)))</formula>
    </cfRule>
  </conditionalFormatting>
  <conditionalFormatting sqref="AD8">
    <cfRule type="containsText" dxfId="6840" priority="15829" operator="containsText" text="GP2">
      <formula>NOT(ISERROR(SEARCH("GP2",AD8)))</formula>
    </cfRule>
    <cfRule type="containsText" dxfId="6839" priority="15830" operator="containsText" text="GP1">
      <formula>NOT(ISERROR(SEARCH("GP1",AD8)))</formula>
    </cfRule>
  </conditionalFormatting>
  <conditionalFormatting sqref="AD8">
    <cfRule type="containsText" dxfId="6838" priority="15827" operator="containsText" text="GP2">
      <formula>NOT(ISERROR(SEARCH("GP2",AD8)))</formula>
    </cfRule>
    <cfRule type="containsText" dxfId="6837" priority="15828" operator="containsText" text="GP1">
      <formula>NOT(ISERROR(SEARCH("GP1",AD8)))</formula>
    </cfRule>
  </conditionalFormatting>
  <conditionalFormatting sqref="AD8">
    <cfRule type="containsText" dxfId="6836" priority="15825" operator="containsText" text="GP2">
      <formula>NOT(ISERROR(SEARCH("GP2",AD8)))</formula>
    </cfRule>
    <cfRule type="containsText" dxfId="6835" priority="15826" operator="containsText" text="GP1">
      <formula>NOT(ISERROR(SEARCH("GP1",AD8)))</formula>
    </cfRule>
  </conditionalFormatting>
  <conditionalFormatting sqref="AD8">
    <cfRule type="containsText" dxfId="6834" priority="15823" operator="containsText" text="GP2">
      <formula>NOT(ISERROR(SEARCH("GP2",AD8)))</formula>
    </cfRule>
    <cfRule type="containsText" dxfId="6833" priority="15824" operator="containsText" text="GP1">
      <formula>NOT(ISERROR(SEARCH("GP1",AD8)))</formula>
    </cfRule>
  </conditionalFormatting>
  <conditionalFormatting sqref="AD8">
    <cfRule type="containsText" dxfId="6832" priority="15821" operator="containsText" text="GP2">
      <formula>NOT(ISERROR(SEARCH("GP2",AD8)))</formula>
    </cfRule>
    <cfRule type="containsText" dxfId="6831" priority="15822" operator="containsText" text="GP1">
      <formula>NOT(ISERROR(SEARCH("GP1",AD8)))</formula>
    </cfRule>
  </conditionalFormatting>
  <conditionalFormatting sqref="AD8">
    <cfRule type="containsText" dxfId="6830" priority="15819" operator="containsText" text="GP2">
      <formula>NOT(ISERROR(SEARCH("GP2",AD8)))</formula>
    </cfRule>
    <cfRule type="containsText" dxfId="6829" priority="15820" operator="containsText" text="GP1">
      <formula>NOT(ISERROR(SEARCH("GP1",AD8)))</formula>
    </cfRule>
  </conditionalFormatting>
  <conditionalFormatting sqref="AD8">
    <cfRule type="containsText" dxfId="6828" priority="15817" operator="containsText" text="GP2">
      <formula>NOT(ISERROR(SEARCH("GP2",AD8)))</formula>
    </cfRule>
    <cfRule type="containsText" dxfId="6827" priority="15818" operator="containsText" text="GP1">
      <formula>NOT(ISERROR(SEARCH("GP1",AD8)))</formula>
    </cfRule>
  </conditionalFormatting>
  <conditionalFormatting sqref="AD8">
    <cfRule type="containsText" dxfId="6826" priority="15815" operator="containsText" text="GP2">
      <formula>NOT(ISERROR(SEARCH("GP2",AD8)))</formula>
    </cfRule>
    <cfRule type="containsText" dxfId="6825" priority="15816" operator="containsText" text="GP1">
      <formula>NOT(ISERROR(SEARCH("GP1",AD8)))</formula>
    </cfRule>
  </conditionalFormatting>
  <conditionalFormatting sqref="AD8">
    <cfRule type="containsText" dxfId="6824" priority="15813" operator="containsText" text="GP2">
      <formula>NOT(ISERROR(SEARCH("GP2",AD8)))</formula>
    </cfRule>
    <cfRule type="containsText" dxfId="6823" priority="15814" operator="containsText" text="GP1">
      <formula>NOT(ISERROR(SEARCH("GP1",AD8)))</formula>
    </cfRule>
  </conditionalFormatting>
  <conditionalFormatting sqref="AD8">
    <cfRule type="containsText" dxfId="6822" priority="15811" operator="containsText" text="GP2">
      <formula>NOT(ISERROR(SEARCH("GP2",AD8)))</formula>
    </cfRule>
    <cfRule type="containsText" dxfId="6821" priority="15812" operator="containsText" text="GP1">
      <formula>NOT(ISERROR(SEARCH("GP1",AD8)))</formula>
    </cfRule>
  </conditionalFormatting>
  <conditionalFormatting sqref="AD8">
    <cfRule type="containsText" dxfId="6820" priority="15809" operator="containsText" text="GP2">
      <formula>NOT(ISERROR(SEARCH("GP2",AD8)))</formula>
    </cfRule>
    <cfRule type="containsText" dxfId="6819" priority="15810" operator="containsText" text="GP1">
      <formula>NOT(ISERROR(SEARCH("GP1",AD8)))</formula>
    </cfRule>
  </conditionalFormatting>
  <conditionalFormatting sqref="AD8">
    <cfRule type="containsText" dxfId="6818" priority="15807" operator="containsText" text="GP2">
      <formula>NOT(ISERROR(SEARCH("GP2",AD8)))</formula>
    </cfRule>
    <cfRule type="containsText" dxfId="6817" priority="15808" operator="containsText" text="GP1">
      <formula>NOT(ISERROR(SEARCH("GP1",AD8)))</formula>
    </cfRule>
  </conditionalFormatting>
  <conditionalFormatting sqref="AD8">
    <cfRule type="containsText" dxfId="6816" priority="15805" operator="containsText" text="GP2">
      <formula>NOT(ISERROR(SEARCH("GP2",AD8)))</formula>
    </cfRule>
    <cfRule type="containsText" dxfId="6815" priority="15806" operator="containsText" text="GP1">
      <formula>NOT(ISERROR(SEARCH("GP1",AD8)))</formula>
    </cfRule>
  </conditionalFormatting>
  <conditionalFormatting sqref="AD8">
    <cfRule type="containsText" dxfId="6814" priority="15803" operator="containsText" text="GP2">
      <formula>NOT(ISERROR(SEARCH("GP2",AD8)))</formula>
    </cfRule>
    <cfRule type="containsText" dxfId="6813" priority="15804" operator="containsText" text="GP1">
      <formula>NOT(ISERROR(SEARCH("GP1",AD8)))</formula>
    </cfRule>
  </conditionalFormatting>
  <conditionalFormatting sqref="AD8">
    <cfRule type="containsText" dxfId="6812" priority="15801" operator="containsText" text="GP2">
      <formula>NOT(ISERROR(SEARCH("GP2",AD8)))</formula>
    </cfRule>
    <cfRule type="containsText" dxfId="6811" priority="15802" operator="containsText" text="GP1">
      <formula>NOT(ISERROR(SEARCH("GP1",AD8)))</formula>
    </cfRule>
  </conditionalFormatting>
  <conditionalFormatting sqref="AD8">
    <cfRule type="containsText" dxfId="6810" priority="15799" operator="containsText" text="GP2">
      <formula>NOT(ISERROR(SEARCH("GP2",AD8)))</formula>
    </cfRule>
    <cfRule type="containsText" dxfId="6809" priority="15800" operator="containsText" text="GP1">
      <formula>NOT(ISERROR(SEARCH("GP1",AD8)))</formula>
    </cfRule>
  </conditionalFormatting>
  <conditionalFormatting sqref="AD8">
    <cfRule type="containsText" dxfId="6808" priority="15797" operator="containsText" text="GP2">
      <formula>NOT(ISERROR(SEARCH("GP2",AD8)))</formula>
    </cfRule>
    <cfRule type="containsText" dxfId="6807" priority="15798" operator="containsText" text="GP1">
      <formula>NOT(ISERROR(SEARCH("GP1",AD8)))</formula>
    </cfRule>
  </conditionalFormatting>
  <conditionalFormatting sqref="AD8">
    <cfRule type="containsText" dxfId="6806" priority="15795" operator="containsText" text="GP2">
      <formula>NOT(ISERROR(SEARCH("GP2",AD8)))</formula>
    </cfRule>
    <cfRule type="containsText" dxfId="6805" priority="15796" operator="containsText" text="GP1">
      <formula>NOT(ISERROR(SEARCH("GP1",AD8)))</formula>
    </cfRule>
  </conditionalFormatting>
  <conditionalFormatting sqref="AD8">
    <cfRule type="containsText" dxfId="6804" priority="15793" operator="containsText" text="GP2">
      <formula>NOT(ISERROR(SEARCH("GP2",AD8)))</formula>
    </cfRule>
    <cfRule type="containsText" dxfId="6803" priority="15794" operator="containsText" text="GP1">
      <formula>NOT(ISERROR(SEARCH("GP1",AD8)))</formula>
    </cfRule>
  </conditionalFormatting>
  <conditionalFormatting sqref="AD8">
    <cfRule type="containsText" dxfId="6802" priority="15791" operator="containsText" text="GP2">
      <formula>NOT(ISERROR(SEARCH("GP2",AD8)))</formula>
    </cfRule>
    <cfRule type="containsText" dxfId="6801" priority="15792" operator="containsText" text="GP1">
      <formula>NOT(ISERROR(SEARCH("GP1",AD8)))</formula>
    </cfRule>
  </conditionalFormatting>
  <conditionalFormatting sqref="AD8">
    <cfRule type="containsText" dxfId="6800" priority="15789" operator="containsText" text="GP2">
      <formula>NOT(ISERROR(SEARCH("GP2",AD8)))</formula>
    </cfRule>
    <cfRule type="containsText" dxfId="6799" priority="15790" operator="containsText" text="GP1">
      <formula>NOT(ISERROR(SEARCH("GP1",AD8)))</formula>
    </cfRule>
  </conditionalFormatting>
  <conditionalFormatting sqref="AD8">
    <cfRule type="containsText" dxfId="6798" priority="15787" operator="containsText" text="GP2">
      <formula>NOT(ISERROR(SEARCH("GP2",AD8)))</formula>
    </cfRule>
    <cfRule type="containsText" dxfId="6797" priority="15788" operator="containsText" text="GP1">
      <formula>NOT(ISERROR(SEARCH("GP1",AD8)))</formula>
    </cfRule>
  </conditionalFormatting>
  <conditionalFormatting sqref="AD8">
    <cfRule type="containsText" dxfId="6796" priority="15785" operator="containsText" text="GP2">
      <formula>NOT(ISERROR(SEARCH("GP2",AD8)))</formula>
    </cfRule>
    <cfRule type="containsText" dxfId="6795" priority="15786" operator="containsText" text="GP1">
      <formula>NOT(ISERROR(SEARCH("GP1",AD8)))</formula>
    </cfRule>
  </conditionalFormatting>
  <conditionalFormatting sqref="AD8">
    <cfRule type="containsText" dxfId="6794" priority="15783" operator="containsText" text="GP2">
      <formula>NOT(ISERROR(SEARCH("GP2",AD8)))</formula>
    </cfRule>
    <cfRule type="containsText" dxfId="6793" priority="15784" operator="containsText" text="GP1">
      <formula>NOT(ISERROR(SEARCH("GP1",AD8)))</formula>
    </cfRule>
  </conditionalFormatting>
  <conditionalFormatting sqref="AD8">
    <cfRule type="containsText" dxfId="6792" priority="15781" operator="containsText" text="GP2">
      <formula>NOT(ISERROR(SEARCH("GP2",AD8)))</formula>
    </cfRule>
    <cfRule type="containsText" dxfId="6791" priority="15782" operator="containsText" text="GP1">
      <formula>NOT(ISERROR(SEARCH("GP1",AD8)))</formula>
    </cfRule>
  </conditionalFormatting>
  <conditionalFormatting sqref="AD8">
    <cfRule type="containsText" dxfId="6790" priority="15779" operator="containsText" text="GP2">
      <formula>NOT(ISERROR(SEARCH("GP2",AD8)))</formula>
    </cfRule>
    <cfRule type="containsText" dxfId="6789" priority="15780" operator="containsText" text="GP1">
      <formula>NOT(ISERROR(SEARCH("GP1",AD8)))</formula>
    </cfRule>
  </conditionalFormatting>
  <conditionalFormatting sqref="AD8">
    <cfRule type="containsText" dxfId="6788" priority="15777" operator="containsText" text="GP2">
      <formula>NOT(ISERROR(SEARCH("GP2",AD8)))</formula>
    </cfRule>
    <cfRule type="containsText" dxfId="6787" priority="15778" operator="containsText" text="GP1">
      <formula>NOT(ISERROR(SEARCH("GP1",AD8)))</formula>
    </cfRule>
  </conditionalFormatting>
  <conditionalFormatting sqref="AD8">
    <cfRule type="containsText" dxfId="6786" priority="15775" operator="containsText" text="GP2">
      <formula>NOT(ISERROR(SEARCH("GP2",AD8)))</formula>
    </cfRule>
    <cfRule type="containsText" dxfId="6785" priority="15776" operator="containsText" text="GP1">
      <formula>NOT(ISERROR(SEARCH("GP1",AD8)))</formula>
    </cfRule>
  </conditionalFormatting>
  <conditionalFormatting sqref="AD8">
    <cfRule type="containsText" dxfId="6784" priority="15773" operator="containsText" text="GP2">
      <formula>NOT(ISERROR(SEARCH("GP2",AD8)))</formula>
    </cfRule>
    <cfRule type="containsText" dxfId="6783" priority="15774" operator="containsText" text="GP1">
      <formula>NOT(ISERROR(SEARCH("GP1",AD8)))</formula>
    </cfRule>
  </conditionalFormatting>
  <conditionalFormatting sqref="AD8">
    <cfRule type="containsText" dxfId="6782" priority="15771" operator="containsText" text="GP2">
      <formula>NOT(ISERROR(SEARCH("GP2",AD8)))</formula>
    </cfRule>
    <cfRule type="containsText" dxfId="6781" priority="15772" operator="containsText" text="GP1">
      <formula>NOT(ISERROR(SEARCH("GP1",AD8)))</formula>
    </cfRule>
  </conditionalFormatting>
  <conditionalFormatting sqref="AD8">
    <cfRule type="containsText" dxfId="6780" priority="15769" operator="containsText" text="GP2">
      <formula>NOT(ISERROR(SEARCH("GP2",AD8)))</formula>
    </cfRule>
    <cfRule type="containsText" dxfId="6779" priority="15770" operator="containsText" text="GP1">
      <formula>NOT(ISERROR(SEARCH("GP1",AD8)))</formula>
    </cfRule>
  </conditionalFormatting>
  <conditionalFormatting sqref="AD8">
    <cfRule type="containsText" dxfId="6778" priority="15767" operator="containsText" text="GP2">
      <formula>NOT(ISERROR(SEARCH("GP2",AD8)))</formula>
    </cfRule>
    <cfRule type="containsText" dxfId="6777" priority="15768" operator="containsText" text="GP1">
      <formula>NOT(ISERROR(SEARCH("GP1",AD8)))</formula>
    </cfRule>
  </conditionalFormatting>
  <conditionalFormatting sqref="AD8">
    <cfRule type="containsText" dxfId="6776" priority="15765" operator="containsText" text="GP2">
      <formula>NOT(ISERROR(SEARCH("GP2",AD8)))</formula>
    </cfRule>
    <cfRule type="containsText" dxfId="6775" priority="15766" operator="containsText" text="GP1">
      <formula>NOT(ISERROR(SEARCH("GP1",AD8)))</formula>
    </cfRule>
  </conditionalFormatting>
  <conditionalFormatting sqref="AD8">
    <cfRule type="containsText" dxfId="6774" priority="15763" operator="containsText" text="GP2">
      <formula>NOT(ISERROR(SEARCH("GP2",AD8)))</formula>
    </cfRule>
    <cfRule type="containsText" dxfId="6773" priority="15764" operator="containsText" text="GP1">
      <formula>NOT(ISERROR(SEARCH("GP1",AD8)))</formula>
    </cfRule>
  </conditionalFormatting>
  <conditionalFormatting sqref="AD8">
    <cfRule type="containsText" dxfId="6772" priority="15761" operator="containsText" text="GP2">
      <formula>NOT(ISERROR(SEARCH("GP2",AD8)))</formula>
    </cfRule>
    <cfRule type="containsText" dxfId="6771" priority="15762" operator="containsText" text="GP1">
      <formula>NOT(ISERROR(SEARCH("GP1",AD8)))</formula>
    </cfRule>
  </conditionalFormatting>
  <conditionalFormatting sqref="AD8">
    <cfRule type="containsText" dxfId="6770" priority="15759" operator="containsText" text="GP2">
      <formula>NOT(ISERROR(SEARCH("GP2",AD8)))</formula>
    </cfRule>
    <cfRule type="containsText" dxfId="6769" priority="15760" operator="containsText" text="GP1">
      <formula>NOT(ISERROR(SEARCH("GP1",AD8)))</formula>
    </cfRule>
  </conditionalFormatting>
  <conditionalFormatting sqref="AD8">
    <cfRule type="containsText" dxfId="6768" priority="15757" operator="containsText" text="GP2">
      <formula>NOT(ISERROR(SEARCH("GP2",AD8)))</formula>
    </cfRule>
    <cfRule type="containsText" dxfId="6767" priority="15758" operator="containsText" text="GP1">
      <formula>NOT(ISERROR(SEARCH("GP1",AD8)))</formula>
    </cfRule>
  </conditionalFormatting>
  <conditionalFormatting sqref="AD8">
    <cfRule type="containsText" dxfId="6766" priority="15755" operator="containsText" text="GP2">
      <formula>NOT(ISERROR(SEARCH("GP2",AD8)))</formula>
    </cfRule>
    <cfRule type="containsText" dxfId="6765" priority="15756" operator="containsText" text="GP1">
      <formula>NOT(ISERROR(SEARCH("GP1",AD8)))</formula>
    </cfRule>
  </conditionalFormatting>
  <conditionalFormatting sqref="AD8">
    <cfRule type="containsText" dxfId="6764" priority="15753" operator="containsText" text="GP2">
      <formula>NOT(ISERROR(SEARCH("GP2",AD8)))</formula>
    </cfRule>
    <cfRule type="containsText" dxfId="6763" priority="15754" operator="containsText" text="GP1">
      <formula>NOT(ISERROR(SEARCH("GP1",AD8)))</formula>
    </cfRule>
  </conditionalFormatting>
  <conditionalFormatting sqref="AD8">
    <cfRule type="containsText" dxfId="6762" priority="15751" operator="containsText" text="GP2">
      <formula>NOT(ISERROR(SEARCH("GP2",AD8)))</formula>
    </cfRule>
    <cfRule type="containsText" dxfId="6761" priority="15752" operator="containsText" text="GP1">
      <formula>NOT(ISERROR(SEARCH("GP1",AD8)))</formula>
    </cfRule>
  </conditionalFormatting>
  <conditionalFormatting sqref="AD8">
    <cfRule type="containsText" dxfId="6760" priority="15749" operator="containsText" text="GP2">
      <formula>NOT(ISERROR(SEARCH("GP2",AD8)))</formula>
    </cfRule>
    <cfRule type="containsText" dxfId="6759" priority="15750" operator="containsText" text="GP1">
      <formula>NOT(ISERROR(SEARCH("GP1",AD8)))</formula>
    </cfRule>
  </conditionalFormatting>
  <conditionalFormatting sqref="AD8">
    <cfRule type="containsText" dxfId="6758" priority="15747" operator="containsText" text="GP2">
      <formula>NOT(ISERROR(SEARCH("GP2",AD8)))</formula>
    </cfRule>
    <cfRule type="containsText" dxfId="6757" priority="15748" operator="containsText" text="GP1">
      <formula>NOT(ISERROR(SEARCH("GP1",AD8)))</formula>
    </cfRule>
  </conditionalFormatting>
  <conditionalFormatting sqref="AD8">
    <cfRule type="containsText" dxfId="6756" priority="15745" operator="containsText" text="GP2">
      <formula>NOT(ISERROR(SEARCH("GP2",AD8)))</formula>
    </cfRule>
    <cfRule type="containsText" dxfId="6755" priority="15746" operator="containsText" text="GP1">
      <formula>NOT(ISERROR(SEARCH("GP1",AD8)))</formula>
    </cfRule>
  </conditionalFormatting>
  <conditionalFormatting sqref="AD8">
    <cfRule type="containsText" dxfId="6754" priority="15743" operator="containsText" text="GP2">
      <formula>NOT(ISERROR(SEARCH("GP2",AD8)))</formula>
    </cfRule>
    <cfRule type="containsText" dxfId="6753" priority="15744" operator="containsText" text="GP1">
      <formula>NOT(ISERROR(SEARCH("GP1",AD8)))</formula>
    </cfRule>
  </conditionalFormatting>
  <conditionalFormatting sqref="AD8">
    <cfRule type="containsText" dxfId="6752" priority="15741" operator="containsText" text="GP2">
      <formula>NOT(ISERROR(SEARCH("GP2",AD8)))</formula>
    </cfRule>
    <cfRule type="containsText" dxfId="6751" priority="15742" operator="containsText" text="GP1">
      <formula>NOT(ISERROR(SEARCH("GP1",AD8)))</formula>
    </cfRule>
  </conditionalFormatting>
  <conditionalFormatting sqref="AD8">
    <cfRule type="containsText" dxfId="6750" priority="15739" operator="containsText" text="GP2">
      <formula>NOT(ISERROR(SEARCH("GP2",AD8)))</formula>
    </cfRule>
    <cfRule type="containsText" dxfId="6749" priority="15740" operator="containsText" text="GP1">
      <formula>NOT(ISERROR(SEARCH("GP1",AD8)))</formula>
    </cfRule>
  </conditionalFormatting>
  <conditionalFormatting sqref="AD8">
    <cfRule type="containsText" dxfId="6748" priority="15737" operator="containsText" text="GP2">
      <formula>NOT(ISERROR(SEARCH("GP2",AD8)))</formula>
    </cfRule>
    <cfRule type="containsText" dxfId="6747" priority="15738" operator="containsText" text="GP1">
      <formula>NOT(ISERROR(SEARCH("GP1",AD8)))</formula>
    </cfRule>
  </conditionalFormatting>
  <conditionalFormatting sqref="AD8">
    <cfRule type="containsText" dxfId="6746" priority="15735" operator="containsText" text="GP2">
      <formula>NOT(ISERROR(SEARCH("GP2",AD8)))</formula>
    </cfRule>
    <cfRule type="containsText" dxfId="6745" priority="15736" operator="containsText" text="GP1">
      <formula>NOT(ISERROR(SEARCH("GP1",AD8)))</formula>
    </cfRule>
  </conditionalFormatting>
  <conditionalFormatting sqref="AD8">
    <cfRule type="containsText" dxfId="6744" priority="15733" operator="containsText" text="GP2">
      <formula>NOT(ISERROR(SEARCH("GP2",AD8)))</formula>
    </cfRule>
    <cfRule type="containsText" dxfId="6743" priority="15734" operator="containsText" text="GP1">
      <formula>NOT(ISERROR(SEARCH("GP1",AD8)))</formula>
    </cfRule>
  </conditionalFormatting>
  <conditionalFormatting sqref="H7">
    <cfRule type="containsBlanks" dxfId="6742" priority="14211">
      <formula>LEN(TRIM(H7))=0</formula>
    </cfRule>
  </conditionalFormatting>
  <conditionalFormatting sqref="H7">
    <cfRule type="containsBlanks" dxfId="6741" priority="14210">
      <formula>LEN(TRIM(H7))=0</formula>
    </cfRule>
  </conditionalFormatting>
  <conditionalFormatting sqref="H7">
    <cfRule type="containsBlanks" dxfId="6740" priority="14205">
      <formula>LEN(TRIM(H7))=0</formula>
    </cfRule>
  </conditionalFormatting>
  <conditionalFormatting sqref="I7">
    <cfRule type="containsBlanks" dxfId="6739" priority="14155">
      <formula>LEN(TRIM(I7))=0</formula>
    </cfRule>
  </conditionalFormatting>
  <conditionalFormatting sqref="I7">
    <cfRule type="containsBlanks" dxfId="6738" priority="14154">
      <formula>LEN(TRIM(I7))=0</formula>
    </cfRule>
  </conditionalFormatting>
  <conditionalFormatting sqref="I7">
    <cfRule type="containsBlanks" dxfId="6737" priority="14153">
      <formula>LEN(TRIM(I7))=0</formula>
    </cfRule>
  </conditionalFormatting>
  <conditionalFormatting sqref="I7">
    <cfRule type="containsBlanks" dxfId="6736" priority="14152">
      <formula>LEN(TRIM(I7))=0</formula>
    </cfRule>
  </conditionalFormatting>
  <conditionalFormatting sqref="N7">
    <cfRule type="containsBlanks" dxfId="6735" priority="14151">
      <formula>LEN(TRIM(N7))=0</formula>
    </cfRule>
  </conditionalFormatting>
  <conditionalFormatting sqref="N7">
    <cfRule type="containsBlanks" dxfId="6734" priority="14150">
      <formula>LEN(TRIM(N7))=0</formula>
    </cfRule>
  </conditionalFormatting>
  <conditionalFormatting sqref="N7">
    <cfRule type="containsBlanks" dxfId="6733" priority="14149">
      <formula>LEN(TRIM(N7))=0</formula>
    </cfRule>
  </conditionalFormatting>
  <conditionalFormatting sqref="N7">
    <cfRule type="containsBlanks" dxfId="6732" priority="14148">
      <formula>LEN(TRIM(N7))=0</formula>
    </cfRule>
  </conditionalFormatting>
  <conditionalFormatting sqref="N7">
    <cfRule type="containsBlanks" dxfId="6731" priority="14147">
      <formula>LEN(TRIM(N7))=0</formula>
    </cfRule>
  </conditionalFormatting>
  <conditionalFormatting sqref="N7">
    <cfRule type="containsBlanks" dxfId="6730" priority="14146">
      <formula>LEN(TRIM(N7))=0</formula>
    </cfRule>
  </conditionalFormatting>
  <conditionalFormatting sqref="N7">
    <cfRule type="containsBlanks" dxfId="6729" priority="14145">
      <formula>LEN(TRIM(N7))=0</formula>
    </cfRule>
  </conditionalFormatting>
  <conditionalFormatting sqref="N7">
    <cfRule type="containsBlanks" dxfId="6728" priority="14144">
      <formula>LEN(TRIM(N7))=0</formula>
    </cfRule>
  </conditionalFormatting>
  <conditionalFormatting sqref="H7">
    <cfRule type="containsBlanks" dxfId="6727" priority="13972">
      <formula>LEN(TRIM(H7))=0</formula>
    </cfRule>
  </conditionalFormatting>
  <conditionalFormatting sqref="N7">
    <cfRule type="containsBlanks" dxfId="6726" priority="13969">
      <formula>LEN(TRIM(N7))=0</formula>
    </cfRule>
  </conditionalFormatting>
  <conditionalFormatting sqref="N7">
    <cfRule type="containsBlanks" dxfId="6725" priority="13968">
      <formula>LEN(TRIM(N7))=0</formula>
    </cfRule>
  </conditionalFormatting>
  <conditionalFormatting sqref="I7">
    <cfRule type="containsBlanks" dxfId="6724" priority="13967">
      <formula>LEN(TRIM(I7))=0</formula>
    </cfRule>
  </conditionalFormatting>
  <conditionalFormatting sqref="I7">
    <cfRule type="containsBlanks" dxfId="6723" priority="13966">
      <formula>LEN(TRIM(I7))=0</formula>
    </cfRule>
  </conditionalFormatting>
  <conditionalFormatting sqref="I7">
    <cfRule type="containsBlanks" dxfId="6722" priority="13965">
      <formula>LEN(TRIM(I7))=0</formula>
    </cfRule>
  </conditionalFormatting>
  <conditionalFormatting sqref="I7">
    <cfRule type="containsBlanks" dxfId="6721" priority="13964">
      <formula>LEN(TRIM(I7))=0</formula>
    </cfRule>
  </conditionalFormatting>
  <conditionalFormatting sqref="H7">
    <cfRule type="containsBlanks" dxfId="6720" priority="13877">
      <formula>LEN(TRIM(H7))=0</formula>
    </cfRule>
  </conditionalFormatting>
  <conditionalFormatting sqref="N7">
    <cfRule type="containsBlanks" dxfId="6719" priority="13874">
      <formula>LEN(TRIM(N7))=0</formula>
    </cfRule>
  </conditionalFormatting>
  <conditionalFormatting sqref="N7">
    <cfRule type="containsBlanks" dxfId="6718" priority="13873">
      <formula>LEN(TRIM(N7))=0</formula>
    </cfRule>
  </conditionalFormatting>
  <conditionalFormatting sqref="I7">
    <cfRule type="containsBlanks" dxfId="6717" priority="13872">
      <formula>LEN(TRIM(I7))=0</formula>
    </cfRule>
  </conditionalFormatting>
  <conditionalFormatting sqref="I7">
    <cfRule type="containsBlanks" dxfId="6716" priority="13871">
      <formula>LEN(TRIM(I7))=0</formula>
    </cfRule>
  </conditionalFormatting>
  <conditionalFormatting sqref="I7">
    <cfRule type="containsBlanks" dxfId="6715" priority="13870">
      <formula>LEN(TRIM(I7))=0</formula>
    </cfRule>
  </conditionalFormatting>
  <conditionalFormatting sqref="I7">
    <cfRule type="containsBlanks" dxfId="6714" priority="13869">
      <formula>LEN(TRIM(I7))=0</formula>
    </cfRule>
  </conditionalFormatting>
  <conditionalFormatting sqref="H7">
    <cfRule type="containsBlanks" dxfId="6713" priority="13848">
      <formula>LEN(TRIM(H7))=0</formula>
    </cfRule>
  </conditionalFormatting>
  <conditionalFormatting sqref="N7">
    <cfRule type="containsBlanks" dxfId="6712" priority="13845">
      <formula>LEN(TRIM(N7))=0</formula>
    </cfRule>
  </conditionalFormatting>
  <conditionalFormatting sqref="N7">
    <cfRule type="containsBlanks" dxfId="6711" priority="13844">
      <formula>LEN(TRIM(N7))=0</formula>
    </cfRule>
  </conditionalFormatting>
  <conditionalFormatting sqref="I7">
    <cfRule type="containsBlanks" dxfId="6710" priority="13843">
      <formula>LEN(TRIM(I7))=0</formula>
    </cfRule>
  </conditionalFormatting>
  <conditionalFormatting sqref="I7">
    <cfRule type="containsBlanks" dxfId="6709" priority="13842">
      <formula>LEN(TRIM(I7))=0</formula>
    </cfRule>
  </conditionalFormatting>
  <conditionalFormatting sqref="I7">
    <cfRule type="containsBlanks" dxfId="6708" priority="13841">
      <formula>LEN(TRIM(I7))=0</formula>
    </cfRule>
  </conditionalFormatting>
  <conditionalFormatting sqref="I7">
    <cfRule type="containsBlanks" dxfId="6707" priority="13840">
      <formula>LEN(TRIM(I7))=0</formula>
    </cfRule>
  </conditionalFormatting>
  <conditionalFormatting sqref="H7">
    <cfRule type="containsBlanks" dxfId="6706" priority="13807">
      <formula>LEN(TRIM(H7))=0</formula>
    </cfRule>
  </conditionalFormatting>
  <conditionalFormatting sqref="N7">
    <cfRule type="containsBlanks" dxfId="6705" priority="13804">
      <formula>LEN(TRIM(N7))=0</formula>
    </cfRule>
  </conditionalFormatting>
  <conditionalFormatting sqref="N7">
    <cfRule type="containsBlanks" dxfId="6704" priority="13803">
      <formula>LEN(TRIM(N7))=0</formula>
    </cfRule>
  </conditionalFormatting>
  <conditionalFormatting sqref="I7">
    <cfRule type="containsBlanks" dxfId="6703" priority="13802">
      <formula>LEN(TRIM(I7))=0</formula>
    </cfRule>
  </conditionalFormatting>
  <conditionalFormatting sqref="I7">
    <cfRule type="containsBlanks" dxfId="6702" priority="13801">
      <formula>LEN(TRIM(I7))=0</formula>
    </cfRule>
  </conditionalFormatting>
  <conditionalFormatting sqref="I7">
    <cfRule type="containsBlanks" dxfId="6701" priority="13800">
      <formula>LEN(TRIM(I7))=0</formula>
    </cfRule>
  </conditionalFormatting>
  <conditionalFormatting sqref="I7">
    <cfRule type="containsBlanks" dxfId="6700" priority="13799">
      <formula>LEN(TRIM(I7))=0</formula>
    </cfRule>
  </conditionalFormatting>
  <conditionalFormatting sqref="H7">
    <cfRule type="containsBlanks" dxfId="6699" priority="13794">
      <formula>LEN(TRIM(H7))=0</formula>
    </cfRule>
  </conditionalFormatting>
  <conditionalFormatting sqref="I7">
    <cfRule type="containsBlanks" dxfId="6698" priority="13793">
      <formula>LEN(TRIM(I7))=0</formula>
    </cfRule>
  </conditionalFormatting>
  <conditionalFormatting sqref="I7">
    <cfRule type="containsBlanks" dxfId="6697" priority="13792">
      <formula>LEN(TRIM(I7))=0</formula>
    </cfRule>
  </conditionalFormatting>
  <conditionalFormatting sqref="I7">
    <cfRule type="containsBlanks" dxfId="6696" priority="13791">
      <formula>LEN(TRIM(I7))=0</formula>
    </cfRule>
  </conditionalFormatting>
  <conditionalFormatting sqref="I7">
    <cfRule type="containsBlanks" dxfId="6695" priority="13790">
      <formula>LEN(TRIM(I7))=0</formula>
    </cfRule>
  </conditionalFormatting>
  <conditionalFormatting sqref="N7">
    <cfRule type="containsBlanks" dxfId="6694" priority="13785">
      <formula>LEN(TRIM(N7))=0</formula>
    </cfRule>
  </conditionalFormatting>
  <conditionalFormatting sqref="N7">
    <cfRule type="containsBlanks" dxfId="6693" priority="13784">
      <formula>LEN(TRIM(N7))=0</formula>
    </cfRule>
  </conditionalFormatting>
  <conditionalFormatting sqref="H7">
    <cfRule type="containsBlanks" dxfId="6692" priority="13781">
      <formula>LEN(TRIM(H7))=0</formula>
    </cfRule>
  </conditionalFormatting>
  <conditionalFormatting sqref="I7">
    <cfRule type="containsBlanks" dxfId="6691" priority="13780">
      <formula>LEN(TRIM(I7))=0</formula>
    </cfRule>
  </conditionalFormatting>
  <conditionalFormatting sqref="I7">
    <cfRule type="containsBlanks" dxfId="6690" priority="13779">
      <formula>LEN(TRIM(I7))=0</formula>
    </cfRule>
  </conditionalFormatting>
  <conditionalFormatting sqref="I7">
    <cfRule type="containsBlanks" dxfId="6689" priority="13778">
      <formula>LEN(TRIM(I7))=0</formula>
    </cfRule>
  </conditionalFormatting>
  <conditionalFormatting sqref="I7">
    <cfRule type="containsBlanks" dxfId="6688" priority="13777">
      <formula>LEN(TRIM(I7))=0</formula>
    </cfRule>
  </conditionalFormatting>
  <conditionalFormatting sqref="N7">
    <cfRule type="containsBlanks" dxfId="6687" priority="13772">
      <formula>LEN(TRIM(N7))=0</formula>
    </cfRule>
  </conditionalFormatting>
  <conditionalFormatting sqref="N7">
    <cfRule type="containsBlanks" dxfId="6686" priority="13771">
      <formula>LEN(TRIM(N7))=0</formula>
    </cfRule>
  </conditionalFormatting>
  <conditionalFormatting sqref="H7">
    <cfRule type="containsBlanks" dxfId="6685" priority="13770">
      <formula>LEN(TRIM(H7))=0</formula>
    </cfRule>
  </conditionalFormatting>
  <conditionalFormatting sqref="I7">
    <cfRule type="containsBlanks" dxfId="6684" priority="13769">
      <formula>LEN(TRIM(I7))=0</formula>
    </cfRule>
  </conditionalFormatting>
  <conditionalFormatting sqref="I7">
    <cfRule type="containsBlanks" dxfId="6683" priority="13768">
      <formula>LEN(TRIM(I7))=0</formula>
    </cfRule>
  </conditionalFormatting>
  <conditionalFormatting sqref="I7">
    <cfRule type="containsBlanks" dxfId="6682" priority="13767">
      <formula>LEN(TRIM(I7))=0</formula>
    </cfRule>
  </conditionalFormatting>
  <conditionalFormatting sqref="I7">
    <cfRule type="containsBlanks" dxfId="6681" priority="13766">
      <formula>LEN(TRIM(I7))=0</formula>
    </cfRule>
  </conditionalFormatting>
  <conditionalFormatting sqref="N7">
    <cfRule type="containsBlanks" dxfId="6680" priority="13765">
      <formula>LEN(TRIM(N7))=0</formula>
    </cfRule>
  </conditionalFormatting>
  <conditionalFormatting sqref="N7">
    <cfRule type="containsBlanks" dxfId="6679" priority="13764">
      <formula>LEN(TRIM(N7))=0</formula>
    </cfRule>
  </conditionalFormatting>
  <conditionalFormatting sqref="H7">
    <cfRule type="containsBlanks" dxfId="6678" priority="13755">
      <formula>LEN(TRIM(H7))=0</formula>
    </cfRule>
  </conditionalFormatting>
  <conditionalFormatting sqref="N7">
    <cfRule type="containsBlanks" dxfId="6677" priority="13752">
      <formula>LEN(TRIM(N7))=0</formula>
    </cfRule>
  </conditionalFormatting>
  <conditionalFormatting sqref="N7">
    <cfRule type="containsBlanks" dxfId="6676" priority="13751">
      <formula>LEN(TRIM(N7))=0</formula>
    </cfRule>
  </conditionalFormatting>
  <conditionalFormatting sqref="I7">
    <cfRule type="containsBlanks" dxfId="6675" priority="13750">
      <formula>LEN(TRIM(I7))=0</formula>
    </cfRule>
  </conditionalFormatting>
  <conditionalFormatting sqref="I7">
    <cfRule type="containsBlanks" dxfId="6674" priority="13749">
      <formula>LEN(TRIM(I7))=0</formula>
    </cfRule>
  </conditionalFormatting>
  <conditionalFormatting sqref="I7">
    <cfRule type="containsBlanks" dxfId="6673" priority="13748">
      <formula>LEN(TRIM(I7))=0</formula>
    </cfRule>
  </conditionalFormatting>
  <conditionalFormatting sqref="I7">
    <cfRule type="containsBlanks" dxfId="6672" priority="13747">
      <formula>LEN(TRIM(I7))=0</formula>
    </cfRule>
  </conditionalFormatting>
  <conditionalFormatting sqref="H7">
    <cfRule type="containsBlanks" dxfId="6671" priority="13746">
      <formula>LEN(TRIM(H7))=0</formula>
    </cfRule>
  </conditionalFormatting>
  <conditionalFormatting sqref="N7">
    <cfRule type="containsBlanks" dxfId="6670" priority="13743">
      <formula>LEN(TRIM(N7))=0</formula>
    </cfRule>
  </conditionalFormatting>
  <conditionalFormatting sqref="N7">
    <cfRule type="containsBlanks" dxfId="6669" priority="13742">
      <formula>LEN(TRIM(N7))=0</formula>
    </cfRule>
  </conditionalFormatting>
  <conditionalFormatting sqref="I7">
    <cfRule type="containsBlanks" dxfId="6668" priority="13741">
      <formula>LEN(TRIM(I7))=0</formula>
    </cfRule>
  </conditionalFormatting>
  <conditionalFormatting sqref="I7">
    <cfRule type="containsBlanks" dxfId="6667" priority="13740">
      <formula>LEN(TRIM(I7))=0</formula>
    </cfRule>
  </conditionalFormatting>
  <conditionalFormatting sqref="I7">
    <cfRule type="containsBlanks" dxfId="6666" priority="13739">
      <formula>LEN(TRIM(I7))=0</formula>
    </cfRule>
  </conditionalFormatting>
  <conditionalFormatting sqref="I7">
    <cfRule type="containsBlanks" dxfId="6665" priority="13738">
      <formula>LEN(TRIM(I7))=0</formula>
    </cfRule>
  </conditionalFormatting>
  <conditionalFormatting sqref="H7">
    <cfRule type="containsBlanks" dxfId="6664" priority="13735">
      <formula>LEN(TRIM(H7))=0</formula>
    </cfRule>
  </conditionalFormatting>
  <conditionalFormatting sqref="N7">
    <cfRule type="containsBlanks" dxfId="6663" priority="13732">
      <formula>LEN(TRIM(N7))=0</formula>
    </cfRule>
  </conditionalFormatting>
  <conditionalFormatting sqref="N7">
    <cfRule type="containsBlanks" dxfId="6662" priority="13731">
      <formula>LEN(TRIM(N7))=0</formula>
    </cfRule>
  </conditionalFormatting>
  <conditionalFormatting sqref="I7">
    <cfRule type="containsBlanks" dxfId="6661" priority="13730">
      <formula>LEN(TRIM(I7))=0</formula>
    </cfRule>
  </conditionalFormatting>
  <conditionalFormatting sqref="I7">
    <cfRule type="containsBlanks" dxfId="6660" priority="13729">
      <formula>LEN(TRIM(I7))=0</formula>
    </cfRule>
  </conditionalFormatting>
  <conditionalFormatting sqref="I7">
    <cfRule type="containsBlanks" dxfId="6659" priority="13728">
      <formula>LEN(TRIM(I7))=0</formula>
    </cfRule>
  </conditionalFormatting>
  <conditionalFormatting sqref="I7">
    <cfRule type="containsBlanks" dxfId="6658" priority="13727">
      <formula>LEN(TRIM(I7))=0</formula>
    </cfRule>
  </conditionalFormatting>
  <conditionalFormatting sqref="H7">
    <cfRule type="containsBlanks" dxfId="6657" priority="13722">
      <formula>LEN(TRIM(H7))=0</formula>
    </cfRule>
  </conditionalFormatting>
  <conditionalFormatting sqref="I7">
    <cfRule type="containsBlanks" dxfId="6656" priority="13721">
      <formula>LEN(TRIM(I7))=0</formula>
    </cfRule>
  </conditionalFormatting>
  <conditionalFormatting sqref="I7">
    <cfRule type="containsBlanks" dxfId="6655" priority="13720">
      <formula>LEN(TRIM(I7))=0</formula>
    </cfRule>
  </conditionalFormatting>
  <conditionalFormatting sqref="I7">
    <cfRule type="containsBlanks" dxfId="6654" priority="13719">
      <formula>LEN(TRIM(I7))=0</formula>
    </cfRule>
  </conditionalFormatting>
  <conditionalFormatting sqref="I7">
    <cfRule type="containsBlanks" dxfId="6653" priority="13718">
      <formula>LEN(TRIM(I7))=0</formula>
    </cfRule>
  </conditionalFormatting>
  <conditionalFormatting sqref="N7">
    <cfRule type="containsBlanks" dxfId="6652" priority="13713">
      <formula>LEN(TRIM(N7))=0</formula>
    </cfRule>
  </conditionalFormatting>
  <conditionalFormatting sqref="N7">
    <cfRule type="containsBlanks" dxfId="6651" priority="13712">
      <formula>LEN(TRIM(N7))=0</formula>
    </cfRule>
  </conditionalFormatting>
  <conditionalFormatting sqref="H7">
    <cfRule type="containsBlanks" dxfId="6650" priority="13709">
      <formula>LEN(TRIM(H7))=0</formula>
    </cfRule>
  </conditionalFormatting>
  <conditionalFormatting sqref="I7">
    <cfRule type="containsBlanks" dxfId="6649" priority="13708">
      <formula>LEN(TRIM(I7))=0</formula>
    </cfRule>
  </conditionalFormatting>
  <conditionalFormatting sqref="I7">
    <cfRule type="containsBlanks" dxfId="6648" priority="13707">
      <formula>LEN(TRIM(I7))=0</formula>
    </cfRule>
  </conditionalFormatting>
  <conditionalFormatting sqref="I7">
    <cfRule type="containsBlanks" dxfId="6647" priority="13706">
      <formula>LEN(TRIM(I7))=0</formula>
    </cfRule>
  </conditionalFormatting>
  <conditionalFormatting sqref="I7">
    <cfRule type="containsBlanks" dxfId="6646" priority="13705">
      <formula>LEN(TRIM(I7))=0</formula>
    </cfRule>
  </conditionalFormatting>
  <conditionalFormatting sqref="N7">
    <cfRule type="containsBlanks" dxfId="6645" priority="13700">
      <formula>LEN(TRIM(N7))=0</formula>
    </cfRule>
  </conditionalFormatting>
  <conditionalFormatting sqref="N7">
    <cfRule type="containsBlanks" dxfId="6644" priority="13699">
      <formula>LEN(TRIM(N7))=0</formula>
    </cfRule>
  </conditionalFormatting>
  <conditionalFormatting sqref="H7">
    <cfRule type="containsBlanks" dxfId="6643" priority="13698">
      <formula>LEN(TRIM(H7))=0</formula>
    </cfRule>
  </conditionalFormatting>
  <conditionalFormatting sqref="I7">
    <cfRule type="containsBlanks" dxfId="6642" priority="13697">
      <formula>LEN(TRIM(I7))=0</formula>
    </cfRule>
  </conditionalFormatting>
  <conditionalFormatting sqref="I7">
    <cfRule type="containsBlanks" dxfId="6641" priority="13696">
      <formula>LEN(TRIM(I7))=0</formula>
    </cfRule>
  </conditionalFormatting>
  <conditionalFormatting sqref="I7">
    <cfRule type="containsBlanks" dxfId="6640" priority="13695">
      <formula>LEN(TRIM(I7))=0</formula>
    </cfRule>
  </conditionalFormatting>
  <conditionalFormatting sqref="I7">
    <cfRule type="containsBlanks" dxfId="6639" priority="13694">
      <formula>LEN(TRIM(I7))=0</formula>
    </cfRule>
  </conditionalFormatting>
  <conditionalFormatting sqref="N7">
    <cfRule type="containsBlanks" dxfId="6638" priority="13693">
      <formula>LEN(TRIM(N7))=0</formula>
    </cfRule>
  </conditionalFormatting>
  <conditionalFormatting sqref="N7">
    <cfRule type="containsBlanks" dxfId="6637" priority="13692">
      <formula>LEN(TRIM(N7))=0</formula>
    </cfRule>
  </conditionalFormatting>
  <conditionalFormatting sqref="H7">
    <cfRule type="containsBlanks" dxfId="6636" priority="13683">
      <formula>LEN(TRIM(H7))=0</formula>
    </cfRule>
  </conditionalFormatting>
  <conditionalFormatting sqref="N7">
    <cfRule type="containsBlanks" dxfId="6635" priority="13680">
      <formula>LEN(TRIM(N7))=0</formula>
    </cfRule>
  </conditionalFormatting>
  <conditionalFormatting sqref="N7">
    <cfRule type="containsBlanks" dxfId="6634" priority="13679">
      <formula>LEN(TRIM(N7))=0</formula>
    </cfRule>
  </conditionalFormatting>
  <conditionalFormatting sqref="I7">
    <cfRule type="containsBlanks" dxfId="6633" priority="13678">
      <formula>LEN(TRIM(I7))=0</formula>
    </cfRule>
  </conditionalFormatting>
  <conditionalFormatting sqref="I7">
    <cfRule type="containsBlanks" dxfId="6632" priority="13677">
      <formula>LEN(TRIM(I7))=0</formula>
    </cfRule>
  </conditionalFormatting>
  <conditionalFormatting sqref="I7">
    <cfRule type="containsBlanks" dxfId="6631" priority="13676">
      <formula>LEN(TRIM(I7))=0</formula>
    </cfRule>
  </conditionalFormatting>
  <conditionalFormatting sqref="I7">
    <cfRule type="containsBlanks" dxfId="6630" priority="13675">
      <formula>LEN(TRIM(I7))=0</formula>
    </cfRule>
  </conditionalFormatting>
  <conditionalFormatting sqref="H7">
    <cfRule type="containsBlanks" dxfId="6629" priority="13670">
      <formula>LEN(TRIM(H7))=0</formula>
    </cfRule>
  </conditionalFormatting>
  <conditionalFormatting sqref="I7">
    <cfRule type="containsBlanks" dxfId="6628" priority="13669">
      <formula>LEN(TRIM(I7))=0</formula>
    </cfRule>
  </conditionalFormatting>
  <conditionalFormatting sqref="I7">
    <cfRule type="containsBlanks" dxfId="6627" priority="13668">
      <formula>LEN(TRIM(I7))=0</formula>
    </cfRule>
  </conditionalFormatting>
  <conditionalFormatting sqref="I7">
    <cfRule type="containsBlanks" dxfId="6626" priority="13667">
      <formula>LEN(TRIM(I7))=0</formula>
    </cfRule>
  </conditionalFormatting>
  <conditionalFormatting sqref="I7">
    <cfRule type="containsBlanks" dxfId="6625" priority="13666">
      <formula>LEN(TRIM(I7))=0</formula>
    </cfRule>
  </conditionalFormatting>
  <conditionalFormatting sqref="N7">
    <cfRule type="containsBlanks" dxfId="6624" priority="13661">
      <formula>LEN(TRIM(N7))=0</formula>
    </cfRule>
  </conditionalFormatting>
  <conditionalFormatting sqref="N7">
    <cfRule type="containsBlanks" dxfId="6623" priority="13660">
      <formula>LEN(TRIM(N7))=0</formula>
    </cfRule>
  </conditionalFormatting>
  <conditionalFormatting sqref="H7">
    <cfRule type="containsBlanks" dxfId="6622" priority="13657">
      <formula>LEN(TRIM(H7))=0</formula>
    </cfRule>
  </conditionalFormatting>
  <conditionalFormatting sqref="I7">
    <cfRule type="containsBlanks" dxfId="6621" priority="13656">
      <formula>LEN(TRIM(I7))=0</formula>
    </cfRule>
  </conditionalFormatting>
  <conditionalFormatting sqref="I7">
    <cfRule type="containsBlanks" dxfId="6620" priority="13655">
      <formula>LEN(TRIM(I7))=0</formula>
    </cfRule>
  </conditionalFormatting>
  <conditionalFormatting sqref="I7">
    <cfRule type="containsBlanks" dxfId="6619" priority="13654">
      <formula>LEN(TRIM(I7))=0</formula>
    </cfRule>
  </conditionalFormatting>
  <conditionalFormatting sqref="I7">
    <cfRule type="containsBlanks" dxfId="6618" priority="13653">
      <formula>LEN(TRIM(I7))=0</formula>
    </cfRule>
  </conditionalFormatting>
  <conditionalFormatting sqref="N7">
    <cfRule type="containsBlanks" dxfId="6617" priority="13648">
      <formula>LEN(TRIM(N7))=0</formula>
    </cfRule>
  </conditionalFormatting>
  <conditionalFormatting sqref="N7">
    <cfRule type="containsBlanks" dxfId="6616" priority="13647">
      <formula>LEN(TRIM(N7))=0</formula>
    </cfRule>
  </conditionalFormatting>
  <conditionalFormatting sqref="H7">
    <cfRule type="containsBlanks" dxfId="6615" priority="13646">
      <formula>LEN(TRIM(H7))=0</formula>
    </cfRule>
  </conditionalFormatting>
  <conditionalFormatting sqref="I7">
    <cfRule type="containsBlanks" dxfId="6614" priority="13645">
      <formula>LEN(TRIM(I7))=0</formula>
    </cfRule>
  </conditionalFormatting>
  <conditionalFormatting sqref="I7">
    <cfRule type="containsBlanks" dxfId="6613" priority="13644">
      <formula>LEN(TRIM(I7))=0</formula>
    </cfRule>
  </conditionalFormatting>
  <conditionalFormatting sqref="I7">
    <cfRule type="containsBlanks" dxfId="6612" priority="13643">
      <formula>LEN(TRIM(I7))=0</formula>
    </cfRule>
  </conditionalFormatting>
  <conditionalFormatting sqref="I7">
    <cfRule type="containsBlanks" dxfId="6611" priority="13642">
      <formula>LEN(TRIM(I7))=0</formula>
    </cfRule>
  </conditionalFormatting>
  <conditionalFormatting sqref="N7">
    <cfRule type="containsBlanks" dxfId="6610" priority="13641">
      <formula>LEN(TRIM(N7))=0</formula>
    </cfRule>
  </conditionalFormatting>
  <conditionalFormatting sqref="N7">
    <cfRule type="containsBlanks" dxfId="6609" priority="13640">
      <formula>LEN(TRIM(N7))=0</formula>
    </cfRule>
  </conditionalFormatting>
  <conditionalFormatting sqref="H7">
    <cfRule type="containsBlanks" dxfId="6608" priority="13629">
      <formula>LEN(TRIM(H7))=0</formula>
    </cfRule>
  </conditionalFormatting>
  <conditionalFormatting sqref="I7">
    <cfRule type="containsBlanks" dxfId="6607" priority="13628">
      <formula>LEN(TRIM(I7))=0</formula>
    </cfRule>
  </conditionalFormatting>
  <conditionalFormatting sqref="I7">
    <cfRule type="containsBlanks" dxfId="6606" priority="13627">
      <formula>LEN(TRIM(I7))=0</formula>
    </cfRule>
  </conditionalFormatting>
  <conditionalFormatting sqref="I7">
    <cfRule type="containsBlanks" dxfId="6605" priority="13626">
      <formula>LEN(TRIM(I7))=0</formula>
    </cfRule>
  </conditionalFormatting>
  <conditionalFormatting sqref="I7">
    <cfRule type="containsBlanks" dxfId="6604" priority="13625">
      <formula>LEN(TRIM(I7))=0</formula>
    </cfRule>
  </conditionalFormatting>
  <conditionalFormatting sqref="N7">
    <cfRule type="containsBlanks" dxfId="6603" priority="13620">
      <formula>LEN(TRIM(N7))=0</formula>
    </cfRule>
  </conditionalFormatting>
  <conditionalFormatting sqref="N7">
    <cfRule type="containsBlanks" dxfId="6602" priority="13619">
      <formula>LEN(TRIM(N7))=0</formula>
    </cfRule>
  </conditionalFormatting>
  <conditionalFormatting sqref="H7">
    <cfRule type="containsBlanks" dxfId="6601" priority="13618">
      <formula>LEN(TRIM(H7))=0</formula>
    </cfRule>
  </conditionalFormatting>
  <conditionalFormatting sqref="I7">
    <cfRule type="containsBlanks" dxfId="6600" priority="13617">
      <formula>LEN(TRIM(I7))=0</formula>
    </cfRule>
  </conditionalFormatting>
  <conditionalFormatting sqref="I7">
    <cfRule type="containsBlanks" dxfId="6599" priority="13616">
      <formula>LEN(TRIM(I7))=0</formula>
    </cfRule>
  </conditionalFormatting>
  <conditionalFormatting sqref="I7">
    <cfRule type="containsBlanks" dxfId="6598" priority="13615">
      <formula>LEN(TRIM(I7))=0</formula>
    </cfRule>
  </conditionalFormatting>
  <conditionalFormatting sqref="I7">
    <cfRule type="containsBlanks" dxfId="6597" priority="13614">
      <formula>LEN(TRIM(I7))=0</formula>
    </cfRule>
  </conditionalFormatting>
  <conditionalFormatting sqref="N7">
    <cfRule type="containsBlanks" dxfId="6596" priority="13613">
      <formula>LEN(TRIM(N7))=0</formula>
    </cfRule>
  </conditionalFormatting>
  <conditionalFormatting sqref="N7">
    <cfRule type="containsBlanks" dxfId="6595" priority="13612">
      <formula>LEN(TRIM(N7))=0</formula>
    </cfRule>
  </conditionalFormatting>
  <conditionalFormatting sqref="H7">
    <cfRule type="containsBlanks" dxfId="6594" priority="13603">
      <formula>LEN(TRIM(H7))=0</formula>
    </cfRule>
  </conditionalFormatting>
  <conditionalFormatting sqref="I7">
    <cfRule type="containsBlanks" dxfId="6593" priority="13602">
      <formula>LEN(TRIM(I7))=0</formula>
    </cfRule>
  </conditionalFormatting>
  <conditionalFormatting sqref="I7">
    <cfRule type="containsBlanks" dxfId="6592" priority="13601">
      <formula>LEN(TRIM(I7))=0</formula>
    </cfRule>
  </conditionalFormatting>
  <conditionalFormatting sqref="I7">
    <cfRule type="containsBlanks" dxfId="6591" priority="13600">
      <formula>LEN(TRIM(I7))=0</formula>
    </cfRule>
  </conditionalFormatting>
  <conditionalFormatting sqref="I7">
    <cfRule type="containsBlanks" dxfId="6590" priority="13599">
      <formula>LEN(TRIM(I7))=0</formula>
    </cfRule>
  </conditionalFormatting>
  <conditionalFormatting sqref="N7">
    <cfRule type="containsBlanks" dxfId="6589" priority="13598">
      <formula>LEN(TRIM(N7))=0</formula>
    </cfRule>
  </conditionalFormatting>
  <conditionalFormatting sqref="N7">
    <cfRule type="containsBlanks" dxfId="6588" priority="13597">
      <formula>LEN(TRIM(N7))=0</formula>
    </cfRule>
  </conditionalFormatting>
  <conditionalFormatting sqref="H7">
    <cfRule type="containsBlanks" dxfId="6587" priority="13588">
      <formula>LEN(TRIM(H7))=0</formula>
    </cfRule>
  </conditionalFormatting>
  <conditionalFormatting sqref="I7">
    <cfRule type="containsBlanks" dxfId="6586" priority="13587">
      <formula>LEN(TRIM(I7))=0</formula>
    </cfRule>
  </conditionalFormatting>
  <conditionalFormatting sqref="I7">
    <cfRule type="containsBlanks" dxfId="6585" priority="13586">
      <formula>LEN(TRIM(I7))=0</formula>
    </cfRule>
  </conditionalFormatting>
  <conditionalFormatting sqref="I7">
    <cfRule type="containsBlanks" dxfId="6584" priority="13585">
      <formula>LEN(TRIM(I7))=0</formula>
    </cfRule>
  </conditionalFormatting>
  <conditionalFormatting sqref="I7">
    <cfRule type="containsBlanks" dxfId="6583" priority="13584">
      <formula>LEN(TRIM(I7))=0</formula>
    </cfRule>
  </conditionalFormatting>
  <conditionalFormatting sqref="N7">
    <cfRule type="containsBlanks" dxfId="6582" priority="13583">
      <formula>LEN(TRIM(N7))=0</formula>
    </cfRule>
  </conditionalFormatting>
  <conditionalFormatting sqref="N7">
    <cfRule type="containsBlanks" dxfId="6581" priority="13582">
      <formula>LEN(TRIM(N7))=0</formula>
    </cfRule>
  </conditionalFormatting>
  <conditionalFormatting sqref="H8">
    <cfRule type="containsBlanks" dxfId="6580" priority="13571">
      <formula>LEN(TRIM(H8))=0</formula>
    </cfRule>
  </conditionalFormatting>
  <conditionalFormatting sqref="I8">
    <cfRule type="containsBlanks" dxfId="6579" priority="13570">
      <formula>LEN(TRIM(I8))=0</formula>
    </cfRule>
  </conditionalFormatting>
  <conditionalFormatting sqref="I8">
    <cfRule type="containsBlanks" dxfId="6578" priority="13569">
      <formula>LEN(TRIM(I8))=0</formula>
    </cfRule>
  </conditionalFormatting>
  <conditionalFormatting sqref="I8">
    <cfRule type="containsBlanks" dxfId="6577" priority="13568">
      <formula>LEN(TRIM(I8))=0</formula>
    </cfRule>
  </conditionalFormatting>
  <conditionalFormatting sqref="I8">
    <cfRule type="containsBlanks" dxfId="6576" priority="13567">
      <formula>LEN(TRIM(I8))=0</formula>
    </cfRule>
  </conditionalFormatting>
  <conditionalFormatting sqref="N8">
    <cfRule type="containsBlanks" dxfId="6575" priority="13562">
      <formula>LEN(TRIM(N8))=0</formula>
    </cfRule>
  </conditionalFormatting>
  <conditionalFormatting sqref="N8">
    <cfRule type="containsBlanks" dxfId="6574" priority="13561">
      <formula>LEN(TRIM(N8))=0</formula>
    </cfRule>
  </conditionalFormatting>
  <conditionalFormatting sqref="H8">
    <cfRule type="containsBlanks" dxfId="6573" priority="13560">
      <formula>LEN(TRIM(H8))=0</formula>
    </cfRule>
  </conditionalFormatting>
  <conditionalFormatting sqref="I8">
    <cfRule type="containsBlanks" dxfId="6572" priority="13559">
      <formula>LEN(TRIM(I8))=0</formula>
    </cfRule>
  </conditionalFormatting>
  <conditionalFormatting sqref="I8">
    <cfRule type="containsBlanks" dxfId="6571" priority="13558">
      <formula>LEN(TRIM(I8))=0</formula>
    </cfRule>
  </conditionalFormatting>
  <conditionalFormatting sqref="I8">
    <cfRule type="containsBlanks" dxfId="6570" priority="13557">
      <formula>LEN(TRIM(I8))=0</formula>
    </cfRule>
  </conditionalFormatting>
  <conditionalFormatting sqref="I8">
    <cfRule type="containsBlanks" dxfId="6569" priority="13556">
      <formula>LEN(TRIM(I8))=0</formula>
    </cfRule>
  </conditionalFormatting>
  <conditionalFormatting sqref="N8">
    <cfRule type="containsBlanks" dxfId="6568" priority="13555">
      <formula>LEN(TRIM(N8))=0</formula>
    </cfRule>
  </conditionalFormatting>
  <conditionalFormatting sqref="N8">
    <cfRule type="containsBlanks" dxfId="6567" priority="13554">
      <formula>LEN(TRIM(N8))=0</formula>
    </cfRule>
  </conditionalFormatting>
  <conditionalFormatting sqref="H8">
    <cfRule type="containsBlanks" dxfId="6566" priority="13545">
      <formula>LEN(TRIM(H8))=0</formula>
    </cfRule>
  </conditionalFormatting>
  <conditionalFormatting sqref="I8">
    <cfRule type="containsBlanks" dxfId="6565" priority="13544">
      <formula>LEN(TRIM(I8))=0</formula>
    </cfRule>
  </conditionalFormatting>
  <conditionalFormatting sqref="I8">
    <cfRule type="containsBlanks" dxfId="6564" priority="13543">
      <formula>LEN(TRIM(I8))=0</formula>
    </cfRule>
  </conditionalFormatting>
  <conditionalFormatting sqref="I8">
    <cfRule type="containsBlanks" dxfId="6563" priority="13542">
      <formula>LEN(TRIM(I8))=0</formula>
    </cfRule>
  </conditionalFormatting>
  <conditionalFormatting sqref="I8">
    <cfRule type="containsBlanks" dxfId="6562" priority="13541">
      <formula>LEN(TRIM(I8))=0</formula>
    </cfRule>
  </conditionalFormatting>
  <conditionalFormatting sqref="N8">
    <cfRule type="containsBlanks" dxfId="6561" priority="13540">
      <formula>LEN(TRIM(N8))=0</formula>
    </cfRule>
  </conditionalFormatting>
  <conditionalFormatting sqref="N8">
    <cfRule type="containsBlanks" dxfId="6560" priority="13539">
      <formula>LEN(TRIM(N8))=0</formula>
    </cfRule>
  </conditionalFormatting>
  <conditionalFormatting sqref="H8">
    <cfRule type="containsBlanks" dxfId="6559" priority="13530">
      <formula>LEN(TRIM(H8))=0</formula>
    </cfRule>
  </conditionalFormatting>
  <conditionalFormatting sqref="I8">
    <cfRule type="containsBlanks" dxfId="6558" priority="13529">
      <formula>LEN(TRIM(I8))=0</formula>
    </cfRule>
  </conditionalFormatting>
  <conditionalFormatting sqref="I8">
    <cfRule type="containsBlanks" dxfId="6557" priority="13528">
      <formula>LEN(TRIM(I8))=0</formula>
    </cfRule>
  </conditionalFormatting>
  <conditionalFormatting sqref="I8">
    <cfRule type="containsBlanks" dxfId="6556" priority="13527">
      <formula>LEN(TRIM(I8))=0</formula>
    </cfRule>
  </conditionalFormatting>
  <conditionalFormatting sqref="I8">
    <cfRule type="containsBlanks" dxfId="6555" priority="13526">
      <formula>LEN(TRIM(I8))=0</formula>
    </cfRule>
  </conditionalFormatting>
  <conditionalFormatting sqref="N8">
    <cfRule type="containsBlanks" dxfId="6554" priority="13525">
      <formula>LEN(TRIM(N8))=0</formula>
    </cfRule>
  </conditionalFormatting>
  <conditionalFormatting sqref="N8">
    <cfRule type="containsBlanks" dxfId="6553" priority="13524">
      <formula>LEN(TRIM(N8))=0</formula>
    </cfRule>
  </conditionalFormatting>
  <conditionalFormatting sqref="H8">
    <cfRule type="containsBlanks" dxfId="6552" priority="13399">
      <formula>LEN(TRIM(H8))=0</formula>
    </cfRule>
  </conditionalFormatting>
  <conditionalFormatting sqref="I8">
    <cfRule type="containsBlanks" dxfId="6551" priority="13398">
      <formula>LEN(TRIM(I8))=0</formula>
    </cfRule>
  </conditionalFormatting>
  <conditionalFormatting sqref="I8">
    <cfRule type="containsBlanks" dxfId="6550" priority="13397">
      <formula>LEN(TRIM(I8))=0</formula>
    </cfRule>
  </conditionalFormatting>
  <conditionalFormatting sqref="N8">
    <cfRule type="containsBlanks" dxfId="6549" priority="13396">
      <formula>LEN(TRIM(N8))=0</formula>
    </cfRule>
  </conditionalFormatting>
  <conditionalFormatting sqref="N8">
    <cfRule type="containsBlanks" dxfId="6548" priority="13395">
      <formula>LEN(TRIM(N8))=0</formula>
    </cfRule>
  </conditionalFormatting>
  <conditionalFormatting sqref="N8">
    <cfRule type="containsBlanks" dxfId="6547" priority="13394">
      <formula>LEN(TRIM(N8))=0</formula>
    </cfRule>
  </conditionalFormatting>
  <conditionalFormatting sqref="N8">
    <cfRule type="containsBlanks" dxfId="6546" priority="13393">
      <formula>LEN(TRIM(N8))=0</formula>
    </cfRule>
  </conditionalFormatting>
  <conditionalFormatting sqref="N8">
    <cfRule type="containsBlanks" dxfId="6545" priority="13392">
      <formula>LEN(TRIM(N8))=0</formula>
    </cfRule>
  </conditionalFormatting>
  <conditionalFormatting sqref="N8">
    <cfRule type="containsBlanks" dxfId="6544" priority="13391">
      <formula>LEN(TRIM(N8))=0</formula>
    </cfRule>
  </conditionalFormatting>
  <conditionalFormatting sqref="N8">
    <cfRule type="containsBlanks" dxfId="6543" priority="13390">
      <formula>LEN(TRIM(N8))=0</formula>
    </cfRule>
  </conditionalFormatting>
  <conditionalFormatting sqref="N8">
    <cfRule type="containsBlanks" dxfId="6542" priority="13389">
      <formula>LEN(TRIM(N8))=0</formula>
    </cfRule>
  </conditionalFormatting>
  <conditionalFormatting sqref="N8">
    <cfRule type="containsBlanks" dxfId="6541" priority="13388">
      <formula>LEN(TRIM(N8))=0</formula>
    </cfRule>
  </conditionalFormatting>
  <conditionalFormatting sqref="N8">
    <cfRule type="containsBlanks" dxfId="6540" priority="13387">
      <formula>LEN(TRIM(N8))=0</formula>
    </cfRule>
  </conditionalFormatting>
  <conditionalFormatting sqref="N8">
    <cfRule type="containsBlanks" dxfId="6539" priority="13386">
      <formula>LEN(TRIM(N8))=0</formula>
    </cfRule>
  </conditionalFormatting>
  <conditionalFormatting sqref="N8">
    <cfRule type="containsBlanks" dxfId="6538" priority="13385">
      <formula>LEN(TRIM(N8))=0</formula>
    </cfRule>
  </conditionalFormatting>
  <conditionalFormatting sqref="N8">
    <cfRule type="containsBlanks" dxfId="6537" priority="13384">
      <formula>LEN(TRIM(N8))=0</formula>
    </cfRule>
  </conditionalFormatting>
  <conditionalFormatting sqref="N8">
    <cfRule type="containsBlanks" dxfId="6536" priority="13383">
      <formula>LEN(TRIM(N8))=0</formula>
    </cfRule>
  </conditionalFormatting>
  <conditionalFormatting sqref="N8">
    <cfRule type="containsBlanks" dxfId="6535" priority="13382">
      <formula>LEN(TRIM(N8))=0</formula>
    </cfRule>
  </conditionalFormatting>
  <conditionalFormatting sqref="N8">
    <cfRule type="containsBlanks" dxfId="6534" priority="13381">
      <formula>LEN(TRIM(N8))=0</formula>
    </cfRule>
  </conditionalFormatting>
  <conditionalFormatting sqref="N8">
    <cfRule type="containsBlanks" dxfId="6533" priority="13380">
      <formula>LEN(TRIM(N8))=0</formula>
    </cfRule>
  </conditionalFormatting>
  <conditionalFormatting sqref="N8">
    <cfRule type="containsBlanks" dxfId="6532" priority="13379">
      <formula>LEN(TRIM(N8))=0</formula>
    </cfRule>
  </conditionalFormatting>
  <conditionalFormatting sqref="N8">
    <cfRule type="containsBlanks" dxfId="6531" priority="13378">
      <formula>LEN(TRIM(N8))=0</formula>
    </cfRule>
  </conditionalFormatting>
  <conditionalFormatting sqref="N8">
    <cfRule type="containsBlanks" dxfId="6530" priority="13377">
      <formula>LEN(TRIM(N8))=0</formula>
    </cfRule>
  </conditionalFormatting>
  <conditionalFormatting sqref="N8">
    <cfRule type="containsBlanks" dxfId="6529" priority="13376">
      <formula>LEN(TRIM(N8))=0</formula>
    </cfRule>
  </conditionalFormatting>
  <conditionalFormatting sqref="N8">
    <cfRule type="containsBlanks" dxfId="6528" priority="13375">
      <formula>LEN(TRIM(N8))=0</formula>
    </cfRule>
  </conditionalFormatting>
  <conditionalFormatting sqref="N8">
    <cfRule type="containsBlanks" dxfId="6527" priority="13374">
      <formula>LEN(TRIM(N8))=0</formula>
    </cfRule>
  </conditionalFormatting>
  <conditionalFormatting sqref="N8">
    <cfRule type="containsBlanks" dxfId="6526" priority="13373">
      <formula>LEN(TRIM(N8))=0</formula>
    </cfRule>
  </conditionalFormatting>
  <conditionalFormatting sqref="N8">
    <cfRule type="containsBlanks" dxfId="6525" priority="13372">
      <formula>LEN(TRIM(N8))=0</formula>
    </cfRule>
  </conditionalFormatting>
  <conditionalFormatting sqref="N8">
    <cfRule type="containsBlanks" dxfId="6524" priority="13371">
      <formula>LEN(TRIM(N8))=0</formula>
    </cfRule>
  </conditionalFormatting>
  <conditionalFormatting sqref="N8">
    <cfRule type="containsBlanks" dxfId="6523" priority="13370">
      <formula>LEN(TRIM(N8))=0</formula>
    </cfRule>
  </conditionalFormatting>
  <conditionalFormatting sqref="N8">
    <cfRule type="containsBlanks" dxfId="6522" priority="13369">
      <formula>LEN(TRIM(N8))=0</formula>
    </cfRule>
  </conditionalFormatting>
  <conditionalFormatting sqref="N8">
    <cfRule type="containsBlanks" dxfId="6521" priority="13368">
      <formula>LEN(TRIM(N8))=0</formula>
    </cfRule>
  </conditionalFormatting>
  <conditionalFormatting sqref="N8">
    <cfRule type="containsBlanks" dxfId="6520" priority="13367">
      <formula>LEN(TRIM(N8))=0</formula>
    </cfRule>
  </conditionalFormatting>
  <conditionalFormatting sqref="N8">
    <cfRule type="containsBlanks" dxfId="6519" priority="13366">
      <formula>LEN(TRIM(N8))=0</formula>
    </cfRule>
  </conditionalFormatting>
  <conditionalFormatting sqref="N8">
    <cfRule type="containsBlanks" dxfId="6518" priority="13365">
      <formula>LEN(TRIM(N8))=0</formula>
    </cfRule>
  </conditionalFormatting>
  <conditionalFormatting sqref="N8">
    <cfRule type="containsBlanks" dxfId="6517" priority="13364">
      <formula>LEN(TRIM(N8))=0</formula>
    </cfRule>
  </conditionalFormatting>
  <conditionalFormatting sqref="N8">
    <cfRule type="containsBlanks" dxfId="6516" priority="13363">
      <formula>LEN(TRIM(N8))=0</formula>
    </cfRule>
  </conditionalFormatting>
  <conditionalFormatting sqref="H8">
    <cfRule type="containsBlanks" dxfId="6515" priority="13330">
      <formula>LEN(TRIM(H8))=0</formula>
    </cfRule>
  </conditionalFormatting>
  <conditionalFormatting sqref="I8">
    <cfRule type="containsBlanks" dxfId="6514" priority="13329">
      <formula>LEN(TRIM(I8))=0</formula>
    </cfRule>
  </conditionalFormatting>
  <conditionalFormatting sqref="I8">
    <cfRule type="containsBlanks" dxfId="6513" priority="13328">
      <formula>LEN(TRIM(I8))=0</formula>
    </cfRule>
  </conditionalFormatting>
  <conditionalFormatting sqref="N8">
    <cfRule type="containsBlanks" dxfId="6512" priority="13327">
      <formula>LEN(TRIM(N8))=0</formula>
    </cfRule>
  </conditionalFormatting>
  <conditionalFormatting sqref="N8">
    <cfRule type="containsBlanks" dxfId="6511" priority="13326">
      <formula>LEN(TRIM(N8))=0</formula>
    </cfRule>
  </conditionalFormatting>
  <conditionalFormatting sqref="N8">
    <cfRule type="containsBlanks" dxfId="6510" priority="13325">
      <formula>LEN(TRIM(N8))=0</formula>
    </cfRule>
  </conditionalFormatting>
  <conditionalFormatting sqref="N8">
    <cfRule type="containsBlanks" dxfId="6509" priority="13324">
      <formula>LEN(TRIM(N8))=0</formula>
    </cfRule>
  </conditionalFormatting>
  <conditionalFormatting sqref="N8">
    <cfRule type="containsBlanks" dxfId="6508" priority="13323">
      <formula>LEN(TRIM(N8))=0</formula>
    </cfRule>
  </conditionalFormatting>
  <conditionalFormatting sqref="N8">
    <cfRule type="containsBlanks" dxfId="6507" priority="13322">
      <formula>LEN(TRIM(N8))=0</formula>
    </cfRule>
  </conditionalFormatting>
  <conditionalFormatting sqref="N8">
    <cfRule type="containsBlanks" dxfId="6506" priority="13321">
      <formula>LEN(TRIM(N8))=0</formula>
    </cfRule>
  </conditionalFormatting>
  <conditionalFormatting sqref="N8">
    <cfRule type="containsBlanks" dxfId="6505" priority="13320">
      <formula>LEN(TRIM(N8))=0</formula>
    </cfRule>
  </conditionalFormatting>
  <conditionalFormatting sqref="N8">
    <cfRule type="containsBlanks" dxfId="6504" priority="13319">
      <formula>LEN(TRIM(N8))=0</formula>
    </cfRule>
  </conditionalFormatting>
  <conditionalFormatting sqref="N8">
    <cfRule type="containsBlanks" dxfId="6503" priority="13318">
      <formula>LEN(TRIM(N8))=0</formula>
    </cfRule>
  </conditionalFormatting>
  <conditionalFormatting sqref="N8">
    <cfRule type="containsBlanks" dxfId="6502" priority="13317">
      <formula>LEN(TRIM(N8))=0</formula>
    </cfRule>
  </conditionalFormatting>
  <conditionalFormatting sqref="N8">
    <cfRule type="containsBlanks" dxfId="6501" priority="13316">
      <formula>LEN(TRIM(N8))=0</formula>
    </cfRule>
  </conditionalFormatting>
  <conditionalFormatting sqref="N8">
    <cfRule type="containsBlanks" dxfId="6500" priority="13315">
      <formula>LEN(TRIM(N8))=0</formula>
    </cfRule>
  </conditionalFormatting>
  <conditionalFormatting sqref="N8">
    <cfRule type="containsBlanks" dxfId="6499" priority="13314">
      <formula>LEN(TRIM(N8))=0</formula>
    </cfRule>
  </conditionalFormatting>
  <conditionalFormatting sqref="N8">
    <cfRule type="containsBlanks" dxfId="6498" priority="13313">
      <formula>LEN(TRIM(N8))=0</formula>
    </cfRule>
  </conditionalFormatting>
  <conditionalFormatting sqref="N8">
    <cfRule type="containsBlanks" dxfId="6497" priority="13312">
      <formula>LEN(TRIM(N8))=0</formula>
    </cfRule>
  </conditionalFormatting>
  <conditionalFormatting sqref="N8">
    <cfRule type="containsBlanks" dxfId="6496" priority="13311">
      <formula>LEN(TRIM(N8))=0</formula>
    </cfRule>
  </conditionalFormatting>
  <conditionalFormatting sqref="N8">
    <cfRule type="containsBlanks" dxfId="6495" priority="13310">
      <formula>LEN(TRIM(N8))=0</formula>
    </cfRule>
  </conditionalFormatting>
  <conditionalFormatting sqref="N8">
    <cfRule type="containsBlanks" dxfId="6494" priority="13309">
      <formula>LEN(TRIM(N8))=0</formula>
    </cfRule>
  </conditionalFormatting>
  <conditionalFormatting sqref="N8">
    <cfRule type="containsBlanks" dxfId="6493" priority="13308">
      <formula>LEN(TRIM(N8))=0</formula>
    </cfRule>
  </conditionalFormatting>
  <conditionalFormatting sqref="N8">
    <cfRule type="containsBlanks" dxfId="6492" priority="13307">
      <formula>LEN(TRIM(N8))=0</formula>
    </cfRule>
  </conditionalFormatting>
  <conditionalFormatting sqref="N8">
    <cfRule type="containsBlanks" dxfId="6491" priority="13306">
      <formula>LEN(TRIM(N8))=0</formula>
    </cfRule>
  </conditionalFormatting>
  <conditionalFormatting sqref="N8">
    <cfRule type="containsBlanks" dxfId="6490" priority="13305">
      <formula>LEN(TRIM(N8))=0</formula>
    </cfRule>
  </conditionalFormatting>
  <conditionalFormatting sqref="N8">
    <cfRule type="containsBlanks" dxfId="6489" priority="13304">
      <formula>LEN(TRIM(N8))=0</formula>
    </cfRule>
  </conditionalFormatting>
  <conditionalFormatting sqref="N8">
    <cfRule type="containsBlanks" dxfId="6488" priority="13303">
      <formula>LEN(TRIM(N8))=0</formula>
    </cfRule>
  </conditionalFormatting>
  <conditionalFormatting sqref="N8">
    <cfRule type="containsBlanks" dxfId="6487" priority="13302">
      <formula>LEN(TRIM(N8))=0</formula>
    </cfRule>
  </conditionalFormatting>
  <conditionalFormatting sqref="N8">
    <cfRule type="containsBlanks" dxfId="6486" priority="13301">
      <formula>LEN(TRIM(N8))=0</formula>
    </cfRule>
  </conditionalFormatting>
  <conditionalFormatting sqref="N8">
    <cfRule type="containsBlanks" dxfId="6485" priority="13300">
      <formula>LEN(TRIM(N8))=0</formula>
    </cfRule>
  </conditionalFormatting>
  <conditionalFormatting sqref="N8">
    <cfRule type="containsBlanks" dxfId="6484" priority="13299">
      <formula>LEN(TRIM(N8))=0</formula>
    </cfRule>
  </conditionalFormatting>
  <conditionalFormatting sqref="N8">
    <cfRule type="containsBlanks" dxfId="6483" priority="13298">
      <formula>LEN(TRIM(N8))=0</formula>
    </cfRule>
  </conditionalFormatting>
  <conditionalFormatting sqref="N8">
    <cfRule type="containsBlanks" dxfId="6482" priority="13297">
      <formula>LEN(TRIM(N8))=0</formula>
    </cfRule>
  </conditionalFormatting>
  <conditionalFormatting sqref="N8">
    <cfRule type="containsBlanks" dxfId="6481" priority="13296">
      <formula>LEN(TRIM(N8))=0</formula>
    </cfRule>
  </conditionalFormatting>
  <conditionalFormatting sqref="N8">
    <cfRule type="containsBlanks" dxfId="6480" priority="13295">
      <formula>LEN(TRIM(N8))=0</formula>
    </cfRule>
  </conditionalFormatting>
  <conditionalFormatting sqref="N8">
    <cfRule type="containsBlanks" dxfId="6479" priority="13294">
      <formula>LEN(TRIM(N8))=0</formula>
    </cfRule>
  </conditionalFormatting>
  <conditionalFormatting sqref="H8">
    <cfRule type="containsBlanks" dxfId="6478" priority="13293">
      <formula>LEN(TRIM(H8))=0</formula>
    </cfRule>
  </conditionalFormatting>
  <conditionalFormatting sqref="I8">
    <cfRule type="containsBlanks" dxfId="6477" priority="13292">
      <formula>LEN(TRIM(I8))=0</formula>
    </cfRule>
  </conditionalFormatting>
  <conditionalFormatting sqref="I8">
    <cfRule type="containsBlanks" dxfId="6476" priority="13291">
      <formula>LEN(TRIM(I8))=0</formula>
    </cfRule>
  </conditionalFormatting>
  <conditionalFormatting sqref="I8">
    <cfRule type="containsBlanks" dxfId="6475" priority="13290">
      <formula>LEN(TRIM(I8))=0</formula>
    </cfRule>
  </conditionalFormatting>
  <conditionalFormatting sqref="I8">
    <cfRule type="containsBlanks" dxfId="6474" priority="13289">
      <formula>LEN(TRIM(I8))=0</formula>
    </cfRule>
  </conditionalFormatting>
  <conditionalFormatting sqref="N8">
    <cfRule type="containsBlanks" dxfId="6473" priority="13288">
      <formula>LEN(TRIM(N8))=0</formula>
    </cfRule>
  </conditionalFormatting>
  <conditionalFormatting sqref="N8">
    <cfRule type="containsBlanks" dxfId="6472" priority="13287">
      <formula>LEN(TRIM(N8))=0</formula>
    </cfRule>
  </conditionalFormatting>
  <conditionalFormatting sqref="H8">
    <cfRule type="containsBlanks" dxfId="6471" priority="13246">
      <formula>LEN(TRIM(H8))=0</formula>
    </cfRule>
  </conditionalFormatting>
  <conditionalFormatting sqref="I8">
    <cfRule type="containsBlanks" dxfId="6470" priority="13245">
      <formula>LEN(TRIM(I8))=0</formula>
    </cfRule>
  </conditionalFormatting>
  <conditionalFormatting sqref="I8">
    <cfRule type="containsBlanks" dxfId="6469" priority="13244">
      <formula>LEN(TRIM(I8))=0</formula>
    </cfRule>
  </conditionalFormatting>
  <conditionalFormatting sqref="N8">
    <cfRule type="containsBlanks" dxfId="6468" priority="13243">
      <formula>LEN(TRIM(N8))=0</formula>
    </cfRule>
  </conditionalFormatting>
  <conditionalFormatting sqref="N8">
    <cfRule type="containsBlanks" dxfId="6467" priority="13242">
      <formula>LEN(TRIM(N8))=0</formula>
    </cfRule>
  </conditionalFormatting>
  <conditionalFormatting sqref="N8">
    <cfRule type="containsBlanks" dxfId="6466" priority="13241">
      <formula>LEN(TRIM(N8))=0</formula>
    </cfRule>
  </conditionalFormatting>
  <conditionalFormatting sqref="N8">
    <cfRule type="containsBlanks" dxfId="6465" priority="13240">
      <formula>LEN(TRIM(N8))=0</formula>
    </cfRule>
  </conditionalFormatting>
  <conditionalFormatting sqref="N8">
    <cfRule type="containsBlanks" dxfId="6464" priority="13239">
      <formula>LEN(TRIM(N8))=0</formula>
    </cfRule>
  </conditionalFormatting>
  <conditionalFormatting sqref="N8">
    <cfRule type="containsBlanks" dxfId="6463" priority="13238">
      <formula>LEN(TRIM(N8))=0</formula>
    </cfRule>
  </conditionalFormatting>
  <conditionalFormatting sqref="N8">
    <cfRule type="containsBlanks" dxfId="6462" priority="13237">
      <formula>LEN(TRIM(N8))=0</formula>
    </cfRule>
  </conditionalFormatting>
  <conditionalFormatting sqref="N8">
    <cfRule type="containsBlanks" dxfId="6461" priority="13236">
      <formula>LEN(TRIM(N8))=0</formula>
    </cfRule>
  </conditionalFormatting>
  <conditionalFormatting sqref="N8">
    <cfRule type="containsBlanks" dxfId="6460" priority="13235">
      <formula>LEN(TRIM(N8))=0</formula>
    </cfRule>
  </conditionalFormatting>
  <conditionalFormatting sqref="N8">
    <cfRule type="containsBlanks" dxfId="6459" priority="13234">
      <formula>LEN(TRIM(N8))=0</formula>
    </cfRule>
  </conditionalFormatting>
  <conditionalFormatting sqref="N8">
    <cfRule type="containsBlanks" dxfId="6458" priority="13233">
      <formula>LEN(TRIM(N8))=0</formula>
    </cfRule>
  </conditionalFormatting>
  <conditionalFormatting sqref="N8">
    <cfRule type="containsBlanks" dxfId="6457" priority="13232">
      <formula>LEN(TRIM(N8))=0</formula>
    </cfRule>
  </conditionalFormatting>
  <conditionalFormatting sqref="N8">
    <cfRule type="containsBlanks" dxfId="6456" priority="13231">
      <formula>LEN(TRIM(N8))=0</formula>
    </cfRule>
  </conditionalFormatting>
  <conditionalFormatting sqref="N8">
    <cfRule type="containsBlanks" dxfId="6455" priority="13230">
      <formula>LEN(TRIM(N8))=0</formula>
    </cfRule>
  </conditionalFormatting>
  <conditionalFormatting sqref="N8">
    <cfRule type="containsBlanks" dxfId="6454" priority="13229">
      <formula>LEN(TRIM(N8))=0</formula>
    </cfRule>
  </conditionalFormatting>
  <conditionalFormatting sqref="N8">
    <cfRule type="containsBlanks" dxfId="6453" priority="13228">
      <formula>LEN(TRIM(N8))=0</formula>
    </cfRule>
  </conditionalFormatting>
  <conditionalFormatting sqref="N8">
    <cfRule type="containsBlanks" dxfId="6452" priority="13227">
      <formula>LEN(TRIM(N8))=0</formula>
    </cfRule>
  </conditionalFormatting>
  <conditionalFormatting sqref="N8">
    <cfRule type="containsBlanks" dxfId="6451" priority="13226">
      <formula>LEN(TRIM(N8))=0</formula>
    </cfRule>
  </conditionalFormatting>
  <conditionalFormatting sqref="N8">
    <cfRule type="containsBlanks" dxfId="6450" priority="13225">
      <formula>LEN(TRIM(N8))=0</formula>
    </cfRule>
  </conditionalFormatting>
  <conditionalFormatting sqref="N8">
    <cfRule type="containsBlanks" dxfId="6449" priority="13224">
      <formula>LEN(TRIM(N8))=0</formula>
    </cfRule>
  </conditionalFormatting>
  <conditionalFormatting sqref="N8">
    <cfRule type="containsBlanks" dxfId="6448" priority="13223">
      <formula>LEN(TRIM(N8))=0</formula>
    </cfRule>
  </conditionalFormatting>
  <conditionalFormatting sqref="N8">
    <cfRule type="containsBlanks" dxfId="6447" priority="13222">
      <formula>LEN(TRIM(N8))=0</formula>
    </cfRule>
  </conditionalFormatting>
  <conditionalFormatting sqref="N8">
    <cfRule type="containsBlanks" dxfId="6446" priority="13221">
      <formula>LEN(TRIM(N8))=0</formula>
    </cfRule>
  </conditionalFormatting>
  <conditionalFormatting sqref="N8">
    <cfRule type="containsBlanks" dxfId="6445" priority="13220">
      <formula>LEN(TRIM(N8))=0</formula>
    </cfRule>
  </conditionalFormatting>
  <conditionalFormatting sqref="N8">
    <cfRule type="containsBlanks" dxfId="6444" priority="13219">
      <formula>LEN(TRIM(N8))=0</formula>
    </cfRule>
  </conditionalFormatting>
  <conditionalFormatting sqref="N8">
    <cfRule type="containsBlanks" dxfId="6443" priority="13218">
      <formula>LEN(TRIM(N8))=0</formula>
    </cfRule>
  </conditionalFormatting>
  <conditionalFormatting sqref="N8">
    <cfRule type="containsBlanks" dxfId="6442" priority="13217">
      <formula>LEN(TRIM(N8))=0</formula>
    </cfRule>
  </conditionalFormatting>
  <conditionalFormatting sqref="N8">
    <cfRule type="containsBlanks" dxfId="6441" priority="13216">
      <formula>LEN(TRIM(N8))=0</formula>
    </cfRule>
  </conditionalFormatting>
  <conditionalFormatting sqref="N8">
    <cfRule type="containsBlanks" dxfId="6440" priority="13215">
      <formula>LEN(TRIM(N8))=0</formula>
    </cfRule>
  </conditionalFormatting>
  <conditionalFormatting sqref="N8">
    <cfRule type="containsBlanks" dxfId="6439" priority="13214">
      <formula>LEN(TRIM(N8))=0</formula>
    </cfRule>
  </conditionalFormatting>
  <conditionalFormatting sqref="N8">
    <cfRule type="containsBlanks" dxfId="6438" priority="13213">
      <formula>LEN(TRIM(N8))=0</formula>
    </cfRule>
  </conditionalFormatting>
  <conditionalFormatting sqref="N8">
    <cfRule type="containsBlanks" dxfId="6437" priority="13212">
      <formula>LEN(TRIM(N8))=0</formula>
    </cfRule>
  </conditionalFormatting>
  <conditionalFormatting sqref="N8">
    <cfRule type="containsBlanks" dxfId="6436" priority="13211">
      <formula>LEN(TRIM(N8))=0</formula>
    </cfRule>
  </conditionalFormatting>
  <conditionalFormatting sqref="N8">
    <cfRule type="containsBlanks" dxfId="6435" priority="13210">
      <formula>LEN(TRIM(N8))=0</formula>
    </cfRule>
  </conditionalFormatting>
  <conditionalFormatting sqref="H8">
    <cfRule type="containsBlanks" dxfId="6434" priority="13209">
      <formula>LEN(TRIM(H8))=0</formula>
    </cfRule>
  </conditionalFormatting>
  <conditionalFormatting sqref="I8">
    <cfRule type="containsBlanks" dxfId="6433" priority="13208">
      <formula>LEN(TRIM(I8))=0</formula>
    </cfRule>
  </conditionalFormatting>
  <conditionalFormatting sqref="I8">
    <cfRule type="containsBlanks" dxfId="6432" priority="13207">
      <formula>LEN(TRIM(I8))=0</formula>
    </cfRule>
  </conditionalFormatting>
  <conditionalFormatting sqref="I8">
    <cfRule type="containsBlanks" dxfId="6431" priority="13206">
      <formula>LEN(TRIM(I8))=0</formula>
    </cfRule>
  </conditionalFormatting>
  <conditionalFormatting sqref="I8">
    <cfRule type="containsBlanks" dxfId="6430" priority="13205">
      <formula>LEN(TRIM(I8))=0</formula>
    </cfRule>
  </conditionalFormatting>
  <conditionalFormatting sqref="N8">
    <cfRule type="containsBlanks" dxfId="6429" priority="13204">
      <formula>LEN(TRIM(N8))=0</formula>
    </cfRule>
  </conditionalFormatting>
  <conditionalFormatting sqref="N8">
    <cfRule type="containsBlanks" dxfId="6428" priority="13203">
      <formula>LEN(TRIM(N8))=0</formula>
    </cfRule>
  </conditionalFormatting>
  <conditionalFormatting sqref="H8">
    <cfRule type="containsBlanks" dxfId="6427" priority="13161">
      <formula>LEN(TRIM(H8))=0</formula>
    </cfRule>
  </conditionalFormatting>
  <conditionalFormatting sqref="I8">
    <cfRule type="containsBlanks" dxfId="6426" priority="13160">
      <formula>LEN(TRIM(I8))=0</formula>
    </cfRule>
  </conditionalFormatting>
  <conditionalFormatting sqref="I8">
    <cfRule type="containsBlanks" dxfId="6425" priority="13159">
      <formula>LEN(TRIM(I8))=0</formula>
    </cfRule>
  </conditionalFormatting>
  <conditionalFormatting sqref="N8">
    <cfRule type="containsBlanks" dxfId="6424" priority="13158">
      <formula>LEN(TRIM(N8))=0</formula>
    </cfRule>
  </conditionalFormatting>
  <conditionalFormatting sqref="N8">
    <cfRule type="containsBlanks" dxfId="6423" priority="13157">
      <formula>LEN(TRIM(N8))=0</formula>
    </cfRule>
  </conditionalFormatting>
  <conditionalFormatting sqref="N8">
    <cfRule type="containsBlanks" dxfId="6422" priority="13156">
      <formula>LEN(TRIM(N8))=0</formula>
    </cfRule>
  </conditionalFormatting>
  <conditionalFormatting sqref="N8">
    <cfRule type="containsBlanks" dxfId="6421" priority="13155">
      <formula>LEN(TRIM(N8))=0</formula>
    </cfRule>
  </conditionalFormatting>
  <conditionalFormatting sqref="N8">
    <cfRule type="containsBlanks" dxfId="6420" priority="13154">
      <formula>LEN(TRIM(N8))=0</formula>
    </cfRule>
  </conditionalFormatting>
  <conditionalFormatting sqref="N8">
    <cfRule type="containsBlanks" dxfId="6419" priority="13153">
      <formula>LEN(TRIM(N8))=0</formula>
    </cfRule>
  </conditionalFormatting>
  <conditionalFormatting sqref="N8">
    <cfRule type="containsBlanks" dxfId="6418" priority="13152">
      <formula>LEN(TRIM(N8))=0</formula>
    </cfRule>
  </conditionalFormatting>
  <conditionalFormatting sqref="N8">
    <cfRule type="containsBlanks" dxfId="6417" priority="13151">
      <formula>LEN(TRIM(N8))=0</formula>
    </cfRule>
  </conditionalFormatting>
  <conditionalFormatting sqref="N8">
    <cfRule type="containsBlanks" dxfId="6416" priority="13150">
      <formula>LEN(TRIM(N8))=0</formula>
    </cfRule>
  </conditionalFormatting>
  <conditionalFormatting sqref="N8">
    <cfRule type="containsBlanks" dxfId="6415" priority="13149">
      <formula>LEN(TRIM(N8))=0</formula>
    </cfRule>
  </conditionalFormatting>
  <conditionalFormatting sqref="N8">
    <cfRule type="containsBlanks" dxfId="6414" priority="13148">
      <formula>LEN(TRIM(N8))=0</formula>
    </cfRule>
  </conditionalFormatting>
  <conditionalFormatting sqref="N8">
    <cfRule type="containsBlanks" dxfId="6413" priority="13147">
      <formula>LEN(TRIM(N8))=0</formula>
    </cfRule>
  </conditionalFormatting>
  <conditionalFormatting sqref="N8">
    <cfRule type="containsBlanks" dxfId="6412" priority="13146">
      <formula>LEN(TRIM(N8))=0</formula>
    </cfRule>
  </conditionalFormatting>
  <conditionalFormatting sqref="N8">
    <cfRule type="containsBlanks" dxfId="6411" priority="13145">
      <formula>LEN(TRIM(N8))=0</formula>
    </cfRule>
  </conditionalFormatting>
  <conditionalFormatting sqref="N8">
    <cfRule type="containsBlanks" dxfId="6410" priority="13144">
      <formula>LEN(TRIM(N8))=0</formula>
    </cfRule>
  </conditionalFormatting>
  <conditionalFormatting sqref="N8">
    <cfRule type="containsBlanks" dxfId="6409" priority="13143">
      <formula>LEN(TRIM(N8))=0</formula>
    </cfRule>
  </conditionalFormatting>
  <conditionalFormatting sqref="N8">
    <cfRule type="containsBlanks" dxfId="6408" priority="13142">
      <formula>LEN(TRIM(N8))=0</formula>
    </cfRule>
  </conditionalFormatting>
  <conditionalFormatting sqref="N8">
    <cfRule type="containsBlanks" dxfId="6407" priority="13141">
      <formula>LEN(TRIM(N8))=0</formula>
    </cfRule>
  </conditionalFormatting>
  <conditionalFormatting sqref="N8">
    <cfRule type="containsBlanks" dxfId="6406" priority="13140">
      <formula>LEN(TRIM(N8))=0</formula>
    </cfRule>
  </conditionalFormatting>
  <conditionalFormatting sqref="N8">
    <cfRule type="containsBlanks" dxfId="6405" priority="13139">
      <formula>LEN(TRIM(N8))=0</formula>
    </cfRule>
  </conditionalFormatting>
  <conditionalFormatting sqref="N8">
    <cfRule type="containsBlanks" dxfId="6404" priority="13138">
      <formula>LEN(TRIM(N8))=0</formula>
    </cfRule>
  </conditionalFormatting>
  <conditionalFormatting sqref="N8">
    <cfRule type="containsBlanks" dxfId="6403" priority="13137">
      <formula>LEN(TRIM(N8))=0</formula>
    </cfRule>
  </conditionalFormatting>
  <conditionalFormatting sqref="N8">
    <cfRule type="containsBlanks" dxfId="6402" priority="13136">
      <formula>LEN(TRIM(N8))=0</formula>
    </cfRule>
  </conditionalFormatting>
  <conditionalFormatting sqref="N8">
    <cfRule type="containsBlanks" dxfId="6401" priority="13135">
      <formula>LEN(TRIM(N8))=0</formula>
    </cfRule>
  </conditionalFormatting>
  <conditionalFormatting sqref="N8">
    <cfRule type="containsBlanks" dxfId="6400" priority="13134">
      <formula>LEN(TRIM(N8))=0</formula>
    </cfRule>
  </conditionalFormatting>
  <conditionalFormatting sqref="N8">
    <cfRule type="containsBlanks" dxfId="6399" priority="13133">
      <formula>LEN(TRIM(N8))=0</formula>
    </cfRule>
  </conditionalFormatting>
  <conditionalFormatting sqref="N8">
    <cfRule type="containsBlanks" dxfId="6398" priority="13132">
      <formula>LEN(TRIM(N8))=0</formula>
    </cfRule>
  </conditionalFormatting>
  <conditionalFormatting sqref="N8">
    <cfRule type="containsBlanks" dxfId="6397" priority="13131">
      <formula>LEN(TRIM(N8))=0</formula>
    </cfRule>
  </conditionalFormatting>
  <conditionalFormatting sqref="N8">
    <cfRule type="containsBlanks" dxfId="6396" priority="13130">
      <formula>LEN(TRIM(N8))=0</formula>
    </cfRule>
  </conditionalFormatting>
  <conditionalFormatting sqref="N8">
    <cfRule type="containsBlanks" dxfId="6395" priority="13129">
      <formula>LEN(TRIM(N8))=0</formula>
    </cfRule>
  </conditionalFormatting>
  <conditionalFormatting sqref="N8">
    <cfRule type="containsBlanks" dxfId="6394" priority="13128">
      <formula>LEN(TRIM(N8))=0</formula>
    </cfRule>
  </conditionalFormatting>
  <conditionalFormatting sqref="N8">
    <cfRule type="containsBlanks" dxfId="6393" priority="13127">
      <formula>LEN(TRIM(N8))=0</formula>
    </cfRule>
  </conditionalFormatting>
  <conditionalFormatting sqref="N8">
    <cfRule type="containsBlanks" dxfId="6392" priority="13126">
      <formula>LEN(TRIM(N8))=0</formula>
    </cfRule>
  </conditionalFormatting>
  <conditionalFormatting sqref="N8">
    <cfRule type="containsBlanks" dxfId="6391" priority="13125">
      <formula>LEN(TRIM(N8))=0</formula>
    </cfRule>
  </conditionalFormatting>
  <conditionalFormatting sqref="H8">
    <cfRule type="containsBlanks" dxfId="6390" priority="13124">
      <formula>LEN(TRIM(H8))=0</formula>
    </cfRule>
  </conditionalFormatting>
  <conditionalFormatting sqref="I8">
    <cfRule type="containsBlanks" dxfId="6389" priority="13123">
      <formula>LEN(TRIM(I8))=0</formula>
    </cfRule>
  </conditionalFormatting>
  <conditionalFormatting sqref="I8">
    <cfRule type="containsBlanks" dxfId="6388" priority="13122">
      <formula>LEN(TRIM(I8))=0</formula>
    </cfRule>
  </conditionalFormatting>
  <conditionalFormatting sqref="I8">
    <cfRule type="containsBlanks" dxfId="6387" priority="13121">
      <formula>LEN(TRIM(I8))=0</formula>
    </cfRule>
  </conditionalFormatting>
  <conditionalFormatting sqref="I8">
    <cfRule type="containsBlanks" dxfId="6386" priority="13120">
      <formula>LEN(TRIM(I8))=0</formula>
    </cfRule>
  </conditionalFormatting>
  <conditionalFormatting sqref="N8">
    <cfRule type="containsBlanks" dxfId="6385" priority="13119">
      <formula>LEN(TRIM(N8))=0</formula>
    </cfRule>
  </conditionalFormatting>
  <conditionalFormatting sqref="N8">
    <cfRule type="containsBlanks" dxfId="6384" priority="13118">
      <formula>LEN(TRIM(N8))=0</formula>
    </cfRule>
  </conditionalFormatting>
  <conditionalFormatting sqref="H10:I10">
    <cfRule type="containsBlanks" dxfId="6383" priority="12559">
      <formula>LEN(TRIM(H10))=0</formula>
    </cfRule>
  </conditionalFormatting>
  <conditionalFormatting sqref="H10:I10">
    <cfRule type="containsBlanks" dxfId="6382" priority="12558">
      <formula>LEN(TRIM(H10))=0</formula>
    </cfRule>
  </conditionalFormatting>
  <conditionalFormatting sqref="H10:I10">
    <cfRule type="containsBlanks" dxfId="6381" priority="12557">
      <formula>LEN(TRIM(H10))=0</formula>
    </cfRule>
  </conditionalFormatting>
  <conditionalFormatting sqref="H10:I10">
    <cfRule type="containsBlanks" dxfId="6380" priority="12556">
      <formula>LEN(TRIM(H10))=0</formula>
    </cfRule>
  </conditionalFormatting>
  <conditionalFormatting sqref="H10:I10">
    <cfRule type="containsBlanks" dxfId="6379" priority="12555">
      <formula>LEN(TRIM(H10))=0</formula>
    </cfRule>
  </conditionalFormatting>
  <conditionalFormatting sqref="N10">
    <cfRule type="containsBlanks" dxfId="6378" priority="12554">
      <formula>LEN(TRIM(N10))=0</formula>
    </cfRule>
  </conditionalFormatting>
  <conditionalFormatting sqref="N10">
    <cfRule type="containsBlanks" dxfId="6377" priority="12553">
      <formula>LEN(TRIM(N10))=0</formula>
    </cfRule>
  </conditionalFormatting>
  <conditionalFormatting sqref="N10">
    <cfRule type="containsBlanks" dxfId="6376" priority="12552">
      <formula>LEN(TRIM(N10))=0</formula>
    </cfRule>
  </conditionalFormatting>
  <conditionalFormatting sqref="N10">
    <cfRule type="containsBlanks" dxfId="6375" priority="12551">
      <formula>LEN(TRIM(N10))=0</formula>
    </cfRule>
  </conditionalFormatting>
  <conditionalFormatting sqref="N10">
    <cfRule type="containsBlanks" dxfId="6374" priority="12550">
      <formula>LEN(TRIM(N10))=0</formula>
    </cfRule>
  </conditionalFormatting>
  <conditionalFormatting sqref="N10">
    <cfRule type="containsBlanks" dxfId="6373" priority="12549">
      <formula>LEN(TRIM(N10))=0</formula>
    </cfRule>
  </conditionalFormatting>
  <conditionalFormatting sqref="N10">
    <cfRule type="containsBlanks" dxfId="6372" priority="12548">
      <formula>LEN(TRIM(N10))=0</formula>
    </cfRule>
  </conditionalFormatting>
  <conditionalFormatting sqref="N10">
    <cfRule type="containsBlanks" dxfId="6371" priority="12547">
      <formula>LEN(TRIM(N10))=0</formula>
    </cfRule>
  </conditionalFormatting>
  <conditionalFormatting sqref="AD11">
    <cfRule type="containsText" dxfId="6370" priority="12541" operator="containsText" text="GP2">
      <formula>NOT(ISERROR(SEARCH("GP2",AD11)))</formula>
    </cfRule>
    <cfRule type="containsText" dxfId="6369" priority="12542" operator="containsText" text="GP1">
      <formula>NOT(ISERROR(SEARCH("GP1",AD11)))</formula>
    </cfRule>
  </conditionalFormatting>
  <conditionalFormatting sqref="AD11">
    <cfRule type="containsText" dxfId="6368" priority="12539" operator="containsText" text="GP2">
      <formula>NOT(ISERROR(SEARCH("GP2",AD11)))</formula>
    </cfRule>
    <cfRule type="containsText" dxfId="6367" priority="12540" operator="containsText" text="GP1">
      <formula>NOT(ISERROR(SEARCH("GP1",AD11)))</formula>
    </cfRule>
  </conditionalFormatting>
  <conditionalFormatting sqref="AD11">
    <cfRule type="containsText" dxfId="6366" priority="12537" operator="containsText" text="GP2">
      <formula>NOT(ISERROR(SEARCH("GP2",AD11)))</formula>
    </cfRule>
    <cfRule type="containsText" dxfId="6365" priority="12538" operator="containsText" text="GP1">
      <formula>NOT(ISERROR(SEARCH("GP1",AD11)))</formula>
    </cfRule>
  </conditionalFormatting>
  <conditionalFormatting sqref="AD11">
    <cfRule type="containsText" dxfId="6364" priority="12535" operator="containsText" text="GP2">
      <formula>NOT(ISERROR(SEARCH("GP2",AD11)))</formula>
    </cfRule>
    <cfRule type="containsText" dxfId="6363" priority="12536" operator="containsText" text="GP1">
      <formula>NOT(ISERROR(SEARCH("GP1",AD11)))</formula>
    </cfRule>
  </conditionalFormatting>
  <conditionalFormatting sqref="AD11">
    <cfRule type="containsText" dxfId="6362" priority="12533" operator="containsText" text="GP2">
      <formula>NOT(ISERROR(SEARCH("GP2",AD11)))</formula>
    </cfRule>
    <cfRule type="containsText" dxfId="6361" priority="12534" operator="containsText" text="GP1">
      <formula>NOT(ISERROR(SEARCH("GP1",AD11)))</formula>
    </cfRule>
  </conditionalFormatting>
  <conditionalFormatting sqref="AD11">
    <cfRule type="containsText" dxfId="6360" priority="12531" operator="containsText" text="GP2">
      <formula>NOT(ISERROR(SEARCH("GP2",AD11)))</formula>
    </cfRule>
    <cfRule type="containsText" dxfId="6359" priority="12532" operator="containsText" text="GP1">
      <formula>NOT(ISERROR(SEARCH("GP1",AD11)))</formula>
    </cfRule>
  </conditionalFormatting>
  <conditionalFormatting sqref="AD11">
    <cfRule type="containsText" dxfId="6358" priority="12545" operator="containsText" text="GP2">
      <formula>NOT(ISERROR(SEARCH("GP2",AD11)))</formula>
    </cfRule>
    <cfRule type="containsText" dxfId="6357" priority="12546" operator="containsText" text="GP1">
      <formula>NOT(ISERROR(SEARCH("GP1",AD11)))</formula>
    </cfRule>
  </conditionalFormatting>
  <conditionalFormatting sqref="AD11">
    <cfRule type="containsText" dxfId="6356" priority="12543" operator="containsText" text="GP2">
      <formula>NOT(ISERROR(SEARCH("GP2",AD11)))</formula>
    </cfRule>
    <cfRule type="containsText" dxfId="6355" priority="12544" operator="containsText" text="GP1">
      <formula>NOT(ISERROR(SEARCH("GP1",AD11)))</formula>
    </cfRule>
  </conditionalFormatting>
  <conditionalFormatting sqref="AD11">
    <cfRule type="containsText" dxfId="6354" priority="12529" operator="containsText" text="GP2">
      <formula>NOT(ISERROR(SEARCH("GP2",AD11)))</formula>
    </cfRule>
    <cfRule type="containsText" dxfId="6353" priority="12530" operator="containsText" text="GP1">
      <formula>NOT(ISERROR(SEARCH("GP1",AD11)))</formula>
    </cfRule>
  </conditionalFormatting>
  <conditionalFormatting sqref="AD11">
    <cfRule type="containsText" dxfId="6352" priority="12527" operator="containsText" text="GP2">
      <formula>NOT(ISERROR(SEARCH("GP2",AD11)))</formula>
    </cfRule>
    <cfRule type="containsText" dxfId="6351" priority="12528" operator="containsText" text="GP1">
      <formula>NOT(ISERROR(SEARCH("GP1",AD11)))</formula>
    </cfRule>
  </conditionalFormatting>
  <conditionalFormatting sqref="AD11">
    <cfRule type="containsText" dxfId="6350" priority="12525" operator="containsText" text="GP2">
      <formula>NOT(ISERROR(SEARCH("GP2",AD11)))</formula>
    </cfRule>
    <cfRule type="containsText" dxfId="6349" priority="12526" operator="containsText" text="GP1">
      <formula>NOT(ISERROR(SEARCH("GP1",AD11)))</formula>
    </cfRule>
  </conditionalFormatting>
  <conditionalFormatting sqref="AD11">
    <cfRule type="containsText" dxfId="6348" priority="12523" operator="containsText" text="GP2">
      <formula>NOT(ISERROR(SEARCH("GP2",AD11)))</formula>
    </cfRule>
    <cfRule type="containsText" dxfId="6347" priority="12524" operator="containsText" text="GP1">
      <formula>NOT(ISERROR(SEARCH("GP1",AD11)))</formula>
    </cfRule>
  </conditionalFormatting>
  <conditionalFormatting sqref="AD11">
    <cfRule type="containsText" dxfId="6346" priority="12521" operator="containsText" text="GP2">
      <formula>NOT(ISERROR(SEARCH("GP2",AD11)))</formula>
    </cfRule>
    <cfRule type="containsText" dxfId="6345" priority="12522" operator="containsText" text="GP1">
      <formula>NOT(ISERROR(SEARCH("GP1",AD11)))</formula>
    </cfRule>
  </conditionalFormatting>
  <conditionalFormatting sqref="AD11">
    <cfRule type="containsText" dxfId="6344" priority="12519" operator="containsText" text="GP2">
      <formula>NOT(ISERROR(SEARCH("GP2",AD11)))</formula>
    </cfRule>
    <cfRule type="containsText" dxfId="6343" priority="12520" operator="containsText" text="GP1">
      <formula>NOT(ISERROR(SEARCH("GP1",AD11)))</formula>
    </cfRule>
  </conditionalFormatting>
  <conditionalFormatting sqref="AD11">
    <cfRule type="containsText" dxfId="6342" priority="12517" operator="containsText" text="GP2">
      <formula>NOT(ISERROR(SEARCH("GP2",AD11)))</formula>
    </cfRule>
    <cfRule type="containsText" dxfId="6341" priority="12518" operator="containsText" text="GP1">
      <formula>NOT(ISERROR(SEARCH("GP1",AD11)))</formula>
    </cfRule>
  </conditionalFormatting>
  <conditionalFormatting sqref="AD11">
    <cfRule type="containsText" dxfId="6340" priority="12515" operator="containsText" text="GP2">
      <formula>NOT(ISERROR(SEARCH("GP2",AD11)))</formula>
    </cfRule>
    <cfRule type="containsText" dxfId="6339" priority="12516" operator="containsText" text="GP1">
      <formula>NOT(ISERROR(SEARCH("GP1",AD11)))</formula>
    </cfRule>
  </conditionalFormatting>
  <conditionalFormatting sqref="AD11">
    <cfRule type="containsText" dxfId="6338" priority="12513" operator="containsText" text="GP2">
      <formula>NOT(ISERROR(SEARCH("GP2",AD11)))</formula>
    </cfRule>
    <cfRule type="containsText" dxfId="6337" priority="12514" operator="containsText" text="GP1">
      <formula>NOT(ISERROR(SEARCH("GP1",AD11)))</formula>
    </cfRule>
  </conditionalFormatting>
  <conditionalFormatting sqref="AD11">
    <cfRule type="containsText" dxfId="6336" priority="12511" operator="containsText" text="GP2">
      <formula>NOT(ISERROR(SEARCH("GP2",AD11)))</formula>
    </cfRule>
    <cfRule type="containsText" dxfId="6335" priority="12512" operator="containsText" text="GP1">
      <formula>NOT(ISERROR(SEARCH("GP1",AD11)))</formula>
    </cfRule>
  </conditionalFormatting>
  <conditionalFormatting sqref="AD11">
    <cfRule type="containsText" dxfId="6334" priority="12509" operator="containsText" text="GP2">
      <formula>NOT(ISERROR(SEARCH("GP2",AD11)))</formula>
    </cfRule>
    <cfRule type="containsText" dxfId="6333" priority="12510" operator="containsText" text="GP1">
      <formula>NOT(ISERROR(SEARCH("GP1",AD11)))</formula>
    </cfRule>
  </conditionalFormatting>
  <conditionalFormatting sqref="AD11">
    <cfRule type="containsText" dxfId="6332" priority="12507" operator="containsText" text="GP2">
      <formula>NOT(ISERROR(SEARCH("GP2",AD11)))</formula>
    </cfRule>
    <cfRule type="containsText" dxfId="6331" priority="12508" operator="containsText" text="GP1">
      <formula>NOT(ISERROR(SEARCH("GP1",AD11)))</formula>
    </cfRule>
  </conditionalFormatting>
  <conditionalFormatting sqref="AD11">
    <cfRule type="containsText" dxfId="6330" priority="12505" operator="containsText" text="GP2">
      <formula>NOT(ISERROR(SEARCH("GP2",AD11)))</formula>
    </cfRule>
    <cfRule type="containsText" dxfId="6329" priority="12506" operator="containsText" text="GP1">
      <formula>NOT(ISERROR(SEARCH("GP1",AD11)))</formula>
    </cfRule>
  </conditionalFormatting>
  <conditionalFormatting sqref="AD11">
    <cfRule type="containsText" dxfId="6328" priority="12503" operator="containsText" text="GP2">
      <formula>NOT(ISERROR(SEARCH("GP2",AD11)))</formula>
    </cfRule>
    <cfRule type="containsText" dxfId="6327" priority="12504" operator="containsText" text="GP1">
      <formula>NOT(ISERROR(SEARCH("GP1",AD11)))</formula>
    </cfRule>
  </conditionalFormatting>
  <conditionalFormatting sqref="AD11">
    <cfRule type="containsText" dxfId="6326" priority="12501" operator="containsText" text="GP2">
      <formula>NOT(ISERROR(SEARCH("GP2",AD11)))</formula>
    </cfRule>
    <cfRule type="containsText" dxfId="6325" priority="12502" operator="containsText" text="GP1">
      <formula>NOT(ISERROR(SEARCH("GP1",AD11)))</formula>
    </cfRule>
  </conditionalFormatting>
  <conditionalFormatting sqref="AD11">
    <cfRule type="containsText" dxfId="6324" priority="12499" operator="containsText" text="GP2">
      <formula>NOT(ISERROR(SEARCH("GP2",AD11)))</formula>
    </cfRule>
    <cfRule type="containsText" dxfId="6323" priority="12500" operator="containsText" text="GP1">
      <formula>NOT(ISERROR(SEARCH("GP1",AD11)))</formula>
    </cfRule>
  </conditionalFormatting>
  <conditionalFormatting sqref="AD11">
    <cfRule type="containsText" dxfId="6322" priority="12497" operator="containsText" text="GP2">
      <formula>NOT(ISERROR(SEARCH("GP2",AD11)))</formula>
    </cfRule>
    <cfRule type="containsText" dxfId="6321" priority="12498" operator="containsText" text="GP1">
      <formula>NOT(ISERROR(SEARCH("GP1",AD11)))</formula>
    </cfRule>
  </conditionalFormatting>
  <conditionalFormatting sqref="AD11">
    <cfRule type="containsText" dxfId="6320" priority="12495" operator="containsText" text="GP2">
      <formula>NOT(ISERROR(SEARCH("GP2",AD11)))</formula>
    </cfRule>
    <cfRule type="containsText" dxfId="6319" priority="12496" operator="containsText" text="GP1">
      <formula>NOT(ISERROR(SEARCH("GP1",AD11)))</formula>
    </cfRule>
  </conditionalFormatting>
  <conditionalFormatting sqref="AD11">
    <cfRule type="containsText" dxfId="6318" priority="12493" operator="containsText" text="GP2">
      <formula>NOT(ISERROR(SEARCH("GP2",AD11)))</formula>
    </cfRule>
    <cfRule type="containsText" dxfId="6317" priority="12494" operator="containsText" text="GP1">
      <formula>NOT(ISERROR(SEARCH("GP1",AD11)))</formula>
    </cfRule>
  </conditionalFormatting>
  <conditionalFormatting sqref="AD11">
    <cfRule type="containsText" dxfId="6316" priority="12491" operator="containsText" text="GP2">
      <formula>NOT(ISERROR(SEARCH("GP2",AD11)))</formula>
    </cfRule>
    <cfRule type="containsText" dxfId="6315" priority="12492" operator="containsText" text="GP1">
      <formula>NOT(ISERROR(SEARCH("GP1",AD11)))</formula>
    </cfRule>
  </conditionalFormatting>
  <conditionalFormatting sqref="AD11">
    <cfRule type="containsText" dxfId="6314" priority="12489" operator="containsText" text="GP2">
      <formula>NOT(ISERROR(SEARCH("GP2",AD11)))</formula>
    </cfRule>
    <cfRule type="containsText" dxfId="6313" priority="12490" operator="containsText" text="GP1">
      <formula>NOT(ISERROR(SEARCH("GP1",AD11)))</formula>
    </cfRule>
  </conditionalFormatting>
  <conditionalFormatting sqref="AD11">
    <cfRule type="containsText" dxfId="6312" priority="12487" operator="containsText" text="GP2">
      <formula>NOT(ISERROR(SEARCH("GP2",AD11)))</formula>
    </cfRule>
    <cfRule type="containsText" dxfId="6311" priority="12488" operator="containsText" text="GP1">
      <formula>NOT(ISERROR(SEARCH("GP1",AD11)))</formula>
    </cfRule>
  </conditionalFormatting>
  <conditionalFormatting sqref="AD11">
    <cfRule type="containsText" dxfId="6310" priority="12485" operator="containsText" text="GP2">
      <formula>NOT(ISERROR(SEARCH("GP2",AD11)))</formula>
    </cfRule>
    <cfRule type="containsText" dxfId="6309" priority="12486" operator="containsText" text="GP1">
      <formula>NOT(ISERROR(SEARCH("GP1",AD11)))</formula>
    </cfRule>
  </conditionalFormatting>
  <conditionalFormatting sqref="AD11">
    <cfRule type="containsText" dxfId="6308" priority="12483" operator="containsText" text="GP2">
      <formula>NOT(ISERROR(SEARCH("GP2",AD11)))</formula>
    </cfRule>
    <cfRule type="containsText" dxfId="6307" priority="12484" operator="containsText" text="GP1">
      <formula>NOT(ISERROR(SEARCH("GP1",AD11)))</formula>
    </cfRule>
  </conditionalFormatting>
  <conditionalFormatting sqref="AD11">
    <cfRule type="containsText" dxfId="6306" priority="12481" operator="containsText" text="GP2">
      <formula>NOT(ISERROR(SEARCH("GP2",AD11)))</formula>
    </cfRule>
    <cfRule type="containsText" dxfId="6305" priority="12482" operator="containsText" text="GP1">
      <formula>NOT(ISERROR(SEARCH("GP1",AD11)))</formula>
    </cfRule>
  </conditionalFormatting>
  <conditionalFormatting sqref="AD11">
    <cfRule type="containsText" dxfId="6304" priority="12479" operator="containsText" text="GP2">
      <formula>NOT(ISERROR(SEARCH("GP2",AD11)))</formula>
    </cfRule>
    <cfRule type="containsText" dxfId="6303" priority="12480" operator="containsText" text="GP1">
      <formula>NOT(ISERROR(SEARCH("GP1",AD11)))</formula>
    </cfRule>
  </conditionalFormatting>
  <conditionalFormatting sqref="AD11">
    <cfRule type="containsText" dxfId="6302" priority="12477" operator="containsText" text="GP2">
      <formula>NOT(ISERROR(SEARCH("GP2",AD11)))</formula>
    </cfRule>
    <cfRule type="containsText" dxfId="6301" priority="12478" operator="containsText" text="GP1">
      <formula>NOT(ISERROR(SEARCH("GP1",AD11)))</formula>
    </cfRule>
  </conditionalFormatting>
  <conditionalFormatting sqref="AD11">
    <cfRule type="containsText" dxfId="6300" priority="12475" operator="containsText" text="GP2">
      <formula>NOT(ISERROR(SEARCH("GP2",AD11)))</formula>
    </cfRule>
    <cfRule type="containsText" dxfId="6299" priority="12476" operator="containsText" text="GP1">
      <formula>NOT(ISERROR(SEARCH("GP1",AD11)))</formula>
    </cfRule>
  </conditionalFormatting>
  <conditionalFormatting sqref="AD11">
    <cfRule type="containsText" dxfId="6298" priority="12473" operator="containsText" text="GP2">
      <formula>NOT(ISERROR(SEARCH("GP2",AD11)))</formula>
    </cfRule>
    <cfRule type="containsText" dxfId="6297" priority="12474" operator="containsText" text="GP1">
      <formula>NOT(ISERROR(SEARCH("GP1",AD11)))</formula>
    </cfRule>
  </conditionalFormatting>
  <conditionalFormatting sqref="AD11">
    <cfRule type="containsText" dxfId="6296" priority="12471" operator="containsText" text="GP2">
      <formula>NOT(ISERROR(SEARCH("GP2",AD11)))</formula>
    </cfRule>
    <cfRule type="containsText" dxfId="6295" priority="12472" operator="containsText" text="GP1">
      <formula>NOT(ISERROR(SEARCH("GP1",AD11)))</formula>
    </cfRule>
  </conditionalFormatting>
  <conditionalFormatting sqref="AD11">
    <cfRule type="containsText" dxfId="6294" priority="12469" operator="containsText" text="GP2">
      <formula>NOT(ISERROR(SEARCH("GP2",AD11)))</formula>
    </cfRule>
    <cfRule type="containsText" dxfId="6293" priority="12470" operator="containsText" text="GP1">
      <formula>NOT(ISERROR(SEARCH("GP1",AD11)))</formula>
    </cfRule>
  </conditionalFormatting>
  <conditionalFormatting sqref="AD11">
    <cfRule type="containsText" dxfId="6292" priority="12467" operator="containsText" text="GP2">
      <formula>NOT(ISERROR(SEARCH("GP2",AD11)))</formula>
    </cfRule>
    <cfRule type="containsText" dxfId="6291" priority="12468" operator="containsText" text="GP1">
      <formula>NOT(ISERROR(SEARCH("GP1",AD11)))</formula>
    </cfRule>
  </conditionalFormatting>
  <conditionalFormatting sqref="AD11">
    <cfRule type="containsText" dxfId="6290" priority="12465" operator="containsText" text="GP2">
      <formula>NOT(ISERROR(SEARCH("GP2",AD11)))</formula>
    </cfRule>
    <cfRule type="containsText" dxfId="6289" priority="12466" operator="containsText" text="GP1">
      <formula>NOT(ISERROR(SEARCH("GP1",AD11)))</formula>
    </cfRule>
  </conditionalFormatting>
  <conditionalFormatting sqref="AD11">
    <cfRule type="containsText" dxfId="6288" priority="12463" operator="containsText" text="GP2">
      <formula>NOT(ISERROR(SEARCH("GP2",AD11)))</formula>
    </cfRule>
    <cfRule type="containsText" dxfId="6287" priority="12464" operator="containsText" text="GP1">
      <formula>NOT(ISERROR(SEARCH("GP1",AD11)))</formula>
    </cfRule>
  </conditionalFormatting>
  <conditionalFormatting sqref="AD11">
    <cfRule type="containsText" dxfId="6286" priority="12461" operator="containsText" text="GP2">
      <formula>NOT(ISERROR(SEARCH("GP2",AD11)))</formula>
    </cfRule>
    <cfRule type="containsText" dxfId="6285" priority="12462" operator="containsText" text="GP1">
      <formula>NOT(ISERROR(SEARCH("GP1",AD11)))</formula>
    </cfRule>
  </conditionalFormatting>
  <conditionalFormatting sqref="AD11">
    <cfRule type="containsText" dxfId="6284" priority="12459" operator="containsText" text="GP2">
      <formula>NOT(ISERROR(SEARCH("GP2",AD11)))</formula>
    </cfRule>
    <cfRule type="containsText" dxfId="6283" priority="12460" operator="containsText" text="GP1">
      <formula>NOT(ISERROR(SEARCH("GP1",AD11)))</formula>
    </cfRule>
  </conditionalFormatting>
  <conditionalFormatting sqref="AD11">
    <cfRule type="containsText" dxfId="6282" priority="12457" operator="containsText" text="GP2">
      <formula>NOT(ISERROR(SEARCH("GP2",AD11)))</formula>
    </cfRule>
    <cfRule type="containsText" dxfId="6281" priority="12458" operator="containsText" text="GP1">
      <formula>NOT(ISERROR(SEARCH("GP1",AD11)))</formula>
    </cfRule>
  </conditionalFormatting>
  <conditionalFormatting sqref="AD11">
    <cfRule type="containsText" dxfId="6280" priority="12455" operator="containsText" text="GP2">
      <formula>NOT(ISERROR(SEARCH("GP2",AD11)))</formula>
    </cfRule>
    <cfRule type="containsText" dxfId="6279" priority="12456" operator="containsText" text="GP1">
      <formula>NOT(ISERROR(SEARCH("GP1",AD11)))</formula>
    </cfRule>
  </conditionalFormatting>
  <conditionalFormatting sqref="AD11">
    <cfRule type="containsText" dxfId="6278" priority="12453" operator="containsText" text="GP2">
      <formula>NOT(ISERROR(SEARCH("GP2",AD11)))</formula>
    </cfRule>
    <cfRule type="containsText" dxfId="6277" priority="12454" operator="containsText" text="GP1">
      <formula>NOT(ISERROR(SEARCH("GP1",AD11)))</formula>
    </cfRule>
  </conditionalFormatting>
  <conditionalFormatting sqref="AD11">
    <cfRule type="containsText" dxfId="6276" priority="12451" operator="containsText" text="GP2">
      <formula>NOT(ISERROR(SEARCH("GP2",AD11)))</formula>
    </cfRule>
    <cfRule type="containsText" dxfId="6275" priority="12452" operator="containsText" text="GP1">
      <formula>NOT(ISERROR(SEARCH("GP1",AD11)))</formula>
    </cfRule>
  </conditionalFormatting>
  <conditionalFormatting sqref="AD11">
    <cfRule type="containsText" dxfId="6274" priority="12449" operator="containsText" text="GP2">
      <formula>NOT(ISERROR(SEARCH("GP2",AD11)))</formula>
    </cfRule>
    <cfRule type="containsText" dxfId="6273" priority="12450" operator="containsText" text="GP1">
      <formula>NOT(ISERROR(SEARCH("GP1",AD11)))</formula>
    </cfRule>
  </conditionalFormatting>
  <conditionalFormatting sqref="AD11">
    <cfRule type="containsText" dxfId="6272" priority="12447" operator="containsText" text="GP2">
      <formula>NOT(ISERROR(SEARCH("GP2",AD11)))</formula>
    </cfRule>
    <cfRule type="containsText" dxfId="6271" priority="12448" operator="containsText" text="GP1">
      <formula>NOT(ISERROR(SEARCH("GP1",AD11)))</formula>
    </cfRule>
  </conditionalFormatting>
  <conditionalFormatting sqref="AD11">
    <cfRule type="containsText" dxfId="6270" priority="12445" operator="containsText" text="GP2">
      <formula>NOT(ISERROR(SEARCH("GP2",AD11)))</formula>
    </cfRule>
    <cfRule type="containsText" dxfId="6269" priority="12446" operator="containsText" text="GP1">
      <formula>NOT(ISERROR(SEARCH("GP1",AD11)))</formula>
    </cfRule>
  </conditionalFormatting>
  <conditionalFormatting sqref="AD11">
    <cfRule type="containsText" dxfId="6268" priority="12443" operator="containsText" text="GP2">
      <formula>NOT(ISERROR(SEARCH("GP2",AD11)))</formula>
    </cfRule>
    <cfRule type="containsText" dxfId="6267" priority="12444" operator="containsText" text="GP1">
      <formula>NOT(ISERROR(SEARCH("GP1",AD11)))</formula>
    </cfRule>
  </conditionalFormatting>
  <conditionalFormatting sqref="AD11">
    <cfRule type="containsText" dxfId="6266" priority="12441" operator="containsText" text="GP2">
      <formula>NOT(ISERROR(SEARCH("GP2",AD11)))</formula>
    </cfRule>
    <cfRule type="containsText" dxfId="6265" priority="12442" operator="containsText" text="GP1">
      <formula>NOT(ISERROR(SEARCH("GP1",AD11)))</formula>
    </cfRule>
  </conditionalFormatting>
  <conditionalFormatting sqref="AD11">
    <cfRule type="containsText" dxfId="6264" priority="12439" operator="containsText" text="GP2">
      <formula>NOT(ISERROR(SEARCH("GP2",AD11)))</formula>
    </cfRule>
    <cfRule type="containsText" dxfId="6263" priority="12440" operator="containsText" text="GP1">
      <formula>NOT(ISERROR(SEARCH("GP1",AD11)))</formula>
    </cfRule>
  </conditionalFormatting>
  <conditionalFormatting sqref="AD11">
    <cfRule type="containsText" dxfId="6262" priority="12437" operator="containsText" text="GP2">
      <formula>NOT(ISERROR(SEARCH("GP2",AD11)))</formula>
    </cfRule>
    <cfRule type="containsText" dxfId="6261" priority="12438" operator="containsText" text="GP1">
      <formula>NOT(ISERROR(SEARCH("GP1",AD11)))</formula>
    </cfRule>
  </conditionalFormatting>
  <conditionalFormatting sqref="AD11">
    <cfRule type="containsText" dxfId="6260" priority="12435" operator="containsText" text="GP2">
      <formula>NOT(ISERROR(SEARCH("GP2",AD11)))</formula>
    </cfRule>
    <cfRule type="containsText" dxfId="6259" priority="12436" operator="containsText" text="GP1">
      <formula>NOT(ISERROR(SEARCH("GP1",AD11)))</formula>
    </cfRule>
  </conditionalFormatting>
  <conditionalFormatting sqref="AD11">
    <cfRule type="containsText" dxfId="6258" priority="12433" operator="containsText" text="GP2">
      <formula>NOT(ISERROR(SEARCH("GP2",AD11)))</formula>
    </cfRule>
    <cfRule type="containsText" dxfId="6257" priority="12434" operator="containsText" text="GP1">
      <formula>NOT(ISERROR(SEARCH("GP1",AD11)))</formula>
    </cfRule>
  </conditionalFormatting>
  <conditionalFormatting sqref="AD11">
    <cfRule type="containsText" dxfId="6256" priority="12431" operator="containsText" text="GP2">
      <formula>NOT(ISERROR(SEARCH("GP2",AD11)))</formula>
    </cfRule>
    <cfRule type="containsText" dxfId="6255" priority="12432" operator="containsText" text="GP1">
      <formula>NOT(ISERROR(SEARCH("GP1",AD11)))</formula>
    </cfRule>
  </conditionalFormatting>
  <conditionalFormatting sqref="AD11">
    <cfRule type="containsText" dxfId="6254" priority="12429" operator="containsText" text="GP2">
      <formula>NOT(ISERROR(SEARCH("GP2",AD11)))</formula>
    </cfRule>
    <cfRule type="containsText" dxfId="6253" priority="12430" operator="containsText" text="GP1">
      <formula>NOT(ISERROR(SEARCH("GP1",AD11)))</formula>
    </cfRule>
  </conditionalFormatting>
  <conditionalFormatting sqref="AD11">
    <cfRule type="containsText" dxfId="6252" priority="12427" operator="containsText" text="GP2">
      <formula>NOT(ISERROR(SEARCH("GP2",AD11)))</formula>
    </cfRule>
    <cfRule type="containsText" dxfId="6251" priority="12428" operator="containsText" text="GP1">
      <formula>NOT(ISERROR(SEARCH("GP1",AD11)))</formula>
    </cfRule>
  </conditionalFormatting>
  <conditionalFormatting sqref="AD11">
    <cfRule type="containsText" dxfId="6250" priority="12425" operator="containsText" text="GP2">
      <formula>NOT(ISERROR(SEARCH("GP2",AD11)))</formula>
    </cfRule>
    <cfRule type="containsText" dxfId="6249" priority="12426" operator="containsText" text="GP1">
      <formula>NOT(ISERROR(SEARCH("GP1",AD11)))</formula>
    </cfRule>
  </conditionalFormatting>
  <conditionalFormatting sqref="AD11">
    <cfRule type="containsText" dxfId="6248" priority="12423" operator="containsText" text="GP2">
      <formula>NOT(ISERROR(SEARCH("GP2",AD11)))</formula>
    </cfRule>
    <cfRule type="containsText" dxfId="6247" priority="12424" operator="containsText" text="GP1">
      <formula>NOT(ISERROR(SEARCH("GP1",AD11)))</formula>
    </cfRule>
  </conditionalFormatting>
  <conditionalFormatting sqref="AD11">
    <cfRule type="containsText" dxfId="6246" priority="12421" operator="containsText" text="GP2">
      <formula>NOT(ISERROR(SEARCH("GP2",AD11)))</formula>
    </cfRule>
    <cfRule type="containsText" dxfId="6245" priority="12422" operator="containsText" text="GP1">
      <formula>NOT(ISERROR(SEARCH("GP1",AD11)))</formula>
    </cfRule>
  </conditionalFormatting>
  <conditionalFormatting sqref="AD11">
    <cfRule type="containsText" dxfId="6244" priority="12419" operator="containsText" text="GP2">
      <formula>NOT(ISERROR(SEARCH("GP2",AD11)))</formula>
    </cfRule>
    <cfRule type="containsText" dxfId="6243" priority="12420" operator="containsText" text="GP1">
      <formula>NOT(ISERROR(SEARCH("GP1",AD11)))</formula>
    </cfRule>
  </conditionalFormatting>
  <conditionalFormatting sqref="AD11">
    <cfRule type="containsText" dxfId="6242" priority="12417" operator="containsText" text="GP2">
      <formula>NOT(ISERROR(SEARCH("GP2",AD11)))</formula>
    </cfRule>
    <cfRule type="containsText" dxfId="6241" priority="12418" operator="containsText" text="GP1">
      <formula>NOT(ISERROR(SEARCH("GP1",AD11)))</formula>
    </cfRule>
  </conditionalFormatting>
  <conditionalFormatting sqref="AD11">
    <cfRule type="containsText" dxfId="6240" priority="12415" operator="containsText" text="GP2">
      <formula>NOT(ISERROR(SEARCH("GP2",AD11)))</formula>
    </cfRule>
    <cfRule type="containsText" dxfId="6239" priority="12416" operator="containsText" text="GP1">
      <formula>NOT(ISERROR(SEARCH("GP1",AD11)))</formula>
    </cfRule>
  </conditionalFormatting>
  <conditionalFormatting sqref="AD11">
    <cfRule type="containsText" dxfId="6238" priority="12413" operator="containsText" text="GP2">
      <formula>NOT(ISERROR(SEARCH("GP2",AD11)))</formula>
    </cfRule>
    <cfRule type="containsText" dxfId="6237" priority="12414" operator="containsText" text="GP1">
      <formula>NOT(ISERROR(SEARCH("GP1",AD11)))</formula>
    </cfRule>
  </conditionalFormatting>
  <conditionalFormatting sqref="AD11">
    <cfRule type="containsText" dxfId="6236" priority="12411" operator="containsText" text="GP2">
      <formula>NOT(ISERROR(SEARCH("GP2",AD11)))</formula>
    </cfRule>
    <cfRule type="containsText" dxfId="6235" priority="12412" operator="containsText" text="GP1">
      <formula>NOT(ISERROR(SEARCH("GP1",AD11)))</formula>
    </cfRule>
  </conditionalFormatting>
  <conditionalFormatting sqref="AD11">
    <cfRule type="containsText" dxfId="6234" priority="12409" operator="containsText" text="GP2">
      <formula>NOT(ISERROR(SEARCH("GP2",AD11)))</formula>
    </cfRule>
    <cfRule type="containsText" dxfId="6233" priority="12410" operator="containsText" text="GP1">
      <formula>NOT(ISERROR(SEARCH("GP1",AD11)))</formula>
    </cfRule>
  </conditionalFormatting>
  <conditionalFormatting sqref="AD11">
    <cfRule type="containsText" dxfId="6232" priority="12407" operator="containsText" text="GP2">
      <formula>NOT(ISERROR(SEARCH("GP2",AD11)))</formula>
    </cfRule>
    <cfRule type="containsText" dxfId="6231" priority="12408" operator="containsText" text="GP1">
      <formula>NOT(ISERROR(SEARCH("GP1",AD11)))</formula>
    </cfRule>
  </conditionalFormatting>
  <conditionalFormatting sqref="AD11">
    <cfRule type="containsText" dxfId="6230" priority="12405" operator="containsText" text="GP2">
      <formula>NOT(ISERROR(SEARCH("GP2",AD11)))</formula>
    </cfRule>
    <cfRule type="containsText" dxfId="6229" priority="12406" operator="containsText" text="GP1">
      <formula>NOT(ISERROR(SEARCH("GP1",AD11)))</formula>
    </cfRule>
  </conditionalFormatting>
  <conditionalFormatting sqref="AD11">
    <cfRule type="containsText" dxfId="6228" priority="12403" operator="containsText" text="GP2">
      <formula>NOT(ISERROR(SEARCH("GP2",AD11)))</formula>
    </cfRule>
    <cfRule type="containsText" dxfId="6227" priority="12404" operator="containsText" text="GP1">
      <formula>NOT(ISERROR(SEARCH("GP1",AD11)))</formula>
    </cfRule>
  </conditionalFormatting>
  <conditionalFormatting sqref="AD11">
    <cfRule type="containsText" dxfId="6226" priority="12401" operator="containsText" text="GP2">
      <formula>NOT(ISERROR(SEARCH("GP2",AD11)))</formula>
    </cfRule>
    <cfRule type="containsText" dxfId="6225" priority="12402" operator="containsText" text="GP1">
      <formula>NOT(ISERROR(SEARCH("GP1",AD11)))</formula>
    </cfRule>
  </conditionalFormatting>
  <conditionalFormatting sqref="AD11">
    <cfRule type="containsText" dxfId="6224" priority="12399" operator="containsText" text="GP2">
      <formula>NOT(ISERROR(SEARCH("GP2",AD11)))</formula>
    </cfRule>
    <cfRule type="containsText" dxfId="6223" priority="12400" operator="containsText" text="GP1">
      <formula>NOT(ISERROR(SEARCH("GP1",AD11)))</formula>
    </cfRule>
  </conditionalFormatting>
  <conditionalFormatting sqref="AD11">
    <cfRule type="containsText" dxfId="6222" priority="12397" operator="containsText" text="GP2">
      <formula>NOT(ISERROR(SEARCH("GP2",AD11)))</formula>
    </cfRule>
    <cfRule type="containsText" dxfId="6221" priority="12398" operator="containsText" text="GP1">
      <formula>NOT(ISERROR(SEARCH("GP1",AD11)))</formula>
    </cfRule>
  </conditionalFormatting>
  <conditionalFormatting sqref="AD11">
    <cfRule type="containsText" dxfId="6220" priority="12395" operator="containsText" text="GP2">
      <formula>NOT(ISERROR(SEARCH("GP2",AD11)))</formula>
    </cfRule>
    <cfRule type="containsText" dxfId="6219" priority="12396" operator="containsText" text="GP1">
      <formula>NOT(ISERROR(SEARCH("GP1",AD11)))</formula>
    </cfRule>
  </conditionalFormatting>
  <conditionalFormatting sqref="AD11">
    <cfRule type="containsText" dxfId="6218" priority="12393" operator="containsText" text="GP2">
      <formula>NOT(ISERROR(SEARCH("GP2",AD11)))</formula>
    </cfRule>
    <cfRule type="containsText" dxfId="6217" priority="12394" operator="containsText" text="GP1">
      <formula>NOT(ISERROR(SEARCH("GP1",AD11)))</formula>
    </cfRule>
  </conditionalFormatting>
  <conditionalFormatting sqref="AD11">
    <cfRule type="containsText" dxfId="6216" priority="12391" operator="containsText" text="GP2">
      <formula>NOT(ISERROR(SEARCH("GP2",AD11)))</formula>
    </cfRule>
    <cfRule type="containsText" dxfId="6215" priority="12392" operator="containsText" text="GP1">
      <formula>NOT(ISERROR(SEARCH("GP1",AD11)))</formula>
    </cfRule>
  </conditionalFormatting>
  <conditionalFormatting sqref="AD11">
    <cfRule type="containsText" dxfId="6214" priority="12389" operator="containsText" text="GP2">
      <formula>NOT(ISERROR(SEARCH("GP2",AD11)))</formula>
    </cfRule>
    <cfRule type="containsText" dxfId="6213" priority="12390" operator="containsText" text="GP1">
      <formula>NOT(ISERROR(SEARCH("GP1",AD11)))</formula>
    </cfRule>
  </conditionalFormatting>
  <conditionalFormatting sqref="AD11">
    <cfRule type="containsText" dxfId="6212" priority="12387" operator="containsText" text="GP2">
      <formula>NOT(ISERROR(SEARCH("GP2",AD11)))</formula>
    </cfRule>
    <cfRule type="containsText" dxfId="6211" priority="12388" operator="containsText" text="GP1">
      <formula>NOT(ISERROR(SEARCH("GP1",AD11)))</formula>
    </cfRule>
  </conditionalFormatting>
  <conditionalFormatting sqref="AD11">
    <cfRule type="containsText" dxfId="6210" priority="12385" operator="containsText" text="GP2">
      <formula>NOT(ISERROR(SEARCH("GP2",AD11)))</formula>
    </cfRule>
    <cfRule type="containsText" dxfId="6209" priority="12386" operator="containsText" text="GP1">
      <formula>NOT(ISERROR(SEARCH("GP1",AD11)))</formula>
    </cfRule>
  </conditionalFormatting>
  <conditionalFormatting sqref="AD11">
    <cfRule type="containsText" dxfId="6208" priority="12383" operator="containsText" text="GP2">
      <formula>NOT(ISERROR(SEARCH("GP2",AD11)))</formula>
    </cfRule>
    <cfRule type="containsText" dxfId="6207" priority="12384" operator="containsText" text="GP1">
      <formula>NOT(ISERROR(SEARCH("GP1",AD11)))</formula>
    </cfRule>
  </conditionalFormatting>
  <conditionalFormatting sqref="AD11">
    <cfRule type="containsText" dxfId="6206" priority="12381" operator="containsText" text="GP2">
      <formula>NOT(ISERROR(SEARCH("GP2",AD11)))</formula>
    </cfRule>
    <cfRule type="containsText" dxfId="6205" priority="12382" operator="containsText" text="GP1">
      <formula>NOT(ISERROR(SEARCH("GP1",AD11)))</formula>
    </cfRule>
  </conditionalFormatting>
  <conditionalFormatting sqref="AD11">
    <cfRule type="containsText" dxfId="6204" priority="12379" operator="containsText" text="GP2">
      <formula>NOT(ISERROR(SEARCH("GP2",AD11)))</formula>
    </cfRule>
    <cfRule type="containsText" dxfId="6203" priority="12380" operator="containsText" text="GP1">
      <formula>NOT(ISERROR(SEARCH("GP1",AD11)))</formula>
    </cfRule>
  </conditionalFormatting>
  <conditionalFormatting sqref="AD11">
    <cfRule type="containsText" dxfId="6202" priority="12377" operator="containsText" text="GP2">
      <formula>NOT(ISERROR(SEARCH("GP2",AD11)))</formula>
    </cfRule>
    <cfRule type="containsText" dxfId="6201" priority="12378" operator="containsText" text="GP1">
      <formula>NOT(ISERROR(SEARCH("GP1",AD11)))</formula>
    </cfRule>
  </conditionalFormatting>
  <conditionalFormatting sqref="AD11">
    <cfRule type="containsText" dxfId="6200" priority="12375" operator="containsText" text="GP2">
      <formula>NOT(ISERROR(SEARCH("GP2",AD11)))</formula>
    </cfRule>
    <cfRule type="containsText" dxfId="6199" priority="12376" operator="containsText" text="GP1">
      <formula>NOT(ISERROR(SEARCH("GP1",AD11)))</formula>
    </cfRule>
  </conditionalFormatting>
  <conditionalFormatting sqref="AD11">
    <cfRule type="containsText" dxfId="6198" priority="12373" operator="containsText" text="GP2">
      <formula>NOT(ISERROR(SEARCH("GP2",AD11)))</formula>
    </cfRule>
    <cfRule type="containsText" dxfId="6197" priority="12374" operator="containsText" text="GP1">
      <formula>NOT(ISERROR(SEARCH("GP1",AD11)))</formula>
    </cfRule>
  </conditionalFormatting>
  <conditionalFormatting sqref="AD11">
    <cfRule type="containsText" dxfId="6196" priority="12371" operator="containsText" text="GP2">
      <formula>NOT(ISERROR(SEARCH("GP2",AD11)))</formula>
    </cfRule>
    <cfRule type="containsText" dxfId="6195" priority="12372" operator="containsText" text="GP1">
      <formula>NOT(ISERROR(SEARCH("GP1",AD11)))</formula>
    </cfRule>
  </conditionalFormatting>
  <conditionalFormatting sqref="AD11">
    <cfRule type="containsText" dxfId="6194" priority="12369" operator="containsText" text="GP2">
      <formula>NOT(ISERROR(SEARCH("GP2",AD11)))</formula>
    </cfRule>
    <cfRule type="containsText" dxfId="6193" priority="12370" operator="containsText" text="GP1">
      <formula>NOT(ISERROR(SEARCH("GP1",AD11)))</formula>
    </cfRule>
  </conditionalFormatting>
  <conditionalFormatting sqref="AD11">
    <cfRule type="containsText" dxfId="6192" priority="12367" operator="containsText" text="GP2">
      <formula>NOT(ISERROR(SEARCH("GP2",AD11)))</formula>
    </cfRule>
    <cfRule type="containsText" dxfId="6191" priority="12368" operator="containsText" text="GP1">
      <formula>NOT(ISERROR(SEARCH("GP1",AD11)))</formula>
    </cfRule>
  </conditionalFormatting>
  <conditionalFormatting sqref="AD11">
    <cfRule type="containsText" dxfId="6190" priority="12365" operator="containsText" text="GP2">
      <formula>NOT(ISERROR(SEARCH("GP2",AD11)))</formula>
    </cfRule>
    <cfRule type="containsText" dxfId="6189" priority="12366" operator="containsText" text="GP1">
      <formula>NOT(ISERROR(SEARCH("GP1",AD11)))</formula>
    </cfRule>
  </conditionalFormatting>
  <conditionalFormatting sqref="AD11">
    <cfRule type="containsText" dxfId="6188" priority="12363" operator="containsText" text="GP2">
      <formula>NOT(ISERROR(SEARCH("GP2",AD11)))</formula>
    </cfRule>
    <cfRule type="containsText" dxfId="6187" priority="12364" operator="containsText" text="GP1">
      <formula>NOT(ISERROR(SEARCH("GP1",AD11)))</formula>
    </cfRule>
  </conditionalFormatting>
  <conditionalFormatting sqref="AD11">
    <cfRule type="containsText" dxfId="6186" priority="12361" operator="containsText" text="GP2">
      <formula>NOT(ISERROR(SEARCH("GP2",AD11)))</formula>
    </cfRule>
    <cfRule type="containsText" dxfId="6185" priority="12362" operator="containsText" text="GP1">
      <formula>NOT(ISERROR(SEARCH("GP1",AD11)))</formula>
    </cfRule>
  </conditionalFormatting>
  <conditionalFormatting sqref="AD11">
    <cfRule type="containsText" dxfId="6184" priority="12359" operator="containsText" text="GP2">
      <formula>NOT(ISERROR(SEARCH("GP2",AD11)))</formula>
    </cfRule>
    <cfRule type="containsText" dxfId="6183" priority="12360" operator="containsText" text="GP1">
      <formula>NOT(ISERROR(SEARCH("GP1",AD11)))</formula>
    </cfRule>
  </conditionalFormatting>
  <conditionalFormatting sqref="AD11">
    <cfRule type="containsText" dxfId="6182" priority="12357" operator="containsText" text="GP2">
      <formula>NOT(ISERROR(SEARCH("GP2",AD11)))</formula>
    </cfRule>
    <cfRule type="containsText" dxfId="6181" priority="12358" operator="containsText" text="GP1">
      <formula>NOT(ISERROR(SEARCH("GP1",AD11)))</formula>
    </cfRule>
  </conditionalFormatting>
  <conditionalFormatting sqref="AD11">
    <cfRule type="containsText" dxfId="6180" priority="12355" operator="containsText" text="GP2">
      <formula>NOT(ISERROR(SEARCH("GP2",AD11)))</formula>
    </cfRule>
    <cfRule type="containsText" dxfId="6179" priority="12356" operator="containsText" text="GP1">
      <formula>NOT(ISERROR(SEARCH("GP1",AD11)))</formula>
    </cfRule>
  </conditionalFormatting>
  <conditionalFormatting sqref="AD11">
    <cfRule type="containsText" dxfId="6178" priority="12353" operator="containsText" text="GP2">
      <formula>NOT(ISERROR(SEARCH("GP2",AD11)))</formula>
    </cfRule>
    <cfRule type="containsText" dxfId="6177" priority="12354" operator="containsText" text="GP1">
      <formula>NOT(ISERROR(SEARCH("GP1",AD11)))</formula>
    </cfRule>
  </conditionalFormatting>
  <conditionalFormatting sqref="AD11">
    <cfRule type="containsText" dxfId="6176" priority="12351" operator="containsText" text="GP2">
      <formula>NOT(ISERROR(SEARCH("GP2",AD11)))</formula>
    </cfRule>
    <cfRule type="containsText" dxfId="6175" priority="12352" operator="containsText" text="GP1">
      <formula>NOT(ISERROR(SEARCH("GP1",AD11)))</formula>
    </cfRule>
  </conditionalFormatting>
  <conditionalFormatting sqref="AD11">
    <cfRule type="containsText" dxfId="6174" priority="12349" operator="containsText" text="GP2">
      <formula>NOT(ISERROR(SEARCH("GP2",AD11)))</formula>
    </cfRule>
    <cfRule type="containsText" dxfId="6173" priority="12350" operator="containsText" text="GP1">
      <formula>NOT(ISERROR(SEARCH("GP1",AD11)))</formula>
    </cfRule>
  </conditionalFormatting>
  <conditionalFormatting sqref="AD11">
    <cfRule type="containsText" dxfId="6172" priority="12347" operator="containsText" text="GP2">
      <formula>NOT(ISERROR(SEARCH("GP2",AD11)))</formula>
    </cfRule>
    <cfRule type="containsText" dxfId="6171" priority="12348" operator="containsText" text="GP1">
      <formula>NOT(ISERROR(SEARCH("GP1",AD11)))</formula>
    </cfRule>
  </conditionalFormatting>
  <conditionalFormatting sqref="AD11">
    <cfRule type="containsText" dxfId="6170" priority="12345" operator="containsText" text="GP2">
      <formula>NOT(ISERROR(SEARCH("GP2",AD11)))</formula>
    </cfRule>
    <cfRule type="containsText" dxfId="6169" priority="12346" operator="containsText" text="GP1">
      <formula>NOT(ISERROR(SEARCH("GP1",AD11)))</formula>
    </cfRule>
  </conditionalFormatting>
  <conditionalFormatting sqref="AD11">
    <cfRule type="containsText" dxfId="6168" priority="12343" operator="containsText" text="GP2">
      <formula>NOT(ISERROR(SEARCH("GP2",AD11)))</formula>
    </cfRule>
    <cfRule type="containsText" dxfId="6167" priority="12344" operator="containsText" text="GP1">
      <formula>NOT(ISERROR(SEARCH("GP1",AD11)))</formula>
    </cfRule>
  </conditionalFormatting>
  <conditionalFormatting sqref="AD11">
    <cfRule type="containsText" dxfId="6166" priority="12341" operator="containsText" text="GP2">
      <formula>NOT(ISERROR(SEARCH("GP2",AD11)))</formula>
    </cfRule>
    <cfRule type="containsText" dxfId="6165" priority="12342" operator="containsText" text="GP1">
      <formula>NOT(ISERROR(SEARCH("GP1",AD11)))</formula>
    </cfRule>
  </conditionalFormatting>
  <conditionalFormatting sqref="AD11">
    <cfRule type="containsText" dxfId="6164" priority="12339" operator="containsText" text="GP2">
      <formula>NOT(ISERROR(SEARCH("GP2",AD11)))</formula>
    </cfRule>
    <cfRule type="containsText" dxfId="6163" priority="12340" operator="containsText" text="GP1">
      <formula>NOT(ISERROR(SEARCH("GP1",AD11)))</formula>
    </cfRule>
  </conditionalFormatting>
  <conditionalFormatting sqref="AD11">
    <cfRule type="containsText" dxfId="6162" priority="12337" operator="containsText" text="GP2">
      <formula>NOT(ISERROR(SEARCH("GP2",AD11)))</formula>
    </cfRule>
    <cfRule type="containsText" dxfId="6161" priority="12338" operator="containsText" text="GP1">
      <formula>NOT(ISERROR(SEARCH("GP1",AD11)))</formula>
    </cfRule>
  </conditionalFormatting>
  <conditionalFormatting sqref="AD11">
    <cfRule type="containsText" dxfId="6160" priority="12335" operator="containsText" text="GP2">
      <formula>NOT(ISERROR(SEARCH("GP2",AD11)))</formula>
    </cfRule>
    <cfRule type="containsText" dxfId="6159" priority="12336" operator="containsText" text="GP1">
      <formula>NOT(ISERROR(SEARCH("GP1",AD11)))</formula>
    </cfRule>
  </conditionalFormatting>
  <conditionalFormatting sqref="AD11">
    <cfRule type="containsText" dxfId="6158" priority="12333" operator="containsText" text="GP2">
      <formula>NOT(ISERROR(SEARCH("GP2",AD11)))</formula>
    </cfRule>
    <cfRule type="containsText" dxfId="6157" priority="12334" operator="containsText" text="GP1">
      <formula>NOT(ISERROR(SEARCH("GP1",AD11)))</formula>
    </cfRule>
  </conditionalFormatting>
  <conditionalFormatting sqref="AD11">
    <cfRule type="containsText" dxfId="6156" priority="12331" operator="containsText" text="GP2">
      <formula>NOT(ISERROR(SEARCH("GP2",AD11)))</formula>
    </cfRule>
    <cfRule type="containsText" dxfId="6155" priority="12332" operator="containsText" text="GP1">
      <formula>NOT(ISERROR(SEARCH("GP1",AD11)))</formula>
    </cfRule>
  </conditionalFormatting>
  <conditionalFormatting sqref="AD11">
    <cfRule type="containsText" dxfId="6154" priority="12329" operator="containsText" text="GP2">
      <formula>NOT(ISERROR(SEARCH("GP2",AD11)))</formula>
    </cfRule>
    <cfRule type="containsText" dxfId="6153" priority="12330" operator="containsText" text="GP1">
      <formula>NOT(ISERROR(SEARCH("GP1",AD11)))</formula>
    </cfRule>
  </conditionalFormatting>
  <conditionalFormatting sqref="AD11">
    <cfRule type="containsText" dxfId="6152" priority="12327" operator="containsText" text="GP2">
      <formula>NOT(ISERROR(SEARCH("GP2",AD11)))</formula>
    </cfRule>
    <cfRule type="containsText" dxfId="6151" priority="12328" operator="containsText" text="GP1">
      <formula>NOT(ISERROR(SEARCH("GP1",AD11)))</formula>
    </cfRule>
  </conditionalFormatting>
  <conditionalFormatting sqref="AD11">
    <cfRule type="containsText" dxfId="6150" priority="12325" operator="containsText" text="GP2">
      <formula>NOT(ISERROR(SEARCH("GP2",AD11)))</formula>
    </cfRule>
    <cfRule type="containsText" dxfId="6149" priority="12326" operator="containsText" text="GP1">
      <formula>NOT(ISERROR(SEARCH("GP1",AD11)))</formula>
    </cfRule>
  </conditionalFormatting>
  <conditionalFormatting sqref="AD11">
    <cfRule type="containsText" dxfId="6148" priority="12323" operator="containsText" text="GP2">
      <formula>NOT(ISERROR(SEARCH("GP2",AD11)))</formula>
    </cfRule>
    <cfRule type="containsText" dxfId="6147" priority="12324" operator="containsText" text="GP1">
      <formula>NOT(ISERROR(SEARCH("GP1",AD11)))</formula>
    </cfRule>
  </conditionalFormatting>
  <conditionalFormatting sqref="AD11">
    <cfRule type="containsText" dxfId="6146" priority="12321" operator="containsText" text="GP2">
      <formula>NOT(ISERROR(SEARCH("GP2",AD11)))</formula>
    </cfRule>
    <cfRule type="containsText" dxfId="6145" priority="12322" operator="containsText" text="GP1">
      <formula>NOT(ISERROR(SEARCH("GP1",AD11)))</formula>
    </cfRule>
  </conditionalFormatting>
  <conditionalFormatting sqref="AD11">
    <cfRule type="containsText" dxfId="6144" priority="12319" operator="containsText" text="GP2">
      <formula>NOT(ISERROR(SEARCH("GP2",AD11)))</formula>
    </cfRule>
    <cfRule type="containsText" dxfId="6143" priority="12320" operator="containsText" text="GP1">
      <formula>NOT(ISERROR(SEARCH("GP1",AD11)))</formula>
    </cfRule>
  </conditionalFormatting>
  <conditionalFormatting sqref="AD11">
    <cfRule type="containsText" dxfId="6142" priority="12317" operator="containsText" text="GP2">
      <formula>NOT(ISERROR(SEARCH("GP2",AD11)))</formula>
    </cfRule>
    <cfRule type="containsText" dxfId="6141" priority="12318" operator="containsText" text="GP1">
      <formula>NOT(ISERROR(SEARCH("GP1",AD11)))</formula>
    </cfRule>
  </conditionalFormatting>
  <conditionalFormatting sqref="AD11">
    <cfRule type="containsText" dxfId="6140" priority="12315" operator="containsText" text="GP2">
      <formula>NOT(ISERROR(SEARCH("GP2",AD11)))</formula>
    </cfRule>
    <cfRule type="containsText" dxfId="6139" priority="12316" operator="containsText" text="GP1">
      <formula>NOT(ISERROR(SEARCH("GP1",AD11)))</formula>
    </cfRule>
  </conditionalFormatting>
  <conditionalFormatting sqref="AD11">
    <cfRule type="containsText" dxfId="6138" priority="12313" operator="containsText" text="GP2">
      <formula>NOT(ISERROR(SEARCH("GP2",AD11)))</formula>
    </cfRule>
    <cfRule type="containsText" dxfId="6137" priority="12314" operator="containsText" text="GP1">
      <formula>NOT(ISERROR(SEARCH("GP1",AD11)))</formula>
    </cfRule>
  </conditionalFormatting>
  <conditionalFormatting sqref="AD11">
    <cfRule type="containsText" dxfId="6136" priority="12311" operator="containsText" text="GP2">
      <formula>NOT(ISERROR(SEARCH("GP2",AD11)))</formula>
    </cfRule>
    <cfRule type="containsText" dxfId="6135" priority="12312" operator="containsText" text="GP1">
      <formula>NOT(ISERROR(SEARCH("GP1",AD11)))</formula>
    </cfRule>
  </conditionalFormatting>
  <conditionalFormatting sqref="AD11">
    <cfRule type="containsText" dxfId="6134" priority="12309" operator="containsText" text="GP2">
      <formula>NOT(ISERROR(SEARCH("GP2",AD11)))</formula>
    </cfRule>
    <cfRule type="containsText" dxfId="6133" priority="12310" operator="containsText" text="GP1">
      <formula>NOT(ISERROR(SEARCH("GP1",AD11)))</formula>
    </cfRule>
  </conditionalFormatting>
  <conditionalFormatting sqref="AD11">
    <cfRule type="containsText" dxfId="6132" priority="12307" operator="containsText" text="GP2">
      <formula>NOT(ISERROR(SEARCH("GP2",AD11)))</formula>
    </cfRule>
    <cfRule type="containsText" dxfId="6131" priority="12308" operator="containsText" text="GP1">
      <formula>NOT(ISERROR(SEARCH("GP1",AD11)))</formula>
    </cfRule>
  </conditionalFormatting>
  <conditionalFormatting sqref="AD11">
    <cfRule type="containsText" dxfId="6130" priority="12305" operator="containsText" text="GP2">
      <formula>NOT(ISERROR(SEARCH("GP2",AD11)))</formula>
    </cfRule>
    <cfRule type="containsText" dxfId="6129" priority="12306" operator="containsText" text="GP1">
      <formula>NOT(ISERROR(SEARCH("GP1",AD11)))</formula>
    </cfRule>
  </conditionalFormatting>
  <conditionalFormatting sqref="AD11">
    <cfRule type="containsText" dxfId="6128" priority="12303" operator="containsText" text="GP2">
      <formula>NOT(ISERROR(SEARCH("GP2",AD11)))</formula>
    </cfRule>
    <cfRule type="containsText" dxfId="6127" priority="12304" operator="containsText" text="GP1">
      <formula>NOT(ISERROR(SEARCH("GP1",AD11)))</formula>
    </cfRule>
  </conditionalFormatting>
  <conditionalFormatting sqref="AD11">
    <cfRule type="containsText" dxfId="6126" priority="12301" operator="containsText" text="GP2">
      <formula>NOT(ISERROR(SEARCH("GP2",AD11)))</formula>
    </cfRule>
    <cfRule type="containsText" dxfId="6125" priority="12302" operator="containsText" text="GP1">
      <formula>NOT(ISERROR(SEARCH("GP1",AD11)))</formula>
    </cfRule>
  </conditionalFormatting>
  <conditionalFormatting sqref="AD11">
    <cfRule type="containsText" dxfId="6124" priority="12299" operator="containsText" text="GP2">
      <formula>NOT(ISERROR(SEARCH("GP2",AD11)))</formula>
    </cfRule>
    <cfRule type="containsText" dxfId="6123" priority="12300" operator="containsText" text="GP1">
      <formula>NOT(ISERROR(SEARCH("GP1",AD11)))</formula>
    </cfRule>
  </conditionalFormatting>
  <conditionalFormatting sqref="AD11">
    <cfRule type="containsText" dxfId="6122" priority="12297" operator="containsText" text="GP2">
      <formula>NOT(ISERROR(SEARCH("GP2",AD11)))</formula>
    </cfRule>
    <cfRule type="containsText" dxfId="6121" priority="12298" operator="containsText" text="GP1">
      <formula>NOT(ISERROR(SEARCH("GP1",AD11)))</formula>
    </cfRule>
  </conditionalFormatting>
  <conditionalFormatting sqref="AD11">
    <cfRule type="containsText" dxfId="6120" priority="12295" operator="containsText" text="GP2">
      <formula>NOT(ISERROR(SEARCH("GP2",AD11)))</formula>
    </cfRule>
    <cfRule type="containsText" dxfId="6119" priority="12296" operator="containsText" text="GP1">
      <formula>NOT(ISERROR(SEARCH("GP1",AD11)))</formula>
    </cfRule>
  </conditionalFormatting>
  <conditionalFormatting sqref="AD11">
    <cfRule type="containsText" dxfId="6118" priority="12293" operator="containsText" text="GP2">
      <formula>NOT(ISERROR(SEARCH("GP2",AD11)))</formula>
    </cfRule>
    <cfRule type="containsText" dxfId="6117" priority="12294" operator="containsText" text="GP1">
      <formula>NOT(ISERROR(SEARCH("GP1",AD11)))</formula>
    </cfRule>
  </conditionalFormatting>
  <conditionalFormatting sqref="AD11">
    <cfRule type="containsText" dxfId="6116" priority="12291" operator="containsText" text="GP2">
      <formula>NOT(ISERROR(SEARCH("GP2",AD11)))</formula>
    </cfRule>
    <cfRule type="containsText" dxfId="6115" priority="12292" operator="containsText" text="GP1">
      <formula>NOT(ISERROR(SEARCH("GP1",AD11)))</formula>
    </cfRule>
  </conditionalFormatting>
  <conditionalFormatting sqref="AD11">
    <cfRule type="containsText" dxfId="6114" priority="12289" operator="containsText" text="GP2">
      <formula>NOT(ISERROR(SEARCH("GP2",AD11)))</formula>
    </cfRule>
    <cfRule type="containsText" dxfId="6113" priority="12290" operator="containsText" text="GP1">
      <formula>NOT(ISERROR(SEARCH("GP1",AD11)))</formula>
    </cfRule>
  </conditionalFormatting>
  <conditionalFormatting sqref="AD11">
    <cfRule type="containsText" dxfId="6112" priority="12287" operator="containsText" text="GP2">
      <formula>NOT(ISERROR(SEARCH("GP2",AD11)))</formula>
    </cfRule>
    <cfRule type="containsText" dxfId="6111" priority="12288" operator="containsText" text="GP1">
      <formula>NOT(ISERROR(SEARCH("GP1",AD11)))</formula>
    </cfRule>
  </conditionalFormatting>
  <conditionalFormatting sqref="AD11">
    <cfRule type="containsText" dxfId="6110" priority="12285" operator="containsText" text="GP2">
      <formula>NOT(ISERROR(SEARCH("GP2",AD11)))</formula>
    </cfRule>
    <cfRule type="containsText" dxfId="6109" priority="12286" operator="containsText" text="GP1">
      <formula>NOT(ISERROR(SEARCH("GP1",AD11)))</formula>
    </cfRule>
  </conditionalFormatting>
  <conditionalFormatting sqref="AD11">
    <cfRule type="containsText" dxfId="6108" priority="12283" operator="containsText" text="GP2">
      <formula>NOT(ISERROR(SEARCH("GP2",AD11)))</formula>
    </cfRule>
    <cfRule type="containsText" dxfId="6107" priority="12284" operator="containsText" text="GP1">
      <formula>NOT(ISERROR(SEARCH("GP1",AD11)))</formula>
    </cfRule>
  </conditionalFormatting>
  <conditionalFormatting sqref="AD11">
    <cfRule type="containsText" dxfId="6106" priority="12281" operator="containsText" text="GP2">
      <formula>NOT(ISERROR(SEARCH("GP2",AD11)))</formula>
    </cfRule>
    <cfRule type="containsText" dxfId="6105" priority="12282" operator="containsText" text="GP1">
      <formula>NOT(ISERROR(SEARCH("GP1",AD11)))</formula>
    </cfRule>
  </conditionalFormatting>
  <conditionalFormatting sqref="AD11">
    <cfRule type="containsText" dxfId="6104" priority="12279" operator="containsText" text="GP2">
      <formula>NOT(ISERROR(SEARCH("GP2",AD11)))</formula>
    </cfRule>
    <cfRule type="containsText" dxfId="6103" priority="12280" operator="containsText" text="GP1">
      <formula>NOT(ISERROR(SEARCH("GP1",AD11)))</formula>
    </cfRule>
  </conditionalFormatting>
  <conditionalFormatting sqref="AD11">
    <cfRule type="containsText" dxfId="6102" priority="12277" operator="containsText" text="GP2">
      <formula>NOT(ISERROR(SEARCH("GP2",AD11)))</formula>
    </cfRule>
    <cfRule type="containsText" dxfId="6101" priority="12278" operator="containsText" text="GP1">
      <formula>NOT(ISERROR(SEARCH("GP1",AD11)))</formula>
    </cfRule>
  </conditionalFormatting>
  <conditionalFormatting sqref="AD11">
    <cfRule type="containsText" dxfId="6100" priority="12275" operator="containsText" text="GP2">
      <formula>NOT(ISERROR(SEARCH("GP2",AD11)))</formula>
    </cfRule>
    <cfRule type="containsText" dxfId="6099" priority="12276" operator="containsText" text="GP1">
      <formula>NOT(ISERROR(SEARCH("GP1",AD11)))</formula>
    </cfRule>
  </conditionalFormatting>
  <conditionalFormatting sqref="AD11">
    <cfRule type="containsText" dxfId="6098" priority="12273" operator="containsText" text="GP2">
      <formula>NOT(ISERROR(SEARCH("GP2",AD11)))</formula>
    </cfRule>
    <cfRule type="containsText" dxfId="6097" priority="12274" operator="containsText" text="GP1">
      <formula>NOT(ISERROR(SEARCH("GP1",AD11)))</formula>
    </cfRule>
  </conditionalFormatting>
  <conditionalFormatting sqref="AD11">
    <cfRule type="containsText" dxfId="6096" priority="12271" operator="containsText" text="GP2">
      <formula>NOT(ISERROR(SEARCH("GP2",AD11)))</formula>
    </cfRule>
    <cfRule type="containsText" dxfId="6095" priority="12272" operator="containsText" text="GP1">
      <formula>NOT(ISERROR(SEARCH("GP1",AD11)))</formula>
    </cfRule>
  </conditionalFormatting>
  <conditionalFormatting sqref="AD11">
    <cfRule type="containsText" dxfId="6094" priority="12269" operator="containsText" text="GP2">
      <formula>NOT(ISERROR(SEARCH("GP2",AD11)))</formula>
    </cfRule>
    <cfRule type="containsText" dxfId="6093" priority="12270" operator="containsText" text="GP1">
      <formula>NOT(ISERROR(SEARCH("GP1",AD11)))</formula>
    </cfRule>
  </conditionalFormatting>
  <conditionalFormatting sqref="AD11">
    <cfRule type="containsText" dxfId="6092" priority="12267" operator="containsText" text="GP2">
      <formula>NOT(ISERROR(SEARCH("GP2",AD11)))</formula>
    </cfRule>
    <cfRule type="containsText" dxfId="6091" priority="12268" operator="containsText" text="GP1">
      <formula>NOT(ISERROR(SEARCH("GP1",AD11)))</formula>
    </cfRule>
  </conditionalFormatting>
  <conditionalFormatting sqref="AD11">
    <cfRule type="containsText" dxfId="6090" priority="12265" operator="containsText" text="GP2">
      <formula>NOT(ISERROR(SEARCH("GP2",AD11)))</formula>
    </cfRule>
    <cfRule type="containsText" dxfId="6089" priority="12266" operator="containsText" text="GP1">
      <formula>NOT(ISERROR(SEARCH("GP1",AD11)))</formula>
    </cfRule>
  </conditionalFormatting>
  <conditionalFormatting sqref="AD11">
    <cfRule type="containsText" dxfId="6088" priority="12263" operator="containsText" text="GP2">
      <formula>NOT(ISERROR(SEARCH("GP2",AD11)))</formula>
    </cfRule>
    <cfRule type="containsText" dxfId="6087" priority="12264" operator="containsText" text="GP1">
      <formula>NOT(ISERROR(SEARCH("GP1",AD11)))</formula>
    </cfRule>
  </conditionalFormatting>
  <conditionalFormatting sqref="AD11">
    <cfRule type="containsText" dxfId="6086" priority="12261" operator="containsText" text="GP2">
      <formula>NOT(ISERROR(SEARCH("GP2",AD11)))</formula>
    </cfRule>
    <cfRule type="containsText" dxfId="6085" priority="12262" operator="containsText" text="GP1">
      <formula>NOT(ISERROR(SEARCH("GP1",AD11)))</formula>
    </cfRule>
  </conditionalFormatting>
  <conditionalFormatting sqref="AD11">
    <cfRule type="containsText" dxfId="6084" priority="12259" operator="containsText" text="GP2">
      <formula>NOT(ISERROR(SEARCH("GP2",AD11)))</formula>
    </cfRule>
    <cfRule type="containsText" dxfId="6083" priority="12260" operator="containsText" text="GP1">
      <formula>NOT(ISERROR(SEARCH("GP1",AD11)))</formula>
    </cfRule>
  </conditionalFormatting>
  <conditionalFormatting sqref="AD11">
    <cfRule type="containsText" dxfId="6082" priority="12257" operator="containsText" text="GP2">
      <formula>NOT(ISERROR(SEARCH("GP2",AD11)))</formula>
    </cfRule>
    <cfRule type="containsText" dxfId="6081" priority="12258" operator="containsText" text="GP1">
      <formula>NOT(ISERROR(SEARCH("GP1",AD11)))</formula>
    </cfRule>
  </conditionalFormatting>
  <conditionalFormatting sqref="AD11">
    <cfRule type="containsText" dxfId="6080" priority="12255" operator="containsText" text="GP2">
      <formula>NOT(ISERROR(SEARCH("GP2",AD11)))</formula>
    </cfRule>
    <cfRule type="containsText" dxfId="6079" priority="12256" operator="containsText" text="GP1">
      <formula>NOT(ISERROR(SEARCH("GP1",AD11)))</formula>
    </cfRule>
  </conditionalFormatting>
  <conditionalFormatting sqref="AD11">
    <cfRule type="containsText" dxfId="6078" priority="12253" operator="containsText" text="GP2">
      <formula>NOT(ISERROR(SEARCH("GP2",AD11)))</formula>
    </cfRule>
    <cfRule type="containsText" dxfId="6077" priority="12254" operator="containsText" text="GP1">
      <formula>NOT(ISERROR(SEARCH("GP1",AD11)))</formula>
    </cfRule>
  </conditionalFormatting>
  <conditionalFormatting sqref="AD11">
    <cfRule type="containsText" dxfId="6076" priority="12251" operator="containsText" text="GP2">
      <formula>NOT(ISERROR(SEARCH("GP2",AD11)))</formula>
    </cfRule>
    <cfRule type="containsText" dxfId="6075" priority="12252" operator="containsText" text="GP1">
      <formula>NOT(ISERROR(SEARCH("GP1",AD11)))</formula>
    </cfRule>
  </conditionalFormatting>
  <conditionalFormatting sqref="AD11">
    <cfRule type="containsText" dxfId="6074" priority="12249" operator="containsText" text="GP2">
      <formula>NOT(ISERROR(SEARCH("GP2",AD11)))</formula>
    </cfRule>
    <cfRule type="containsText" dxfId="6073" priority="12250" operator="containsText" text="GP1">
      <formula>NOT(ISERROR(SEARCH("GP1",AD11)))</formula>
    </cfRule>
  </conditionalFormatting>
  <conditionalFormatting sqref="AD11">
    <cfRule type="containsText" dxfId="6072" priority="12247" operator="containsText" text="GP2">
      <formula>NOT(ISERROR(SEARCH("GP2",AD11)))</formula>
    </cfRule>
    <cfRule type="containsText" dxfId="6071" priority="12248" operator="containsText" text="GP1">
      <formula>NOT(ISERROR(SEARCH("GP1",AD11)))</formula>
    </cfRule>
  </conditionalFormatting>
  <conditionalFormatting sqref="AD11">
    <cfRule type="containsText" dxfId="6070" priority="12245" operator="containsText" text="GP2">
      <formula>NOT(ISERROR(SEARCH("GP2",AD11)))</formula>
    </cfRule>
    <cfRule type="containsText" dxfId="6069" priority="12246" operator="containsText" text="GP1">
      <formula>NOT(ISERROR(SEARCH("GP1",AD11)))</formula>
    </cfRule>
  </conditionalFormatting>
  <conditionalFormatting sqref="AD11">
    <cfRule type="containsText" dxfId="6068" priority="12243" operator="containsText" text="GP2">
      <formula>NOT(ISERROR(SEARCH("GP2",AD11)))</formula>
    </cfRule>
    <cfRule type="containsText" dxfId="6067" priority="12244" operator="containsText" text="GP1">
      <formula>NOT(ISERROR(SEARCH("GP1",AD11)))</formula>
    </cfRule>
  </conditionalFormatting>
  <conditionalFormatting sqref="AD11">
    <cfRule type="containsText" dxfId="6066" priority="12241" operator="containsText" text="GP2">
      <formula>NOT(ISERROR(SEARCH("GP2",AD11)))</formula>
    </cfRule>
    <cfRule type="containsText" dxfId="6065" priority="12242" operator="containsText" text="GP1">
      <formula>NOT(ISERROR(SEARCH("GP1",AD11)))</formula>
    </cfRule>
  </conditionalFormatting>
  <conditionalFormatting sqref="AD11">
    <cfRule type="containsText" dxfId="6064" priority="12239" operator="containsText" text="GP2">
      <formula>NOT(ISERROR(SEARCH("GP2",AD11)))</formula>
    </cfRule>
    <cfRule type="containsText" dxfId="6063" priority="12240" operator="containsText" text="GP1">
      <formula>NOT(ISERROR(SEARCH("GP1",AD11)))</formula>
    </cfRule>
  </conditionalFormatting>
  <conditionalFormatting sqref="AD11">
    <cfRule type="containsText" dxfId="6062" priority="12237" operator="containsText" text="GP2">
      <formula>NOT(ISERROR(SEARCH("GP2",AD11)))</formula>
    </cfRule>
    <cfRule type="containsText" dxfId="6061" priority="12238" operator="containsText" text="GP1">
      <formula>NOT(ISERROR(SEARCH("GP1",AD11)))</formula>
    </cfRule>
  </conditionalFormatting>
  <conditionalFormatting sqref="AD11">
    <cfRule type="containsText" dxfId="6060" priority="12235" operator="containsText" text="GP2">
      <formula>NOT(ISERROR(SEARCH("GP2",AD11)))</formula>
    </cfRule>
    <cfRule type="containsText" dxfId="6059" priority="12236" operator="containsText" text="GP1">
      <formula>NOT(ISERROR(SEARCH("GP1",AD11)))</formula>
    </cfRule>
  </conditionalFormatting>
  <conditionalFormatting sqref="AD11">
    <cfRule type="containsText" dxfId="6058" priority="12233" operator="containsText" text="GP2">
      <formula>NOT(ISERROR(SEARCH("GP2",AD11)))</formula>
    </cfRule>
    <cfRule type="containsText" dxfId="6057" priority="12234" operator="containsText" text="GP1">
      <formula>NOT(ISERROR(SEARCH("GP1",AD11)))</formula>
    </cfRule>
  </conditionalFormatting>
  <conditionalFormatting sqref="AD11">
    <cfRule type="containsText" dxfId="6056" priority="12231" operator="containsText" text="GP2">
      <formula>NOT(ISERROR(SEARCH("GP2",AD11)))</formula>
    </cfRule>
    <cfRule type="containsText" dxfId="6055" priority="12232" operator="containsText" text="GP1">
      <formula>NOT(ISERROR(SEARCH("GP1",AD11)))</formula>
    </cfRule>
  </conditionalFormatting>
  <conditionalFormatting sqref="AD11">
    <cfRule type="containsText" dxfId="6054" priority="12229" operator="containsText" text="GP2">
      <formula>NOT(ISERROR(SEARCH("GP2",AD11)))</formula>
    </cfRule>
    <cfRule type="containsText" dxfId="6053" priority="12230" operator="containsText" text="GP1">
      <formula>NOT(ISERROR(SEARCH("GP1",AD11)))</formula>
    </cfRule>
  </conditionalFormatting>
  <conditionalFormatting sqref="AD11">
    <cfRule type="containsText" dxfId="6052" priority="12227" operator="containsText" text="GP2">
      <formula>NOT(ISERROR(SEARCH("GP2",AD11)))</formula>
    </cfRule>
    <cfRule type="containsText" dxfId="6051" priority="12228" operator="containsText" text="GP1">
      <formula>NOT(ISERROR(SEARCH("GP1",AD11)))</formula>
    </cfRule>
  </conditionalFormatting>
  <conditionalFormatting sqref="AD11">
    <cfRule type="containsText" dxfId="6050" priority="12225" operator="containsText" text="GP2">
      <formula>NOT(ISERROR(SEARCH("GP2",AD11)))</formula>
    </cfRule>
    <cfRule type="containsText" dxfId="6049" priority="12226" operator="containsText" text="GP1">
      <formula>NOT(ISERROR(SEARCH("GP1",AD11)))</formula>
    </cfRule>
  </conditionalFormatting>
  <conditionalFormatting sqref="AD11">
    <cfRule type="containsText" dxfId="6048" priority="12223" operator="containsText" text="GP2">
      <formula>NOT(ISERROR(SEARCH("GP2",AD11)))</formula>
    </cfRule>
    <cfRule type="containsText" dxfId="6047" priority="12224" operator="containsText" text="GP1">
      <formula>NOT(ISERROR(SEARCH("GP1",AD11)))</formula>
    </cfRule>
  </conditionalFormatting>
  <conditionalFormatting sqref="AD11">
    <cfRule type="containsText" dxfId="6046" priority="12221" operator="containsText" text="GP2">
      <formula>NOT(ISERROR(SEARCH("GP2",AD11)))</formula>
    </cfRule>
    <cfRule type="containsText" dxfId="6045" priority="12222" operator="containsText" text="GP1">
      <formula>NOT(ISERROR(SEARCH("GP1",AD11)))</formula>
    </cfRule>
  </conditionalFormatting>
  <conditionalFormatting sqref="AD11">
    <cfRule type="containsText" dxfId="6044" priority="12219" operator="containsText" text="GP2">
      <formula>NOT(ISERROR(SEARCH("GP2",AD11)))</formula>
    </cfRule>
    <cfRule type="containsText" dxfId="6043" priority="12220" operator="containsText" text="GP1">
      <formula>NOT(ISERROR(SEARCH("GP1",AD11)))</formula>
    </cfRule>
  </conditionalFormatting>
  <conditionalFormatting sqref="AD11">
    <cfRule type="containsText" dxfId="6042" priority="12217" operator="containsText" text="GP2">
      <formula>NOT(ISERROR(SEARCH("GP2",AD11)))</formula>
    </cfRule>
    <cfRule type="containsText" dxfId="6041" priority="12218" operator="containsText" text="GP1">
      <formula>NOT(ISERROR(SEARCH("GP1",AD11)))</formula>
    </cfRule>
  </conditionalFormatting>
  <conditionalFormatting sqref="AD11">
    <cfRule type="containsText" dxfId="6040" priority="12215" operator="containsText" text="GP2">
      <formula>NOT(ISERROR(SEARCH("GP2",AD11)))</formula>
    </cfRule>
    <cfRule type="containsText" dxfId="6039" priority="12216" operator="containsText" text="GP1">
      <formula>NOT(ISERROR(SEARCH("GP1",AD11)))</formula>
    </cfRule>
  </conditionalFormatting>
  <conditionalFormatting sqref="AD11">
    <cfRule type="containsText" dxfId="6038" priority="12213" operator="containsText" text="GP2">
      <formula>NOT(ISERROR(SEARCH("GP2",AD11)))</formula>
    </cfRule>
    <cfRule type="containsText" dxfId="6037" priority="12214" operator="containsText" text="GP1">
      <formula>NOT(ISERROR(SEARCH("GP1",AD11)))</formula>
    </cfRule>
  </conditionalFormatting>
  <conditionalFormatting sqref="AD11">
    <cfRule type="containsText" dxfId="6036" priority="12211" operator="containsText" text="GP2">
      <formula>NOT(ISERROR(SEARCH("GP2",AD11)))</formula>
    </cfRule>
    <cfRule type="containsText" dxfId="6035" priority="12212" operator="containsText" text="GP1">
      <formula>NOT(ISERROR(SEARCH("GP1",AD11)))</formula>
    </cfRule>
  </conditionalFormatting>
  <conditionalFormatting sqref="AD11">
    <cfRule type="containsText" dxfId="6034" priority="12209" operator="containsText" text="GP2">
      <formula>NOT(ISERROR(SEARCH("GP2",AD11)))</formula>
    </cfRule>
    <cfRule type="containsText" dxfId="6033" priority="12210" operator="containsText" text="GP1">
      <formula>NOT(ISERROR(SEARCH("GP1",AD11)))</formula>
    </cfRule>
  </conditionalFormatting>
  <conditionalFormatting sqref="AD11">
    <cfRule type="containsText" dxfId="6032" priority="12207" operator="containsText" text="GP2">
      <formula>NOT(ISERROR(SEARCH("GP2",AD11)))</formula>
    </cfRule>
    <cfRule type="containsText" dxfId="6031" priority="12208" operator="containsText" text="GP1">
      <formula>NOT(ISERROR(SEARCH("GP1",AD11)))</formula>
    </cfRule>
  </conditionalFormatting>
  <conditionalFormatting sqref="AD11">
    <cfRule type="containsText" dxfId="6030" priority="12205" operator="containsText" text="GP2">
      <formula>NOT(ISERROR(SEARCH("GP2",AD11)))</formula>
    </cfRule>
    <cfRule type="containsText" dxfId="6029" priority="12206" operator="containsText" text="GP1">
      <formula>NOT(ISERROR(SEARCH("GP1",AD11)))</formula>
    </cfRule>
  </conditionalFormatting>
  <conditionalFormatting sqref="AD11">
    <cfRule type="containsText" dxfId="6028" priority="12203" operator="containsText" text="GP2">
      <formula>NOT(ISERROR(SEARCH("GP2",AD11)))</formula>
    </cfRule>
    <cfRule type="containsText" dxfId="6027" priority="12204" operator="containsText" text="GP1">
      <formula>NOT(ISERROR(SEARCH("GP1",AD11)))</formula>
    </cfRule>
  </conditionalFormatting>
  <conditionalFormatting sqref="AD11">
    <cfRule type="containsText" dxfId="6026" priority="12201" operator="containsText" text="GP2">
      <formula>NOT(ISERROR(SEARCH("GP2",AD11)))</formula>
    </cfRule>
    <cfRule type="containsText" dxfId="6025" priority="12202" operator="containsText" text="GP1">
      <formula>NOT(ISERROR(SEARCH("GP1",AD11)))</formula>
    </cfRule>
  </conditionalFormatting>
  <conditionalFormatting sqref="AD11">
    <cfRule type="containsText" dxfId="6024" priority="12199" operator="containsText" text="GP2">
      <formula>NOT(ISERROR(SEARCH("GP2",AD11)))</formula>
    </cfRule>
    <cfRule type="containsText" dxfId="6023" priority="12200" operator="containsText" text="GP1">
      <formula>NOT(ISERROR(SEARCH("GP1",AD11)))</formula>
    </cfRule>
  </conditionalFormatting>
  <conditionalFormatting sqref="AD11">
    <cfRule type="containsText" dxfId="6022" priority="12197" operator="containsText" text="GP2">
      <formula>NOT(ISERROR(SEARCH("GP2",AD11)))</formula>
    </cfRule>
    <cfRule type="containsText" dxfId="6021" priority="12198" operator="containsText" text="GP1">
      <formula>NOT(ISERROR(SEARCH("GP1",AD11)))</formula>
    </cfRule>
  </conditionalFormatting>
  <conditionalFormatting sqref="AD11">
    <cfRule type="containsText" dxfId="6020" priority="12195" operator="containsText" text="GP2">
      <formula>NOT(ISERROR(SEARCH("GP2",AD11)))</formula>
    </cfRule>
    <cfRule type="containsText" dxfId="6019" priority="12196" operator="containsText" text="GP1">
      <formula>NOT(ISERROR(SEARCH("GP1",AD11)))</formula>
    </cfRule>
  </conditionalFormatting>
  <conditionalFormatting sqref="AD11">
    <cfRule type="containsText" dxfId="6018" priority="12193" operator="containsText" text="GP2">
      <formula>NOT(ISERROR(SEARCH("GP2",AD11)))</formula>
    </cfRule>
    <cfRule type="containsText" dxfId="6017" priority="12194" operator="containsText" text="GP1">
      <formula>NOT(ISERROR(SEARCH("GP1",AD11)))</formula>
    </cfRule>
  </conditionalFormatting>
  <conditionalFormatting sqref="AD11">
    <cfRule type="containsText" dxfId="6016" priority="12191" operator="containsText" text="GP2">
      <formula>NOT(ISERROR(SEARCH("GP2",AD11)))</formula>
    </cfRule>
    <cfRule type="containsText" dxfId="6015" priority="12192" operator="containsText" text="GP1">
      <formula>NOT(ISERROR(SEARCH("GP1",AD11)))</formula>
    </cfRule>
  </conditionalFormatting>
  <conditionalFormatting sqref="AD11">
    <cfRule type="containsText" dxfId="6014" priority="12189" operator="containsText" text="GP2">
      <formula>NOT(ISERROR(SEARCH("GP2",AD11)))</formula>
    </cfRule>
    <cfRule type="containsText" dxfId="6013" priority="12190" operator="containsText" text="GP1">
      <formula>NOT(ISERROR(SEARCH("GP1",AD11)))</formula>
    </cfRule>
  </conditionalFormatting>
  <conditionalFormatting sqref="AD11">
    <cfRule type="containsText" dxfId="6012" priority="12187" operator="containsText" text="GP2">
      <formula>NOT(ISERROR(SEARCH("GP2",AD11)))</formula>
    </cfRule>
    <cfRule type="containsText" dxfId="6011" priority="12188" operator="containsText" text="GP1">
      <formula>NOT(ISERROR(SEARCH("GP1",AD11)))</formula>
    </cfRule>
  </conditionalFormatting>
  <conditionalFormatting sqref="AD11">
    <cfRule type="containsText" dxfId="6010" priority="12185" operator="containsText" text="GP2">
      <formula>NOT(ISERROR(SEARCH("GP2",AD11)))</formula>
    </cfRule>
    <cfRule type="containsText" dxfId="6009" priority="12186" operator="containsText" text="GP1">
      <formula>NOT(ISERROR(SEARCH("GP1",AD11)))</formula>
    </cfRule>
  </conditionalFormatting>
  <conditionalFormatting sqref="AD11">
    <cfRule type="containsText" dxfId="6008" priority="12183" operator="containsText" text="GP2">
      <formula>NOT(ISERROR(SEARCH("GP2",AD11)))</formula>
    </cfRule>
    <cfRule type="containsText" dxfId="6007" priority="12184" operator="containsText" text="GP1">
      <formula>NOT(ISERROR(SEARCH("GP1",AD11)))</formula>
    </cfRule>
  </conditionalFormatting>
  <conditionalFormatting sqref="AD11">
    <cfRule type="containsText" dxfId="6006" priority="12181" operator="containsText" text="GP2">
      <formula>NOT(ISERROR(SEARCH("GP2",AD11)))</formula>
    </cfRule>
    <cfRule type="containsText" dxfId="6005" priority="12182" operator="containsText" text="GP1">
      <formula>NOT(ISERROR(SEARCH("GP1",AD11)))</formula>
    </cfRule>
  </conditionalFormatting>
  <conditionalFormatting sqref="AD11">
    <cfRule type="containsText" dxfId="6004" priority="12179" operator="containsText" text="GP2">
      <formula>NOT(ISERROR(SEARCH("GP2",AD11)))</formula>
    </cfRule>
    <cfRule type="containsText" dxfId="6003" priority="12180" operator="containsText" text="GP1">
      <formula>NOT(ISERROR(SEARCH("GP1",AD11)))</formula>
    </cfRule>
  </conditionalFormatting>
  <conditionalFormatting sqref="AD11">
    <cfRule type="containsText" dxfId="6002" priority="12177" operator="containsText" text="GP2">
      <formula>NOT(ISERROR(SEARCH("GP2",AD11)))</formula>
    </cfRule>
    <cfRule type="containsText" dxfId="6001" priority="12178" operator="containsText" text="GP1">
      <formula>NOT(ISERROR(SEARCH("GP1",AD11)))</formula>
    </cfRule>
  </conditionalFormatting>
  <conditionalFormatting sqref="AD11">
    <cfRule type="containsText" dxfId="6000" priority="12175" operator="containsText" text="GP2">
      <formula>NOT(ISERROR(SEARCH("GP2",AD11)))</formula>
    </cfRule>
    <cfRule type="containsText" dxfId="5999" priority="12176" operator="containsText" text="GP1">
      <formula>NOT(ISERROR(SEARCH("GP1",AD11)))</formula>
    </cfRule>
  </conditionalFormatting>
  <conditionalFormatting sqref="AD11">
    <cfRule type="containsText" dxfId="5998" priority="12173" operator="containsText" text="GP2">
      <formula>NOT(ISERROR(SEARCH("GP2",AD11)))</formula>
    </cfRule>
    <cfRule type="containsText" dxfId="5997" priority="12174" operator="containsText" text="GP1">
      <formula>NOT(ISERROR(SEARCH("GP1",AD11)))</formula>
    </cfRule>
  </conditionalFormatting>
  <conditionalFormatting sqref="AD11">
    <cfRule type="containsText" dxfId="5996" priority="12171" operator="containsText" text="GP2">
      <formula>NOT(ISERROR(SEARCH("GP2",AD11)))</formula>
    </cfRule>
    <cfRule type="containsText" dxfId="5995" priority="12172" operator="containsText" text="GP1">
      <formula>NOT(ISERROR(SEARCH("GP1",AD11)))</formula>
    </cfRule>
  </conditionalFormatting>
  <conditionalFormatting sqref="AD11">
    <cfRule type="containsText" dxfId="5994" priority="12169" operator="containsText" text="GP2">
      <formula>NOT(ISERROR(SEARCH("GP2",AD11)))</formula>
    </cfRule>
    <cfRule type="containsText" dxfId="5993" priority="12170" operator="containsText" text="GP1">
      <formula>NOT(ISERROR(SEARCH("GP1",AD11)))</formula>
    </cfRule>
  </conditionalFormatting>
  <conditionalFormatting sqref="AD11">
    <cfRule type="containsText" dxfId="5992" priority="12167" operator="containsText" text="GP2">
      <formula>NOT(ISERROR(SEARCH("GP2",AD11)))</formula>
    </cfRule>
    <cfRule type="containsText" dxfId="5991" priority="12168" operator="containsText" text="GP1">
      <formula>NOT(ISERROR(SEARCH("GP1",AD11)))</formula>
    </cfRule>
  </conditionalFormatting>
  <conditionalFormatting sqref="AD11">
    <cfRule type="containsText" dxfId="5990" priority="12165" operator="containsText" text="GP2">
      <formula>NOT(ISERROR(SEARCH("GP2",AD11)))</formula>
    </cfRule>
    <cfRule type="containsText" dxfId="5989" priority="12166" operator="containsText" text="GP1">
      <formula>NOT(ISERROR(SEARCH("GP1",AD11)))</formula>
    </cfRule>
  </conditionalFormatting>
  <conditionalFormatting sqref="AD11">
    <cfRule type="containsText" dxfId="5988" priority="12163" operator="containsText" text="GP2">
      <formula>NOT(ISERROR(SEARCH("GP2",AD11)))</formula>
    </cfRule>
    <cfRule type="containsText" dxfId="5987" priority="12164" operator="containsText" text="GP1">
      <formula>NOT(ISERROR(SEARCH("GP1",AD11)))</formula>
    </cfRule>
  </conditionalFormatting>
  <conditionalFormatting sqref="AD11">
    <cfRule type="containsText" dxfId="5986" priority="12161" operator="containsText" text="GP2">
      <formula>NOT(ISERROR(SEARCH("GP2",AD11)))</formula>
    </cfRule>
    <cfRule type="containsText" dxfId="5985" priority="12162" operator="containsText" text="GP1">
      <formula>NOT(ISERROR(SEARCH("GP1",AD11)))</formula>
    </cfRule>
  </conditionalFormatting>
  <conditionalFormatting sqref="AD11">
    <cfRule type="containsText" dxfId="5984" priority="12159" operator="containsText" text="GP2">
      <formula>NOT(ISERROR(SEARCH("GP2",AD11)))</formula>
    </cfRule>
    <cfRule type="containsText" dxfId="5983" priority="12160" operator="containsText" text="GP1">
      <formula>NOT(ISERROR(SEARCH("GP1",AD11)))</formula>
    </cfRule>
  </conditionalFormatting>
  <conditionalFormatting sqref="AD11">
    <cfRule type="containsText" dxfId="5982" priority="12157" operator="containsText" text="GP2">
      <formula>NOT(ISERROR(SEARCH("GP2",AD11)))</formula>
    </cfRule>
    <cfRule type="containsText" dxfId="5981" priority="12158" operator="containsText" text="GP1">
      <formula>NOT(ISERROR(SEARCH("GP1",AD11)))</formula>
    </cfRule>
  </conditionalFormatting>
  <conditionalFormatting sqref="AD11">
    <cfRule type="containsText" dxfId="5980" priority="12155" operator="containsText" text="GP2">
      <formula>NOT(ISERROR(SEARCH("GP2",AD11)))</formula>
    </cfRule>
    <cfRule type="containsText" dxfId="5979" priority="12156" operator="containsText" text="GP1">
      <formula>NOT(ISERROR(SEARCH("GP1",AD11)))</formula>
    </cfRule>
  </conditionalFormatting>
  <conditionalFormatting sqref="AD11">
    <cfRule type="containsText" dxfId="5978" priority="12153" operator="containsText" text="GP2">
      <formula>NOT(ISERROR(SEARCH("GP2",AD11)))</formula>
    </cfRule>
    <cfRule type="containsText" dxfId="5977" priority="12154" operator="containsText" text="GP1">
      <formula>NOT(ISERROR(SEARCH("GP1",AD11)))</formula>
    </cfRule>
  </conditionalFormatting>
  <conditionalFormatting sqref="AD11">
    <cfRule type="containsText" dxfId="5976" priority="12151" operator="containsText" text="GP2">
      <formula>NOT(ISERROR(SEARCH("GP2",AD11)))</formula>
    </cfRule>
    <cfRule type="containsText" dxfId="5975" priority="12152" operator="containsText" text="GP1">
      <formula>NOT(ISERROR(SEARCH("GP1",AD11)))</formula>
    </cfRule>
  </conditionalFormatting>
  <conditionalFormatting sqref="AD11">
    <cfRule type="containsText" dxfId="5974" priority="12149" operator="containsText" text="GP2">
      <formula>NOT(ISERROR(SEARCH("GP2",AD11)))</formula>
    </cfRule>
    <cfRule type="containsText" dxfId="5973" priority="12150" operator="containsText" text="GP1">
      <formula>NOT(ISERROR(SEARCH("GP1",AD11)))</formula>
    </cfRule>
  </conditionalFormatting>
  <conditionalFormatting sqref="AD11">
    <cfRule type="containsText" dxfId="5972" priority="12147" operator="containsText" text="GP2">
      <formula>NOT(ISERROR(SEARCH("GP2",AD11)))</formula>
    </cfRule>
    <cfRule type="containsText" dxfId="5971" priority="12148" operator="containsText" text="GP1">
      <formula>NOT(ISERROR(SEARCH("GP1",AD11)))</formula>
    </cfRule>
  </conditionalFormatting>
  <conditionalFormatting sqref="AD11">
    <cfRule type="containsText" dxfId="5970" priority="12145" operator="containsText" text="GP2">
      <formula>NOT(ISERROR(SEARCH("GP2",AD11)))</formula>
    </cfRule>
    <cfRule type="containsText" dxfId="5969" priority="12146" operator="containsText" text="GP1">
      <formula>NOT(ISERROR(SEARCH("GP1",AD11)))</formula>
    </cfRule>
  </conditionalFormatting>
  <conditionalFormatting sqref="AD11">
    <cfRule type="containsText" dxfId="5968" priority="12143" operator="containsText" text="GP2">
      <formula>NOT(ISERROR(SEARCH("GP2",AD11)))</formula>
    </cfRule>
    <cfRule type="containsText" dxfId="5967" priority="12144" operator="containsText" text="GP1">
      <formula>NOT(ISERROR(SEARCH("GP1",AD11)))</formula>
    </cfRule>
  </conditionalFormatting>
  <conditionalFormatting sqref="AD11">
    <cfRule type="containsText" dxfId="5966" priority="12141" operator="containsText" text="GP2">
      <formula>NOT(ISERROR(SEARCH("GP2",AD11)))</formula>
    </cfRule>
    <cfRule type="containsText" dxfId="5965" priority="12142" operator="containsText" text="GP1">
      <formula>NOT(ISERROR(SEARCH("GP1",AD11)))</formula>
    </cfRule>
  </conditionalFormatting>
  <conditionalFormatting sqref="AD11">
    <cfRule type="containsText" dxfId="5964" priority="12139" operator="containsText" text="GP2">
      <formula>NOT(ISERROR(SEARCH("GP2",AD11)))</formula>
    </cfRule>
    <cfRule type="containsText" dxfId="5963" priority="12140" operator="containsText" text="GP1">
      <formula>NOT(ISERROR(SEARCH("GP1",AD11)))</formula>
    </cfRule>
  </conditionalFormatting>
  <conditionalFormatting sqref="AD11">
    <cfRule type="containsText" dxfId="5962" priority="12137" operator="containsText" text="GP2">
      <formula>NOT(ISERROR(SEARCH("GP2",AD11)))</formula>
    </cfRule>
    <cfRule type="containsText" dxfId="5961" priority="12138" operator="containsText" text="GP1">
      <formula>NOT(ISERROR(SEARCH("GP1",AD11)))</formula>
    </cfRule>
  </conditionalFormatting>
  <conditionalFormatting sqref="AD11">
    <cfRule type="containsText" dxfId="5960" priority="12135" operator="containsText" text="GP2">
      <formula>NOT(ISERROR(SEARCH("GP2",AD11)))</formula>
    </cfRule>
    <cfRule type="containsText" dxfId="5959" priority="12136" operator="containsText" text="GP1">
      <formula>NOT(ISERROR(SEARCH("GP1",AD11)))</formula>
    </cfRule>
  </conditionalFormatting>
  <conditionalFormatting sqref="AD11">
    <cfRule type="containsText" dxfId="5958" priority="12133" operator="containsText" text="GP2">
      <formula>NOT(ISERROR(SEARCH("GP2",AD11)))</formula>
    </cfRule>
    <cfRule type="containsText" dxfId="5957" priority="12134" operator="containsText" text="GP1">
      <formula>NOT(ISERROR(SEARCH("GP1",AD11)))</formula>
    </cfRule>
  </conditionalFormatting>
  <conditionalFormatting sqref="AD11">
    <cfRule type="containsText" dxfId="5956" priority="12131" operator="containsText" text="GP2">
      <formula>NOT(ISERROR(SEARCH("GP2",AD11)))</formula>
    </cfRule>
    <cfRule type="containsText" dxfId="5955" priority="12132" operator="containsText" text="GP1">
      <formula>NOT(ISERROR(SEARCH("GP1",AD11)))</formula>
    </cfRule>
  </conditionalFormatting>
  <conditionalFormatting sqref="AD11">
    <cfRule type="containsText" dxfId="5954" priority="12129" operator="containsText" text="GP2">
      <formula>NOT(ISERROR(SEARCH("GP2",AD11)))</formula>
    </cfRule>
    <cfRule type="containsText" dxfId="5953" priority="12130" operator="containsText" text="GP1">
      <formula>NOT(ISERROR(SEARCH("GP1",AD11)))</formula>
    </cfRule>
  </conditionalFormatting>
  <conditionalFormatting sqref="AD11">
    <cfRule type="containsText" dxfId="5952" priority="12127" operator="containsText" text="GP2">
      <formula>NOT(ISERROR(SEARCH("GP2",AD11)))</formula>
    </cfRule>
    <cfRule type="containsText" dxfId="5951" priority="12128" operator="containsText" text="GP1">
      <formula>NOT(ISERROR(SEARCH("GP1",AD11)))</formula>
    </cfRule>
  </conditionalFormatting>
  <conditionalFormatting sqref="AD11">
    <cfRule type="containsText" dxfId="5950" priority="12125" operator="containsText" text="GP2">
      <formula>NOT(ISERROR(SEARCH("GP2",AD11)))</formula>
    </cfRule>
    <cfRule type="containsText" dxfId="5949" priority="12126" operator="containsText" text="GP1">
      <formula>NOT(ISERROR(SEARCH("GP1",AD11)))</formula>
    </cfRule>
  </conditionalFormatting>
  <conditionalFormatting sqref="AD11">
    <cfRule type="containsText" dxfId="5948" priority="12123" operator="containsText" text="GP2">
      <formula>NOT(ISERROR(SEARCH("GP2",AD11)))</formula>
    </cfRule>
    <cfRule type="containsText" dxfId="5947" priority="12124" operator="containsText" text="GP1">
      <formula>NOT(ISERROR(SEARCH("GP1",AD11)))</formula>
    </cfRule>
  </conditionalFormatting>
  <conditionalFormatting sqref="AD11">
    <cfRule type="containsText" dxfId="5946" priority="12121" operator="containsText" text="GP2">
      <formula>NOT(ISERROR(SEARCH("GP2",AD11)))</formula>
    </cfRule>
    <cfRule type="containsText" dxfId="5945" priority="12122" operator="containsText" text="GP1">
      <formula>NOT(ISERROR(SEARCH("GP1",AD11)))</formula>
    </cfRule>
  </conditionalFormatting>
  <conditionalFormatting sqref="AD11">
    <cfRule type="containsText" dxfId="5944" priority="12119" operator="containsText" text="GP2">
      <formula>NOT(ISERROR(SEARCH("GP2",AD11)))</formula>
    </cfRule>
    <cfRule type="containsText" dxfId="5943" priority="12120" operator="containsText" text="GP1">
      <formula>NOT(ISERROR(SEARCH("GP1",AD11)))</formula>
    </cfRule>
  </conditionalFormatting>
  <conditionalFormatting sqref="AD11">
    <cfRule type="containsText" dxfId="5942" priority="12117" operator="containsText" text="GP2">
      <formula>NOT(ISERROR(SEARCH("GP2",AD11)))</formula>
    </cfRule>
    <cfRule type="containsText" dxfId="5941" priority="12118" operator="containsText" text="GP1">
      <formula>NOT(ISERROR(SEARCH("GP1",AD11)))</formula>
    </cfRule>
  </conditionalFormatting>
  <conditionalFormatting sqref="AD11">
    <cfRule type="containsText" dxfId="5940" priority="12115" operator="containsText" text="GP2">
      <formula>NOT(ISERROR(SEARCH("GP2",AD11)))</formula>
    </cfRule>
    <cfRule type="containsText" dxfId="5939" priority="12116" operator="containsText" text="GP1">
      <formula>NOT(ISERROR(SEARCH("GP1",AD11)))</formula>
    </cfRule>
  </conditionalFormatting>
  <conditionalFormatting sqref="AD11">
    <cfRule type="containsText" dxfId="5938" priority="12113" operator="containsText" text="GP2">
      <formula>NOT(ISERROR(SEARCH("GP2",AD11)))</formula>
    </cfRule>
    <cfRule type="containsText" dxfId="5937" priority="12114" operator="containsText" text="GP1">
      <formula>NOT(ISERROR(SEARCH("GP1",AD11)))</formula>
    </cfRule>
  </conditionalFormatting>
  <conditionalFormatting sqref="AD11">
    <cfRule type="containsText" dxfId="5936" priority="12111" operator="containsText" text="GP2">
      <formula>NOT(ISERROR(SEARCH("GP2",AD11)))</formula>
    </cfRule>
    <cfRule type="containsText" dxfId="5935" priority="12112" operator="containsText" text="GP1">
      <formula>NOT(ISERROR(SEARCH("GP1",AD11)))</formula>
    </cfRule>
  </conditionalFormatting>
  <conditionalFormatting sqref="AD11">
    <cfRule type="containsText" dxfId="5934" priority="12109" operator="containsText" text="GP2">
      <formula>NOT(ISERROR(SEARCH("GP2",AD11)))</formula>
    </cfRule>
    <cfRule type="containsText" dxfId="5933" priority="12110" operator="containsText" text="GP1">
      <formula>NOT(ISERROR(SEARCH("GP1",AD11)))</formula>
    </cfRule>
  </conditionalFormatting>
  <conditionalFormatting sqref="AD11">
    <cfRule type="containsText" dxfId="5932" priority="12107" operator="containsText" text="GP2">
      <formula>NOT(ISERROR(SEARCH("GP2",AD11)))</formula>
    </cfRule>
    <cfRule type="containsText" dxfId="5931" priority="12108" operator="containsText" text="GP1">
      <formula>NOT(ISERROR(SEARCH("GP1",AD11)))</formula>
    </cfRule>
  </conditionalFormatting>
  <conditionalFormatting sqref="AD11">
    <cfRule type="containsText" dxfId="5930" priority="12105" operator="containsText" text="GP2">
      <formula>NOT(ISERROR(SEARCH("GP2",AD11)))</formula>
    </cfRule>
    <cfRule type="containsText" dxfId="5929" priority="12106" operator="containsText" text="GP1">
      <formula>NOT(ISERROR(SEARCH("GP1",AD11)))</formula>
    </cfRule>
  </conditionalFormatting>
  <conditionalFormatting sqref="AD11">
    <cfRule type="containsText" dxfId="5928" priority="12103" operator="containsText" text="GP2">
      <formula>NOT(ISERROR(SEARCH("GP2",AD11)))</formula>
    </cfRule>
    <cfRule type="containsText" dxfId="5927" priority="12104" operator="containsText" text="GP1">
      <formula>NOT(ISERROR(SEARCH("GP1",AD11)))</formula>
    </cfRule>
  </conditionalFormatting>
  <conditionalFormatting sqref="AD11">
    <cfRule type="containsText" dxfId="5926" priority="12101" operator="containsText" text="GP2">
      <formula>NOT(ISERROR(SEARCH("GP2",AD11)))</formula>
    </cfRule>
    <cfRule type="containsText" dxfId="5925" priority="12102" operator="containsText" text="GP1">
      <formula>NOT(ISERROR(SEARCH("GP1",AD11)))</formula>
    </cfRule>
  </conditionalFormatting>
  <conditionalFormatting sqref="AD11">
    <cfRule type="containsText" dxfId="5924" priority="12099" operator="containsText" text="GP2">
      <formula>NOT(ISERROR(SEARCH("GP2",AD11)))</formula>
    </cfRule>
    <cfRule type="containsText" dxfId="5923" priority="12100" operator="containsText" text="GP1">
      <formula>NOT(ISERROR(SEARCH("GP1",AD11)))</formula>
    </cfRule>
  </conditionalFormatting>
  <conditionalFormatting sqref="AD11">
    <cfRule type="containsText" dxfId="5922" priority="12097" operator="containsText" text="GP2">
      <formula>NOT(ISERROR(SEARCH("GP2",AD11)))</formula>
    </cfRule>
    <cfRule type="containsText" dxfId="5921" priority="12098" operator="containsText" text="GP1">
      <formula>NOT(ISERROR(SEARCH("GP1",AD11)))</formula>
    </cfRule>
  </conditionalFormatting>
  <conditionalFormatting sqref="AD11">
    <cfRule type="containsText" dxfId="5920" priority="12095" operator="containsText" text="GP2">
      <formula>NOT(ISERROR(SEARCH("GP2",AD11)))</formula>
    </cfRule>
    <cfRule type="containsText" dxfId="5919" priority="12096" operator="containsText" text="GP1">
      <formula>NOT(ISERROR(SEARCH("GP1",AD11)))</formula>
    </cfRule>
  </conditionalFormatting>
  <conditionalFormatting sqref="AD11">
    <cfRule type="containsText" dxfId="5918" priority="12093" operator="containsText" text="GP2">
      <formula>NOT(ISERROR(SEARCH("GP2",AD11)))</formula>
    </cfRule>
    <cfRule type="containsText" dxfId="5917" priority="12094" operator="containsText" text="GP1">
      <formula>NOT(ISERROR(SEARCH("GP1",AD11)))</formula>
    </cfRule>
  </conditionalFormatting>
  <conditionalFormatting sqref="AD11">
    <cfRule type="containsText" dxfId="5916" priority="12091" operator="containsText" text="GP2">
      <formula>NOT(ISERROR(SEARCH("GP2",AD11)))</formula>
    </cfRule>
    <cfRule type="containsText" dxfId="5915" priority="12092" operator="containsText" text="GP1">
      <formula>NOT(ISERROR(SEARCH("GP1",AD11)))</formula>
    </cfRule>
  </conditionalFormatting>
  <conditionalFormatting sqref="AD11">
    <cfRule type="containsText" dxfId="5914" priority="12089" operator="containsText" text="GP2">
      <formula>NOT(ISERROR(SEARCH("GP2",AD11)))</formula>
    </cfRule>
    <cfRule type="containsText" dxfId="5913" priority="12090" operator="containsText" text="GP1">
      <formula>NOT(ISERROR(SEARCH("GP1",AD11)))</formula>
    </cfRule>
  </conditionalFormatting>
  <conditionalFormatting sqref="AD11">
    <cfRule type="containsText" dxfId="5912" priority="12087" operator="containsText" text="GP2">
      <formula>NOT(ISERROR(SEARCH("GP2",AD11)))</formula>
    </cfRule>
    <cfRule type="containsText" dxfId="5911" priority="12088" operator="containsText" text="GP1">
      <formula>NOT(ISERROR(SEARCH("GP1",AD11)))</formula>
    </cfRule>
  </conditionalFormatting>
  <conditionalFormatting sqref="AD11">
    <cfRule type="containsText" dxfId="5910" priority="12085" operator="containsText" text="GP2">
      <formula>NOT(ISERROR(SEARCH("GP2",AD11)))</formula>
    </cfRule>
    <cfRule type="containsText" dxfId="5909" priority="12086" operator="containsText" text="GP1">
      <formula>NOT(ISERROR(SEARCH("GP1",AD11)))</formula>
    </cfRule>
  </conditionalFormatting>
  <conditionalFormatting sqref="AD11">
    <cfRule type="containsText" dxfId="5908" priority="12083" operator="containsText" text="GP2">
      <formula>NOT(ISERROR(SEARCH("GP2",AD11)))</formula>
    </cfRule>
    <cfRule type="containsText" dxfId="5907" priority="12084" operator="containsText" text="GP1">
      <formula>NOT(ISERROR(SEARCH("GP1",AD11)))</formula>
    </cfRule>
  </conditionalFormatting>
  <conditionalFormatting sqref="AD11">
    <cfRule type="containsText" dxfId="5906" priority="12081" operator="containsText" text="GP2">
      <formula>NOT(ISERROR(SEARCH("GP2",AD11)))</formula>
    </cfRule>
    <cfRule type="containsText" dxfId="5905" priority="12082" operator="containsText" text="GP1">
      <formula>NOT(ISERROR(SEARCH("GP1",AD11)))</formula>
    </cfRule>
  </conditionalFormatting>
  <conditionalFormatting sqref="AD11">
    <cfRule type="containsText" dxfId="5904" priority="12079" operator="containsText" text="GP2">
      <formula>NOT(ISERROR(SEARCH("GP2",AD11)))</formula>
    </cfRule>
    <cfRule type="containsText" dxfId="5903" priority="12080" operator="containsText" text="GP1">
      <formula>NOT(ISERROR(SEARCH("GP1",AD11)))</formula>
    </cfRule>
  </conditionalFormatting>
  <conditionalFormatting sqref="AD11">
    <cfRule type="containsText" dxfId="5902" priority="12077" operator="containsText" text="GP2">
      <formula>NOT(ISERROR(SEARCH("GP2",AD11)))</formula>
    </cfRule>
    <cfRule type="containsText" dxfId="5901" priority="12078" operator="containsText" text="GP1">
      <formula>NOT(ISERROR(SEARCH("GP1",AD11)))</formula>
    </cfRule>
  </conditionalFormatting>
  <conditionalFormatting sqref="AD11">
    <cfRule type="containsText" dxfId="5900" priority="12075" operator="containsText" text="GP2">
      <formula>NOT(ISERROR(SEARCH("GP2",AD11)))</formula>
    </cfRule>
    <cfRule type="containsText" dxfId="5899" priority="12076" operator="containsText" text="GP1">
      <formula>NOT(ISERROR(SEARCH("GP1",AD11)))</formula>
    </cfRule>
  </conditionalFormatting>
  <conditionalFormatting sqref="AD11">
    <cfRule type="containsText" dxfId="5898" priority="12073" operator="containsText" text="GP2">
      <formula>NOT(ISERROR(SEARCH("GP2",AD11)))</formula>
    </cfRule>
    <cfRule type="containsText" dxfId="5897" priority="12074" operator="containsText" text="GP1">
      <formula>NOT(ISERROR(SEARCH("GP1",AD11)))</formula>
    </cfRule>
  </conditionalFormatting>
  <conditionalFormatting sqref="AD11">
    <cfRule type="containsText" dxfId="5896" priority="12071" operator="containsText" text="GP2">
      <formula>NOT(ISERROR(SEARCH("GP2",AD11)))</formula>
    </cfRule>
    <cfRule type="containsText" dxfId="5895" priority="12072" operator="containsText" text="GP1">
      <formula>NOT(ISERROR(SEARCH("GP1",AD11)))</formula>
    </cfRule>
  </conditionalFormatting>
  <conditionalFormatting sqref="AD11">
    <cfRule type="containsText" dxfId="5894" priority="12069" operator="containsText" text="GP2">
      <formula>NOT(ISERROR(SEARCH("GP2",AD11)))</formula>
    </cfRule>
    <cfRule type="containsText" dxfId="5893" priority="12070" operator="containsText" text="GP1">
      <formula>NOT(ISERROR(SEARCH("GP1",AD11)))</formula>
    </cfRule>
  </conditionalFormatting>
  <conditionalFormatting sqref="AD11">
    <cfRule type="containsText" dxfId="5892" priority="12067" operator="containsText" text="GP2">
      <formula>NOT(ISERROR(SEARCH("GP2",AD11)))</formula>
    </cfRule>
    <cfRule type="containsText" dxfId="5891" priority="12068" operator="containsText" text="GP1">
      <formula>NOT(ISERROR(SEARCH("GP1",AD11)))</formula>
    </cfRule>
  </conditionalFormatting>
  <conditionalFormatting sqref="AD11">
    <cfRule type="containsText" dxfId="5890" priority="12065" operator="containsText" text="GP2">
      <formula>NOT(ISERROR(SEARCH("GP2",AD11)))</formula>
    </cfRule>
    <cfRule type="containsText" dxfId="5889" priority="12066" operator="containsText" text="GP1">
      <formula>NOT(ISERROR(SEARCH("GP1",AD11)))</formula>
    </cfRule>
  </conditionalFormatting>
  <conditionalFormatting sqref="AD11">
    <cfRule type="containsText" dxfId="5888" priority="12063" operator="containsText" text="GP2">
      <formula>NOT(ISERROR(SEARCH("GP2",AD11)))</formula>
    </cfRule>
    <cfRule type="containsText" dxfId="5887" priority="12064" operator="containsText" text="GP1">
      <formula>NOT(ISERROR(SEARCH("GP1",AD11)))</formula>
    </cfRule>
  </conditionalFormatting>
  <conditionalFormatting sqref="AD11">
    <cfRule type="containsText" dxfId="5886" priority="12061" operator="containsText" text="GP2">
      <formula>NOT(ISERROR(SEARCH("GP2",AD11)))</formula>
    </cfRule>
    <cfRule type="containsText" dxfId="5885" priority="12062" operator="containsText" text="GP1">
      <formula>NOT(ISERROR(SEARCH("GP1",AD11)))</formula>
    </cfRule>
  </conditionalFormatting>
  <conditionalFormatting sqref="AD11">
    <cfRule type="containsText" dxfId="5884" priority="12059" operator="containsText" text="GP2">
      <formula>NOT(ISERROR(SEARCH("GP2",AD11)))</formula>
    </cfRule>
    <cfRule type="containsText" dxfId="5883" priority="12060" operator="containsText" text="GP1">
      <formula>NOT(ISERROR(SEARCH("GP1",AD11)))</formula>
    </cfRule>
  </conditionalFormatting>
  <conditionalFormatting sqref="AD11">
    <cfRule type="containsText" dxfId="5882" priority="12057" operator="containsText" text="GP2">
      <formula>NOT(ISERROR(SEARCH("GP2",AD11)))</formula>
    </cfRule>
    <cfRule type="containsText" dxfId="5881" priority="12058" operator="containsText" text="GP1">
      <formula>NOT(ISERROR(SEARCH("GP1",AD11)))</formula>
    </cfRule>
  </conditionalFormatting>
  <conditionalFormatting sqref="AD11">
    <cfRule type="containsText" dxfId="5880" priority="12055" operator="containsText" text="GP2">
      <formula>NOT(ISERROR(SEARCH("GP2",AD11)))</formula>
    </cfRule>
    <cfRule type="containsText" dxfId="5879" priority="12056" operator="containsText" text="GP1">
      <formula>NOT(ISERROR(SEARCH("GP1",AD11)))</formula>
    </cfRule>
  </conditionalFormatting>
  <conditionalFormatting sqref="AD11">
    <cfRule type="containsText" dxfId="5878" priority="12053" operator="containsText" text="GP2">
      <formula>NOT(ISERROR(SEARCH("GP2",AD11)))</formula>
    </cfRule>
    <cfRule type="containsText" dxfId="5877" priority="12054" operator="containsText" text="GP1">
      <formula>NOT(ISERROR(SEARCH("GP1",AD11)))</formula>
    </cfRule>
  </conditionalFormatting>
  <conditionalFormatting sqref="AD11">
    <cfRule type="containsText" dxfId="5876" priority="12051" operator="containsText" text="GP2">
      <formula>NOT(ISERROR(SEARCH("GP2",AD11)))</formula>
    </cfRule>
    <cfRule type="containsText" dxfId="5875" priority="12052" operator="containsText" text="GP1">
      <formula>NOT(ISERROR(SEARCH("GP1",AD11)))</formula>
    </cfRule>
  </conditionalFormatting>
  <conditionalFormatting sqref="AD11">
    <cfRule type="containsText" dxfId="5874" priority="12049" operator="containsText" text="GP2">
      <formula>NOT(ISERROR(SEARCH("GP2",AD11)))</formula>
    </cfRule>
    <cfRule type="containsText" dxfId="5873" priority="12050" operator="containsText" text="GP1">
      <formula>NOT(ISERROR(SEARCH("GP1",AD11)))</formula>
    </cfRule>
  </conditionalFormatting>
  <conditionalFormatting sqref="AD11">
    <cfRule type="containsText" dxfId="5872" priority="12047" operator="containsText" text="GP2">
      <formula>NOT(ISERROR(SEARCH("GP2",AD11)))</formula>
    </cfRule>
    <cfRule type="containsText" dxfId="5871" priority="12048" operator="containsText" text="GP1">
      <formula>NOT(ISERROR(SEARCH("GP1",AD11)))</formula>
    </cfRule>
  </conditionalFormatting>
  <conditionalFormatting sqref="AD11">
    <cfRule type="containsText" dxfId="5870" priority="12045" operator="containsText" text="GP2">
      <formula>NOT(ISERROR(SEARCH("GP2",AD11)))</formula>
    </cfRule>
    <cfRule type="containsText" dxfId="5869" priority="12046" operator="containsText" text="GP1">
      <formula>NOT(ISERROR(SEARCH("GP1",AD11)))</formula>
    </cfRule>
  </conditionalFormatting>
  <conditionalFormatting sqref="AD11">
    <cfRule type="containsText" dxfId="5868" priority="12043" operator="containsText" text="GP2">
      <formula>NOT(ISERROR(SEARCH("GP2",AD11)))</formula>
    </cfRule>
    <cfRule type="containsText" dxfId="5867" priority="12044" operator="containsText" text="GP1">
      <formula>NOT(ISERROR(SEARCH("GP1",AD11)))</formula>
    </cfRule>
  </conditionalFormatting>
  <conditionalFormatting sqref="AD11">
    <cfRule type="containsText" dxfId="5866" priority="11937" operator="containsText" text="GP2">
      <formula>NOT(ISERROR(SEARCH("GP2",AD11)))</formula>
    </cfRule>
    <cfRule type="containsText" dxfId="5865" priority="11938" operator="containsText" text="GP1">
      <formula>NOT(ISERROR(SEARCH("GP1",AD11)))</formula>
    </cfRule>
  </conditionalFormatting>
  <conditionalFormatting sqref="AD11">
    <cfRule type="containsText" dxfId="5864" priority="11935" operator="containsText" text="GP2">
      <formula>NOT(ISERROR(SEARCH("GP2",AD11)))</formula>
    </cfRule>
    <cfRule type="containsText" dxfId="5863" priority="11936" operator="containsText" text="GP1">
      <formula>NOT(ISERROR(SEARCH("GP1",AD11)))</formula>
    </cfRule>
  </conditionalFormatting>
  <conditionalFormatting sqref="AD11">
    <cfRule type="containsText" dxfId="5862" priority="11933" operator="containsText" text="GP2">
      <formula>NOT(ISERROR(SEARCH("GP2",AD11)))</formula>
    </cfRule>
    <cfRule type="containsText" dxfId="5861" priority="11934" operator="containsText" text="GP1">
      <formula>NOT(ISERROR(SEARCH("GP1",AD11)))</formula>
    </cfRule>
  </conditionalFormatting>
  <conditionalFormatting sqref="AD11">
    <cfRule type="containsText" dxfId="5860" priority="11931" operator="containsText" text="GP2">
      <formula>NOT(ISERROR(SEARCH("GP2",AD11)))</formula>
    </cfRule>
    <cfRule type="containsText" dxfId="5859" priority="11932" operator="containsText" text="GP1">
      <formula>NOT(ISERROR(SEARCH("GP1",AD11)))</formula>
    </cfRule>
  </conditionalFormatting>
  <conditionalFormatting sqref="AD11">
    <cfRule type="containsText" dxfId="5858" priority="11929" operator="containsText" text="GP2">
      <formula>NOT(ISERROR(SEARCH("GP2",AD11)))</formula>
    </cfRule>
    <cfRule type="containsText" dxfId="5857" priority="11930" operator="containsText" text="GP1">
      <formula>NOT(ISERROR(SEARCH("GP1",AD11)))</formula>
    </cfRule>
  </conditionalFormatting>
  <conditionalFormatting sqref="AD11">
    <cfRule type="containsText" dxfId="5856" priority="11927" operator="containsText" text="GP2">
      <formula>NOT(ISERROR(SEARCH("GP2",AD11)))</formula>
    </cfRule>
    <cfRule type="containsText" dxfId="5855" priority="11928" operator="containsText" text="GP1">
      <formula>NOT(ISERROR(SEARCH("GP1",AD11)))</formula>
    </cfRule>
  </conditionalFormatting>
  <conditionalFormatting sqref="AD11">
    <cfRule type="containsText" dxfId="5854" priority="11941" operator="containsText" text="GP2">
      <formula>NOT(ISERROR(SEARCH("GP2",AD11)))</formula>
    </cfRule>
    <cfRule type="containsText" dxfId="5853" priority="11942" operator="containsText" text="GP1">
      <formula>NOT(ISERROR(SEARCH("GP1",AD11)))</formula>
    </cfRule>
  </conditionalFormatting>
  <conditionalFormatting sqref="AD11">
    <cfRule type="containsText" dxfId="5852" priority="11939" operator="containsText" text="GP2">
      <formula>NOT(ISERROR(SEARCH("GP2",AD11)))</formula>
    </cfRule>
    <cfRule type="containsText" dxfId="5851" priority="11940" operator="containsText" text="GP1">
      <formula>NOT(ISERROR(SEARCH("GP1",AD11)))</formula>
    </cfRule>
  </conditionalFormatting>
  <conditionalFormatting sqref="AD11">
    <cfRule type="containsText" dxfId="5850" priority="11925" operator="containsText" text="GP2">
      <formula>NOT(ISERROR(SEARCH("GP2",AD11)))</formula>
    </cfRule>
    <cfRule type="containsText" dxfId="5849" priority="11926" operator="containsText" text="GP1">
      <formula>NOT(ISERROR(SEARCH("GP1",AD11)))</formula>
    </cfRule>
  </conditionalFormatting>
  <conditionalFormatting sqref="AD11">
    <cfRule type="containsText" dxfId="5848" priority="11923" operator="containsText" text="GP2">
      <formula>NOT(ISERROR(SEARCH("GP2",AD11)))</formula>
    </cfRule>
    <cfRule type="containsText" dxfId="5847" priority="11924" operator="containsText" text="GP1">
      <formula>NOT(ISERROR(SEARCH("GP1",AD11)))</formula>
    </cfRule>
  </conditionalFormatting>
  <conditionalFormatting sqref="AD11">
    <cfRule type="containsText" dxfId="5846" priority="11921" operator="containsText" text="GP2">
      <formula>NOT(ISERROR(SEARCH("GP2",AD11)))</formula>
    </cfRule>
    <cfRule type="containsText" dxfId="5845" priority="11922" operator="containsText" text="GP1">
      <formula>NOT(ISERROR(SEARCH("GP1",AD11)))</formula>
    </cfRule>
  </conditionalFormatting>
  <conditionalFormatting sqref="AD11">
    <cfRule type="containsText" dxfId="5844" priority="11919" operator="containsText" text="GP2">
      <formula>NOT(ISERROR(SEARCH("GP2",AD11)))</formula>
    </cfRule>
    <cfRule type="containsText" dxfId="5843" priority="11920" operator="containsText" text="GP1">
      <formula>NOT(ISERROR(SEARCH("GP1",AD11)))</formula>
    </cfRule>
  </conditionalFormatting>
  <conditionalFormatting sqref="AD11">
    <cfRule type="containsText" dxfId="5842" priority="11917" operator="containsText" text="GP2">
      <formula>NOT(ISERROR(SEARCH("GP2",AD11)))</formula>
    </cfRule>
    <cfRule type="containsText" dxfId="5841" priority="11918" operator="containsText" text="GP1">
      <formula>NOT(ISERROR(SEARCH("GP1",AD11)))</formula>
    </cfRule>
  </conditionalFormatting>
  <conditionalFormatting sqref="AD11">
    <cfRule type="containsText" dxfId="5840" priority="11915" operator="containsText" text="GP2">
      <formula>NOT(ISERROR(SEARCH("GP2",AD11)))</formula>
    </cfRule>
    <cfRule type="containsText" dxfId="5839" priority="11916" operator="containsText" text="GP1">
      <formula>NOT(ISERROR(SEARCH("GP1",AD11)))</formula>
    </cfRule>
  </conditionalFormatting>
  <conditionalFormatting sqref="AD11">
    <cfRule type="containsText" dxfId="5838" priority="11913" operator="containsText" text="GP2">
      <formula>NOT(ISERROR(SEARCH("GP2",AD11)))</formula>
    </cfRule>
    <cfRule type="containsText" dxfId="5837" priority="11914" operator="containsText" text="GP1">
      <formula>NOT(ISERROR(SEARCH("GP1",AD11)))</formula>
    </cfRule>
  </conditionalFormatting>
  <conditionalFormatting sqref="AD11">
    <cfRule type="containsText" dxfId="5836" priority="11911" operator="containsText" text="GP2">
      <formula>NOT(ISERROR(SEARCH("GP2",AD11)))</formula>
    </cfRule>
    <cfRule type="containsText" dxfId="5835" priority="11912" operator="containsText" text="GP1">
      <formula>NOT(ISERROR(SEARCH("GP1",AD11)))</formula>
    </cfRule>
  </conditionalFormatting>
  <conditionalFormatting sqref="AD11">
    <cfRule type="containsText" dxfId="5834" priority="11909" operator="containsText" text="GP2">
      <formula>NOT(ISERROR(SEARCH("GP2",AD11)))</formula>
    </cfRule>
    <cfRule type="containsText" dxfId="5833" priority="11910" operator="containsText" text="GP1">
      <formula>NOT(ISERROR(SEARCH("GP1",AD11)))</formula>
    </cfRule>
  </conditionalFormatting>
  <conditionalFormatting sqref="AD11">
    <cfRule type="containsText" dxfId="5832" priority="11907" operator="containsText" text="GP2">
      <formula>NOT(ISERROR(SEARCH("GP2",AD11)))</formula>
    </cfRule>
    <cfRule type="containsText" dxfId="5831" priority="11908" operator="containsText" text="GP1">
      <formula>NOT(ISERROR(SEARCH("GP1",AD11)))</formula>
    </cfRule>
  </conditionalFormatting>
  <conditionalFormatting sqref="AD11">
    <cfRule type="containsText" dxfId="5830" priority="11905" operator="containsText" text="GP2">
      <formula>NOT(ISERROR(SEARCH("GP2",AD11)))</formula>
    </cfRule>
    <cfRule type="containsText" dxfId="5829" priority="11906" operator="containsText" text="GP1">
      <formula>NOT(ISERROR(SEARCH("GP1",AD11)))</formula>
    </cfRule>
  </conditionalFormatting>
  <conditionalFormatting sqref="AD11">
    <cfRule type="containsText" dxfId="5828" priority="11903" operator="containsText" text="GP2">
      <formula>NOT(ISERROR(SEARCH("GP2",AD11)))</formula>
    </cfRule>
    <cfRule type="containsText" dxfId="5827" priority="11904" operator="containsText" text="GP1">
      <formula>NOT(ISERROR(SEARCH("GP1",AD11)))</formula>
    </cfRule>
  </conditionalFormatting>
  <conditionalFormatting sqref="AD11">
    <cfRule type="containsText" dxfId="5826" priority="11901" operator="containsText" text="GP2">
      <formula>NOT(ISERROR(SEARCH("GP2",AD11)))</formula>
    </cfRule>
    <cfRule type="containsText" dxfId="5825" priority="11902" operator="containsText" text="GP1">
      <formula>NOT(ISERROR(SEARCH("GP1",AD11)))</formula>
    </cfRule>
  </conditionalFormatting>
  <conditionalFormatting sqref="AD11">
    <cfRule type="containsText" dxfId="5824" priority="11899" operator="containsText" text="GP2">
      <formula>NOT(ISERROR(SEARCH("GP2",AD11)))</formula>
    </cfRule>
    <cfRule type="containsText" dxfId="5823" priority="11900" operator="containsText" text="GP1">
      <formula>NOT(ISERROR(SEARCH("GP1",AD11)))</formula>
    </cfRule>
  </conditionalFormatting>
  <conditionalFormatting sqref="AD11">
    <cfRule type="containsText" dxfId="5822" priority="11897" operator="containsText" text="GP2">
      <formula>NOT(ISERROR(SEARCH("GP2",AD11)))</formula>
    </cfRule>
    <cfRule type="containsText" dxfId="5821" priority="11898" operator="containsText" text="GP1">
      <formula>NOT(ISERROR(SEARCH("GP1",AD11)))</formula>
    </cfRule>
  </conditionalFormatting>
  <conditionalFormatting sqref="AD11">
    <cfRule type="containsText" dxfId="5820" priority="11895" operator="containsText" text="GP2">
      <formula>NOT(ISERROR(SEARCH("GP2",AD11)))</formula>
    </cfRule>
    <cfRule type="containsText" dxfId="5819" priority="11896" operator="containsText" text="GP1">
      <formula>NOT(ISERROR(SEARCH("GP1",AD11)))</formula>
    </cfRule>
  </conditionalFormatting>
  <conditionalFormatting sqref="AD11">
    <cfRule type="containsText" dxfId="5818" priority="11893" operator="containsText" text="GP2">
      <formula>NOT(ISERROR(SEARCH("GP2",AD11)))</formula>
    </cfRule>
    <cfRule type="containsText" dxfId="5817" priority="11894" operator="containsText" text="GP1">
      <formula>NOT(ISERROR(SEARCH("GP1",AD11)))</formula>
    </cfRule>
  </conditionalFormatting>
  <conditionalFormatting sqref="AD11">
    <cfRule type="containsText" dxfId="5816" priority="11891" operator="containsText" text="GP2">
      <formula>NOT(ISERROR(SEARCH("GP2",AD11)))</formula>
    </cfRule>
    <cfRule type="containsText" dxfId="5815" priority="11892" operator="containsText" text="GP1">
      <formula>NOT(ISERROR(SEARCH("GP1",AD11)))</formula>
    </cfRule>
  </conditionalFormatting>
  <conditionalFormatting sqref="AD11">
    <cfRule type="containsText" dxfId="5814" priority="11889" operator="containsText" text="GP2">
      <formula>NOT(ISERROR(SEARCH("GP2",AD11)))</formula>
    </cfRule>
    <cfRule type="containsText" dxfId="5813" priority="11890" operator="containsText" text="GP1">
      <formula>NOT(ISERROR(SEARCH("GP1",AD11)))</formula>
    </cfRule>
  </conditionalFormatting>
  <conditionalFormatting sqref="AD11">
    <cfRule type="containsText" dxfId="5812" priority="11887" operator="containsText" text="GP2">
      <formula>NOT(ISERROR(SEARCH("GP2",AD11)))</formula>
    </cfRule>
    <cfRule type="containsText" dxfId="5811" priority="11888" operator="containsText" text="GP1">
      <formula>NOT(ISERROR(SEARCH("GP1",AD11)))</formula>
    </cfRule>
  </conditionalFormatting>
  <conditionalFormatting sqref="AD11">
    <cfRule type="containsText" dxfId="5810" priority="11885" operator="containsText" text="GP2">
      <formula>NOT(ISERROR(SEARCH("GP2",AD11)))</formula>
    </cfRule>
    <cfRule type="containsText" dxfId="5809" priority="11886" operator="containsText" text="GP1">
      <formula>NOT(ISERROR(SEARCH("GP1",AD11)))</formula>
    </cfRule>
  </conditionalFormatting>
  <conditionalFormatting sqref="AD11">
    <cfRule type="containsText" dxfId="5808" priority="11883" operator="containsText" text="GP2">
      <formula>NOT(ISERROR(SEARCH("GP2",AD11)))</formula>
    </cfRule>
    <cfRule type="containsText" dxfId="5807" priority="11884" operator="containsText" text="GP1">
      <formula>NOT(ISERROR(SEARCH("GP1",AD11)))</formula>
    </cfRule>
  </conditionalFormatting>
  <conditionalFormatting sqref="AD11">
    <cfRule type="containsText" dxfId="5806" priority="11881" operator="containsText" text="GP2">
      <formula>NOT(ISERROR(SEARCH("GP2",AD11)))</formula>
    </cfRule>
    <cfRule type="containsText" dxfId="5805" priority="11882" operator="containsText" text="GP1">
      <formula>NOT(ISERROR(SEARCH("GP1",AD11)))</formula>
    </cfRule>
  </conditionalFormatting>
  <conditionalFormatting sqref="AD11">
    <cfRule type="containsText" dxfId="5804" priority="11879" operator="containsText" text="GP2">
      <formula>NOT(ISERROR(SEARCH("GP2",AD11)))</formula>
    </cfRule>
    <cfRule type="containsText" dxfId="5803" priority="11880" operator="containsText" text="GP1">
      <formula>NOT(ISERROR(SEARCH("GP1",AD11)))</formula>
    </cfRule>
  </conditionalFormatting>
  <conditionalFormatting sqref="AD11">
    <cfRule type="containsText" dxfId="5802" priority="11877" operator="containsText" text="GP2">
      <formula>NOT(ISERROR(SEARCH("GP2",AD11)))</formula>
    </cfRule>
    <cfRule type="containsText" dxfId="5801" priority="11878" operator="containsText" text="GP1">
      <formula>NOT(ISERROR(SEARCH("GP1",AD11)))</formula>
    </cfRule>
  </conditionalFormatting>
  <conditionalFormatting sqref="AD11">
    <cfRule type="containsText" dxfId="5800" priority="11875" operator="containsText" text="GP2">
      <formula>NOT(ISERROR(SEARCH("GP2",AD11)))</formula>
    </cfRule>
    <cfRule type="containsText" dxfId="5799" priority="11876" operator="containsText" text="GP1">
      <formula>NOT(ISERROR(SEARCH("GP1",AD11)))</formula>
    </cfRule>
  </conditionalFormatting>
  <conditionalFormatting sqref="AD11">
    <cfRule type="containsText" dxfId="5798" priority="11873" operator="containsText" text="GP2">
      <formula>NOT(ISERROR(SEARCH("GP2",AD11)))</formula>
    </cfRule>
    <cfRule type="containsText" dxfId="5797" priority="11874" operator="containsText" text="GP1">
      <formula>NOT(ISERROR(SEARCH("GP1",AD11)))</formula>
    </cfRule>
  </conditionalFormatting>
  <conditionalFormatting sqref="AD11">
    <cfRule type="containsText" dxfId="5796" priority="11871" operator="containsText" text="GP2">
      <formula>NOT(ISERROR(SEARCH("GP2",AD11)))</formula>
    </cfRule>
    <cfRule type="containsText" dxfId="5795" priority="11872" operator="containsText" text="GP1">
      <formula>NOT(ISERROR(SEARCH("GP1",AD11)))</formula>
    </cfRule>
  </conditionalFormatting>
  <conditionalFormatting sqref="AD11">
    <cfRule type="containsText" dxfId="5794" priority="11869" operator="containsText" text="GP2">
      <formula>NOT(ISERROR(SEARCH("GP2",AD11)))</formula>
    </cfRule>
    <cfRule type="containsText" dxfId="5793" priority="11870" operator="containsText" text="GP1">
      <formula>NOT(ISERROR(SEARCH("GP1",AD11)))</formula>
    </cfRule>
  </conditionalFormatting>
  <conditionalFormatting sqref="AD11">
    <cfRule type="containsText" dxfId="5792" priority="11867" operator="containsText" text="GP2">
      <formula>NOT(ISERROR(SEARCH("GP2",AD11)))</formula>
    </cfRule>
    <cfRule type="containsText" dxfId="5791" priority="11868" operator="containsText" text="GP1">
      <formula>NOT(ISERROR(SEARCH("GP1",AD11)))</formula>
    </cfRule>
  </conditionalFormatting>
  <conditionalFormatting sqref="AD11">
    <cfRule type="containsText" dxfId="5790" priority="11865" operator="containsText" text="GP2">
      <formula>NOT(ISERROR(SEARCH("GP2",AD11)))</formula>
    </cfRule>
    <cfRule type="containsText" dxfId="5789" priority="11866" operator="containsText" text="GP1">
      <formula>NOT(ISERROR(SEARCH("GP1",AD11)))</formula>
    </cfRule>
  </conditionalFormatting>
  <conditionalFormatting sqref="AD11">
    <cfRule type="containsText" dxfId="5788" priority="11863" operator="containsText" text="GP2">
      <formula>NOT(ISERROR(SEARCH("GP2",AD11)))</formula>
    </cfRule>
    <cfRule type="containsText" dxfId="5787" priority="11864" operator="containsText" text="GP1">
      <formula>NOT(ISERROR(SEARCH("GP1",AD11)))</formula>
    </cfRule>
  </conditionalFormatting>
  <conditionalFormatting sqref="AD11">
    <cfRule type="containsText" dxfId="5786" priority="11861" operator="containsText" text="GP2">
      <formula>NOT(ISERROR(SEARCH("GP2",AD11)))</formula>
    </cfRule>
    <cfRule type="containsText" dxfId="5785" priority="11862" operator="containsText" text="GP1">
      <formula>NOT(ISERROR(SEARCH("GP1",AD11)))</formula>
    </cfRule>
  </conditionalFormatting>
  <conditionalFormatting sqref="AD11">
    <cfRule type="containsText" dxfId="5784" priority="11859" operator="containsText" text="GP2">
      <formula>NOT(ISERROR(SEARCH("GP2",AD11)))</formula>
    </cfRule>
    <cfRule type="containsText" dxfId="5783" priority="11860" operator="containsText" text="GP1">
      <formula>NOT(ISERROR(SEARCH("GP1",AD11)))</formula>
    </cfRule>
  </conditionalFormatting>
  <conditionalFormatting sqref="AD11">
    <cfRule type="containsText" dxfId="5782" priority="11857" operator="containsText" text="GP2">
      <formula>NOT(ISERROR(SEARCH("GP2",AD11)))</formula>
    </cfRule>
    <cfRule type="containsText" dxfId="5781" priority="11858" operator="containsText" text="GP1">
      <formula>NOT(ISERROR(SEARCH("GP1",AD11)))</formula>
    </cfRule>
  </conditionalFormatting>
  <conditionalFormatting sqref="AD11">
    <cfRule type="containsText" dxfId="5780" priority="11855" operator="containsText" text="GP2">
      <formula>NOT(ISERROR(SEARCH("GP2",AD11)))</formula>
    </cfRule>
    <cfRule type="containsText" dxfId="5779" priority="11856" operator="containsText" text="GP1">
      <formula>NOT(ISERROR(SEARCH("GP1",AD11)))</formula>
    </cfRule>
  </conditionalFormatting>
  <conditionalFormatting sqref="AD11">
    <cfRule type="containsText" dxfId="5778" priority="11853" operator="containsText" text="GP2">
      <formula>NOT(ISERROR(SEARCH("GP2",AD11)))</formula>
    </cfRule>
    <cfRule type="containsText" dxfId="5777" priority="11854" operator="containsText" text="GP1">
      <formula>NOT(ISERROR(SEARCH("GP1",AD11)))</formula>
    </cfRule>
  </conditionalFormatting>
  <conditionalFormatting sqref="AD11">
    <cfRule type="containsText" dxfId="5776" priority="11851" operator="containsText" text="GP2">
      <formula>NOT(ISERROR(SEARCH("GP2",AD11)))</formula>
    </cfRule>
    <cfRule type="containsText" dxfId="5775" priority="11852" operator="containsText" text="GP1">
      <formula>NOT(ISERROR(SEARCH("GP1",AD11)))</formula>
    </cfRule>
  </conditionalFormatting>
  <conditionalFormatting sqref="AD11">
    <cfRule type="containsText" dxfId="5774" priority="11849" operator="containsText" text="GP2">
      <formula>NOT(ISERROR(SEARCH("GP2",AD11)))</formula>
    </cfRule>
    <cfRule type="containsText" dxfId="5773" priority="11850" operator="containsText" text="GP1">
      <formula>NOT(ISERROR(SEARCH("GP1",AD11)))</formula>
    </cfRule>
  </conditionalFormatting>
  <conditionalFormatting sqref="AD11">
    <cfRule type="containsText" dxfId="5772" priority="11847" operator="containsText" text="GP2">
      <formula>NOT(ISERROR(SEARCH("GP2",AD11)))</formula>
    </cfRule>
    <cfRule type="containsText" dxfId="5771" priority="11848" operator="containsText" text="GP1">
      <formula>NOT(ISERROR(SEARCH("GP1",AD11)))</formula>
    </cfRule>
  </conditionalFormatting>
  <conditionalFormatting sqref="AD11">
    <cfRule type="containsText" dxfId="5770" priority="11845" operator="containsText" text="GP2">
      <formula>NOT(ISERROR(SEARCH("GP2",AD11)))</formula>
    </cfRule>
    <cfRule type="containsText" dxfId="5769" priority="11846" operator="containsText" text="GP1">
      <formula>NOT(ISERROR(SEARCH("GP1",AD11)))</formula>
    </cfRule>
  </conditionalFormatting>
  <conditionalFormatting sqref="AD11">
    <cfRule type="containsText" dxfId="5768" priority="11843" operator="containsText" text="GP2">
      <formula>NOT(ISERROR(SEARCH("GP2",AD11)))</formula>
    </cfRule>
    <cfRule type="containsText" dxfId="5767" priority="11844" operator="containsText" text="GP1">
      <formula>NOT(ISERROR(SEARCH("GP1",AD11)))</formula>
    </cfRule>
  </conditionalFormatting>
  <conditionalFormatting sqref="AD11">
    <cfRule type="containsText" dxfId="5766" priority="11841" operator="containsText" text="GP2">
      <formula>NOT(ISERROR(SEARCH("GP2",AD11)))</formula>
    </cfRule>
    <cfRule type="containsText" dxfId="5765" priority="11842" operator="containsText" text="GP1">
      <formula>NOT(ISERROR(SEARCH("GP1",AD11)))</formula>
    </cfRule>
  </conditionalFormatting>
  <conditionalFormatting sqref="AD11">
    <cfRule type="containsText" dxfId="5764" priority="11839" operator="containsText" text="GP2">
      <formula>NOT(ISERROR(SEARCH("GP2",AD11)))</formula>
    </cfRule>
    <cfRule type="containsText" dxfId="5763" priority="11840" operator="containsText" text="GP1">
      <formula>NOT(ISERROR(SEARCH("GP1",AD11)))</formula>
    </cfRule>
  </conditionalFormatting>
  <conditionalFormatting sqref="AD11">
    <cfRule type="containsText" dxfId="5762" priority="11837" operator="containsText" text="GP2">
      <formula>NOT(ISERROR(SEARCH("GP2",AD11)))</formula>
    </cfRule>
    <cfRule type="containsText" dxfId="5761" priority="11838" operator="containsText" text="GP1">
      <formula>NOT(ISERROR(SEARCH("GP1",AD11)))</formula>
    </cfRule>
  </conditionalFormatting>
  <conditionalFormatting sqref="AD11">
    <cfRule type="containsText" dxfId="5760" priority="11835" operator="containsText" text="GP2">
      <formula>NOT(ISERROR(SEARCH("GP2",AD11)))</formula>
    </cfRule>
    <cfRule type="containsText" dxfId="5759" priority="11836" operator="containsText" text="GP1">
      <formula>NOT(ISERROR(SEARCH("GP1",AD11)))</formula>
    </cfRule>
  </conditionalFormatting>
  <conditionalFormatting sqref="AD11">
    <cfRule type="containsText" dxfId="5758" priority="11833" operator="containsText" text="GP2">
      <formula>NOT(ISERROR(SEARCH("GP2",AD11)))</formula>
    </cfRule>
    <cfRule type="containsText" dxfId="5757" priority="11834" operator="containsText" text="GP1">
      <formula>NOT(ISERROR(SEARCH("GP1",AD11)))</formula>
    </cfRule>
  </conditionalFormatting>
  <conditionalFormatting sqref="AD11">
    <cfRule type="containsText" dxfId="5756" priority="11831" operator="containsText" text="GP2">
      <formula>NOT(ISERROR(SEARCH("GP2",AD11)))</formula>
    </cfRule>
    <cfRule type="containsText" dxfId="5755" priority="11832" operator="containsText" text="GP1">
      <formula>NOT(ISERROR(SEARCH("GP1",AD11)))</formula>
    </cfRule>
  </conditionalFormatting>
  <conditionalFormatting sqref="AD11">
    <cfRule type="containsText" dxfId="5754" priority="11829" operator="containsText" text="GP2">
      <formula>NOT(ISERROR(SEARCH("GP2",AD11)))</formula>
    </cfRule>
    <cfRule type="containsText" dxfId="5753" priority="11830" operator="containsText" text="GP1">
      <formula>NOT(ISERROR(SEARCH("GP1",AD11)))</formula>
    </cfRule>
  </conditionalFormatting>
  <conditionalFormatting sqref="AD11">
    <cfRule type="containsText" dxfId="5752" priority="11827" operator="containsText" text="GP2">
      <formula>NOT(ISERROR(SEARCH("GP2",AD11)))</formula>
    </cfRule>
    <cfRule type="containsText" dxfId="5751" priority="11828" operator="containsText" text="GP1">
      <formula>NOT(ISERROR(SEARCH("GP1",AD11)))</formula>
    </cfRule>
  </conditionalFormatting>
  <conditionalFormatting sqref="AD11">
    <cfRule type="containsText" dxfId="5750" priority="11825" operator="containsText" text="GP2">
      <formula>NOT(ISERROR(SEARCH("GP2",AD11)))</formula>
    </cfRule>
    <cfRule type="containsText" dxfId="5749" priority="11826" operator="containsText" text="GP1">
      <formula>NOT(ISERROR(SEARCH("GP1",AD11)))</formula>
    </cfRule>
  </conditionalFormatting>
  <conditionalFormatting sqref="AD11">
    <cfRule type="containsText" dxfId="5748" priority="11823" operator="containsText" text="GP2">
      <formula>NOT(ISERROR(SEARCH("GP2",AD11)))</formula>
    </cfRule>
    <cfRule type="containsText" dxfId="5747" priority="11824" operator="containsText" text="GP1">
      <formula>NOT(ISERROR(SEARCH("GP1",AD11)))</formula>
    </cfRule>
  </conditionalFormatting>
  <conditionalFormatting sqref="AD11">
    <cfRule type="containsText" dxfId="5746" priority="11821" operator="containsText" text="GP2">
      <formula>NOT(ISERROR(SEARCH("GP2",AD11)))</formula>
    </cfRule>
    <cfRule type="containsText" dxfId="5745" priority="11822" operator="containsText" text="GP1">
      <formula>NOT(ISERROR(SEARCH("GP1",AD11)))</formula>
    </cfRule>
  </conditionalFormatting>
  <conditionalFormatting sqref="AD11">
    <cfRule type="containsText" dxfId="5744" priority="11819" operator="containsText" text="GP2">
      <formula>NOT(ISERROR(SEARCH("GP2",AD11)))</formula>
    </cfRule>
    <cfRule type="containsText" dxfId="5743" priority="11820" operator="containsText" text="GP1">
      <formula>NOT(ISERROR(SEARCH("GP1",AD11)))</formula>
    </cfRule>
  </conditionalFormatting>
  <conditionalFormatting sqref="AD11">
    <cfRule type="containsText" dxfId="5742" priority="11817" operator="containsText" text="GP2">
      <formula>NOT(ISERROR(SEARCH("GP2",AD11)))</formula>
    </cfRule>
    <cfRule type="containsText" dxfId="5741" priority="11818" operator="containsText" text="GP1">
      <formula>NOT(ISERROR(SEARCH("GP1",AD11)))</formula>
    </cfRule>
  </conditionalFormatting>
  <conditionalFormatting sqref="AD11">
    <cfRule type="containsText" dxfId="5740" priority="11815" operator="containsText" text="GP2">
      <formula>NOT(ISERROR(SEARCH("GP2",AD11)))</formula>
    </cfRule>
    <cfRule type="containsText" dxfId="5739" priority="11816" operator="containsText" text="GP1">
      <formula>NOT(ISERROR(SEARCH("GP1",AD11)))</formula>
    </cfRule>
  </conditionalFormatting>
  <conditionalFormatting sqref="AD11">
    <cfRule type="containsText" dxfId="5738" priority="11813" operator="containsText" text="GP2">
      <formula>NOT(ISERROR(SEARCH("GP2",AD11)))</formula>
    </cfRule>
    <cfRule type="containsText" dxfId="5737" priority="11814" operator="containsText" text="GP1">
      <formula>NOT(ISERROR(SEARCH("GP1",AD11)))</formula>
    </cfRule>
  </conditionalFormatting>
  <conditionalFormatting sqref="AD11">
    <cfRule type="containsText" dxfId="5736" priority="11811" operator="containsText" text="GP2">
      <formula>NOT(ISERROR(SEARCH("GP2",AD11)))</formula>
    </cfRule>
    <cfRule type="containsText" dxfId="5735" priority="11812" operator="containsText" text="GP1">
      <formula>NOT(ISERROR(SEARCH("GP1",AD11)))</formula>
    </cfRule>
  </conditionalFormatting>
  <conditionalFormatting sqref="AD11">
    <cfRule type="containsText" dxfId="5734" priority="11809" operator="containsText" text="GP2">
      <formula>NOT(ISERROR(SEARCH("GP2",AD11)))</formula>
    </cfRule>
    <cfRule type="containsText" dxfId="5733" priority="11810" operator="containsText" text="GP1">
      <formula>NOT(ISERROR(SEARCH("GP1",AD11)))</formula>
    </cfRule>
  </conditionalFormatting>
  <conditionalFormatting sqref="AD11">
    <cfRule type="containsText" dxfId="5732" priority="11807" operator="containsText" text="GP2">
      <formula>NOT(ISERROR(SEARCH("GP2",AD11)))</formula>
    </cfRule>
    <cfRule type="containsText" dxfId="5731" priority="11808" operator="containsText" text="GP1">
      <formula>NOT(ISERROR(SEARCH("GP1",AD11)))</formula>
    </cfRule>
  </conditionalFormatting>
  <conditionalFormatting sqref="AD11">
    <cfRule type="containsText" dxfId="5730" priority="11805" operator="containsText" text="GP2">
      <formula>NOT(ISERROR(SEARCH("GP2",AD11)))</formula>
    </cfRule>
    <cfRule type="containsText" dxfId="5729" priority="11806" operator="containsText" text="GP1">
      <formula>NOT(ISERROR(SEARCH("GP1",AD11)))</formula>
    </cfRule>
  </conditionalFormatting>
  <conditionalFormatting sqref="AD11">
    <cfRule type="containsText" dxfId="5728" priority="11803" operator="containsText" text="GP2">
      <formula>NOT(ISERROR(SEARCH("GP2",AD11)))</formula>
    </cfRule>
    <cfRule type="containsText" dxfId="5727" priority="11804" operator="containsText" text="GP1">
      <formula>NOT(ISERROR(SEARCH("GP1",AD11)))</formula>
    </cfRule>
  </conditionalFormatting>
  <conditionalFormatting sqref="AD11">
    <cfRule type="containsText" dxfId="5726" priority="11801" operator="containsText" text="GP2">
      <formula>NOT(ISERROR(SEARCH("GP2",AD11)))</formula>
    </cfRule>
    <cfRule type="containsText" dxfId="5725" priority="11802" operator="containsText" text="GP1">
      <formula>NOT(ISERROR(SEARCH("GP1",AD11)))</formula>
    </cfRule>
  </conditionalFormatting>
  <conditionalFormatting sqref="AD11">
    <cfRule type="containsText" dxfId="5724" priority="11799" operator="containsText" text="GP2">
      <formula>NOT(ISERROR(SEARCH("GP2",AD11)))</formula>
    </cfRule>
    <cfRule type="containsText" dxfId="5723" priority="11800" operator="containsText" text="GP1">
      <formula>NOT(ISERROR(SEARCH("GP1",AD11)))</formula>
    </cfRule>
  </conditionalFormatting>
  <conditionalFormatting sqref="AD11">
    <cfRule type="containsText" dxfId="5722" priority="11797" operator="containsText" text="GP2">
      <formula>NOT(ISERROR(SEARCH("GP2",AD11)))</formula>
    </cfRule>
    <cfRule type="containsText" dxfId="5721" priority="11798" operator="containsText" text="GP1">
      <formula>NOT(ISERROR(SEARCH("GP1",AD11)))</formula>
    </cfRule>
  </conditionalFormatting>
  <conditionalFormatting sqref="AD11">
    <cfRule type="containsText" dxfId="5720" priority="11795" operator="containsText" text="GP2">
      <formula>NOT(ISERROR(SEARCH("GP2",AD11)))</formula>
    </cfRule>
    <cfRule type="containsText" dxfId="5719" priority="11796" operator="containsText" text="GP1">
      <formula>NOT(ISERROR(SEARCH("GP1",AD11)))</formula>
    </cfRule>
  </conditionalFormatting>
  <conditionalFormatting sqref="AD11">
    <cfRule type="containsText" dxfId="5718" priority="11793" operator="containsText" text="GP2">
      <formula>NOT(ISERROR(SEARCH("GP2",AD11)))</formula>
    </cfRule>
    <cfRule type="containsText" dxfId="5717" priority="11794" operator="containsText" text="GP1">
      <formula>NOT(ISERROR(SEARCH("GP1",AD11)))</formula>
    </cfRule>
  </conditionalFormatting>
  <conditionalFormatting sqref="AD11">
    <cfRule type="containsText" dxfId="5716" priority="11791" operator="containsText" text="GP2">
      <formula>NOT(ISERROR(SEARCH("GP2",AD11)))</formula>
    </cfRule>
    <cfRule type="containsText" dxfId="5715" priority="11792" operator="containsText" text="GP1">
      <formula>NOT(ISERROR(SEARCH("GP1",AD11)))</formula>
    </cfRule>
  </conditionalFormatting>
  <conditionalFormatting sqref="AD11">
    <cfRule type="containsText" dxfId="5714" priority="11789" operator="containsText" text="GP2">
      <formula>NOT(ISERROR(SEARCH("GP2",AD11)))</formula>
    </cfRule>
    <cfRule type="containsText" dxfId="5713" priority="11790" operator="containsText" text="GP1">
      <formula>NOT(ISERROR(SEARCH("GP1",AD11)))</formula>
    </cfRule>
  </conditionalFormatting>
  <conditionalFormatting sqref="AD11">
    <cfRule type="containsText" dxfId="5712" priority="11787" operator="containsText" text="GP2">
      <formula>NOT(ISERROR(SEARCH("GP2",AD11)))</formula>
    </cfRule>
    <cfRule type="containsText" dxfId="5711" priority="11788" operator="containsText" text="GP1">
      <formula>NOT(ISERROR(SEARCH("GP1",AD11)))</formula>
    </cfRule>
  </conditionalFormatting>
  <conditionalFormatting sqref="AD11">
    <cfRule type="containsText" dxfId="5710" priority="11785" operator="containsText" text="GP2">
      <formula>NOT(ISERROR(SEARCH("GP2",AD11)))</formula>
    </cfRule>
    <cfRule type="containsText" dxfId="5709" priority="11786" operator="containsText" text="GP1">
      <formula>NOT(ISERROR(SEARCH("GP1",AD11)))</formula>
    </cfRule>
  </conditionalFormatting>
  <conditionalFormatting sqref="AD11">
    <cfRule type="containsText" dxfId="5708" priority="11783" operator="containsText" text="GP2">
      <formula>NOT(ISERROR(SEARCH("GP2",AD11)))</formula>
    </cfRule>
    <cfRule type="containsText" dxfId="5707" priority="11784" operator="containsText" text="GP1">
      <formula>NOT(ISERROR(SEARCH("GP1",AD11)))</formula>
    </cfRule>
  </conditionalFormatting>
  <conditionalFormatting sqref="AD11">
    <cfRule type="containsText" dxfId="5706" priority="11781" operator="containsText" text="GP2">
      <formula>NOT(ISERROR(SEARCH("GP2",AD11)))</formula>
    </cfRule>
    <cfRule type="containsText" dxfId="5705" priority="11782" operator="containsText" text="GP1">
      <formula>NOT(ISERROR(SEARCH("GP1",AD11)))</formula>
    </cfRule>
  </conditionalFormatting>
  <conditionalFormatting sqref="AD11">
    <cfRule type="containsText" dxfId="5704" priority="11779" operator="containsText" text="GP2">
      <formula>NOT(ISERROR(SEARCH("GP2",AD11)))</formula>
    </cfRule>
    <cfRule type="containsText" dxfId="5703" priority="11780" operator="containsText" text="GP1">
      <formula>NOT(ISERROR(SEARCH("GP1",AD11)))</formula>
    </cfRule>
  </conditionalFormatting>
  <conditionalFormatting sqref="AD11">
    <cfRule type="containsText" dxfId="5702" priority="11777" operator="containsText" text="GP2">
      <formula>NOT(ISERROR(SEARCH("GP2",AD11)))</formula>
    </cfRule>
    <cfRule type="containsText" dxfId="5701" priority="11778" operator="containsText" text="GP1">
      <formula>NOT(ISERROR(SEARCH("GP1",AD11)))</formula>
    </cfRule>
  </conditionalFormatting>
  <conditionalFormatting sqref="AD11">
    <cfRule type="containsText" dxfId="5700" priority="11775" operator="containsText" text="GP2">
      <formula>NOT(ISERROR(SEARCH("GP2",AD11)))</formula>
    </cfRule>
    <cfRule type="containsText" dxfId="5699" priority="11776" operator="containsText" text="GP1">
      <formula>NOT(ISERROR(SEARCH("GP1",AD11)))</formula>
    </cfRule>
  </conditionalFormatting>
  <conditionalFormatting sqref="AD11">
    <cfRule type="containsText" dxfId="5698" priority="11773" operator="containsText" text="GP2">
      <formula>NOT(ISERROR(SEARCH("GP2",AD11)))</formula>
    </cfRule>
    <cfRule type="containsText" dxfId="5697" priority="11774" operator="containsText" text="GP1">
      <formula>NOT(ISERROR(SEARCH("GP1",AD11)))</formula>
    </cfRule>
  </conditionalFormatting>
  <conditionalFormatting sqref="AD11">
    <cfRule type="containsText" dxfId="5696" priority="11771" operator="containsText" text="GP2">
      <formula>NOT(ISERROR(SEARCH("GP2",AD11)))</formula>
    </cfRule>
    <cfRule type="containsText" dxfId="5695" priority="11772" operator="containsText" text="GP1">
      <formula>NOT(ISERROR(SEARCH("GP1",AD11)))</formula>
    </cfRule>
  </conditionalFormatting>
  <conditionalFormatting sqref="AD11">
    <cfRule type="containsText" dxfId="5694" priority="11769" operator="containsText" text="GP2">
      <formula>NOT(ISERROR(SEARCH("GP2",AD11)))</formula>
    </cfRule>
    <cfRule type="containsText" dxfId="5693" priority="11770" operator="containsText" text="GP1">
      <formula>NOT(ISERROR(SEARCH("GP1",AD11)))</formula>
    </cfRule>
  </conditionalFormatting>
  <conditionalFormatting sqref="AD11">
    <cfRule type="containsText" dxfId="5692" priority="11767" operator="containsText" text="GP2">
      <formula>NOT(ISERROR(SEARCH("GP2",AD11)))</formula>
    </cfRule>
    <cfRule type="containsText" dxfId="5691" priority="11768" operator="containsText" text="GP1">
      <formula>NOT(ISERROR(SEARCH("GP1",AD11)))</formula>
    </cfRule>
  </conditionalFormatting>
  <conditionalFormatting sqref="AD11">
    <cfRule type="containsText" dxfId="5690" priority="11765" operator="containsText" text="GP2">
      <formula>NOT(ISERROR(SEARCH("GP2",AD11)))</formula>
    </cfRule>
    <cfRule type="containsText" dxfId="5689" priority="11766" operator="containsText" text="GP1">
      <formula>NOT(ISERROR(SEARCH("GP1",AD11)))</formula>
    </cfRule>
  </conditionalFormatting>
  <conditionalFormatting sqref="AD11">
    <cfRule type="containsText" dxfId="5688" priority="11763" operator="containsText" text="GP2">
      <formula>NOT(ISERROR(SEARCH("GP2",AD11)))</formula>
    </cfRule>
    <cfRule type="containsText" dxfId="5687" priority="11764" operator="containsText" text="GP1">
      <formula>NOT(ISERROR(SEARCH("GP1",AD11)))</formula>
    </cfRule>
  </conditionalFormatting>
  <conditionalFormatting sqref="AD11">
    <cfRule type="containsText" dxfId="5686" priority="11761" operator="containsText" text="GP2">
      <formula>NOT(ISERROR(SEARCH("GP2",AD11)))</formula>
    </cfRule>
    <cfRule type="containsText" dxfId="5685" priority="11762" operator="containsText" text="GP1">
      <formula>NOT(ISERROR(SEARCH("GP1",AD11)))</formula>
    </cfRule>
  </conditionalFormatting>
  <conditionalFormatting sqref="AD11">
    <cfRule type="containsText" dxfId="5684" priority="11759" operator="containsText" text="GP2">
      <formula>NOT(ISERROR(SEARCH("GP2",AD11)))</formula>
    </cfRule>
    <cfRule type="containsText" dxfId="5683" priority="11760" operator="containsText" text="GP1">
      <formula>NOT(ISERROR(SEARCH("GP1",AD11)))</formula>
    </cfRule>
  </conditionalFormatting>
  <conditionalFormatting sqref="AD11">
    <cfRule type="containsText" dxfId="5682" priority="11757" operator="containsText" text="GP2">
      <formula>NOT(ISERROR(SEARCH("GP2",AD11)))</formula>
    </cfRule>
    <cfRule type="containsText" dxfId="5681" priority="11758" operator="containsText" text="GP1">
      <formula>NOT(ISERROR(SEARCH("GP1",AD11)))</formula>
    </cfRule>
  </conditionalFormatting>
  <conditionalFormatting sqref="AD11">
    <cfRule type="containsText" dxfId="5680" priority="11755" operator="containsText" text="GP2">
      <formula>NOT(ISERROR(SEARCH("GP2",AD11)))</formula>
    </cfRule>
    <cfRule type="containsText" dxfId="5679" priority="11756" operator="containsText" text="GP1">
      <formula>NOT(ISERROR(SEARCH("GP1",AD11)))</formula>
    </cfRule>
  </conditionalFormatting>
  <conditionalFormatting sqref="AD11">
    <cfRule type="containsText" dxfId="5678" priority="11753" operator="containsText" text="GP2">
      <formula>NOT(ISERROR(SEARCH("GP2",AD11)))</formula>
    </cfRule>
    <cfRule type="containsText" dxfId="5677" priority="11754" operator="containsText" text="GP1">
      <formula>NOT(ISERROR(SEARCH("GP1",AD11)))</formula>
    </cfRule>
  </conditionalFormatting>
  <conditionalFormatting sqref="AD11">
    <cfRule type="containsText" dxfId="5676" priority="11751" operator="containsText" text="GP2">
      <formula>NOT(ISERROR(SEARCH("GP2",AD11)))</formula>
    </cfRule>
    <cfRule type="containsText" dxfId="5675" priority="11752" operator="containsText" text="GP1">
      <formula>NOT(ISERROR(SEARCH("GP1",AD11)))</formula>
    </cfRule>
  </conditionalFormatting>
  <conditionalFormatting sqref="AD11">
    <cfRule type="containsText" dxfId="5674" priority="11749" operator="containsText" text="GP2">
      <formula>NOT(ISERROR(SEARCH("GP2",AD11)))</formula>
    </cfRule>
    <cfRule type="containsText" dxfId="5673" priority="11750" operator="containsText" text="GP1">
      <formula>NOT(ISERROR(SEARCH("GP1",AD11)))</formula>
    </cfRule>
  </conditionalFormatting>
  <conditionalFormatting sqref="AD11">
    <cfRule type="containsText" dxfId="5672" priority="11747" operator="containsText" text="GP2">
      <formula>NOT(ISERROR(SEARCH("GP2",AD11)))</formula>
    </cfRule>
    <cfRule type="containsText" dxfId="5671" priority="11748" operator="containsText" text="GP1">
      <formula>NOT(ISERROR(SEARCH("GP1",AD11)))</formula>
    </cfRule>
  </conditionalFormatting>
  <conditionalFormatting sqref="AD11">
    <cfRule type="containsText" dxfId="5670" priority="11745" operator="containsText" text="GP2">
      <formula>NOT(ISERROR(SEARCH("GP2",AD11)))</formula>
    </cfRule>
    <cfRule type="containsText" dxfId="5669" priority="11746" operator="containsText" text="GP1">
      <formula>NOT(ISERROR(SEARCH("GP1",AD11)))</formula>
    </cfRule>
  </conditionalFormatting>
  <conditionalFormatting sqref="AD11">
    <cfRule type="containsText" dxfId="5668" priority="11743" operator="containsText" text="GP2">
      <formula>NOT(ISERROR(SEARCH("GP2",AD11)))</formula>
    </cfRule>
    <cfRule type="containsText" dxfId="5667" priority="11744" operator="containsText" text="GP1">
      <formula>NOT(ISERROR(SEARCH("GP1",AD11)))</formula>
    </cfRule>
  </conditionalFormatting>
  <conditionalFormatting sqref="AD11">
    <cfRule type="containsText" dxfId="5666" priority="11741" operator="containsText" text="GP2">
      <formula>NOT(ISERROR(SEARCH("GP2",AD11)))</formula>
    </cfRule>
    <cfRule type="containsText" dxfId="5665" priority="11742" operator="containsText" text="GP1">
      <formula>NOT(ISERROR(SEARCH("GP1",AD11)))</formula>
    </cfRule>
  </conditionalFormatting>
  <conditionalFormatting sqref="AD11">
    <cfRule type="containsText" dxfId="5664" priority="11739" operator="containsText" text="GP2">
      <formula>NOT(ISERROR(SEARCH("GP2",AD11)))</formula>
    </cfRule>
    <cfRule type="containsText" dxfId="5663" priority="11740" operator="containsText" text="GP1">
      <formula>NOT(ISERROR(SEARCH("GP1",AD11)))</formula>
    </cfRule>
  </conditionalFormatting>
  <conditionalFormatting sqref="AD11">
    <cfRule type="containsText" dxfId="5662" priority="11737" operator="containsText" text="GP2">
      <formula>NOT(ISERROR(SEARCH("GP2",AD11)))</formula>
    </cfRule>
    <cfRule type="containsText" dxfId="5661" priority="11738" operator="containsText" text="GP1">
      <formula>NOT(ISERROR(SEARCH("GP1",AD11)))</formula>
    </cfRule>
  </conditionalFormatting>
  <conditionalFormatting sqref="AD11">
    <cfRule type="containsText" dxfId="5660" priority="11735" operator="containsText" text="GP2">
      <formula>NOT(ISERROR(SEARCH("GP2",AD11)))</formula>
    </cfRule>
    <cfRule type="containsText" dxfId="5659" priority="11736" operator="containsText" text="GP1">
      <formula>NOT(ISERROR(SEARCH("GP1",AD11)))</formula>
    </cfRule>
  </conditionalFormatting>
  <conditionalFormatting sqref="AD11">
    <cfRule type="containsText" dxfId="5658" priority="11733" operator="containsText" text="GP2">
      <formula>NOT(ISERROR(SEARCH("GP2",AD11)))</formula>
    </cfRule>
    <cfRule type="containsText" dxfId="5657" priority="11734" operator="containsText" text="GP1">
      <formula>NOT(ISERROR(SEARCH("GP1",AD11)))</formula>
    </cfRule>
  </conditionalFormatting>
  <conditionalFormatting sqref="AD11">
    <cfRule type="containsText" dxfId="5656" priority="11731" operator="containsText" text="GP2">
      <formula>NOT(ISERROR(SEARCH("GP2",AD11)))</formula>
    </cfRule>
    <cfRule type="containsText" dxfId="5655" priority="11732" operator="containsText" text="GP1">
      <formula>NOT(ISERROR(SEARCH("GP1",AD11)))</formula>
    </cfRule>
  </conditionalFormatting>
  <conditionalFormatting sqref="AD11">
    <cfRule type="containsText" dxfId="5654" priority="11729" operator="containsText" text="GP2">
      <formula>NOT(ISERROR(SEARCH("GP2",AD11)))</formula>
    </cfRule>
    <cfRule type="containsText" dxfId="5653" priority="11730" operator="containsText" text="GP1">
      <formula>NOT(ISERROR(SEARCH("GP1",AD11)))</formula>
    </cfRule>
  </conditionalFormatting>
  <conditionalFormatting sqref="AD11">
    <cfRule type="containsText" dxfId="5652" priority="11727" operator="containsText" text="GP2">
      <formula>NOT(ISERROR(SEARCH("GP2",AD11)))</formula>
    </cfRule>
    <cfRule type="containsText" dxfId="5651" priority="11728" operator="containsText" text="GP1">
      <formula>NOT(ISERROR(SEARCH("GP1",AD11)))</formula>
    </cfRule>
  </conditionalFormatting>
  <conditionalFormatting sqref="AD11">
    <cfRule type="containsText" dxfId="5650" priority="11725" operator="containsText" text="GP2">
      <formula>NOT(ISERROR(SEARCH("GP2",AD11)))</formula>
    </cfRule>
    <cfRule type="containsText" dxfId="5649" priority="11726" operator="containsText" text="GP1">
      <formula>NOT(ISERROR(SEARCH("GP1",AD11)))</formula>
    </cfRule>
  </conditionalFormatting>
  <conditionalFormatting sqref="AD11">
    <cfRule type="containsText" dxfId="5648" priority="11723" operator="containsText" text="GP2">
      <formula>NOT(ISERROR(SEARCH("GP2",AD11)))</formula>
    </cfRule>
    <cfRule type="containsText" dxfId="5647" priority="11724" operator="containsText" text="GP1">
      <formula>NOT(ISERROR(SEARCH("GP1",AD11)))</formula>
    </cfRule>
  </conditionalFormatting>
  <conditionalFormatting sqref="AD11">
    <cfRule type="containsText" dxfId="5646" priority="11721" operator="containsText" text="GP2">
      <formula>NOT(ISERROR(SEARCH("GP2",AD11)))</formula>
    </cfRule>
    <cfRule type="containsText" dxfId="5645" priority="11722" operator="containsText" text="GP1">
      <formula>NOT(ISERROR(SEARCH("GP1",AD11)))</formula>
    </cfRule>
  </conditionalFormatting>
  <conditionalFormatting sqref="AD11">
    <cfRule type="containsText" dxfId="5644" priority="11719" operator="containsText" text="GP2">
      <formula>NOT(ISERROR(SEARCH("GP2",AD11)))</formula>
    </cfRule>
    <cfRule type="containsText" dxfId="5643" priority="11720" operator="containsText" text="GP1">
      <formula>NOT(ISERROR(SEARCH("GP1",AD11)))</formula>
    </cfRule>
  </conditionalFormatting>
  <conditionalFormatting sqref="AD11">
    <cfRule type="containsText" dxfId="5642" priority="11717" operator="containsText" text="GP2">
      <formula>NOT(ISERROR(SEARCH("GP2",AD11)))</formula>
    </cfRule>
    <cfRule type="containsText" dxfId="5641" priority="11718" operator="containsText" text="GP1">
      <formula>NOT(ISERROR(SEARCH("GP1",AD11)))</formula>
    </cfRule>
  </conditionalFormatting>
  <conditionalFormatting sqref="AD11">
    <cfRule type="containsText" dxfId="5640" priority="11715" operator="containsText" text="GP2">
      <formula>NOT(ISERROR(SEARCH("GP2",AD11)))</formula>
    </cfRule>
    <cfRule type="containsText" dxfId="5639" priority="11716" operator="containsText" text="GP1">
      <formula>NOT(ISERROR(SEARCH("GP1",AD11)))</formula>
    </cfRule>
  </conditionalFormatting>
  <conditionalFormatting sqref="AD11">
    <cfRule type="containsText" dxfId="5638" priority="11713" operator="containsText" text="GP2">
      <formula>NOT(ISERROR(SEARCH("GP2",AD11)))</formula>
    </cfRule>
    <cfRule type="containsText" dxfId="5637" priority="11714" operator="containsText" text="GP1">
      <formula>NOT(ISERROR(SEARCH("GP1",AD11)))</formula>
    </cfRule>
  </conditionalFormatting>
  <conditionalFormatting sqref="AD11">
    <cfRule type="containsText" dxfId="5636" priority="11711" operator="containsText" text="GP2">
      <formula>NOT(ISERROR(SEARCH("GP2",AD11)))</formula>
    </cfRule>
    <cfRule type="containsText" dxfId="5635" priority="11712" operator="containsText" text="GP1">
      <formula>NOT(ISERROR(SEARCH("GP1",AD11)))</formula>
    </cfRule>
  </conditionalFormatting>
  <conditionalFormatting sqref="AD11">
    <cfRule type="containsText" dxfId="5634" priority="11709" operator="containsText" text="GP2">
      <formula>NOT(ISERROR(SEARCH("GP2",AD11)))</formula>
    </cfRule>
    <cfRule type="containsText" dxfId="5633" priority="11710" operator="containsText" text="GP1">
      <formula>NOT(ISERROR(SEARCH("GP1",AD11)))</formula>
    </cfRule>
  </conditionalFormatting>
  <conditionalFormatting sqref="AD11">
    <cfRule type="containsText" dxfId="5632" priority="11707" operator="containsText" text="GP2">
      <formula>NOT(ISERROR(SEARCH("GP2",AD11)))</formula>
    </cfRule>
    <cfRule type="containsText" dxfId="5631" priority="11708" operator="containsText" text="GP1">
      <formula>NOT(ISERROR(SEARCH("GP1",AD11)))</formula>
    </cfRule>
  </conditionalFormatting>
  <conditionalFormatting sqref="AD11">
    <cfRule type="containsText" dxfId="5630" priority="11705" operator="containsText" text="GP2">
      <formula>NOT(ISERROR(SEARCH("GP2",AD11)))</formula>
    </cfRule>
    <cfRule type="containsText" dxfId="5629" priority="11706" operator="containsText" text="GP1">
      <formula>NOT(ISERROR(SEARCH("GP1",AD11)))</formula>
    </cfRule>
  </conditionalFormatting>
  <conditionalFormatting sqref="AD11">
    <cfRule type="containsText" dxfId="5628" priority="11703" operator="containsText" text="GP2">
      <formula>NOT(ISERROR(SEARCH("GP2",AD11)))</formula>
    </cfRule>
    <cfRule type="containsText" dxfId="5627" priority="11704" operator="containsText" text="GP1">
      <formula>NOT(ISERROR(SEARCH("GP1",AD11)))</formula>
    </cfRule>
  </conditionalFormatting>
  <conditionalFormatting sqref="AD11">
    <cfRule type="containsText" dxfId="5626" priority="11701" operator="containsText" text="GP2">
      <formula>NOT(ISERROR(SEARCH("GP2",AD11)))</formula>
    </cfRule>
    <cfRule type="containsText" dxfId="5625" priority="11702" operator="containsText" text="GP1">
      <formula>NOT(ISERROR(SEARCH("GP1",AD11)))</formula>
    </cfRule>
  </conditionalFormatting>
  <conditionalFormatting sqref="AD11">
    <cfRule type="containsText" dxfId="5624" priority="11699" operator="containsText" text="GP2">
      <formula>NOT(ISERROR(SEARCH("GP2",AD11)))</formula>
    </cfRule>
    <cfRule type="containsText" dxfId="5623" priority="11700" operator="containsText" text="GP1">
      <formula>NOT(ISERROR(SEARCH("GP1",AD11)))</formula>
    </cfRule>
  </conditionalFormatting>
  <conditionalFormatting sqref="AD11">
    <cfRule type="containsText" dxfId="5622" priority="11697" operator="containsText" text="GP2">
      <formula>NOT(ISERROR(SEARCH("GP2",AD11)))</formula>
    </cfRule>
    <cfRule type="containsText" dxfId="5621" priority="11698" operator="containsText" text="GP1">
      <formula>NOT(ISERROR(SEARCH("GP1",AD11)))</formula>
    </cfRule>
  </conditionalFormatting>
  <conditionalFormatting sqref="AD11">
    <cfRule type="containsText" dxfId="5620" priority="11695" operator="containsText" text="GP2">
      <formula>NOT(ISERROR(SEARCH("GP2",AD11)))</formula>
    </cfRule>
    <cfRule type="containsText" dxfId="5619" priority="11696" operator="containsText" text="GP1">
      <formula>NOT(ISERROR(SEARCH("GP1",AD11)))</formula>
    </cfRule>
  </conditionalFormatting>
  <conditionalFormatting sqref="AD11">
    <cfRule type="containsText" dxfId="5618" priority="11693" operator="containsText" text="GP2">
      <formula>NOT(ISERROR(SEARCH("GP2",AD11)))</formula>
    </cfRule>
    <cfRule type="containsText" dxfId="5617" priority="11694" operator="containsText" text="GP1">
      <formula>NOT(ISERROR(SEARCH("GP1",AD11)))</formula>
    </cfRule>
  </conditionalFormatting>
  <conditionalFormatting sqref="AD11">
    <cfRule type="containsText" dxfId="5616" priority="11691" operator="containsText" text="GP2">
      <formula>NOT(ISERROR(SEARCH("GP2",AD11)))</formula>
    </cfRule>
    <cfRule type="containsText" dxfId="5615" priority="11692" operator="containsText" text="GP1">
      <formula>NOT(ISERROR(SEARCH("GP1",AD11)))</formula>
    </cfRule>
  </conditionalFormatting>
  <conditionalFormatting sqref="AD11">
    <cfRule type="containsText" dxfId="5614" priority="11689" operator="containsText" text="GP2">
      <formula>NOT(ISERROR(SEARCH("GP2",AD11)))</formula>
    </cfRule>
    <cfRule type="containsText" dxfId="5613" priority="11690" operator="containsText" text="GP1">
      <formula>NOT(ISERROR(SEARCH("GP1",AD11)))</formula>
    </cfRule>
  </conditionalFormatting>
  <conditionalFormatting sqref="AD11">
    <cfRule type="containsText" dxfId="5612" priority="11687" operator="containsText" text="GP2">
      <formula>NOT(ISERROR(SEARCH("GP2",AD11)))</formula>
    </cfRule>
    <cfRule type="containsText" dxfId="5611" priority="11688" operator="containsText" text="GP1">
      <formula>NOT(ISERROR(SEARCH("GP1",AD11)))</formula>
    </cfRule>
  </conditionalFormatting>
  <conditionalFormatting sqref="AD11">
    <cfRule type="containsText" dxfId="5610" priority="11685" operator="containsText" text="GP2">
      <formula>NOT(ISERROR(SEARCH("GP2",AD11)))</formula>
    </cfRule>
    <cfRule type="containsText" dxfId="5609" priority="11686" operator="containsText" text="GP1">
      <formula>NOT(ISERROR(SEARCH("GP1",AD11)))</formula>
    </cfRule>
  </conditionalFormatting>
  <conditionalFormatting sqref="AD11">
    <cfRule type="containsText" dxfId="5608" priority="11683" operator="containsText" text="GP2">
      <formula>NOT(ISERROR(SEARCH("GP2",AD11)))</formula>
    </cfRule>
    <cfRule type="containsText" dxfId="5607" priority="11684" operator="containsText" text="GP1">
      <formula>NOT(ISERROR(SEARCH("GP1",AD11)))</formula>
    </cfRule>
  </conditionalFormatting>
  <conditionalFormatting sqref="AD11">
    <cfRule type="containsText" dxfId="5606" priority="11681" operator="containsText" text="GP2">
      <formula>NOT(ISERROR(SEARCH("GP2",AD11)))</formula>
    </cfRule>
    <cfRule type="containsText" dxfId="5605" priority="11682" operator="containsText" text="GP1">
      <formula>NOT(ISERROR(SEARCH("GP1",AD11)))</formula>
    </cfRule>
  </conditionalFormatting>
  <conditionalFormatting sqref="AD11">
    <cfRule type="containsText" dxfId="5604" priority="11679" operator="containsText" text="GP2">
      <formula>NOT(ISERROR(SEARCH("GP2",AD11)))</formula>
    </cfRule>
    <cfRule type="containsText" dxfId="5603" priority="11680" operator="containsText" text="GP1">
      <formula>NOT(ISERROR(SEARCH("GP1",AD11)))</formula>
    </cfRule>
  </conditionalFormatting>
  <conditionalFormatting sqref="AD11">
    <cfRule type="containsText" dxfId="5602" priority="11677" operator="containsText" text="GP2">
      <formula>NOT(ISERROR(SEARCH("GP2",AD11)))</formula>
    </cfRule>
    <cfRule type="containsText" dxfId="5601" priority="11678" operator="containsText" text="GP1">
      <formula>NOT(ISERROR(SEARCH("GP1",AD11)))</formula>
    </cfRule>
  </conditionalFormatting>
  <conditionalFormatting sqref="AD11">
    <cfRule type="containsText" dxfId="5600" priority="11675" operator="containsText" text="GP2">
      <formula>NOT(ISERROR(SEARCH("GP2",AD11)))</formula>
    </cfRule>
    <cfRule type="containsText" dxfId="5599" priority="11676" operator="containsText" text="GP1">
      <formula>NOT(ISERROR(SEARCH("GP1",AD11)))</formula>
    </cfRule>
  </conditionalFormatting>
  <conditionalFormatting sqref="AD11">
    <cfRule type="containsText" dxfId="5598" priority="11673" operator="containsText" text="GP2">
      <formula>NOT(ISERROR(SEARCH("GP2",AD11)))</formula>
    </cfRule>
    <cfRule type="containsText" dxfId="5597" priority="11674" operator="containsText" text="GP1">
      <formula>NOT(ISERROR(SEARCH("GP1",AD11)))</formula>
    </cfRule>
  </conditionalFormatting>
  <conditionalFormatting sqref="AD11">
    <cfRule type="containsText" dxfId="5596" priority="11671" operator="containsText" text="GP2">
      <formula>NOT(ISERROR(SEARCH("GP2",AD11)))</formula>
    </cfRule>
    <cfRule type="containsText" dxfId="5595" priority="11672" operator="containsText" text="GP1">
      <formula>NOT(ISERROR(SEARCH("GP1",AD11)))</formula>
    </cfRule>
  </conditionalFormatting>
  <conditionalFormatting sqref="AD11">
    <cfRule type="containsText" dxfId="5594" priority="11669" operator="containsText" text="GP2">
      <formula>NOT(ISERROR(SEARCH("GP2",AD11)))</formula>
    </cfRule>
    <cfRule type="containsText" dxfId="5593" priority="11670" operator="containsText" text="GP1">
      <formula>NOT(ISERROR(SEARCH("GP1",AD11)))</formula>
    </cfRule>
  </conditionalFormatting>
  <conditionalFormatting sqref="AD11">
    <cfRule type="containsText" dxfId="5592" priority="11667" operator="containsText" text="GP2">
      <formula>NOT(ISERROR(SEARCH("GP2",AD11)))</formula>
    </cfRule>
    <cfRule type="containsText" dxfId="5591" priority="11668" operator="containsText" text="GP1">
      <formula>NOT(ISERROR(SEARCH("GP1",AD11)))</formula>
    </cfRule>
  </conditionalFormatting>
  <conditionalFormatting sqref="AD11">
    <cfRule type="containsText" dxfId="5590" priority="11665" operator="containsText" text="GP2">
      <formula>NOT(ISERROR(SEARCH("GP2",AD11)))</formula>
    </cfRule>
    <cfRule type="containsText" dxfId="5589" priority="11666" operator="containsText" text="GP1">
      <formula>NOT(ISERROR(SEARCH("GP1",AD11)))</formula>
    </cfRule>
  </conditionalFormatting>
  <conditionalFormatting sqref="AD11">
    <cfRule type="containsText" dxfId="5588" priority="11663" operator="containsText" text="GP2">
      <formula>NOT(ISERROR(SEARCH("GP2",AD11)))</formula>
    </cfRule>
    <cfRule type="containsText" dxfId="5587" priority="11664" operator="containsText" text="GP1">
      <formula>NOT(ISERROR(SEARCH("GP1",AD11)))</formula>
    </cfRule>
  </conditionalFormatting>
  <conditionalFormatting sqref="AD11">
    <cfRule type="containsText" dxfId="5586" priority="11661" operator="containsText" text="GP2">
      <formula>NOT(ISERROR(SEARCH("GP2",AD11)))</formula>
    </cfRule>
    <cfRule type="containsText" dxfId="5585" priority="11662" operator="containsText" text="GP1">
      <formula>NOT(ISERROR(SEARCH("GP1",AD11)))</formula>
    </cfRule>
  </conditionalFormatting>
  <conditionalFormatting sqref="AD11">
    <cfRule type="containsText" dxfId="5584" priority="11659" operator="containsText" text="GP2">
      <formula>NOT(ISERROR(SEARCH("GP2",AD11)))</formula>
    </cfRule>
    <cfRule type="containsText" dxfId="5583" priority="11660" operator="containsText" text="GP1">
      <formula>NOT(ISERROR(SEARCH("GP1",AD11)))</formula>
    </cfRule>
  </conditionalFormatting>
  <conditionalFormatting sqref="AD11">
    <cfRule type="containsText" dxfId="5582" priority="11657" operator="containsText" text="GP2">
      <formula>NOT(ISERROR(SEARCH("GP2",AD11)))</formula>
    </cfRule>
    <cfRule type="containsText" dxfId="5581" priority="11658" operator="containsText" text="GP1">
      <formula>NOT(ISERROR(SEARCH("GP1",AD11)))</formula>
    </cfRule>
  </conditionalFormatting>
  <conditionalFormatting sqref="AD11">
    <cfRule type="containsText" dxfId="5580" priority="11655" operator="containsText" text="GP2">
      <formula>NOT(ISERROR(SEARCH("GP2",AD11)))</formula>
    </cfRule>
    <cfRule type="containsText" dxfId="5579" priority="11656" operator="containsText" text="GP1">
      <formula>NOT(ISERROR(SEARCH("GP1",AD11)))</formula>
    </cfRule>
  </conditionalFormatting>
  <conditionalFormatting sqref="AD11">
    <cfRule type="containsText" dxfId="5578" priority="11653" operator="containsText" text="GP2">
      <formula>NOT(ISERROR(SEARCH("GP2",AD11)))</formula>
    </cfRule>
    <cfRule type="containsText" dxfId="5577" priority="11654" operator="containsText" text="GP1">
      <formula>NOT(ISERROR(SEARCH("GP1",AD11)))</formula>
    </cfRule>
  </conditionalFormatting>
  <conditionalFormatting sqref="AD11">
    <cfRule type="containsText" dxfId="5576" priority="11651" operator="containsText" text="GP2">
      <formula>NOT(ISERROR(SEARCH("GP2",AD11)))</formula>
    </cfRule>
    <cfRule type="containsText" dxfId="5575" priority="11652" operator="containsText" text="GP1">
      <formula>NOT(ISERROR(SEARCH("GP1",AD11)))</formula>
    </cfRule>
  </conditionalFormatting>
  <conditionalFormatting sqref="AD11">
    <cfRule type="containsText" dxfId="5574" priority="11649" operator="containsText" text="GP2">
      <formula>NOT(ISERROR(SEARCH("GP2",AD11)))</formula>
    </cfRule>
    <cfRule type="containsText" dxfId="5573" priority="11650" operator="containsText" text="GP1">
      <formula>NOT(ISERROR(SEARCH("GP1",AD11)))</formula>
    </cfRule>
  </conditionalFormatting>
  <conditionalFormatting sqref="AD11">
    <cfRule type="containsText" dxfId="5572" priority="11647" operator="containsText" text="GP2">
      <formula>NOT(ISERROR(SEARCH("GP2",AD11)))</formula>
    </cfRule>
    <cfRule type="containsText" dxfId="5571" priority="11648" operator="containsText" text="GP1">
      <formula>NOT(ISERROR(SEARCH("GP1",AD11)))</formula>
    </cfRule>
  </conditionalFormatting>
  <conditionalFormatting sqref="AD11">
    <cfRule type="containsText" dxfId="5570" priority="11645" operator="containsText" text="GP2">
      <formula>NOT(ISERROR(SEARCH("GP2",AD11)))</formula>
    </cfRule>
    <cfRule type="containsText" dxfId="5569" priority="11646" operator="containsText" text="GP1">
      <formula>NOT(ISERROR(SEARCH("GP1",AD11)))</formula>
    </cfRule>
  </conditionalFormatting>
  <conditionalFormatting sqref="AD11">
    <cfRule type="containsText" dxfId="5568" priority="11643" operator="containsText" text="GP2">
      <formula>NOT(ISERROR(SEARCH("GP2",AD11)))</formula>
    </cfRule>
    <cfRule type="containsText" dxfId="5567" priority="11644" operator="containsText" text="GP1">
      <formula>NOT(ISERROR(SEARCH("GP1",AD11)))</formula>
    </cfRule>
  </conditionalFormatting>
  <conditionalFormatting sqref="AD11">
    <cfRule type="containsText" dxfId="5566" priority="11641" operator="containsText" text="GP2">
      <formula>NOT(ISERROR(SEARCH("GP2",AD11)))</formula>
    </cfRule>
    <cfRule type="containsText" dxfId="5565" priority="11642" operator="containsText" text="GP1">
      <formula>NOT(ISERROR(SEARCH("GP1",AD11)))</formula>
    </cfRule>
  </conditionalFormatting>
  <conditionalFormatting sqref="AD11">
    <cfRule type="containsText" dxfId="5564" priority="11639" operator="containsText" text="GP2">
      <formula>NOT(ISERROR(SEARCH("GP2",AD11)))</formula>
    </cfRule>
    <cfRule type="containsText" dxfId="5563" priority="11640" operator="containsText" text="GP1">
      <formula>NOT(ISERROR(SEARCH("GP1",AD11)))</formula>
    </cfRule>
  </conditionalFormatting>
  <conditionalFormatting sqref="AD11">
    <cfRule type="containsText" dxfId="5562" priority="11637" operator="containsText" text="GP2">
      <formula>NOT(ISERROR(SEARCH("GP2",AD11)))</formula>
    </cfRule>
    <cfRule type="containsText" dxfId="5561" priority="11638" operator="containsText" text="GP1">
      <formula>NOT(ISERROR(SEARCH("GP1",AD11)))</formula>
    </cfRule>
  </conditionalFormatting>
  <conditionalFormatting sqref="AD11">
    <cfRule type="containsText" dxfId="5560" priority="11635" operator="containsText" text="GP2">
      <formula>NOT(ISERROR(SEARCH("GP2",AD11)))</formula>
    </cfRule>
    <cfRule type="containsText" dxfId="5559" priority="11636" operator="containsText" text="GP1">
      <formula>NOT(ISERROR(SEARCH("GP1",AD11)))</formula>
    </cfRule>
  </conditionalFormatting>
  <conditionalFormatting sqref="AD11">
    <cfRule type="containsText" dxfId="5558" priority="11633" operator="containsText" text="GP2">
      <formula>NOT(ISERROR(SEARCH("GP2",AD11)))</formula>
    </cfRule>
    <cfRule type="containsText" dxfId="5557" priority="11634" operator="containsText" text="GP1">
      <formula>NOT(ISERROR(SEARCH("GP1",AD11)))</formula>
    </cfRule>
  </conditionalFormatting>
  <conditionalFormatting sqref="AD11">
    <cfRule type="containsText" dxfId="5556" priority="11631" operator="containsText" text="GP2">
      <formula>NOT(ISERROR(SEARCH("GP2",AD11)))</formula>
    </cfRule>
    <cfRule type="containsText" dxfId="5555" priority="11632" operator="containsText" text="GP1">
      <formula>NOT(ISERROR(SEARCH("GP1",AD11)))</formula>
    </cfRule>
  </conditionalFormatting>
  <conditionalFormatting sqref="AD11">
    <cfRule type="containsText" dxfId="5554" priority="11629" operator="containsText" text="GP2">
      <formula>NOT(ISERROR(SEARCH("GP2",AD11)))</formula>
    </cfRule>
    <cfRule type="containsText" dxfId="5553" priority="11630" operator="containsText" text="GP1">
      <formula>NOT(ISERROR(SEARCH("GP1",AD11)))</formula>
    </cfRule>
  </conditionalFormatting>
  <conditionalFormatting sqref="AD11">
    <cfRule type="containsText" dxfId="5552" priority="11627" operator="containsText" text="GP2">
      <formula>NOT(ISERROR(SEARCH("GP2",AD11)))</formula>
    </cfRule>
    <cfRule type="containsText" dxfId="5551" priority="11628" operator="containsText" text="GP1">
      <formula>NOT(ISERROR(SEARCH("GP1",AD11)))</formula>
    </cfRule>
  </conditionalFormatting>
  <conditionalFormatting sqref="AD11">
    <cfRule type="containsText" dxfId="5550" priority="11625" operator="containsText" text="GP2">
      <formula>NOT(ISERROR(SEARCH("GP2",AD11)))</formula>
    </cfRule>
    <cfRule type="containsText" dxfId="5549" priority="11626" operator="containsText" text="GP1">
      <formula>NOT(ISERROR(SEARCH("GP1",AD11)))</formula>
    </cfRule>
  </conditionalFormatting>
  <conditionalFormatting sqref="AD11">
    <cfRule type="containsText" dxfId="5548" priority="11623" operator="containsText" text="GP2">
      <formula>NOT(ISERROR(SEARCH("GP2",AD11)))</formula>
    </cfRule>
    <cfRule type="containsText" dxfId="5547" priority="11624" operator="containsText" text="GP1">
      <formula>NOT(ISERROR(SEARCH("GP1",AD11)))</formula>
    </cfRule>
  </conditionalFormatting>
  <conditionalFormatting sqref="AD11">
    <cfRule type="containsText" dxfId="5546" priority="11621" operator="containsText" text="GP2">
      <formula>NOT(ISERROR(SEARCH("GP2",AD11)))</formula>
    </cfRule>
    <cfRule type="containsText" dxfId="5545" priority="11622" operator="containsText" text="GP1">
      <formula>NOT(ISERROR(SEARCH("GP1",AD11)))</formula>
    </cfRule>
  </conditionalFormatting>
  <conditionalFormatting sqref="AD11">
    <cfRule type="containsText" dxfId="5544" priority="11619" operator="containsText" text="GP2">
      <formula>NOT(ISERROR(SEARCH("GP2",AD11)))</formula>
    </cfRule>
    <cfRule type="containsText" dxfId="5543" priority="11620" operator="containsText" text="GP1">
      <formula>NOT(ISERROR(SEARCH("GP1",AD11)))</formula>
    </cfRule>
  </conditionalFormatting>
  <conditionalFormatting sqref="AD11">
    <cfRule type="containsText" dxfId="5542" priority="11617" operator="containsText" text="GP2">
      <formula>NOT(ISERROR(SEARCH("GP2",AD11)))</formula>
    </cfRule>
    <cfRule type="containsText" dxfId="5541" priority="11618" operator="containsText" text="GP1">
      <formula>NOT(ISERROR(SEARCH("GP1",AD11)))</formula>
    </cfRule>
  </conditionalFormatting>
  <conditionalFormatting sqref="AD11">
    <cfRule type="containsText" dxfId="5540" priority="11615" operator="containsText" text="GP2">
      <formula>NOT(ISERROR(SEARCH("GP2",AD11)))</formula>
    </cfRule>
    <cfRule type="containsText" dxfId="5539" priority="11616" operator="containsText" text="GP1">
      <formula>NOT(ISERROR(SEARCH("GP1",AD11)))</formula>
    </cfRule>
  </conditionalFormatting>
  <conditionalFormatting sqref="AD11">
    <cfRule type="containsText" dxfId="5538" priority="11613" operator="containsText" text="GP2">
      <formula>NOT(ISERROR(SEARCH("GP2",AD11)))</formula>
    </cfRule>
    <cfRule type="containsText" dxfId="5537" priority="11614" operator="containsText" text="GP1">
      <formula>NOT(ISERROR(SEARCH("GP1",AD11)))</formula>
    </cfRule>
  </conditionalFormatting>
  <conditionalFormatting sqref="AD11">
    <cfRule type="containsText" dxfId="5536" priority="11611" operator="containsText" text="GP2">
      <formula>NOT(ISERROR(SEARCH("GP2",AD11)))</formula>
    </cfRule>
    <cfRule type="containsText" dxfId="5535" priority="11612" operator="containsText" text="GP1">
      <formula>NOT(ISERROR(SEARCH("GP1",AD11)))</formula>
    </cfRule>
  </conditionalFormatting>
  <conditionalFormatting sqref="AD11">
    <cfRule type="containsText" dxfId="5534" priority="11609" operator="containsText" text="GP2">
      <formula>NOT(ISERROR(SEARCH("GP2",AD11)))</formula>
    </cfRule>
    <cfRule type="containsText" dxfId="5533" priority="11610" operator="containsText" text="GP1">
      <formula>NOT(ISERROR(SEARCH("GP1",AD11)))</formula>
    </cfRule>
  </conditionalFormatting>
  <conditionalFormatting sqref="AD11">
    <cfRule type="containsText" dxfId="5532" priority="11607" operator="containsText" text="GP2">
      <formula>NOT(ISERROR(SEARCH("GP2",AD11)))</formula>
    </cfRule>
    <cfRule type="containsText" dxfId="5531" priority="11608" operator="containsText" text="GP1">
      <formula>NOT(ISERROR(SEARCH("GP1",AD11)))</formula>
    </cfRule>
  </conditionalFormatting>
  <conditionalFormatting sqref="AD11">
    <cfRule type="containsText" dxfId="5530" priority="11605" operator="containsText" text="GP2">
      <formula>NOT(ISERROR(SEARCH("GP2",AD11)))</formula>
    </cfRule>
    <cfRule type="containsText" dxfId="5529" priority="11606" operator="containsText" text="GP1">
      <formula>NOT(ISERROR(SEARCH("GP1",AD11)))</formula>
    </cfRule>
  </conditionalFormatting>
  <conditionalFormatting sqref="AD11">
    <cfRule type="containsText" dxfId="5528" priority="11603" operator="containsText" text="GP2">
      <formula>NOT(ISERROR(SEARCH("GP2",AD11)))</formula>
    </cfRule>
    <cfRule type="containsText" dxfId="5527" priority="11604" operator="containsText" text="GP1">
      <formula>NOT(ISERROR(SEARCH("GP1",AD11)))</formula>
    </cfRule>
  </conditionalFormatting>
  <conditionalFormatting sqref="AD11">
    <cfRule type="containsText" dxfId="5526" priority="11601" operator="containsText" text="GP2">
      <formula>NOT(ISERROR(SEARCH("GP2",AD11)))</formula>
    </cfRule>
    <cfRule type="containsText" dxfId="5525" priority="11602" operator="containsText" text="GP1">
      <formula>NOT(ISERROR(SEARCH("GP1",AD11)))</formula>
    </cfRule>
  </conditionalFormatting>
  <conditionalFormatting sqref="AD11">
    <cfRule type="containsText" dxfId="5524" priority="11599" operator="containsText" text="GP2">
      <formula>NOT(ISERROR(SEARCH("GP2",AD11)))</formula>
    </cfRule>
    <cfRule type="containsText" dxfId="5523" priority="11600" operator="containsText" text="GP1">
      <formula>NOT(ISERROR(SEARCH("GP1",AD11)))</formula>
    </cfRule>
  </conditionalFormatting>
  <conditionalFormatting sqref="AD11">
    <cfRule type="containsText" dxfId="5522" priority="11597" operator="containsText" text="GP2">
      <formula>NOT(ISERROR(SEARCH("GP2",AD11)))</formula>
    </cfRule>
    <cfRule type="containsText" dxfId="5521" priority="11598" operator="containsText" text="GP1">
      <formula>NOT(ISERROR(SEARCH("GP1",AD11)))</formula>
    </cfRule>
  </conditionalFormatting>
  <conditionalFormatting sqref="AD11">
    <cfRule type="containsText" dxfId="5520" priority="11595" operator="containsText" text="GP2">
      <formula>NOT(ISERROR(SEARCH("GP2",AD11)))</formula>
    </cfRule>
    <cfRule type="containsText" dxfId="5519" priority="11596" operator="containsText" text="GP1">
      <formula>NOT(ISERROR(SEARCH("GP1",AD11)))</formula>
    </cfRule>
  </conditionalFormatting>
  <conditionalFormatting sqref="AD11">
    <cfRule type="containsText" dxfId="5518" priority="11593" operator="containsText" text="GP2">
      <formula>NOT(ISERROR(SEARCH("GP2",AD11)))</formula>
    </cfRule>
    <cfRule type="containsText" dxfId="5517" priority="11594" operator="containsText" text="GP1">
      <formula>NOT(ISERROR(SEARCH("GP1",AD11)))</formula>
    </cfRule>
  </conditionalFormatting>
  <conditionalFormatting sqref="AD11">
    <cfRule type="containsText" dxfId="5516" priority="11591" operator="containsText" text="GP2">
      <formula>NOT(ISERROR(SEARCH("GP2",AD11)))</formula>
    </cfRule>
    <cfRule type="containsText" dxfId="5515" priority="11592" operator="containsText" text="GP1">
      <formula>NOT(ISERROR(SEARCH("GP1",AD11)))</formula>
    </cfRule>
  </conditionalFormatting>
  <conditionalFormatting sqref="AD11">
    <cfRule type="containsText" dxfId="5514" priority="11589" operator="containsText" text="GP2">
      <formula>NOT(ISERROR(SEARCH("GP2",AD11)))</formula>
    </cfRule>
    <cfRule type="containsText" dxfId="5513" priority="11590" operator="containsText" text="GP1">
      <formula>NOT(ISERROR(SEARCH("GP1",AD11)))</formula>
    </cfRule>
  </conditionalFormatting>
  <conditionalFormatting sqref="AD11">
    <cfRule type="containsText" dxfId="5512" priority="11587" operator="containsText" text="GP2">
      <formula>NOT(ISERROR(SEARCH("GP2",AD11)))</formula>
    </cfRule>
    <cfRule type="containsText" dxfId="5511" priority="11588" operator="containsText" text="GP1">
      <formula>NOT(ISERROR(SEARCH("GP1",AD11)))</formula>
    </cfRule>
  </conditionalFormatting>
  <conditionalFormatting sqref="AD11">
    <cfRule type="containsText" dxfId="5510" priority="11585" operator="containsText" text="GP2">
      <formula>NOT(ISERROR(SEARCH("GP2",AD11)))</formula>
    </cfRule>
    <cfRule type="containsText" dxfId="5509" priority="11586" operator="containsText" text="GP1">
      <formula>NOT(ISERROR(SEARCH("GP1",AD11)))</formula>
    </cfRule>
  </conditionalFormatting>
  <conditionalFormatting sqref="AD11">
    <cfRule type="containsText" dxfId="5508" priority="11583" operator="containsText" text="GP2">
      <formula>NOT(ISERROR(SEARCH("GP2",AD11)))</formula>
    </cfRule>
    <cfRule type="containsText" dxfId="5507" priority="11584" operator="containsText" text="GP1">
      <formula>NOT(ISERROR(SEARCH("GP1",AD11)))</formula>
    </cfRule>
  </conditionalFormatting>
  <conditionalFormatting sqref="AD11">
    <cfRule type="containsText" dxfId="5506" priority="11581" operator="containsText" text="GP2">
      <formula>NOT(ISERROR(SEARCH("GP2",AD11)))</formula>
    </cfRule>
    <cfRule type="containsText" dxfId="5505" priority="11582" operator="containsText" text="GP1">
      <formula>NOT(ISERROR(SEARCH("GP1",AD11)))</formula>
    </cfRule>
  </conditionalFormatting>
  <conditionalFormatting sqref="AD11">
    <cfRule type="containsText" dxfId="5504" priority="11579" operator="containsText" text="GP2">
      <formula>NOT(ISERROR(SEARCH("GP2",AD11)))</formula>
    </cfRule>
    <cfRule type="containsText" dxfId="5503" priority="11580" operator="containsText" text="GP1">
      <formula>NOT(ISERROR(SEARCH("GP1",AD11)))</formula>
    </cfRule>
  </conditionalFormatting>
  <conditionalFormatting sqref="AD11">
    <cfRule type="containsText" dxfId="5502" priority="11577" operator="containsText" text="GP2">
      <formula>NOT(ISERROR(SEARCH("GP2",AD11)))</formula>
    </cfRule>
    <cfRule type="containsText" dxfId="5501" priority="11578" operator="containsText" text="GP1">
      <formula>NOT(ISERROR(SEARCH("GP1",AD11)))</formula>
    </cfRule>
  </conditionalFormatting>
  <conditionalFormatting sqref="AD11">
    <cfRule type="containsText" dxfId="5500" priority="11575" operator="containsText" text="GP2">
      <formula>NOT(ISERROR(SEARCH("GP2",AD11)))</formula>
    </cfRule>
    <cfRule type="containsText" dxfId="5499" priority="11576" operator="containsText" text="GP1">
      <formula>NOT(ISERROR(SEARCH("GP1",AD11)))</formula>
    </cfRule>
  </conditionalFormatting>
  <conditionalFormatting sqref="AD11">
    <cfRule type="containsText" dxfId="5498" priority="11573" operator="containsText" text="GP2">
      <formula>NOT(ISERROR(SEARCH("GP2",AD11)))</formula>
    </cfRule>
    <cfRule type="containsText" dxfId="5497" priority="11574" operator="containsText" text="GP1">
      <formula>NOT(ISERROR(SEARCH("GP1",AD11)))</formula>
    </cfRule>
  </conditionalFormatting>
  <conditionalFormatting sqref="AD11">
    <cfRule type="containsText" dxfId="5496" priority="11571" operator="containsText" text="GP2">
      <formula>NOT(ISERROR(SEARCH("GP2",AD11)))</formula>
    </cfRule>
    <cfRule type="containsText" dxfId="5495" priority="11572" operator="containsText" text="GP1">
      <formula>NOT(ISERROR(SEARCH("GP1",AD11)))</formula>
    </cfRule>
  </conditionalFormatting>
  <conditionalFormatting sqref="AD11">
    <cfRule type="containsText" dxfId="5494" priority="11569" operator="containsText" text="GP2">
      <formula>NOT(ISERROR(SEARCH("GP2",AD11)))</formula>
    </cfRule>
    <cfRule type="containsText" dxfId="5493" priority="11570" operator="containsText" text="GP1">
      <formula>NOT(ISERROR(SEARCH("GP1",AD11)))</formula>
    </cfRule>
  </conditionalFormatting>
  <conditionalFormatting sqref="AD11">
    <cfRule type="containsText" dxfId="5492" priority="11567" operator="containsText" text="GP2">
      <formula>NOT(ISERROR(SEARCH("GP2",AD11)))</formula>
    </cfRule>
    <cfRule type="containsText" dxfId="5491" priority="11568" operator="containsText" text="GP1">
      <formula>NOT(ISERROR(SEARCH("GP1",AD11)))</formula>
    </cfRule>
  </conditionalFormatting>
  <conditionalFormatting sqref="AD11">
    <cfRule type="containsText" dxfId="5490" priority="11565" operator="containsText" text="GP2">
      <formula>NOT(ISERROR(SEARCH("GP2",AD11)))</formula>
    </cfRule>
    <cfRule type="containsText" dxfId="5489" priority="11566" operator="containsText" text="GP1">
      <formula>NOT(ISERROR(SEARCH("GP1",AD11)))</formula>
    </cfRule>
  </conditionalFormatting>
  <conditionalFormatting sqref="AD11">
    <cfRule type="containsText" dxfId="5488" priority="11563" operator="containsText" text="GP2">
      <formula>NOT(ISERROR(SEARCH("GP2",AD11)))</formula>
    </cfRule>
    <cfRule type="containsText" dxfId="5487" priority="11564" operator="containsText" text="GP1">
      <formula>NOT(ISERROR(SEARCH("GP1",AD11)))</formula>
    </cfRule>
  </conditionalFormatting>
  <conditionalFormatting sqref="AD11">
    <cfRule type="containsText" dxfId="5486" priority="11561" operator="containsText" text="GP2">
      <formula>NOT(ISERROR(SEARCH("GP2",AD11)))</formula>
    </cfRule>
    <cfRule type="containsText" dxfId="5485" priority="11562" operator="containsText" text="GP1">
      <formula>NOT(ISERROR(SEARCH("GP1",AD11)))</formula>
    </cfRule>
  </conditionalFormatting>
  <conditionalFormatting sqref="AD11">
    <cfRule type="containsText" dxfId="5484" priority="11559" operator="containsText" text="GP2">
      <formula>NOT(ISERROR(SEARCH("GP2",AD11)))</formula>
    </cfRule>
    <cfRule type="containsText" dxfId="5483" priority="11560" operator="containsText" text="GP1">
      <formula>NOT(ISERROR(SEARCH("GP1",AD11)))</formula>
    </cfRule>
  </conditionalFormatting>
  <conditionalFormatting sqref="AD11">
    <cfRule type="containsText" dxfId="5482" priority="11557" operator="containsText" text="GP2">
      <formula>NOT(ISERROR(SEARCH("GP2",AD11)))</formula>
    </cfRule>
    <cfRule type="containsText" dxfId="5481" priority="11558" operator="containsText" text="GP1">
      <formula>NOT(ISERROR(SEARCH("GP1",AD11)))</formula>
    </cfRule>
  </conditionalFormatting>
  <conditionalFormatting sqref="AD11">
    <cfRule type="containsText" dxfId="5480" priority="11555" operator="containsText" text="GP2">
      <formula>NOT(ISERROR(SEARCH("GP2",AD11)))</formula>
    </cfRule>
    <cfRule type="containsText" dxfId="5479" priority="11556" operator="containsText" text="GP1">
      <formula>NOT(ISERROR(SEARCH("GP1",AD11)))</formula>
    </cfRule>
  </conditionalFormatting>
  <conditionalFormatting sqref="AD11">
    <cfRule type="containsText" dxfId="5478" priority="11553" operator="containsText" text="GP2">
      <formula>NOT(ISERROR(SEARCH("GP2",AD11)))</formula>
    </cfRule>
    <cfRule type="containsText" dxfId="5477" priority="11554" operator="containsText" text="GP1">
      <formula>NOT(ISERROR(SEARCH("GP1",AD11)))</formula>
    </cfRule>
  </conditionalFormatting>
  <conditionalFormatting sqref="AD11">
    <cfRule type="containsText" dxfId="5476" priority="11551" operator="containsText" text="GP2">
      <formula>NOT(ISERROR(SEARCH("GP2",AD11)))</formula>
    </cfRule>
    <cfRule type="containsText" dxfId="5475" priority="11552" operator="containsText" text="GP1">
      <formula>NOT(ISERROR(SEARCH("GP1",AD11)))</formula>
    </cfRule>
  </conditionalFormatting>
  <conditionalFormatting sqref="AD11">
    <cfRule type="containsText" dxfId="5474" priority="11549" operator="containsText" text="GP2">
      <formula>NOT(ISERROR(SEARCH("GP2",AD11)))</formula>
    </cfRule>
    <cfRule type="containsText" dxfId="5473" priority="11550" operator="containsText" text="GP1">
      <formula>NOT(ISERROR(SEARCH("GP1",AD11)))</formula>
    </cfRule>
  </conditionalFormatting>
  <conditionalFormatting sqref="AD11">
    <cfRule type="containsText" dxfId="5472" priority="11547" operator="containsText" text="GP2">
      <formula>NOT(ISERROR(SEARCH("GP2",AD11)))</formula>
    </cfRule>
    <cfRule type="containsText" dxfId="5471" priority="11548" operator="containsText" text="GP1">
      <formula>NOT(ISERROR(SEARCH("GP1",AD11)))</formula>
    </cfRule>
  </conditionalFormatting>
  <conditionalFormatting sqref="AD11">
    <cfRule type="containsText" dxfId="5470" priority="11545" operator="containsText" text="GP2">
      <formula>NOT(ISERROR(SEARCH("GP2",AD11)))</formula>
    </cfRule>
    <cfRule type="containsText" dxfId="5469" priority="11546" operator="containsText" text="GP1">
      <formula>NOT(ISERROR(SEARCH("GP1",AD11)))</formula>
    </cfRule>
  </conditionalFormatting>
  <conditionalFormatting sqref="AD11">
    <cfRule type="containsText" dxfId="5468" priority="11543" operator="containsText" text="GP2">
      <formula>NOT(ISERROR(SEARCH("GP2",AD11)))</formula>
    </cfRule>
    <cfRule type="containsText" dxfId="5467" priority="11544" operator="containsText" text="GP1">
      <formula>NOT(ISERROR(SEARCH("GP1",AD11)))</formula>
    </cfRule>
  </conditionalFormatting>
  <conditionalFormatting sqref="AD11">
    <cfRule type="containsText" dxfId="5466" priority="11541" operator="containsText" text="GP2">
      <formula>NOT(ISERROR(SEARCH("GP2",AD11)))</formula>
    </cfRule>
    <cfRule type="containsText" dxfId="5465" priority="11542" operator="containsText" text="GP1">
      <formula>NOT(ISERROR(SEARCH("GP1",AD11)))</formula>
    </cfRule>
  </conditionalFormatting>
  <conditionalFormatting sqref="AD11">
    <cfRule type="containsText" dxfId="5464" priority="11539" operator="containsText" text="GP2">
      <formula>NOT(ISERROR(SEARCH("GP2",AD11)))</formula>
    </cfRule>
    <cfRule type="containsText" dxfId="5463" priority="11540" operator="containsText" text="GP1">
      <formula>NOT(ISERROR(SEARCH("GP1",AD11)))</formula>
    </cfRule>
  </conditionalFormatting>
  <conditionalFormatting sqref="AD11">
    <cfRule type="containsText" dxfId="5462" priority="11537" operator="containsText" text="GP2">
      <formula>NOT(ISERROR(SEARCH("GP2",AD11)))</formula>
    </cfRule>
    <cfRule type="containsText" dxfId="5461" priority="11538" operator="containsText" text="GP1">
      <formula>NOT(ISERROR(SEARCH("GP1",AD11)))</formula>
    </cfRule>
  </conditionalFormatting>
  <conditionalFormatting sqref="AD11">
    <cfRule type="containsText" dxfId="5460" priority="11535" operator="containsText" text="GP2">
      <formula>NOT(ISERROR(SEARCH("GP2",AD11)))</formula>
    </cfRule>
    <cfRule type="containsText" dxfId="5459" priority="11536" operator="containsText" text="GP1">
      <formula>NOT(ISERROR(SEARCH("GP1",AD11)))</formula>
    </cfRule>
  </conditionalFormatting>
  <conditionalFormatting sqref="AD11">
    <cfRule type="containsText" dxfId="5458" priority="11533" operator="containsText" text="GP2">
      <formula>NOT(ISERROR(SEARCH("GP2",AD11)))</formula>
    </cfRule>
    <cfRule type="containsText" dxfId="5457" priority="11534" operator="containsText" text="GP1">
      <formula>NOT(ISERROR(SEARCH("GP1",AD11)))</formula>
    </cfRule>
  </conditionalFormatting>
  <conditionalFormatting sqref="AD11">
    <cfRule type="containsText" dxfId="5456" priority="11531" operator="containsText" text="GP2">
      <formula>NOT(ISERROR(SEARCH("GP2",AD11)))</formula>
    </cfRule>
    <cfRule type="containsText" dxfId="5455" priority="11532" operator="containsText" text="GP1">
      <formula>NOT(ISERROR(SEARCH("GP1",AD11)))</formula>
    </cfRule>
  </conditionalFormatting>
  <conditionalFormatting sqref="AD11">
    <cfRule type="containsText" dxfId="5454" priority="11529" operator="containsText" text="GP2">
      <formula>NOT(ISERROR(SEARCH("GP2",AD11)))</formula>
    </cfRule>
    <cfRule type="containsText" dxfId="5453" priority="11530" operator="containsText" text="GP1">
      <formula>NOT(ISERROR(SEARCH("GP1",AD11)))</formula>
    </cfRule>
  </conditionalFormatting>
  <conditionalFormatting sqref="AD11">
    <cfRule type="containsText" dxfId="5452" priority="11527" operator="containsText" text="GP2">
      <formula>NOT(ISERROR(SEARCH("GP2",AD11)))</formula>
    </cfRule>
    <cfRule type="containsText" dxfId="5451" priority="11528" operator="containsText" text="GP1">
      <formula>NOT(ISERROR(SEARCH("GP1",AD11)))</formula>
    </cfRule>
  </conditionalFormatting>
  <conditionalFormatting sqref="AD11">
    <cfRule type="containsText" dxfId="5450" priority="11525" operator="containsText" text="GP2">
      <formula>NOT(ISERROR(SEARCH("GP2",AD11)))</formula>
    </cfRule>
    <cfRule type="containsText" dxfId="5449" priority="11526" operator="containsText" text="GP1">
      <formula>NOT(ISERROR(SEARCH("GP1",AD11)))</formula>
    </cfRule>
  </conditionalFormatting>
  <conditionalFormatting sqref="AD11">
    <cfRule type="containsText" dxfId="5448" priority="11523" operator="containsText" text="GP2">
      <formula>NOT(ISERROR(SEARCH("GP2",AD11)))</formula>
    </cfRule>
    <cfRule type="containsText" dxfId="5447" priority="11524" operator="containsText" text="GP1">
      <formula>NOT(ISERROR(SEARCH("GP1",AD11)))</formula>
    </cfRule>
  </conditionalFormatting>
  <conditionalFormatting sqref="AD11">
    <cfRule type="containsText" dxfId="5446" priority="11521" operator="containsText" text="GP2">
      <formula>NOT(ISERROR(SEARCH("GP2",AD11)))</formula>
    </cfRule>
    <cfRule type="containsText" dxfId="5445" priority="11522" operator="containsText" text="GP1">
      <formula>NOT(ISERROR(SEARCH("GP1",AD11)))</formula>
    </cfRule>
  </conditionalFormatting>
  <conditionalFormatting sqref="AD11">
    <cfRule type="containsText" dxfId="5444" priority="11519" operator="containsText" text="GP2">
      <formula>NOT(ISERROR(SEARCH("GP2",AD11)))</formula>
    </cfRule>
    <cfRule type="containsText" dxfId="5443" priority="11520" operator="containsText" text="GP1">
      <formula>NOT(ISERROR(SEARCH("GP1",AD11)))</formula>
    </cfRule>
  </conditionalFormatting>
  <conditionalFormatting sqref="AD11">
    <cfRule type="containsText" dxfId="5442" priority="11517" operator="containsText" text="GP2">
      <formula>NOT(ISERROR(SEARCH("GP2",AD11)))</formula>
    </cfRule>
    <cfRule type="containsText" dxfId="5441" priority="11518" operator="containsText" text="GP1">
      <formula>NOT(ISERROR(SEARCH("GP1",AD11)))</formula>
    </cfRule>
  </conditionalFormatting>
  <conditionalFormatting sqref="AD11">
    <cfRule type="containsText" dxfId="5440" priority="11515" operator="containsText" text="GP2">
      <formula>NOT(ISERROR(SEARCH("GP2",AD11)))</formula>
    </cfRule>
    <cfRule type="containsText" dxfId="5439" priority="11516" operator="containsText" text="GP1">
      <formula>NOT(ISERROR(SEARCH("GP1",AD11)))</formula>
    </cfRule>
  </conditionalFormatting>
  <conditionalFormatting sqref="AD11">
    <cfRule type="containsText" dxfId="5438" priority="11513" operator="containsText" text="GP2">
      <formula>NOT(ISERROR(SEARCH("GP2",AD11)))</formula>
    </cfRule>
    <cfRule type="containsText" dxfId="5437" priority="11514" operator="containsText" text="GP1">
      <formula>NOT(ISERROR(SEARCH("GP1",AD11)))</formula>
    </cfRule>
  </conditionalFormatting>
  <conditionalFormatting sqref="AD11">
    <cfRule type="containsText" dxfId="5436" priority="11511" operator="containsText" text="GP2">
      <formula>NOT(ISERROR(SEARCH("GP2",AD11)))</formula>
    </cfRule>
    <cfRule type="containsText" dxfId="5435" priority="11512" operator="containsText" text="GP1">
      <formula>NOT(ISERROR(SEARCH("GP1",AD11)))</formula>
    </cfRule>
  </conditionalFormatting>
  <conditionalFormatting sqref="AD11">
    <cfRule type="containsText" dxfId="5434" priority="11509" operator="containsText" text="GP2">
      <formula>NOT(ISERROR(SEARCH("GP2",AD11)))</formula>
    </cfRule>
    <cfRule type="containsText" dxfId="5433" priority="11510" operator="containsText" text="GP1">
      <formula>NOT(ISERROR(SEARCH("GP1",AD11)))</formula>
    </cfRule>
  </conditionalFormatting>
  <conditionalFormatting sqref="AD11">
    <cfRule type="containsText" dxfId="5432" priority="11507" operator="containsText" text="GP2">
      <formula>NOT(ISERROR(SEARCH("GP2",AD11)))</formula>
    </cfRule>
    <cfRule type="containsText" dxfId="5431" priority="11508" operator="containsText" text="GP1">
      <formula>NOT(ISERROR(SEARCH("GP1",AD11)))</formula>
    </cfRule>
  </conditionalFormatting>
  <conditionalFormatting sqref="AD11">
    <cfRule type="containsText" dxfId="5430" priority="11505" operator="containsText" text="GP2">
      <formula>NOT(ISERROR(SEARCH("GP2",AD11)))</formula>
    </cfRule>
    <cfRule type="containsText" dxfId="5429" priority="11506" operator="containsText" text="GP1">
      <formula>NOT(ISERROR(SEARCH("GP1",AD11)))</formula>
    </cfRule>
  </conditionalFormatting>
  <conditionalFormatting sqref="AD11">
    <cfRule type="containsText" dxfId="5428" priority="11503" operator="containsText" text="GP2">
      <formula>NOT(ISERROR(SEARCH("GP2",AD11)))</formula>
    </cfRule>
    <cfRule type="containsText" dxfId="5427" priority="11504" operator="containsText" text="GP1">
      <formula>NOT(ISERROR(SEARCH("GP1",AD11)))</formula>
    </cfRule>
  </conditionalFormatting>
  <conditionalFormatting sqref="AD11">
    <cfRule type="containsText" dxfId="5426" priority="11501" operator="containsText" text="GP2">
      <formula>NOT(ISERROR(SEARCH("GP2",AD11)))</formula>
    </cfRule>
    <cfRule type="containsText" dxfId="5425" priority="11502" operator="containsText" text="GP1">
      <formula>NOT(ISERROR(SEARCH("GP1",AD11)))</formula>
    </cfRule>
  </conditionalFormatting>
  <conditionalFormatting sqref="AD11">
    <cfRule type="containsText" dxfId="5424" priority="11499" operator="containsText" text="GP2">
      <formula>NOT(ISERROR(SEARCH("GP2",AD11)))</formula>
    </cfRule>
    <cfRule type="containsText" dxfId="5423" priority="11500" operator="containsText" text="GP1">
      <formula>NOT(ISERROR(SEARCH("GP1",AD11)))</formula>
    </cfRule>
  </conditionalFormatting>
  <conditionalFormatting sqref="AD11">
    <cfRule type="containsText" dxfId="5422" priority="11497" operator="containsText" text="GP2">
      <formula>NOT(ISERROR(SEARCH("GP2",AD11)))</formula>
    </cfRule>
    <cfRule type="containsText" dxfId="5421" priority="11498" operator="containsText" text="GP1">
      <formula>NOT(ISERROR(SEARCH("GP1",AD11)))</formula>
    </cfRule>
  </conditionalFormatting>
  <conditionalFormatting sqref="AD11">
    <cfRule type="containsText" dxfId="5420" priority="11495" operator="containsText" text="GP2">
      <formula>NOT(ISERROR(SEARCH("GP2",AD11)))</formula>
    </cfRule>
    <cfRule type="containsText" dxfId="5419" priority="11496" operator="containsText" text="GP1">
      <formula>NOT(ISERROR(SEARCH("GP1",AD11)))</formula>
    </cfRule>
  </conditionalFormatting>
  <conditionalFormatting sqref="AD11">
    <cfRule type="containsText" dxfId="5418" priority="11493" operator="containsText" text="GP2">
      <formula>NOT(ISERROR(SEARCH("GP2",AD11)))</formula>
    </cfRule>
    <cfRule type="containsText" dxfId="5417" priority="11494" operator="containsText" text="GP1">
      <formula>NOT(ISERROR(SEARCH("GP1",AD11)))</formula>
    </cfRule>
  </conditionalFormatting>
  <conditionalFormatting sqref="AD11">
    <cfRule type="containsText" dxfId="5416" priority="11491" operator="containsText" text="GP2">
      <formula>NOT(ISERROR(SEARCH("GP2",AD11)))</formula>
    </cfRule>
    <cfRule type="containsText" dxfId="5415" priority="11492" operator="containsText" text="GP1">
      <formula>NOT(ISERROR(SEARCH("GP1",AD11)))</formula>
    </cfRule>
  </conditionalFormatting>
  <conditionalFormatting sqref="AD11">
    <cfRule type="containsText" dxfId="5414" priority="11489" operator="containsText" text="GP2">
      <formula>NOT(ISERROR(SEARCH("GP2",AD11)))</formula>
    </cfRule>
    <cfRule type="containsText" dxfId="5413" priority="11490" operator="containsText" text="GP1">
      <formula>NOT(ISERROR(SEARCH("GP1",AD11)))</formula>
    </cfRule>
  </conditionalFormatting>
  <conditionalFormatting sqref="AD11">
    <cfRule type="containsText" dxfId="5412" priority="11487" operator="containsText" text="GP2">
      <formula>NOT(ISERROR(SEARCH("GP2",AD11)))</formula>
    </cfRule>
    <cfRule type="containsText" dxfId="5411" priority="11488" operator="containsText" text="GP1">
      <formula>NOT(ISERROR(SEARCH("GP1",AD11)))</formula>
    </cfRule>
  </conditionalFormatting>
  <conditionalFormatting sqref="AD11">
    <cfRule type="containsText" dxfId="5410" priority="11485" operator="containsText" text="GP2">
      <formula>NOT(ISERROR(SEARCH("GP2",AD11)))</formula>
    </cfRule>
    <cfRule type="containsText" dxfId="5409" priority="11486" operator="containsText" text="GP1">
      <formula>NOT(ISERROR(SEARCH("GP1",AD11)))</formula>
    </cfRule>
  </conditionalFormatting>
  <conditionalFormatting sqref="AD11">
    <cfRule type="containsText" dxfId="5408" priority="11483" operator="containsText" text="GP2">
      <formula>NOT(ISERROR(SEARCH("GP2",AD11)))</formula>
    </cfRule>
    <cfRule type="containsText" dxfId="5407" priority="11484" operator="containsText" text="GP1">
      <formula>NOT(ISERROR(SEARCH("GP1",AD11)))</formula>
    </cfRule>
  </conditionalFormatting>
  <conditionalFormatting sqref="AD11">
    <cfRule type="containsText" dxfId="5406" priority="11481" operator="containsText" text="GP2">
      <formula>NOT(ISERROR(SEARCH("GP2",AD11)))</formula>
    </cfRule>
    <cfRule type="containsText" dxfId="5405" priority="11482" operator="containsText" text="GP1">
      <formula>NOT(ISERROR(SEARCH("GP1",AD11)))</formula>
    </cfRule>
  </conditionalFormatting>
  <conditionalFormatting sqref="AD11">
    <cfRule type="containsText" dxfId="5404" priority="11479" operator="containsText" text="GP2">
      <formula>NOT(ISERROR(SEARCH("GP2",AD11)))</formula>
    </cfRule>
    <cfRule type="containsText" dxfId="5403" priority="11480" operator="containsText" text="GP1">
      <formula>NOT(ISERROR(SEARCH("GP1",AD11)))</formula>
    </cfRule>
  </conditionalFormatting>
  <conditionalFormatting sqref="AD11">
    <cfRule type="containsText" dxfId="5402" priority="11477" operator="containsText" text="GP2">
      <formula>NOT(ISERROR(SEARCH("GP2",AD11)))</formula>
    </cfRule>
    <cfRule type="containsText" dxfId="5401" priority="11478" operator="containsText" text="GP1">
      <formula>NOT(ISERROR(SEARCH("GP1",AD11)))</formula>
    </cfRule>
  </conditionalFormatting>
  <conditionalFormatting sqref="AD11">
    <cfRule type="containsText" dxfId="5400" priority="11475" operator="containsText" text="GP2">
      <formula>NOT(ISERROR(SEARCH("GP2",AD11)))</formula>
    </cfRule>
    <cfRule type="containsText" dxfId="5399" priority="11476" operator="containsText" text="GP1">
      <formula>NOT(ISERROR(SEARCH("GP1",AD11)))</formula>
    </cfRule>
  </conditionalFormatting>
  <conditionalFormatting sqref="AD11">
    <cfRule type="containsText" dxfId="5398" priority="11473" operator="containsText" text="GP2">
      <formula>NOT(ISERROR(SEARCH("GP2",AD11)))</formula>
    </cfRule>
    <cfRule type="containsText" dxfId="5397" priority="11474" operator="containsText" text="GP1">
      <formula>NOT(ISERROR(SEARCH("GP1",AD11)))</formula>
    </cfRule>
  </conditionalFormatting>
  <conditionalFormatting sqref="AD11">
    <cfRule type="containsText" dxfId="5396" priority="11471" operator="containsText" text="GP2">
      <formula>NOT(ISERROR(SEARCH("GP2",AD11)))</formula>
    </cfRule>
    <cfRule type="containsText" dxfId="5395" priority="11472" operator="containsText" text="GP1">
      <formula>NOT(ISERROR(SEARCH("GP1",AD11)))</formula>
    </cfRule>
  </conditionalFormatting>
  <conditionalFormatting sqref="AD11">
    <cfRule type="containsText" dxfId="5394" priority="11469" operator="containsText" text="GP2">
      <formula>NOT(ISERROR(SEARCH("GP2",AD11)))</formula>
    </cfRule>
    <cfRule type="containsText" dxfId="5393" priority="11470" operator="containsText" text="GP1">
      <formula>NOT(ISERROR(SEARCH("GP1",AD11)))</formula>
    </cfRule>
  </conditionalFormatting>
  <conditionalFormatting sqref="AD11">
    <cfRule type="containsText" dxfId="5392" priority="11467" operator="containsText" text="GP2">
      <formula>NOT(ISERROR(SEARCH("GP2",AD11)))</formula>
    </cfRule>
    <cfRule type="containsText" dxfId="5391" priority="11468" operator="containsText" text="GP1">
      <formula>NOT(ISERROR(SEARCH("GP1",AD11)))</formula>
    </cfRule>
  </conditionalFormatting>
  <conditionalFormatting sqref="AD11">
    <cfRule type="containsText" dxfId="5390" priority="11465" operator="containsText" text="GP2">
      <formula>NOT(ISERROR(SEARCH("GP2",AD11)))</formula>
    </cfRule>
    <cfRule type="containsText" dxfId="5389" priority="11466" operator="containsText" text="GP1">
      <formula>NOT(ISERROR(SEARCH("GP1",AD11)))</formula>
    </cfRule>
  </conditionalFormatting>
  <conditionalFormatting sqref="AD11">
    <cfRule type="containsText" dxfId="5388" priority="11463" operator="containsText" text="GP2">
      <formula>NOT(ISERROR(SEARCH("GP2",AD11)))</formula>
    </cfRule>
    <cfRule type="containsText" dxfId="5387" priority="11464" operator="containsText" text="GP1">
      <formula>NOT(ISERROR(SEARCH("GP1",AD11)))</formula>
    </cfRule>
  </conditionalFormatting>
  <conditionalFormatting sqref="AD11">
    <cfRule type="containsText" dxfId="5386" priority="11461" operator="containsText" text="GP2">
      <formula>NOT(ISERROR(SEARCH("GP2",AD11)))</formula>
    </cfRule>
    <cfRule type="containsText" dxfId="5385" priority="11462" operator="containsText" text="GP1">
      <formula>NOT(ISERROR(SEARCH("GP1",AD11)))</formula>
    </cfRule>
  </conditionalFormatting>
  <conditionalFormatting sqref="AD11">
    <cfRule type="containsText" dxfId="5384" priority="11459" operator="containsText" text="GP2">
      <formula>NOT(ISERROR(SEARCH("GP2",AD11)))</formula>
    </cfRule>
    <cfRule type="containsText" dxfId="5383" priority="11460" operator="containsText" text="GP1">
      <formula>NOT(ISERROR(SEARCH("GP1",AD11)))</formula>
    </cfRule>
  </conditionalFormatting>
  <conditionalFormatting sqref="AD11">
    <cfRule type="containsText" dxfId="5382" priority="11457" operator="containsText" text="GP2">
      <formula>NOT(ISERROR(SEARCH("GP2",AD11)))</formula>
    </cfRule>
    <cfRule type="containsText" dxfId="5381" priority="11458" operator="containsText" text="GP1">
      <formula>NOT(ISERROR(SEARCH("GP1",AD11)))</formula>
    </cfRule>
  </conditionalFormatting>
  <conditionalFormatting sqref="AD11">
    <cfRule type="containsText" dxfId="5380" priority="11455" operator="containsText" text="GP2">
      <formula>NOT(ISERROR(SEARCH("GP2",AD11)))</formula>
    </cfRule>
    <cfRule type="containsText" dxfId="5379" priority="11456" operator="containsText" text="GP1">
      <formula>NOT(ISERROR(SEARCH("GP1",AD11)))</formula>
    </cfRule>
  </conditionalFormatting>
  <conditionalFormatting sqref="AD11">
    <cfRule type="containsText" dxfId="5378" priority="11453" operator="containsText" text="GP2">
      <formula>NOT(ISERROR(SEARCH("GP2",AD11)))</formula>
    </cfRule>
    <cfRule type="containsText" dxfId="5377" priority="11454" operator="containsText" text="GP1">
      <formula>NOT(ISERROR(SEARCH("GP1",AD11)))</formula>
    </cfRule>
  </conditionalFormatting>
  <conditionalFormatting sqref="AD11">
    <cfRule type="containsText" dxfId="5376" priority="11451" operator="containsText" text="GP2">
      <formula>NOT(ISERROR(SEARCH("GP2",AD11)))</formula>
    </cfRule>
    <cfRule type="containsText" dxfId="5375" priority="11452" operator="containsText" text="GP1">
      <formula>NOT(ISERROR(SEARCH("GP1",AD11)))</formula>
    </cfRule>
  </conditionalFormatting>
  <conditionalFormatting sqref="AD11">
    <cfRule type="containsText" dxfId="5374" priority="11449" operator="containsText" text="GP2">
      <formula>NOT(ISERROR(SEARCH("GP2",AD11)))</formula>
    </cfRule>
    <cfRule type="containsText" dxfId="5373" priority="11450" operator="containsText" text="GP1">
      <formula>NOT(ISERROR(SEARCH("GP1",AD11)))</formula>
    </cfRule>
  </conditionalFormatting>
  <conditionalFormatting sqref="AD11">
    <cfRule type="containsText" dxfId="5372" priority="11447" operator="containsText" text="GP2">
      <formula>NOT(ISERROR(SEARCH("GP2",AD11)))</formula>
    </cfRule>
    <cfRule type="containsText" dxfId="5371" priority="11448" operator="containsText" text="GP1">
      <formula>NOT(ISERROR(SEARCH("GP1",AD11)))</formula>
    </cfRule>
  </conditionalFormatting>
  <conditionalFormatting sqref="AD11">
    <cfRule type="containsText" dxfId="5370" priority="11445" operator="containsText" text="GP2">
      <formula>NOT(ISERROR(SEARCH("GP2",AD11)))</formula>
    </cfRule>
    <cfRule type="containsText" dxfId="5369" priority="11446" operator="containsText" text="GP1">
      <formula>NOT(ISERROR(SEARCH("GP1",AD11)))</formula>
    </cfRule>
  </conditionalFormatting>
  <conditionalFormatting sqref="AD11">
    <cfRule type="containsText" dxfId="5368" priority="11443" operator="containsText" text="GP2">
      <formula>NOT(ISERROR(SEARCH("GP2",AD11)))</formula>
    </cfRule>
    <cfRule type="containsText" dxfId="5367" priority="11444" operator="containsText" text="GP1">
      <formula>NOT(ISERROR(SEARCH("GP1",AD11)))</formula>
    </cfRule>
  </conditionalFormatting>
  <conditionalFormatting sqref="AD11">
    <cfRule type="containsText" dxfId="5366" priority="11441" operator="containsText" text="GP2">
      <formula>NOT(ISERROR(SEARCH("GP2",AD11)))</formula>
    </cfRule>
    <cfRule type="containsText" dxfId="5365" priority="11442" operator="containsText" text="GP1">
      <formula>NOT(ISERROR(SEARCH("GP1",AD11)))</formula>
    </cfRule>
  </conditionalFormatting>
  <conditionalFormatting sqref="AD11">
    <cfRule type="containsText" dxfId="5364" priority="11439" operator="containsText" text="GP2">
      <formula>NOT(ISERROR(SEARCH("GP2",AD11)))</formula>
    </cfRule>
    <cfRule type="containsText" dxfId="5363" priority="11440" operator="containsText" text="GP1">
      <formula>NOT(ISERROR(SEARCH("GP1",AD11)))</formula>
    </cfRule>
  </conditionalFormatting>
  <conditionalFormatting sqref="H11:I11">
    <cfRule type="containsBlanks" dxfId="5362" priority="11438">
      <formula>LEN(TRIM(H11))=0</formula>
    </cfRule>
  </conditionalFormatting>
  <conditionalFormatting sqref="H11:I11">
    <cfRule type="containsBlanks" dxfId="5361" priority="11437">
      <formula>LEN(TRIM(H11))=0</formula>
    </cfRule>
  </conditionalFormatting>
  <conditionalFormatting sqref="H11:I11">
    <cfRule type="containsBlanks" dxfId="5360" priority="11436">
      <formula>LEN(TRIM(H11))=0</formula>
    </cfRule>
  </conditionalFormatting>
  <conditionalFormatting sqref="H11:I11">
    <cfRule type="containsBlanks" dxfId="5359" priority="11435">
      <formula>LEN(TRIM(H11))=0</formula>
    </cfRule>
  </conditionalFormatting>
  <conditionalFormatting sqref="H11:I11">
    <cfRule type="containsBlanks" dxfId="5358" priority="11434">
      <formula>LEN(TRIM(H11))=0</formula>
    </cfRule>
  </conditionalFormatting>
  <conditionalFormatting sqref="N11">
    <cfRule type="containsBlanks" dxfId="5357" priority="11433">
      <formula>LEN(TRIM(N11))=0</formula>
    </cfRule>
  </conditionalFormatting>
  <conditionalFormatting sqref="N11">
    <cfRule type="containsBlanks" dxfId="5356" priority="11432">
      <formula>LEN(TRIM(N11))=0</formula>
    </cfRule>
  </conditionalFormatting>
  <conditionalFormatting sqref="N11">
    <cfRule type="containsBlanks" dxfId="5355" priority="11431">
      <formula>LEN(TRIM(N11))=0</formula>
    </cfRule>
  </conditionalFormatting>
  <conditionalFormatting sqref="N11">
    <cfRule type="containsBlanks" dxfId="5354" priority="11430">
      <formula>LEN(TRIM(N11))=0</formula>
    </cfRule>
  </conditionalFormatting>
  <conditionalFormatting sqref="N11">
    <cfRule type="containsBlanks" dxfId="5353" priority="11429">
      <formula>LEN(TRIM(N11))=0</formula>
    </cfRule>
  </conditionalFormatting>
  <conditionalFormatting sqref="N11">
    <cfRule type="containsBlanks" dxfId="5352" priority="11428">
      <formula>LEN(TRIM(N11))=0</formula>
    </cfRule>
  </conditionalFormatting>
  <conditionalFormatting sqref="N11">
    <cfRule type="containsBlanks" dxfId="5351" priority="11427">
      <formula>LEN(TRIM(N11))=0</formula>
    </cfRule>
  </conditionalFormatting>
  <conditionalFormatting sqref="N11">
    <cfRule type="containsBlanks" dxfId="5350" priority="11426">
      <formula>LEN(TRIM(N11))=0</formula>
    </cfRule>
  </conditionalFormatting>
  <conditionalFormatting sqref="AD11">
    <cfRule type="containsText" dxfId="5349" priority="11420" operator="containsText" text="GP2">
      <formula>NOT(ISERROR(SEARCH("GP2",AD11)))</formula>
    </cfRule>
    <cfRule type="containsText" dxfId="5348" priority="11421" operator="containsText" text="GP1">
      <formula>NOT(ISERROR(SEARCH("GP1",AD11)))</formula>
    </cfRule>
  </conditionalFormatting>
  <conditionalFormatting sqref="AD11">
    <cfRule type="containsText" dxfId="5347" priority="11418" operator="containsText" text="GP2">
      <formula>NOT(ISERROR(SEARCH("GP2",AD11)))</formula>
    </cfRule>
    <cfRule type="containsText" dxfId="5346" priority="11419" operator="containsText" text="GP1">
      <formula>NOT(ISERROR(SEARCH("GP1",AD11)))</formula>
    </cfRule>
  </conditionalFormatting>
  <conditionalFormatting sqref="AD11">
    <cfRule type="containsText" dxfId="5345" priority="11416" operator="containsText" text="GP2">
      <formula>NOT(ISERROR(SEARCH("GP2",AD11)))</formula>
    </cfRule>
    <cfRule type="containsText" dxfId="5344" priority="11417" operator="containsText" text="GP1">
      <formula>NOT(ISERROR(SEARCH("GP1",AD11)))</formula>
    </cfRule>
  </conditionalFormatting>
  <conditionalFormatting sqref="AD11">
    <cfRule type="containsText" dxfId="5343" priority="11414" operator="containsText" text="GP2">
      <formula>NOT(ISERROR(SEARCH("GP2",AD11)))</formula>
    </cfRule>
    <cfRule type="containsText" dxfId="5342" priority="11415" operator="containsText" text="GP1">
      <formula>NOT(ISERROR(SEARCH("GP1",AD11)))</formula>
    </cfRule>
  </conditionalFormatting>
  <conditionalFormatting sqref="AD11">
    <cfRule type="containsText" dxfId="5341" priority="11412" operator="containsText" text="GP2">
      <formula>NOT(ISERROR(SEARCH("GP2",AD11)))</formula>
    </cfRule>
    <cfRule type="containsText" dxfId="5340" priority="11413" operator="containsText" text="GP1">
      <formula>NOT(ISERROR(SEARCH("GP1",AD11)))</formula>
    </cfRule>
  </conditionalFormatting>
  <conditionalFormatting sqref="AD11">
    <cfRule type="containsText" dxfId="5339" priority="11410" operator="containsText" text="GP2">
      <formula>NOT(ISERROR(SEARCH("GP2",AD11)))</formula>
    </cfRule>
    <cfRule type="containsText" dxfId="5338" priority="11411" operator="containsText" text="GP1">
      <formula>NOT(ISERROR(SEARCH("GP1",AD11)))</formula>
    </cfRule>
  </conditionalFormatting>
  <conditionalFormatting sqref="AD11">
    <cfRule type="containsText" dxfId="5337" priority="11424" operator="containsText" text="GP2">
      <formula>NOT(ISERROR(SEARCH("GP2",AD11)))</formula>
    </cfRule>
    <cfRule type="containsText" dxfId="5336" priority="11425" operator="containsText" text="GP1">
      <formula>NOT(ISERROR(SEARCH("GP1",AD11)))</formula>
    </cfRule>
  </conditionalFormatting>
  <conditionalFormatting sqref="AD11">
    <cfRule type="containsText" dxfId="5335" priority="11422" operator="containsText" text="GP2">
      <formula>NOT(ISERROR(SEARCH("GP2",AD11)))</formula>
    </cfRule>
    <cfRule type="containsText" dxfId="5334" priority="11423" operator="containsText" text="GP1">
      <formula>NOT(ISERROR(SEARCH("GP1",AD11)))</formula>
    </cfRule>
  </conditionalFormatting>
  <conditionalFormatting sqref="AD11">
    <cfRule type="containsText" dxfId="5333" priority="11408" operator="containsText" text="GP2">
      <formula>NOT(ISERROR(SEARCH("GP2",AD11)))</formula>
    </cfRule>
    <cfRule type="containsText" dxfId="5332" priority="11409" operator="containsText" text="GP1">
      <formula>NOT(ISERROR(SEARCH("GP1",AD11)))</formula>
    </cfRule>
  </conditionalFormatting>
  <conditionalFormatting sqref="AD11">
    <cfRule type="containsText" dxfId="5331" priority="11406" operator="containsText" text="GP2">
      <formula>NOT(ISERROR(SEARCH("GP2",AD11)))</formula>
    </cfRule>
    <cfRule type="containsText" dxfId="5330" priority="11407" operator="containsText" text="GP1">
      <formula>NOT(ISERROR(SEARCH("GP1",AD11)))</formula>
    </cfRule>
  </conditionalFormatting>
  <conditionalFormatting sqref="AD11">
    <cfRule type="containsText" dxfId="5329" priority="11404" operator="containsText" text="GP2">
      <formula>NOT(ISERROR(SEARCH("GP2",AD11)))</formula>
    </cfRule>
    <cfRule type="containsText" dxfId="5328" priority="11405" operator="containsText" text="GP1">
      <formula>NOT(ISERROR(SEARCH("GP1",AD11)))</formula>
    </cfRule>
  </conditionalFormatting>
  <conditionalFormatting sqref="AD11">
    <cfRule type="containsText" dxfId="5327" priority="11402" operator="containsText" text="GP2">
      <formula>NOT(ISERROR(SEARCH("GP2",AD11)))</formula>
    </cfRule>
    <cfRule type="containsText" dxfId="5326" priority="11403" operator="containsText" text="GP1">
      <formula>NOT(ISERROR(SEARCH("GP1",AD11)))</formula>
    </cfRule>
  </conditionalFormatting>
  <conditionalFormatting sqref="AD11">
    <cfRule type="containsText" dxfId="5325" priority="11400" operator="containsText" text="GP2">
      <formula>NOT(ISERROR(SEARCH("GP2",AD11)))</formula>
    </cfRule>
    <cfRule type="containsText" dxfId="5324" priority="11401" operator="containsText" text="GP1">
      <formula>NOT(ISERROR(SEARCH("GP1",AD11)))</formula>
    </cfRule>
  </conditionalFormatting>
  <conditionalFormatting sqref="AD11">
    <cfRule type="containsText" dxfId="5323" priority="11398" operator="containsText" text="GP2">
      <formula>NOT(ISERROR(SEARCH("GP2",AD11)))</formula>
    </cfRule>
    <cfRule type="containsText" dxfId="5322" priority="11399" operator="containsText" text="GP1">
      <formula>NOT(ISERROR(SEARCH("GP1",AD11)))</formula>
    </cfRule>
  </conditionalFormatting>
  <conditionalFormatting sqref="AD11">
    <cfRule type="containsText" dxfId="5321" priority="11396" operator="containsText" text="GP2">
      <formula>NOT(ISERROR(SEARCH("GP2",AD11)))</formula>
    </cfRule>
    <cfRule type="containsText" dxfId="5320" priority="11397" operator="containsText" text="GP1">
      <formula>NOT(ISERROR(SEARCH("GP1",AD11)))</formula>
    </cfRule>
  </conditionalFormatting>
  <conditionalFormatting sqref="AD11">
    <cfRule type="containsText" dxfId="5319" priority="11394" operator="containsText" text="GP2">
      <formula>NOT(ISERROR(SEARCH("GP2",AD11)))</formula>
    </cfRule>
    <cfRule type="containsText" dxfId="5318" priority="11395" operator="containsText" text="GP1">
      <formula>NOT(ISERROR(SEARCH("GP1",AD11)))</formula>
    </cfRule>
  </conditionalFormatting>
  <conditionalFormatting sqref="AD11">
    <cfRule type="containsText" dxfId="5317" priority="11392" operator="containsText" text="GP2">
      <formula>NOT(ISERROR(SEARCH("GP2",AD11)))</formula>
    </cfRule>
    <cfRule type="containsText" dxfId="5316" priority="11393" operator="containsText" text="GP1">
      <formula>NOT(ISERROR(SEARCH("GP1",AD11)))</formula>
    </cfRule>
  </conditionalFormatting>
  <conditionalFormatting sqref="AD11">
    <cfRule type="containsText" dxfId="5315" priority="11390" operator="containsText" text="GP2">
      <formula>NOT(ISERROR(SEARCH("GP2",AD11)))</formula>
    </cfRule>
    <cfRule type="containsText" dxfId="5314" priority="11391" operator="containsText" text="GP1">
      <formula>NOT(ISERROR(SEARCH("GP1",AD11)))</formula>
    </cfRule>
  </conditionalFormatting>
  <conditionalFormatting sqref="AD11">
    <cfRule type="containsText" dxfId="5313" priority="11388" operator="containsText" text="GP2">
      <formula>NOT(ISERROR(SEARCH("GP2",AD11)))</formula>
    </cfRule>
    <cfRule type="containsText" dxfId="5312" priority="11389" operator="containsText" text="GP1">
      <formula>NOT(ISERROR(SEARCH("GP1",AD11)))</formula>
    </cfRule>
  </conditionalFormatting>
  <conditionalFormatting sqref="AD11">
    <cfRule type="containsText" dxfId="5311" priority="11386" operator="containsText" text="GP2">
      <formula>NOT(ISERROR(SEARCH("GP2",AD11)))</formula>
    </cfRule>
    <cfRule type="containsText" dxfId="5310" priority="11387" operator="containsText" text="GP1">
      <formula>NOT(ISERROR(SEARCH("GP1",AD11)))</formula>
    </cfRule>
  </conditionalFormatting>
  <conditionalFormatting sqref="AD11">
    <cfRule type="containsText" dxfId="5309" priority="11384" operator="containsText" text="GP2">
      <formula>NOT(ISERROR(SEARCH("GP2",AD11)))</formula>
    </cfRule>
    <cfRule type="containsText" dxfId="5308" priority="11385" operator="containsText" text="GP1">
      <formula>NOT(ISERROR(SEARCH("GP1",AD11)))</formula>
    </cfRule>
  </conditionalFormatting>
  <conditionalFormatting sqref="AD11">
    <cfRule type="containsText" dxfId="5307" priority="11382" operator="containsText" text="GP2">
      <formula>NOT(ISERROR(SEARCH("GP2",AD11)))</formula>
    </cfRule>
    <cfRule type="containsText" dxfId="5306" priority="11383" operator="containsText" text="GP1">
      <formula>NOT(ISERROR(SEARCH("GP1",AD11)))</formula>
    </cfRule>
  </conditionalFormatting>
  <conditionalFormatting sqref="AD11">
    <cfRule type="containsText" dxfId="5305" priority="11380" operator="containsText" text="GP2">
      <formula>NOT(ISERROR(SEARCH("GP2",AD11)))</formula>
    </cfRule>
    <cfRule type="containsText" dxfId="5304" priority="11381" operator="containsText" text="GP1">
      <formula>NOT(ISERROR(SEARCH("GP1",AD11)))</formula>
    </cfRule>
  </conditionalFormatting>
  <conditionalFormatting sqref="AD11">
    <cfRule type="containsText" dxfId="5303" priority="11378" operator="containsText" text="GP2">
      <formula>NOT(ISERROR(SEARCH("GP2",AD11)))</formula>
    </cfRule>
    <cfRule type="containsText" dxfId="5302" priority="11379" operator="containsText" text="GP1">
      <formula>NOT(ISERROR(SEARCH("GP1",AD11)))</formula>
    </cfRule>
  </conditionalFormatting>
  <conditionalFormatting sqref="AD11">
    <cfRule type="containsText" dxfId="5301" priority="11376" operator="containsText" text="GP2">
      <formula>NOT(ISERROR(SEARCH("GP2",AD11)))</formula>
    </cfRule>
    <cfRule type="containsText" dxfId="5300" priority="11377" operator="containsText" text="GP1">
      <formula>NOT(ISERROR(SEARCH("GP1",AD11)))</formula>
    </cfRule>
  </conditionalFormatting>
  <conditionalFormatting sqref="AD11">
    <cfRule type="containsText" dxfId="5299" priority="11374" operator="containsText" text="GP2">
      <formula>NOT(ISERROR(SEARCH("GP2",AD11)))</formula>
    </cfRule>
    <cfRule type="containsText" dxfId="5298" priority="11375" operator="containsText" text="GP1">
      <formula>NOT(ISERROR(SEARCH("GP1",AD11)))</formula>
    </cfRule>
  </conditionalFormatting>
  <conditionalFormatting sqref="AD11">
    <cfRule type="containsText" dxfId="5297" priority="11372" operator="containsText" text="GP2">
      <formula>NOT(ISERROR(SEARCH("GP2",AD11)))</formula>
    </cfRule>
    <cfRule type="containsText" dxfId="5296" priority="11373" operator="containsText" text="GP1">
      <formula>NOT(ISERROR(SEARCH("GP1",AD11)))</formula>
    </cfRule>
  </conditionalFormatting>
  <conditionalFormatting sqref="AD11">
    <cfRule type="containsText" dxfId="5295" priority="11370" operator="containsText" text="GP2">
      <formula>NOT(ISERROR(SEARCH("GP2",AD11)))</formula>
    </cfRule>
    <cfRule type="containsText" dxfId="5294" priority="11371" operator="containsText" text="GP1">
      <formula>NOT(ISERROR(SEARCH("GP1",AD11)))</formula>
    </cfRule>
  </conditionalFormatting>
  <conditionalFormatting sqref="AD11">
    <cfRule type="containsText" dxfId="5293" priority="11368" operator="containsText" text="GP2">
      <formula>NOT(ISERROR(SEARCH("GP2",AD11)))</formula>
    </cfRule>
    <cfRule type="containsText" dxfId="5292" priority="11369" operator="containsText" text="GP1">
      <formula>NOT(ISERROR(SEARCH("GP1",AD11)))</formula>
    </cfRule>
  </conditionalFormatting>
  <conditionalFormatting sqref="AD11">
    <cfRule type="containsText" dxfId="5291" priority="11366" operator="containsText" text="GP2">
      <formula>NOT(ISERROR(SEARCH("GP2",AD11)))</formula>
    </cfRule>
    <cfRule type="containsText" dxfId="5290" priority="11367" operator="containsText" text="GP1">
      <formula>NOT(ISERROR(SEARCH("GP1",AD11)))</formula>
    </cfRule>
  </conditionalFormatting>
  <conditionalFormatting sqref="AD11">
    <cfRule type="containsText" dxfId="5289" priority="11364" operator="containsText" text="GP2">
      <formula>NOT(ISERROR(SEARCH("GP2",AD11)))</formula>
    </cfRule>
    <cfRule type="containsText" dxfId="5288" priority="11365" operator="containsText" text="GP1">
      <formula>NOT(ISERROR(SEARCH("GP1",AD11)))</formula>
    </cfRule>
  </conditionalFormatting>
  <conditionalFormatting sqref="AD11">
    <cfRule type="containsText" dxfId="5287" priority="11362" operator="containsText" text="GP2">
      <formula>NOT(ISERROR(SEARCH("GP2",AD11)))</formula>
    </cfRule>
    <cfRule type="containsText" dxfId="5286" priority="11363" operator="containsText" text="GP1">
      <formula>NOT(ISERROR(SEARCH("GP1",AD11)))</formula>
    </cfRule>
  </conditionalFormatting>
  <conditionalFormatting sqref="AD11">
    <cfRule type="containsText" dxfId="5285" priority="11360" operator="containsText" text="GP2">
      <formula>NOT(ISERROR(SEARCH("GP2",AD11)))</formula>
    </cfRule>
    <cfRule type="containsText" dxfId="5284" priority="11361" operator="containsText" text="GP1">
      <formula>NOT(ISERROR(SEARCH("GP1",AD11)))</formula>
    </cfRule>
  </conditionalFormatting>
  <conditionalFormatting sqref="AD11">
    <cfRule type="containsText" dxfId="5283" priority="11358" operator="containsText" text="GP2">
      <formula>NOT(ISERROR(SEARCH("GP2",AD11)))</formula>
    </cfRule>
    <cfRule type="containsText" dxfId="5282" priority="11359" operator="containsText" text="GP1">
      <formula>NOT(ISERROR(SEARCH("GP1",AD11)))</formula>
    </cfRule>
  </conditionalFormatting>
  <conditionalFormatting sqref="AD11">
    <cfRule type="containsText" dxfId="5281" priority="11356" operator="containsText" text="GP2">
      <formula>NOT(ISERROR(SEARCH("GP2",AD11)))</formula>
    </cfRule>
    <cfRule type="containsText" dxfId="5280" priority="11357" operator="containsText" text="GP1">
      <formula>NOT(ISERROR(SEARCH("GP1",AD11)))</formula>
    </cfRule>
  </conditionalFormatting>
  <conditionalFormatting sqref="AD11">
    <cfRule type="containsText" dxfId="5279" priority="11354" operator="containsText" text="GP2">
      <formula>NOT(ISERROR(SEARCH("GP2",AD11)))</formula>
    </cfRule>
    <cfRule type="containsText" dxfId="5278" priority="11355" operator="containsText" text="GP1">
      <formula>NOT(ISERROR(SEARCH("GP1",AD11)))</formula>
    </cfRule>
  </conditionalFormatting>
  <conditionalFormatting sqref="AD11">
    <cfRule type="containsText" dxfId="5277" priority="11352" operator="containsText" text="GP2">
      <formula>NOT(ISERROR(SEARCH("GP2",AD11)))</formula>
    </cfRule>
    <cfRule type="containsText" dxfId="5276" priority="11353" operator="containsText" text="GP1">
      <formula>NOT(ISERROR(SEARCH("GP1",AD11)))</formula>
    </cfRule>
  </conditionalFormatting>
  <conditionalFormatting sqref="AD11">
    <cfRule type="containsText" dxfId="5275" priority="11350" operator="containsText" text="GP2">
      <formula>NOT(ISERROR(SEARCH("GP2",AD11)))</formula>
    </cfRule>
    <cfRule type="containsText" dxfId="5274" priority="11351" operator="containsText" text="GP1">
      <formula>NOT(ISERROR(SEARCH("GP1",AD11)))</formula>
    </cfRule>
  </conditionalFormatting>
  <conditionalFormatting sqref="AD11">
    <cfRule type="containsText" dxfId="5273" priority="11348" operator="containsText" text="GP2">
      <formula>NOT(ISERROR(SEARCH("GP2",AD11)))</formula>
    </cfRule>
    <cfRule type="containsText" dxfId="5272" priority="11349" operator="containsText" text="GP1">
      <formula>NOT(ISERROR(SEARCH("GP1",AD11)))</formula>
    </cfRule>
  </conditionalFormatting>
  <conditionalFormatting sqref="AD11">
    <cfRule type="containsText" dxfId="5271" priority="11346" operator="containsText" text="GP2">
      <formula>NOT(ISERROR(SEARCH("GP2",AD11)))</formula>
    </cfRule>
    <cfRule type="containsText" dxfId="5270" priority="11347" operator="containsText" text="GP1">
      <formula>NOT(ISERROR(SEARCH("GP1",AD11)))</formula>
    </cfRule>
  </conditionalFormatting>
  <conditionalFormatting sqref="AD11">
    <cfRule type="containsText" dxfId="5269" priority="11344" operator="containsText" text="GP2">
      <formula>NOT(ISERROR(SEARCH("GP2",AD11)))</formula>
    </cfRule>
    <cfRule type="containsText" dxfId="5268" priority="11345" operator="containsText" text="GP1">
      <formula>NOT(ISERROR(SEARCH("GP1",AD11)))</formula>
    </cfRule>
  </conditionalFormatting>
  <conditionalFormatting sqref="AD11">
    <cfRule type="containsText" dxfId="5267" priority="11342" operator="containsText" text="GP2">
      <formula>NOT(ISERROR(SEARCH("GP2",AD11)))</formula>
    </cfRule>
    <cfRule type="containsText" dxfId="5266" priority="11343" operator="containsText" text="GP1">
      <formula>NOT(ISERROR(SEARCH("GP1",AD11)))</formula>
    </cfRule>
  </conditionalFormatting>
  <conditionalFormatting sqref="AD11">
    <cfRule type="containsText" dxfId="5265" priority="11340" operator="containsText" text="GP2">
      <formula>NOT(ISERROR(SEARCH("GP2",AD11)))</formula>
    </cfRule>
    <cfRule type="containsText" dxfId="5264" priority="11341" operator="containsText" text="GP1">
      <formula>NOT(ISERROR(SEARCH("GP1",AD11)))</formula>
    </cfRule>
  </conditionalFormatting>
  <conditionalFormatting sqref="AD11">
    <cfRule type="containsText" dxfId="5263" priority="11338" operator="containsText" text="GP2">
      <formula>NOT(ISERROR(SEARCH("GP2",AD11)))</formula>
    </cfRule>
    <cfRule type="containsText" dxfId="5262" priority="11339" operator="containsText" text="GP1">
      <formula>NOT(ISERROR(SEARCH("GP1",AD11)))</formula>
    </cfRule>
  </conditionalFormatting>
  <conditionalFormatting sqref="AD11">
    <cfRule type="containsText" dxfId="5261" priority="11336" operator="containsText" text="GP2">
      <formula>NOT(ISERROR(SEARCH("GP2",AD11)))</formula>
    </cfRule>
    <cfRule type="containsText" dxfId="5260" priority="11337" operator="containsText" text="GP1">
      <formula>NOT(ISERROR(SEARCH("GP1",AD11)))</formula>
    </cfRule>
  </conditionalFormatting>
  <conditionalFormatting sqref="AD11">
    <cfRule type="containsText" dxfId="5259" priority="11334" operator="containsText" text="GP2">
      <formula>NOT(ISERROR(SEARCH("GP2",AD11)))</formula>
    </cfRule>
    <cfRule type="containsText" dxfId="5258" priority="11335" operator="containsText" text="GP1">
      <formula>NOT(ISERROR(SEARCH("GP1",AD11)))</formula>
    </cfRule>
  </conditionalFormatting>
  <conditionalFormatting sqref="AD11">
    <cfRule type="containsText" dxfId="5257" priority="11332" operator="containsText" text="GP2">
      <formula>NOT(ISERROR(SEARCH("GP2",AD11)))</formula>
    </cfRule>
    <cfRule type="containsText" dxfId="5256" priority="11333" operator="containsText" text="GP1">
      <formula>NOT(ISERROR(SEARCH("GP1",AD11)))</formula>
    </cfRule>
  </conditionalFormatting>
  <conditionalFormatting sqref="AD11">
    <cfRule type="containsText" dxfId="5255" priority="11330" operator="containsText" text="GP2">
      <formula>NOT(ISERROR(SEARCH("GP2",AD11)))</formula>
    </cfRule>
    <cfRule type="containsText" dxfId="5254" priority="11331" operator="containsText" text="GP1">
      <formula>NOT(ISERROR(SEARCH("GP1",AD11)))</formula>
    </cfRule>
  </conditionalFormatting>
  <conditionalFormatting sqref="AD11">
    <cfRule type="containsText" dxfId="5253" priority="11328" operator="containsText" text="GP2">
      <formula>NOT(ISERROR(SEARCH("GP2",AD11)))</formula>
    </cfRule>
    <cfRule type="containsText" dxfId="5252" priority="11329" operator="containsText" text="GP1">
      <formula>NOT(ISERROR(SEARCH("GP1",AD11)))</formula>
    </cfRule>
  </conditionalFormatting>
  <conditionalFormatting sqref="AD11">
    <cfRule type="containsText" dxfId="5251" priority="11326" operator="containsText" text="GP2">
      <formula>NOT(ISERROR(SEARCH("GP2",AD11)))</formula>
    </cfRule>
    <cfRule type="containsText" dxfId="5250" priority="11327" operator="containsText" text="GP1">
      <formula>NOT(ISERROR(SEARCH("GP1",AD11)))</formula>
    </cfRule>
  </conditionalFormatting>
  <conditionalFormatting sqref="AD11">
    <cfRule type="containsText" dxfId="5249" priority="11324" operator="containsText" text="GP2">
      <formula>NOT(ISERROR(SEARCH("GP2",AD11)))</formula>
    </cfRule>
    <cfRule type="containsText" dxfId="5248" priority="11325" operator="containsText" text="GP1">
      <formula>NOT(ISERROR(SEARCH("GP1",AD11)))</formula>
    </cfRule>
  </conditionalFormatting>
  <conditionalFormatting sqref="AD11">
    <cfRule type="containsText" dxfId="5247" priority="11322" operator="containsText" text="GP2">
      <formula>NOT(ISERROR(SEARCH("GP2",AD11)))</formula>
    </cfRule>
    <cfRule type="containsText" dxfId="5246" priority="11323" operator="containsText" text="GP1">
      <formula>NOT(ISERROR(SEARCH("GP1",AD11)))</formula>
    </cfRule>
  </conditionalFormatting>
  <conditionalFormatting sqref="AD11">
    <cfRule type="containsText" dxfId="5245" priority="11320" operator="containsText" text="GP2">
      <formula>NOT(ISERROR(SEARCH("GP2",AD11)))</formula>
    </cfRule>
    <cfRule type="containsText" dxfId="5244" priority="11321" operator="containsText" text="GP1">
      <formula>NOT(ISERROR(SEARCH("GP1",AD11)))</formula>
    </cfRule>
  </conditionalFormatting>
  <conditionalFormatting sqref="AD11">
    <cfRule type="containsText" dxfId="5243" priority="11318" operator="containsText" text="GP2">
      <formula>NOT(ISERROR(SEARCH("GP2",AD11)))</formula>
    </cfRule>
    <cfRule type="containsText" dxfId="5242" priority="11319" operator="containsText" text="GP1">
      <formula>NOT(ISERROR(SEARCH("GP1",AD11)))</formula>
    </cfRule>
  </conditionalFormatting>
  <conditionalFormatting sqref="AD11">
    <cfRule type="containsText" dxfId="5241" priority="11316" operator="containsText" text="GP2">
      <formula>NOT(ISERROR(SEARCH("GP2",AD11)))</formula>
    </cfRule>
    <cfRule type="containsText" dxfId="5240" priority="11317" operator="containsText" text="GP1">
      <formula>NOT(ISERROR(SEARCH("GP1",AD11)))</formula>
    </cfRule>
  </conditionalFormatting>
  <conditionalFormatting sqref="AD11">
    <cfRule type="containsText" dxfId="5239" priority="11314" operator="containsText" text="GP2">
      <formula>NOT(ISERROR(SEARCH("GP2",AD11)))</formula>
    </cfRule>
    <cfRule type="containsText" dxfId="5238" priority="11315" operator="containsText" text="GP1">
      <formula>NOT(ISERROR(SEARCH("GP1",AD11)))</formula>
    </cfRule>
  </conditionalFormatting>
  <conditionalFormatting sqref="AD11">
    <cfRule type="containsText" dxfId="5237" priority="11312" operator="containsText" text="GP2">
      <formula>NOT(ISERROR(SEARCH("GP2",AD11)))</formula>
    </cfRule>
    <cfRule type="containsText" dxfId="5236" priority="11313" operator="containsText" text="GP1">
      <formula>NOT(ISERROR(SEARCH("GP1",AD11)))</formula>
    </cfRule>
  </conditionalFormatting>
  <conditionalFormatting sqref="AD11">
    <cfRule type="containsText" dxfId="5235" priority="11310" operator="containsText" text="GP2">
      <formula>NOT(ISERROR(SEARCH("GP2",AD11)))</formula>
    </cfRule>
    <cfRule type="containsText" dxfId="5234" priority="11311" operator="containsText" text="GP1">
      <formula>NOT(ISERROR(SEARCH("GP1",AD11)))</formula>
    </cfRule>
  </conditionalFormatting>
  <conditionalFormatting sqref="AD11">
    <cfRule type="containsText" dxfId="5233" priority="11308" operator="containsText" text="GP2">
      <formula>NOT(ISERROR(SEARCH("GP2",AD11)))</formula>
    </cfRule>
    <cfRule type="containsText" dxfId="5232" priority="11309" operator="containsText" text="GP1">
      <formula>NOT(ISERROR(SEARCH("GP1",AD11)))</formula>
    </cfRule>
  </conditionalFormatting>
  <conditionalFormatting sqref="AD11">
    <cfRule type="containsText" dxfId="5231" priority="11306" operator="containsText" text="GP2">
      <formula>NOT(ISERROR(SEARCH("GP2",AD11)))</formula>
    </cfRule>
    <cfRule type="containsText" dxfId="5230" priority="11307" operator="containsText" text="GP1">
      <formula>NOT(ISERROR(SEARCH("GP1",AD11)))</formula>
    </cfRule>
  </conditionalFormatting>
  <conditionalFormatting sqref="AD11">
    <cfRule type="containsText" dxfId="5229" priority="11304" operator="containsText" text="GP2">
      <formula>NOT(ISERROR(SEARCH("GP2",AD11)))</formula>
    </cfRule>
    <cfRule type="containsText" dxfId="5228" priority="11305" operator="containsText" text="GP1">
      <formula>NOT(ISERROR(SEARCH("GP1",AD11)))</formula>
    </cfRule>
  </conditionalFormatting>
  <conditionalFormatting sqref="AD11">
    <cfRule type="containsText" dxfId="5227" priority="11302" operator="containsText" text="GP2">
      <formula>NOT(ISERROR(SEARCH("GP2",AD11)))</formula>
    </cfRule>
    <cfRule type="containsText" dxfId="5226" priority="11303" operator="containsText" text="GP1">
      <formula>NOT(ISERROR(SEARCH("GP1",AD11)))</formula>
    </cfRule>
  </conditionalFormatting>
  <conditionalFormatting sqref="AD11">
    <cfRule type="containsText" dxfId="5225" priority="11300" operator="containsText" text="GP2">
      <formula>NOT(ISERROR(SEARCH("GP2",AD11)))</formula>
    </cfRule>
    <cfRule type="containsText" dxfId="5224" priority="11301" operator="containsText" text="GP1">
      <formula>NOT(ISERROR(SEARCH("GP1",AD11)))</formula>
    </cfRule>
  </conditionalFormatting>
  <conditionalFormatting sqref="AD11">
    <cfRule type="containsText" dxfId="5223" priority="11298" operator="containsText" text="GP2">
      <formula>NOT(ISERROR(SEARCH("GP2",AD11)))</formula>
    </cfRule>
    <cfRule type="containsText" dxfId="5222" priority="11299" operator="containsText" text="GP1">
      <formula>NOT(ISERROR(SEARCH("GP1",AD11)))</formula>
    </cfRule>
  </conditionalFormatting>
  <conditionalFormatting sqref="AD11">
    <cfRule type="containsText" dxfId="5221" priority="11296" operator="containsText" text="GP2">
      <formula>NOT(ISERROR(SEARCH("GP2",AD11)))</formula>
    </cfRule>
    <cfRule type="containsText" dxfId="5220" priority="11297" operator="containsText" text="GP1">
      <formula>NOT(ISERROR(SEARCH("GP1",AD11)))</formula>
    </cfRule>
  </conditionalFormatting>
  <conditionalFormatting sqref="AD11">
    <cfRule type="containsText" dxfId="5219" priority="11294" operator="containsText" text="GP2">
      <formula>NOT(ISERROR(SEARCH("GP2",AD11)))</formula>
    </cfRule>
    <cfRule type="containsText" dxfId="5218" priority="11295" operator="containsText" text="GP1">
      <formula>NOT(ISERROR(SEARCH("GP1",AD11)))</formula>
    </cfRule>
  </conditionalFormatting>
  <conditionalFormatting sqref="AD11">
    <cfRule type="containsText" dxfId="5217" priority="11292" operator="containsText" text="GP2">
      <formula>NOT(ISERROR(SEARCH("GP2",AD11)))</formula>
    </cfRule>
    <cfRule type="containsText" dxfId="5216" priority="11293" operator="containsText" text="GP1">
      <formula>NOT(ISERROR(SEARCH("GP1",AD11)))</formula>
    </cfRule>
  </conditionalFormatting>
  <conditionalFormatting sqref="AD11">
    <cfRule type="containsText" dxfId="5215" priority="11290" operator="containsText" text="GP2">
      <formula>NOT(ISERROR(SEARCH("GP2",AD11)))</formula>
    </cfRule>
    <cfRule type="containsText" dxfId="5214" priority="11291" operator="containsText" text="GP1">
      <formula>NOT(ISERROR(SEARCH("GP1",AD11)))</formula>
    </cfRule>
  </conditionalFormatting>
  <conditionalFormatting sqref="AD11">
    <cfRule type="containsText" dxfId="5213" priority="11288" operator="containsText" text="GP2">
      <formula>NOT(ISERROR(SEARCH("GP2",AD11)))</formula>
    </cfRule>
    <cfRule type="containsText" dxfId="5212" priority="11289" operator="containsText" text="GP1">
      <formula>NOT(ISERROR(SEARCH("GP1",AD11)))</formula>
    </cfRule>
  </conditionalFormatting>
  <conditionalFormatting sqref="AD11">
    <cfRule type="containsText" dxfId="5211" priority="11286" operator="containsText" text="GP2">
      <formula>NOT(ISERROR(SEARCH("GP2",AD11)))</formula>
    </cfRule>
    <cfRule type="containsText" dxfId="5210" priority="11287" operator="containsText" text="GP1">
      <formula>NOT(ISERROR(SEARCH("GP1",AD11)))</formula>
    </cfRule>
  </conditionalFormatting>
  <conditionalFormatting sqref="AD11">
    <cfRule type="containsText" dxfId="5209" priority="11284" operator="containsText" text="GP2">
      <formula>NOT(ISERROR(SEARCH("GP2",AD11)))</formula>
    </cfRule>
    <cfRule type="containsText" dxfId="5208" priority="11285" operator="containsText" text="GP1">
      <formula>NOT(ISERROR(SEARCH("GP1",AD11)))</formula>
    </cfRule>
  </conditionalFormatting>
  <conditionalFormatting sqref="AD11">
    <cfRule type="containsText" dxfId="5207" priority="11282" operator="containsText" text="GP2">
      <formula>NOT(ISERROR(SEARCH("GP2",AD11)))</formula>
    </cfRule>
    <cfRule type="containsText" dxfId="5206" priority="11283" operator="containsText" text="GP1">
      <formula>NOT(ISERROR(SEARCH("GP1",AD11)))</formula>
    </cfRule>
  </conditionalFormatting>
  <conditionalFormatting sqref="AD11">
    <cfRule type="containsText" dxfId="5205" priority="11280" operator="containsText" text="GP2">
      <formula>NOT(ISERROR(SEARCH("GP2",AD11)))</formula>
    </cfRule>
    <cfRule type="containsText" dxfId="5204" priority="11281" operator="containsText" text="GP1">
      <formula>NOT(ISERROR(SEARCH("GP1",AD11)))</formula>
    </cfRule>
  </conditionalFormatting>
  <conditionalFormatting sqref="AD11">
    <cfRule type="containsText" dxfId="5203" priority="11278" operator="containsText" text="GP2">
      <formula>NOT(ISERROR(SEARCH("GP2",AD11)))</formula>
    </cfRule>
    <cfRule type="containsText" dxfId="5202" priority="11279" operator="containsText" text="GP1">
      <formula>NOT(ISERROR(SEARCH("GP1",AD11)))</formula>
    </cfRule>
  </conditionalFormatting>
  <conditionalFormatting sqref="AD11">
    <cfRule type="containsText" dxfId="5201" priority="11276" operator="containsText" text="GP2">
      <formula>NOT(ISERROR(SEARCH("GP2",AD11)))</formula>
    </cfRule>
    <cfRule type="containsText" dxfId="5200" priority="11277" operator="containsText" text="GP1">
      <formula>NOT(ISERROR(SEARCH("GP1",AD11)))</formula>
    </cfRule>
  </conditionalFormatting>
  <conditionalFormatting sqref="AD11">
    <cfRule type="containsText" dxfId="5199" priority="11274" operator="containsText" text="GP2">
      <formula>NOT(ISERROR(SEARCH("GP2",AD11)))</formula>
    </cfRule>
    <cfRule type="containsText" dxfId="5198" priority="11275" operator="containsText" text="GP1">
      <formula>NOT(ISERROR(SEARCH("GP1",AD11)))</formula>
    </cfRule>
  </conditionalFormatting>
  <conditionalFormatting sqref="AD11">
    <cfRule type="containsText" dxfId="5197" priority="11272" operator="containsText" text="GP2">
      <formula>NOT(ISERROR(SEARCH("GP2",AD11)))</formula>
    </cfRule>
    <cfRule type="containsText" dxfId="5196" priority="11273" operator="containsText" text="GP1">
      <formula>NOT(ISERROR(SEARCH("GP1",AD11)))</formula>
    </cfRule>
  </conditionalFormatting>
  <conditionalFormatting sqref="AD11">
    <cfRule type="containsText" dxfId="5195" priority="11270" operator="containsText" text="GP2">
      <formula>NOT(ISERROR(SEARCH("GP2",AD11)))</formula>
    </cfRule>
    <cfRule type="containsText" dxfId="5194" priority="11271" operator="containsText" text="GP1">
      <formula>NOT(ISERROR(SEARCH("GP1",AD11)))</formula>
    </cfRule>
  </conditionalFormatting>
  <conditionalFormatting sqref="AD11">
    <cfRule type="containsText" dxfId="5193" priority="11268" operator="containsText" text="GP2">
      <formula>NOT(ISERROR(SEARCH("GP2",AD11)))</formula>
    </cfRule>
    <cfRule type="containsText" dxfId="5192" priority="11269" operator="containsText" text="GP1">
      <formula>NOT(ISERROR(SEARCH("GP1",AD11)))</formula>
    </cfRule>
  </conditionalFormatting>
  <conditionalFormatting sqref="AD11">
    <cfRule type="containsText" dxfId="5191" priority="11266" operator="containsText" text="GP2">
      <formula>NOT(ISERROR(SEARCH("GP2",AD11)))</formula>
    </cfRule>
    <cfRule type="containsText" dxfId="5190" priority="11267" operator="containsText" text="GP1">
      <formula>NOT(ISERROR(SEARCH("GP1",AD11)))</formula>
    </cfRule>
  </conditionalFormatting>
  <conditionalFormatting sqref="AD11">
    <cfRule type="containsText" dxfId="5189" priority="11264" operator="containsText" text="GP2">
      <formula>NOT(ISERROR(SEARCH("GP2",AD11)))</formula>
    </cfRule>
    <cfRule type="containsText" dxfId="5188" priority="11265" operator="containsText" text="GP1">
      <formula>NOT(ISERROR(SEARCH("GP1",AD11)))</formula>
    </cfRule>
  </conditionalFormatting>
  <conditionalFormatting sqref="AD11">
    <cfRule type="containsText" dxfId="5187" priority="11262" operator="containsText" text="GP2">
      <formula>NOT(ISERROR(SEARCH("GP2",AD11)))</formula>
    </cfRule>
    <cfRule type="containsText" dxfId="5186" priority="11263" operator="containsText" text="GP1">
      <formula>NOT(ISERROR(SEARCH("GP1",AD11)))</formula>
    </cfRule>
  </conditionalFormatting>
  <conditionalFormatting sqref="AD11">
    <cfRule type="containsText" dxfId="5185" priority="11260" operator="containsText" text="GP2">
      <formula>NOT(ISERROR(SEARCH("GP2",AD11)))</formula>
    </cfRule>
    <cfRule type="containsText" dxfId="5184" priority="11261" operator="containsText" text="GP1">
      <formula>NOT(ISERROR(SEARCH("GP1",AD11)))</formula>
    </cfRule>
  </conditionalFormatting>
  <conditionalFormatting sqref="AD11">
    <cfRule type="containsText" dxfId="5183" priority="11258" operator="containsText" text="GP2">
      <formula>NOT(ISERROR(SEARCH("GP2",AD11)))</formula>
    </cfRule>
    <cfRule type="containsText" dxfId="5182" priority="11259" operator="containsText" text="GP1">
      <formula>NOT(ISERROR(SEARCH("GP1",AD11)))</formula>
    </cfRule>
  </conditionalFormatting>
  <conditionalFormatting sqref="AD11">
    <cfRule type="containsText" dxfId="5181" priority="11256" operator="containsText" text="GP2">
      <formula>NOT(ISERROR(SEARCH("GP2",AD11)))</formula>
    </cfRule>
    <cfRule type="containsText" dxfId="5180" priority="11257" operator="containsText" text="GP1">
      <formula>NOT(ISERROR(SEARCH("GP1",AD11)))</formula>
    </cfRule>
  </conditionalFormatting>
  <conditionalFormatting sqref="AD11">
    <cfRule type="containsText" dxfId="5179" priority="11254" operator="containsText" text="GP2">
      <formula>NOT(ISERROR(SEARCH("GP2",AD11)))</formula>
    </cfRule>
    <cfRule type="containsText" dxfId="5178" priority="11255" operator="containsText" text="GP1">
      <formula>NOT(ISERROR(SEARCH("GP1",AD11)))</formula>
    </cfRule>
  </conditionalFormatting>
  <conditionalFormatting sqref="AD11">
    <cfRule type="containsText" dxfId="5177" priority="11252" operator="containsText" text="GP2">
      <formula>NOT(ISERROR(SEARCH("GP2",AD11)))</formula>
    </cfRule>
    <cfRule type="containsText" dxfId="5176" priority="11253" operator="containsText" text="GP1">
      <formula>NOT(ISERROR(SEARCH("GP1",AD11)))</formula>
    </cfRule>
  </conditionalFormatting>
  <conditionalFormatting sqref="AD11">
    <cfRule type="containsText" dxfId="5175" priority="11250" operator="containsText" text="GP2">
      <formula>NOT(ISERROR(SEARCH("GP2",AD11)))</formula>
    </cfRule>
    <cfRule type="containsText" dxfId="5174" priority="11251" operator="containsText" text="GP1">
      <formula>NOT(ISERROR(SEARCH("GP1",AD11)))</formula>
    </cfRule>
  </conditionalFormatting>
  <conditionalFormatting sqref="AD11">
    <cfRule type="containsText" dxfId="5173" priority="11248" operator="containsText" text="GP2">
      <formula>NOT(ISERROR(SEARCH("GP2",AD11)))</formula>
    </cfRule>
    <cfRule type="containsText" dxfId="5172" priority="11249" operator="containsText" text="GP1">
      <formula>NOT(ISERROR(SEARCH("GP1",AD11)))</formula>
    </cfRule>
  </conditionalFormatting>
  <conditionalFormatting sqref="AD11">
    <cfRule type="containsText" dxfId="5171" priority="11246" operator="containsText" text="GP2">
      <formula>NOT(ISERROR(SEARCH("GP2",AD11)))</formula>
    </cfRule>
    <cfRule type="containsText" dxfId="5170" priority="11247" operator="containsText" text="GP1">
      <formula>NOT(ISERROR(SEARCH("GP1",AD11)))</formula>
    </cfRule>
  </conditionalFormatting>
  <conditionalFormatting sqref="AD11">
    <cfRule type="containsText" dxfId="5169" priority="11244" operator="containsText" text="GP2">
      <formula>NOT(ISERROR(SEARCH("GP2",AD11)))</formula>
    </cfRule>
    <cfRule type="containsText" dxfId="5168" priority="11245" operator="containsText" text="GP1">
      <formula>NOT(ISERROR(SEARCH("GP1",AD11)))</formula>
    </cfRule>
  </conditionalFormatting>
  <conditionalFormatting sqref="AD11">
    <cfRule type="containsText" dxfId="5167" priority="11242" operator="containsText" text="GP2">
      <formula>NOT(ISERROR(SEARCH("GP2",AD11)))</formula>
    </cfRule>
    <cfRule type="containsText" dxfId="5166" priority="11243" operator="containsText" text="GP1">
      <formula>NOT(ISERROR(SEARCH("GP1",AD11)))</formula>
    </cfRule>
  </conditionalFormatting>
  <conditionalFormatting sqref="AD11">
    <cfRule type="containsText" dxfId="5165" priority="11240" operator="containsText" text="GP2">
      <formula>NOT(ISERROR(SEARCH("GP2",AD11)))</formula>
    </cfRule>
    <cfRule type="containsText" dxfId="5164" priority="11241" operator="containsText" text="GP1">
      <formula>NOT(ISERROR(SEARCH("GP1",AD11)))</formula>
    </cfRule>
  </conditionalFormatting>
  <conditionalFormatting sqref="AD11">
    <cfRule type="containsText" dxfId="5163" priority="11238" operator="containsText" text="GP2">
      <formula>NOT(ISERROR(SEARCH("GP2",AD11)))</formula>
    </cfRule>
    <cfRule type="containsText" dxfId="5162" priority="11239" operator="containsText" text="GP1">
      <formula>NOT(ISERROR(SEARCH("GP1",AD11)))</formula>
    </cfRule>
  </conditionalFormatting>
  <conditionalFormatting sqref="AD11">
    <cfRule type="containsText" dxfId="5161" priority="11236" operator="containsText" text="GP2">
      <formula>NOT(ISERROR(SEARCH("GP2",AD11)))</formula>
    </cfRule>
    <cfRule type="containsText" dxfId="5160" priority="11237" operator="containsText" text="GP1">
      <formula>NOT(ISERROR(SEARCH("GP1",AD11)))</formula>
    </cfRule>
  </conditionalFormatting>
  <conditionalFormatting sqref="AD11">
    <cfRule type="containsText" dxfId="5159" priority="11234" operator="containsText" text="GP2">
      <formula>NOT(ISERROR(SEARCH("GP2",AD11)))</formula>
    </cfRule>
    <cfRule type="containsText" dxfId="5158" priority="11235" operator="containsText" text="GP1">
      <formula>NOT(ISERROR(SEARCH("GP1",AD11)))</formula>
    </cfRule>
  </conditionalFormatting>
  <conditionalFormatting sqref="AD11">
    <cfRule type="containsText" dxfId="5157" priority="11232" operator="containsText" text="GP2">
      <formula>NOT(ISERROR(SEARCH("GP2",AD11)))</formula>
    </cfRule>
    <cfRule type="containsText" dxfId="5156" priority="11233" operator="containsText" text="GP1">
      <formula>NOT(ISERROR(SEARCH("GP1",AD11)))</formula>
    </cfRule>
  </conditionalFormatting>
  <conditionalFormatting sqref="AD11">
    <cfRule type="containsText" dxfId="5155" priority="11230" operator="containsText" text="GP2">
      <formula>NOT(ISERROR(SEARCH("GP2",AD11)))</formula>
    </cfRule>
    <cfRule type="containsText" dxfId="5154" priority="11231" operator="containsText" text="GP1">
      <formula>NOT(ISERROR(SEARCH("GP1",AD11)))</formula>
    </cfRule>
  </conditionalFormatting>
  <conditionalFormatting sqref="AD11">
    <cfRule type="containsText" dxfId="5153" priority="11228" operator="containsText" text="GP2">
      <formula>NOT(ISERROR(SEARCH("GP2",AD11)))</formula>
    </cfRule>
    <cfRule type="containsText" dxfId="5152" priority="11229" operator="containsText" text="GP1">
      <formula>NOT(ISERROR(SEARCH("GP1",AD11)))</formula>
    </cfRule>
  </conditionalFormatting>
  <conditionalFormatting sqref="AD11">
    <cfRule type="containsText" dxfId="5151" priority="11226" operator="containsText" text="GP2">
      <formula>NOT(ISERROR(SEARCH("GP2",AD11)))</formula>
    </cfRule>
    <cfRule type="containsText" dxfId="5150" priority="11227" operator="containsText" text="GP1">
      <formula>NOT(ISERROR(SEARCH("GP1",AD11)))</formula>
    </cfRule>
  </conditionalFormatting>
  <conditionalFormatting sqref="AD11">
    <cfRule type="containsText" dxfId="5149" priority="11224" operator="containsText" text="GP2">
      <formula>NOT(ISERROR(SEARCH("GP2",AD11)))</formula>
    </cfRule>
    <cfRule type="containsText" dxfId="5148" priority="11225" operator="containsText" text="GP1">
      <formula>NOT(ISERROR(SEARCH("GP1",AD11)))</formula>
    </cfRule>
  </conditionalFormatting>
  <conditionalFormatting sqref="AD11">
    <cfRule type="containsText" dxfId="5147" priority="11222" operator="containsText" text="GP2">
      <formula>NOT(ISERROR(SEARCH("GP2",AD11)))</formula>
    </cfRule>
    <cfRule type="containsText" dxfId="5146" priority="11223" operator="containsText" text="GP1">
      <formula>NOT(ISERROR(SEARCH("GP1",AD11)))</formula>
    </cfRule>
  </conditionalFormatting>
  <conditionalFormatting sqref="AD11">
    <cfRule type="containsText" dxfId="5145" priority="11220" operator="containsText" text="GP2">
      <formula>NOT(ISERROR(SEARCH("GP2",AD11)))</formula>
    </cfRule>
    <cfRule type="containsText" dxfId="5144" priority="11221" operator="containsText" text="GP1">
      <formula>NOT(ISERROR(SEARCH("GP1",AD11)))</formula>
    </cfRule>
  </conditionalFormatting>
  <conditionalFormatting sqref="AD11">
    <cfRule type="containsText" dxfId="5143" priority="11218" operator="containsText" text="GP2">
      <formula>NOT(ISERROR(SEARCH("GP2",AD11)))</formula>
    </cfRule>
    <cfRule type="containsText" dxfId="5142" priority="11219" operator="containsText" text="GP1">
      <formula>NOT(ISERROR(SEARCH("GP1",AD11)))</formula>
    </cfRule>
  </conditionalFormatting>
  <conditionalFormatting sqref="AD11">
    <cfRule type="containsText" dxfId="5141" priority="11216" operator="containsText" text="GP2">
      <formula>NOT(ISERROR(SEARCH("GP2",AD11)))</formula>
    </cfRule>
    <cfRule type="containsText" dxfId="5140" priority="11217" operator="containsText" text="GP1">
      <formula>NOT(ISERROR(SEARCH("GP1",AD11)))</formula>
    </cfRule>
  </conditionalFormatting>
  <conditionalFormatting sqref="AD11">
    <cfRule type="containsText" dxfId="5139" priority="11214" operator="containsText" text="GP2">
      <formula>NOT(ISERROR(SEARCH("GP2",AD11)))</formula>
    </cfRule>
    <cfRule type="containsText" dxfId="5138" priority="11215" operator="containsText" text="GP1">
      <formula>NOT(ISERROR(SEARCH("GP1",AD11)))</formula>
    </cfRule>
  </conditionalFormatting>
  <conditionalFormatting sqref="AD11">
    <cfRule type="containsText" dxfId="5137" priority="11212" operator="containsText" text="GP2">
      <formula>NOT(ISERROR(SEARCH("GP2",AD11)))</formula>
    </cfRule>
    <cfRule type="containsText" dxfId="5136" priority="11213" operator="containsText" text="GP1">
      <formula>NOT(ISERROR(SEARCH("GP1",AD11)))</formula>
    </cfRule>
  </conditionalFormatting>
  <conditionalFormatting sqref="AD11">
    <cfRule type="containsText" dxfId="5135" priority="11210" operator="containsText" text="GP2">
      <formula>NOT(ISERROR(SEARCH("GP2",AD11)))</formula>
    </cfRule>
    <cfRule type="containsText" dxfId="5134" priority="11211" operator="containsText" text="GP1">
      <formula>NOT(ISERROR(SEARCH("GP1",AD11)))</formula>
    </cfRule>
  </conditionalFormatting>
  <conditionalFormatting sqref="AD11">
    <cfRule type="containsText" dxfId="5133" priority="11208" operator="containsText" text="GP2">
      <formula>NOT(ISERROR(SEARCH("GP2",AD11)))</formula>
    </cfRule>
    <cfRule type="containsText" dxfId="5132" priority="11209" operator="containsText" text="GP1">
      <formula>NOT(ISERROR(SEARCH("GP1",AD11)))</formula>
    </cfRule>
  </conditionalFormatting>
  <conditionalFormatting sqref="AD11">
    <cfRule type="containsText" dxfId="5131" priority="11206" operator="containsText" text="GP2">
      <formula>NOT(ISERROR(SEARCH("GP2",AD11)))</formula>
    </cfRule>
    <cfRule type="containsText" dxfId="5130" priority="11207" operator="containsText" text="GP1">
      <formula>NOT(ISERROR(SEARCH("GP1",AD11)))</formula>
    </cfRule>
  </conditionalFormatting>
  <conditionalFormatting sqref="AD11">
    <cfRule type="containsText" dxfId="5129" priority="11204" operator="containsText" text="GP2">
      <formula>NOT(ISERROR(SEARCH("GP2",AD11)))</formula>
    </cfRule>
    <cfRule type="containsText" dxfId="5128" priority="11205" operator="containsText" text="GP1">
      <formula>NOT(ISERROR(SEARCH("GP1",AD11)))</formula>
    </cfRule>
  </conditionalFormatting>
  <conditionalFormatting sqref="AD11">
    <cfRule type="containsText" dxfId="5127" priority="11202" operator="containsText" text="GP2">
      <formula>NOT(ISERROR(SEARCH("GP2",AD11)))</formula>
    </cfRule>
    <cfRule type="containsText" dxfId="5126" priority="11203" operator="containsText" text="GP1">
      <formula>NOT(ISERROR(SEARCH("GP1",AD11)))</formula>
    </cfRule>
  </conditionalFormatting>
  <conditionalFormatting sqref="AD11">
    <cfRule type="containsText" dxfId="5125" priority="11200" operator="containsText" text="GP2">
      <formula>NOT(ISERROR(SEARCH("GP2",AD11)))</formula>
    </cfRule>
    <cfRule type="containsText" dxfId="5124" priority="11201" operator="containsText" text="GP1">
      <formula>NOT(ISERROR(SEARCH("GP1",AD11)))</formula>
    </cfRule>
  </conditionalFormatting>
  <conditionalFormatting sqref="AD11">
    <cfRule type="containsText" dxfId="5123" priority="11198" operator="containsText" text="GP2">
      <formula>NOT(ISERROR(SEARCH("GP2",AD11)))</formula>
    </cfRule>
    <cfRule type="containsText" dxfId="5122" priority="11199" operator="containsText" text="GP1">
      <formula>NOT(ISERROR(SEARCH("GP1",AD11)))</formula>
    </cfRule>
  </conditionalFormatting>
  <conditionalFormatting sqref="AD11">
    <cfRule type="containsText" dxfId="5121" priority="11196" operator="containsText" text="GP2">
      <formula>NOT(ISERROR(SEARCH("GP2",AD11)))</formula>
    </cfRule>
    <cfRule type="containsText" dxfId="5120" priority="11197" operator="containsText" text="GP1">
      <formula>NOT(ISERROR(SEARCH("GP1",AD11)))</formula>
    </cfRule>
  </conditionalFormatting>
  <conditionalFormatting sqref="AD11">
    <cfRule type="containsText" dxfId="5119" priority="11194" operator="containsText" text="GP2">
      <formula>NOT(ISERROR(SEARCH("GP2",AD11)))</formula>
    </cfRule>
    <cfRule type="containsText" dxfId="5118" priority="11195" operator="containsText" text="GP1">
      <formula>NOT(ISERROR(SEARCH("GP1",AD11)))</formula>
    </cfRule>
  </conditionalFormatting>
  <conditionalFormatting sqref="AD11">
    <cfRule type="containsText" dxfId="5117" priority="11192" operator="containsText" text="GP2">
      <formula>NOT(ISERROR(SEARCH("GP2",AD11)))</formula>
    </cfRule>
    <cfRule type="containsText" dxfId="5116" priority="11193" operator="containsText" text="GP1">
      <formula>NOT(ISERROR(SEARCH("GP1",AD11)))</formula>
    </cfRule>
  </conditionalFormatting>
  <conditionalFormatting sqref="AD11">
    <cfRule type="containsText" dxfId="5115" priority="11190" operator="containsText" text="GP2">
      <formula>NOT(ISERROR(SEARCH("GP2",AD11)))</formula>
    </cfRule>
    <cfRule type="containsText" dxfId="5114" priority="11191" operator="containsText" text="GP1">
      <formula>NOT(ISERROR(SEARCH("GP1",AD11)))</formula>
    </cfRule>
  </conditionalFormatting>
  <conditionalFormatting sqref="AD11">
    <cfRule type="containsText" dxfId="5113" priority="11188" operator="containsText" text="GP2">
      <formula>NOT(ISERROR(SEARCH("GP2",AD11)))</formula>
    </cfRule>
    <cfRule type="containsText" dxfId="5112" priority="11189" operator="containsText" text="GP1">
      <formula>NOT(ISERROR(SEARCH("GP1",AD11)))</formula>
    </cfRule>
  </conditionalFormatting>
  <conditionalFormatting sqref="AD11">
    <cfRule type="containsText" dxfId="5111" priority="11186" operator="containsText" text="GP2">
      <formula>NOT(ISERROR(SEARCH("GP2",AD11)))</formula>
    </cfRule>
    <cfRule type="containsText" dxfId="5110" priority="11187" operator="containsText" text="GP1">
      <formula>NOT(ISERROR(SEARCH("GP1",AD11)))</formula>
    </cfRule>
  </conditionalFormatting>
  <conditionalFormatting sqref="AD11">
    <cfRule type="containsText" dxfId="5109" priority="11184" operator="containsText" text="GP2">
      <formula>NOT(ISERROR(SEARCH("GP2",AD11)))</formula>
    </cfRule>
    <cfRule type="containsText" dxfId="5108" priority="11185" operator="containsText" text="GP1">
      <formula>NOT(ISERROR(SEARCH("GP1",AD11)))</formula>
    </cfRule>
  </conditionalFormatting>
  <conditionalFormatting sqref="AD11">
    <cfRule type="containsText" dxfId="5107" priority="11182" operator="containsText" text="GP2">
      <formula>NOT(ISERROR(SEARCH("GP2",AD11)))</formula>
    </cfRule>
    <cfRule type="containsText" dxfId="5106" priority="11183" operator="containsText" text="GP1">
      <formula>NOT(ISERROR(SEARCH("GP1",AD11)))</formula>
    </cfRule>
  </conditionalFormatting>
  <conditionalFormatting sqref="AD11">
    <cfRule type="containsText" dxfId="5105" priority="11180" operator="containsText" text="GP2">
      <formula>NOT(ISERROR(SEARCH("GP2",AD11)))</formula>
    </cfRule>
    <cfRule type="containsText" dxfId="5104" priority="11181" operator="containsText" text="GP1">
      <formula>NOT(ISERROR(SEARCH("GP1",AD11)))</formula>
    </cfRule>
  </conditionalFormatting>
  <conditionalFormatting sqref="AD11">
    <cfRule type="containsText" dxfId="5103" priority="11178" operator="containsText" text="GP2">
      <formula>NOT(ISERROR(SEARCH("GP2",AD11)))</formula>
    </cfRule>
    <cfRule type="containsText" dxfId="5102" priority="11179" operator="containsText" text="GP1">
      <formula>NOT(ISERROR(SEARCH("GP1",AD11)))</formula>
    </cfRule>
  </conditionalFormatting>
  <conditionalFormatting sqref="AD11">
    <cfRule type="containsText" dxfId="5101" priority="11176" operator="containsText" text="GP2">
      <formula>NOT(ISERROR(SEARCH("GP2",AD11)))</formula>
    </cfRule>
    <cfRule type="containsText" dxfId="5100" priority="11177" operator="containsText" text="GP1">
      <formula>NOT(ISERROR(SEARCH("GP1",AD11)))</formula>
    </cfRule>
  </conditionalFormatting>
  <conditionalFormatting sqref="AD11">
    <cfRule type="containsText" dxfId="5099" priority="11174" operator="containsText" text="GP2">
      <formula>NOT(ISERROR(SEARCH("GP2",AD11)))</formula>
    </cfRule>
    <cfRule type="containsText" dxfId="5098" priority="11175" operator="containsText" text="GP1">
      <formula>NOT(ISERROR(SEARCH("GP1",AD11)))</formula>
    </cfRule>
  </conditionalFormatting>
  <conditionalFormatting sqref="AD11">
    <cfRule type="containsText" dxfId="5097" priority="11172" operator="containsText" text="GP2">
      <formula>NOT(ISERROR(SEARCH("GP2",AD11)))</formula>
    </cfRule>
    <cfRule type="containsText" dxfId="5096" priority="11173" operator="containsText" text="GP1">
      <formula>NOT(ISERROR(SEARCH("GP1",AD11)))</formula>
    </cfRule>
  </conditionalFormatting>
  <conditionalFormatting sqref="AD11">
    <cfRule type="containsText" dxfId="5095" priority="11170" operator="containsText" text="GP2">
      <formula>NOT(ISERROR(SEARCH("GP2",AD11)))</formula>
    </cfRule>
    <cfRule type="containsText" dxfId="5094" priority="11171" operator="containsText" text="GP1">
      <formula>NOT(ISERROR(SEARCH("GP1",AD11)))</formula>
    </cfRule>
  </conditionalFormatting>
  <conditionalFormatting sqref="AD11">
    <cfRule type="containsText" dxfId="5093" priority="11168" operator="containsText" text="GP2">
      <formula>NOT(ISERROR(SEARCH("GP2",AD11)))</formula>
    </cfRule>
    <cfRule type="containsText" dxfId="5092" priority="11169" operator="containsText" text="GP1">
      <formula>NOT(ISERROR(SEARCH("GP1",AD11)))</formula>
    </cfRule>
  </conditionalFormatting>
  <conditionalFormatting sqref="AD11">
    <cfRule type="containsText" dxfId="5091" priority="11166" operator="containsText" text="GP2">
      <formula>NOT(ISERROR(SEARCH("GP2",AD11)))</formula>
    </cfRule>
    <cfRule type="containsText" dxfId="5090" priority="11167" operator="containsText" text="GP1">
      <formula>NOT(ISERROR(SEARCH("GP1",AD11)))</formula>
    </cfRule>
  </conditionalFormatting>
  <conditionalFormatting sqref="AD11">
    <cfRule type="containsText" dxfId="5089" priority="11164" operator="containsText" text="GP2">
      <formula>NOT(ISERROR(SEARCH("GP2",AD11)))</formula>
    </cfRule>
    <cfRule type="containsText" dxfId="5088" priority="11165" operator="containsText" text="GP1">
      <formula>NOT(ISERROR(SEARCH("GP1",AD11)))</formula>
    </cfRule>
  </conditionalFormatting>
  <conditionalFormatting sqref="AD11">
    <cfRule type="containsText" dxfId="5087" priority="11162" operator="containsText" text="GP2">
      <formula>NOT(ISERROR(SEARCH("GP2",AD11)))</formula>
    </cfRule>
    <cfRule type="containsText" dxfId="5086" priority="11163" operator="containsText" text="GP1">
      <formula>NOT(ISERROR(SEARCH("GP1",AD11)))</formula>
    </cfRule>
  </conditionalFormatting>
  <conditionalFormatting sqref="AD11">
    <cfRule type="containsText" dxfId="5085" priority="11160" operator="containsText" text="GP2">
      <formula>NOT(ISERROR(SEARCH("GP2",AD11)))</formula>
    </cfRule>
    <cfRule type="containsText" dxfId="5084" priority="11161" operator="containsText" text="GP1">
      <formula>NOT(ISERROR(SEARCH("GP1",AD11)))</formula>
    </cfRule>
  </conditionalFormatting>
  <conditionalFormatting sqref="AD11">
    <cfRule type="containsText" dxfId="5083" priority="11158" operator="containsText" text="GP2">
      <formula>NOT(ISERROR(SEARCH("GP2",AD11)))</formula>
    </cfRule>
    <cfRule type="containsText" dxfId="5082" priority="11159" operator="containsText" text="GP1">
      <formula>NOT(ISERROR(SEARCH("GP1",AD11)))</formula>
    </cfRule>
  </conditionalFormatting>
  <conditionalFormatting sqref="AD11">
    <cfRule type="containsText" dxfId="5081" priority="11156" operator="containsText" text="GP2">
      <formula>NOT(ISERROR(SEARCH("GP2",AD11)))</formula>
    </cfRule>
    <cfRule type="containsText" dxfId="5080" priority="11157" operator="containsText" text="GP1">
      <formula>NOT(ISERROR(SEARCH("GP1",AD11)))</formula>
    </cfRule>
  </conditionalFormatting>
  <conditionalFormatting sqref="AD11">
    <cfRule type="containsText" dxfId="5079" priority="11154" operator="containsText" text="GP2">
      <formula>NOT(ISERROR(SEARCH("GP2",AD11)))</formula>
    </cfRule>
    <cfRule type="containsText" dxfId="5078" priority="11155" operator="containsText" text="GP1">
      <formula>NOT(ISERROR(SEARCH("GP1",AD11)))</formula>
    </cfRule>
  </conditionalFormatting>
  <conditionalFormatting sqref="AD11">
    <cfRule type="containsText" dxfId="5077" priority="11152" operator="containsText" text="GP2">
      <formula>NOT(ISERROR(SEARCH("GP2",AD11)))</formula>
    </cfRule>
    <cfRule type="containsText" dxfId="5076" priority="11153" operator="containsText" text="GP1">
      <formula>NOT(ISERROR(SEARCH("GP1",AD11)))</formula>
    </cfRule>
  </conditionalFormatting>
  <conditionalFormatting sqref="AD11">
    <cfRule type="containsText" dxfId="5075" priority="11150" operator="containsText" text="GP2">
      <formula>NOT(ISERROR(SEARCH("GP2",AD11)))</formula>
    </cfRule>
    <cfRule type="containsText" dxfId="5074" priority="11151" operator="containsText" text="GP1">
      <formula>NOT(ISERROR(SEARCH("GP1",AD11)))</formula>
    </cfRule>
  </conditionalFormatting>
  <conditionalFormatting sqref="AD11">
    <cfRule type="containsText" dxfId="5073" priority="11148" operator="containsText" text="GP2">
      <formula>NOT(ISERROR(SEARCH("GP2",AD11)))</formula>
    </cfRule>
    <cfRule type="containsText" dxfId="5072" priority="11149" operator="containsText" text="GP1">
      <formula>NOT(ISERROR(SEARCH("GP1",AD11)))</formula>
    </cfRule>
  </conditionalFormatting>
  <conditionalFormatting sqref="AD11">
    <cfRule type="containsText" dxfId="5071" priority="11146" operator="containsText" text="GP2">
      <formula>NOT(ISERROR(SEARCH("GP2",AD11)))</formula>
    </cfRule>
    <cfRule type="containsText" dxfId="5070" priority="11147" operator="containsText" text="GP1">
      <formula>NOT(ISERROR(SEARCH("GP1",AD11)))</formula>
    </cfRule>
  </conditionalFormatting>
  <conditionalFormatting sqref="AD11">
    <cfRule type="containsText" dxfId="5069" priority="11144" operator="containsText" text="GP2">
      <formula>NOT(ISERROR(SEARCH("GP2",AD11)))</formula>
    </cfRule>
    <cfRule type="containsText" dxfId="5068" priority="11145" operator="containsText" text="GP1">
      <formula>NOT(ISERROR(SEARCH("GP1",AD11)))</formula>
    </cfRule>
  </conditionalFormatting>
  <conditionalFormatting sqref="AD11">
    <cfRule type="containsText" dxfId="5067" priority="11142" operator="containsText" text="GP2">
      <formula>NOT(ISERROR(SEARCH("GP2",AD11)))</formula>
    </cfRule>
    <cfRule type="containsText" dxfId="5066" priority="11143" operator="containsText" text="GP1">
      <formula>NOT(ISERROR(SEARCH("GP1",AD11)))</formula>
    </cfRule>
  </conditionalFormatting>
  <conditionalFormatting sqref="AD11">
    <cfRule type="containsText" dxfId="5065" priority="11140" operator="containsText" text="GP2">
      <formula>NOT(ISERROR(SEARCH("GP2",AD11)))</formula>
    </cfRule>
    <cfRule type="containsText" dxfId="5064" priority="11141" operator="containsText" text="GP1">
      <formula>NOT(ISERROR(SEARCH("GP1",AD11)))</formula>
    </cfRule>
  </conditionalFormatting>
  <conditionalFormatting sqref="AD11">
    <cfRule type="containsText" dxfId="5063" priority="11138" operator="containsText" text="GP2">
      <formula>NOT(ISERROR(SEARCH("GP2",AD11)))</formula>
    </cfRule>
    <cfRule type="containsText" dxfId="5062" priority="11139" operator="containsText" text="GP1">
      <formula>NOT(ISERROR(SEARCH("GP1",AD11)))</formula>
    </cfRule>
  </conditionalFormatting>
  <conditionalFormatting sqref="AD11">
    <cfRule type="containsText" dxfId="5061" priority="11136" operator="containsText" text="GP2">
      <formula>NOT(ISERROR(SEARCH("GP2",AD11)))</formula>
    </cfRule>
    <cfRule type="containsText" dxfId="5060" priority="11137" operator="containsText" text="GP1">
      <formula>NOT(ISERROR(SEARCH("GP1",AD11)))</formula>
    </cfRule>
  </conditionalFormatting>
  <conditionalFormatting sqref="AD11">
    <cfRule type="containsText" dxfId="5059" priority="11134" operator="containsText" text="GP2">
      <formula>NOT(ISERROR(SEARCH("GP2",AD11)))</formula>
    </cfRule>
    <cfRule type="containsText" dxfId="5058" priority="11135" operator="containsText" text="GP1">
      <formula>NOT(ISERROR(SEARCH("GP1",AD11)))</formula>
    </cfRule>
  </conditionalFormatting>
  <conditionalFormatting sqref="AD11">
    <cfRule type="containsText" dxfId="5057" priority="11132" operator="containsText" text="GP2">
      <formula>NOT(ISERROR(SEARCH("GP2",AD11)))</formula>
    </cfRule>
    <cfRule type="containsText" dxfId="5056" priority="11133" operator="containsText" text="GP1">
      <formula>NOT(ISERROR(SEARCH("GP1",AD11)))</formula>
    </cfRule>
  </conditionalFormatting>
  <conditionalFormatting sqref="AD11">
    <cfRule type="containsText" dxfId="5055" priority="11130" operator="containsText" text="GP2">
      <formula>NOT(ISERROR(SEARCH("GP2",AD11)))</formula>
    </cfRule>
    <cfRule type="containsText" dxfId="5054" priority="11131" operator="containsText" text="GP1">
      <formula>NOT(ISERROR(SEARCH("GP1",AD11)))</formula>
    </cfRule>
  </conditionalFormatting>
  <conditionalFormatting sqref="AD11">
    <cfRule type="containsText" dxfId="5053" priority="11128" operator="containsText" text="GP2">
      <formula>NOT(ISERROR(SEARCH("GP2",AD11)))</formula>
    </cfRule>
    <cfRule type="containsText" dxfId="5052" priority="11129" operator="containsText" text="GP1">
      <formula>NOT(ISERROR(SEARCH("GP1",AD11)))</formula>
    </cfRule>
  </conditionalFormatting>
  <conditionalFormatting sqref="AD11">
    <cfRule type="containsText" dxfId="5051" priority="11126" operator="containsText" text="GP2">
      <formula>NOT(ISERROR(SEARCH("GP2",AD11)))</formula>
    </cfRule>
    <cfRule type="containsText" dxfId="5050" priority="11127" operator="containsText" text="GP1">
      <formula>NOT(ISERROR(SEARCH("GP1",AD11)))</formula>
    </cfRule>
  </conditionalFormatting>
  <conditionalFormatting sqref="AD11">
    <cfRule type="containsText" dxfId="5049" priority="11124" operator="containsText" text="GP2">
      <formula>NOT(ISERROR(SEARCH("GP2",AD11)))</formula>
    </cfRule>
    <cfRule type="containsText" dxfId="5048" priority="11125" operator="containsText" text="GP1">
      <formula>NOT(ISERROR(SEARCH("GP1",AD11)))</formula>
    </cfRule>
  </conditionalFormatting>
  <conditionalFormatting sqref="AD11">
    <cfRule type="containsText" dxfId="5047" priority="11122" operator="containsText" text="GP2">
      <formula>NOT(ISERROR(SEARCH("GP2",AD11)))</formula>
    </cfRule>
    <cfRule type="containsText" dxfId="5046" priority="11123" operator="containsText" text="GP1">
      <formula>NOT(ISERROR(SEARCH("GP1",AD11)))</formula>
    </cfRule>
  </conditionalFormatting>
  <conditionalFormatting sqref="AD11">
    <cfRule type="containsText" dxfId="5045" priority="11120" operator="containsText" text="GP2">
      <formula>NOT(ISERROR(SEARCH("GP2",AD11)))</formula>
    </cfRule>
    <cfRule type="containsText" dxfId="5044" priority="11121" operator="containsText" text="GP1">
      <formula>NOT(ISERROR(SEARCH("GP1",AD11)))</formula>
    </cfRule>
  </conditionalFormatting>
  <conditionalFormatting sqref="AD11">
    <cfRule type="containsText" dxfId="5043" priority="11118" operator="containsText" text="GP2">
      <formula>NOT(ISERROR(SEARCH("GP2",AD11)))</formula>
    </cfRule>
    <cfRule type="containsText" dxfId="5042" priority="11119" operator="containsText" text="GP1">
      <formula>NOT(ISERROR(SEARCH("GP1",AD11)))</formula>
    </cfRule>
  </conditionalFormatting>
  <conditionalFormatting sqref="AD11">
    <cfRule type="containsText" dxfId="5041" priority="11116" operator="containsText" text="GP2">
      <formula>NOT(ISERROR(SEARCH("GP2",AD11)))</formula>
    </cfRule>
    <cfRule type="containsText" dxfId="5040" priority="11117" operator="containsText" text="GP1">
      <formula>NOT(ISERROR(SEARCH("GP1",AD11)))</formula>
    </cfRule>
  </conditionalFormatting>
  <conditionalFormatting sqref="AD11">
    <cfRule type="containsText" dxfId="5039" priority="11114" operator="containsText" text="GP2">
      <formula>NOT(ISERROR(SEARCH("GP2",AD11)))</formula>
    </cfRule>
    <cfRule type="containsText" dxfId="5038" priority="11115" operator="containsText" text="GP1">
      <formula>NOT(ISERROR(SEARCH("GP1",AD11)))</formula>
    </cfRule>
  </conditionalFormatting>
  <conditionalFormatting sqref="AD11">
    <cfRule type="containsText" dxfId="5037" priority="11112" operator="containsText" text="GP2">
      <formula>NOT(ISERROR(SEARCH("GP2",AD11)))</formula>
    </cfRule>
    <cfRule type="containsText" dxfId="5036" priority="11113" operator="containsText" text="GP1">
      <formula>NOT(ISERROR(SEARCH("GP1",AD11)))</formula>
    </cfRule>
  </conditionalFormatting>
  <conditionalFormatting sqref="AD11">
    <cfRule type="containsText" dxfId="5035" priority="11110" operator="containsText" text="GP2">
      <formula>NOT(ISERROR(SEARCH("GP2",AD11)))</formula>
    </cfRule>
    <cfRule type="containsText" dxfId="5034" priority="11111" operator="containsText" text="GP1">
      <formula>NOT(ISERROR(SEARCH("GP1",AD11)))</formula>
    </cfRule>
  </conditionalFormatting>
  <conditionalFormatting sqref="AD11">
    <cfRule type="containsText" dxfId="5033" priority="11108" operator="containsText" text="GP2">
      <formula>NOT(ISERROR(SEARCH("GP2",AD11)))</formula>
    </cfRule>
    <cfRule type="containsText" dxfId="5032" priority="11109" operator="containsText" text="GP1">
      <formula>NOT(ISERROR(SEARCH("GP1",AD11)))</formula>
    </cfRule>
  </conditionalFormatting>
  <conditionalFormatting sqref="AD11">
    <cfRule type="containsText" dxfId="5031" priority="11106" operator="containsText" text="GP2">
      <formula>NOT(ISERROR(SEARCH("GP2",AD11)))</formula>
    </cfRule>
    <cfRule type="containsText" dxfId="5030" priority="11107" operator="containsText" text="GP1">
      <formula>NOT(ISERROR(SEARCH("GP1",AD11)))</formula>
    </cfRule>
  </conditionalFormatting>
  <conditionalFormatting sqref="AD11">
    <cfRule type="containsText" dxfId="5029" priority="11104" operator="containsText" text="GP2">
      <formula>NOT(ISERROR(SEARCH("GP2",AD11)))</formula>
    </cfRule>
    <cfRule type="containsText" dxfId="5028" priority="11105" operator="containsText" text="GP1">
      <formula>NOT(ISERROR(SEARCH("GP1",AD11)))</formula>
    </cfRule>
  </conditionalFormatting>
  <conditionalFormatting sqref="AD11">
    <cfRule type="containsText" dxfId="5027" priority="11102" operator="containsText" text="GP2">
      <formula>NOT(ISERROR(SEARCH("GP2",AD11)))</formula>
    </cfRule>
    <cfRule type="containsText" dxfId="5026" priority="11103" operator="containsText" text="GP1">
      <formula>NOT(ISERROR(SEARCH("GP1",AD11)))</formula>
    </cfRule>
  </conditionalFormatting>
  <conditionalFormatting sqref="AD11">
    <cfRule type="containsText" dxfId="5025" priority="11100" operator="containsText" text="GP2">
      <formula>NOT(ISERROR(SEARCH("GP2",AD11)))</formula>
    </cfRule>
    <cfRule type="containsText" dxfId="5024" priority="11101" operator="containsText" text="GP1">
      <formula>NOT(ISERROR(SEARCH("GP1",AD11)))</formula>
    </cfRule>
  </conditionalFormatting>
  <conditionalFormatting sqref="AD11">
    <cfRule type="containsText" dxfId="5023" priority="11098" operator="containsText" text="GP2">
      <formula>NOT(ISERROR(SEARCH("GP2",AD11)))</formula>
    </cfRule>
    <cfRule type="containsText" dxfId="5022" priority="11099" operator="containsText" text="GP1">
      <formula>NOT(ISERROR(SEARCH("GP1",AD11)))</formula>
    </cfRule>
  </conditionalFormatting>
  <conditionalFormatting sqref="AD11">
    <cfRule type="containsText" dxfId="5021" priority="11096" operator="containsText" text="GP2">
      <formula>NOT(ISERROR(SEARCH("GP2",AD11)))</formula>
    </cfRule>
    <cfRule type="containsText" dxfId="5020" priority="11097" operator="containsText" text="GP1">
      <formula>NOT(ISERROR(SEARCH("GP1",AD11)))</formula>
    </cfRule>
  </conditionalFormatting>
  <conditionalFormatting sqref="AD11">
    <cfRule type="containsText" dxfId="5019" priority="11094" operator="containsText" text="GP2">
      <formula>NOT(ISERROR(SEARCH("GP2",AD11)))</formula>
    </cfRule>
    <cfRule type="containsText" dxfId="5018" priority="11095" operator="containsText" text="GP1">
      <formula>NOT(ISERROR(SEARCH("GP1",AD11)))</formula>
    </cfRule>
  </conditionalFormatting>
  <conditionalFormatting sqref="AD11">
    <cfRule type="containsText" dxfId="5017" priority="11092" operator="containsText" text="GP2">
      <formula>NOT(ISERROR(SEARCH("GP2",AD11)))</formula>
    </cfRule>
    <cfRule type="containsText" dxfId="5016" priority="11093" operator="containsText" text="GP1">
      <formula>NOT(ISERROR(SEARCH("GP1",AD11)))</formula>
    </cfRule>
  </conditionalFormatting>
  <conditionalFormatting sqref="AD11">
    <cfRule type="containsText" dxfId="5015" priority="11090" operator="containsText" text="GP2">
      <formula>NOT(ISERROR(SEARCH("GP2",AD11)))</formula>
    </cfRule>
    <cfRule type="containsText" dxfId="5014" priority="11091" operator="containsText" text="GP1">
      <formula>NOT(ISERROR(SEARCH("GP1",AD11)))</formula>
    </cfRule>
  </conditionalFormatting>
  <conditionalFormatting sqref="AD11">
    <cfRule type="containsText" dxfId="5013" priority="11088" operator="containsText" text="GP2">
      <formula>NOT(ISERROR(SEARCH("GP2",AD11)))</formula>
    </cfRule>
    <cfRule type="containsText" dxfId="5012" priority="11089" operator="containsText" text="GP1">
      <formula>NOT(ISERROR(SEARCH("GP1",AD11)))</formula>
    </cfRule>
  </conditionalFormatting>
  <conditionalFormatting sqref="AD11">
    <cfRule type="containsText" dxfId="5011" priority="11086" operator="containsText" text="GP2">
      <formula>NOT(ISERROR(SEARCH("GP2",AD11)))</formula>
    </cfRule>
    <cfRule type="containsText" dxfId="5010" priority="11087" operator="containsText" text="GP1">
      <formula>NOT(ISERROR(SEARCH("GP1",AD11)))</formula>
    </cfRule>
  </conditionalFormatting>
  <conditionalFormatting sqref="AD11">
    <cfRule type="containsText" dxfId="5009" priority="11084" operator="containsText" text="GP2">
      <formula>NOT(ISERROR(SEARCH("GP2",AD11)))</formula>
    </cfRule>
    <cfRule type="containsText" dxfId="5008" priority="11085" operator="containsText" text="GP1">
      <formula>NOT(ISERROR(SEARCH("GP1",AD11)))</formula>
    </cfRule>
  </conditionalFormatting>
  <conditionalFormatting sqref="AD11">
    <cfRule type="containsText" dxfId="5007" priority="11082" operator="containsText" text="GP2">
      <formula>NOT(ISERROR(SEARCH("GP2",AD11)))</formula>
    </cfRule>
    <cfRule type="containsText" dxfId="5006" priority="11083" operator="containsText" text="GP1">
      <formula>NOT(ISERROR(SEARCH("GP1",AD11)))</formula>
    </cfRule>
  </conditionalFormatting>
  <conditionalFormatting sqref="AD11">
    <cfRule type="containsText" dxfId="5005" priority="11080" operator="containsText" text="GP2">
      <formula>NOT(ISERROR(SEARCH("GP2",AD11)))</formula>
    </cfRule>
    <cfRule type="containsText" dxfId="5004" priority="11081" operator="containsText" text="GP1">
      <formula>NOT(ISERROR(SEARCH("GP1",AD11)))</formula>
    </cfRule>
  </conditionalFormatting>
  <conditionalFormatting sqref="AD11">
    <cfRule type="containsText" dxfId="5003" priority="11078" operator="containsText" text="GP2">
      <formula>NOT(ISERROR(SEARCH("GP2",AD11)))</formula>
    </cfRule>
    <cfRule type="containsText" dxfId="5002" priority="11079" operator="containsText" text="GP1">
      <formula>NOT(ISERROR(SEARCH("GP1",AD11)))</formula>
    </cfRule>
  </conditionalFormatting>
  <conditionalFormatting sqref="AD11">
    <cfRule type="containsText" dxfId="5001" priority="11076" operator="containsText" text="GP2">
      <formula>NOT(ISERROR(SEARCH("GP2",AD11)))</formula>
    </cfRule>
    <cfRule type="containsText" dxfId="5000" priority="11077" operator="containsText" text="GP1">
      <formula>NOT(ISERROR(SEARCH("GP1",AD11)))</formula>
    </cfRule>
  </conditionalFormatting>
  <conditionalFormatting sqref="AD11">
    <cfRule type="containsText" dxfId="4999" priority="11074" operator="containsText" text="GP2">
      <formula>NOT(ISERROR(SEARCH("GP2",AD11)))</formula>
    </cfRule>
    <cfRule type="containsText" dxfId="4998" priority="11075" operator="containsText" text="GP1">
      <formula>NOT(ISERROR(SEARCH("GP1",AD11)))</formula>
    </cfRule>
  </conditionalFormatting>
  <conditionalFormatting sqref="AD11">
    <cfRule type="containsText" dxfId="4997" priority="11072" operator="containsText" text="GP2">
      <formula>NOT(ISERROR(SEARCH("GP2",AD11)))</formula>
    </cfRule>
    <cfRule type="containsText" dxfId="4996" priority="11073" operator="containsText" text="GP1">
      <formula>NOT(ISERROR(SEARCH("GP1",AD11)))</formula>
    </cfRule>
  </conditionalFormatting>
  <conditionalFormatting sqref="AD11">
    <cfRule type="containsText" dxfId="4995" priority="11070" operator="containsText" text="GP2">
      <formula>NOT(ISERROR(SEARCH("GP2",AD11)))</formula>
    </cfRule>
    <cfRule type="containsText" dxfId="4994" priority="11071" operator="containsText" text="GP1">
      <formula>NOT(ISERROR(SEARCH("GP1",AD11)))</formula>
    </cfRule>
  </conditionalFormatting>
  <conditionalFormatting sqref="AD11">
    <cfRule type="containsText" dxfId="4993" priority="11068" operator="containsText" text="GP2">
      <formula>NOT(ISERROR(SEARCH("GP2",AD11)))</formula>
    </cfRule>
    <cfRule type="containsText" dxfId="4992" priority="11069" operator="containsText" text="GP1">
      <formula>NOT(ISERROR(SEARCH("GP1",AD11)))</formula>
    </cfRule>
  </conditionalFormatting>
  <conditionalFormatting sqref="AD11">
    <cfRule type="containsText" dxfId="4991" priority="11066" operator="containsText" text="GP2">
      <formula>NOT(ISERROR(SEARCH("GP2",AD11)))</formula>
    </cfRule>
    <cfRule type="containsText" dxfId="4990" priority="11067" operator="containsText" text="GP1">
      <formula>NOT(ISERROR(SEARCH("GP1",AD11)))</formula>
    </cfRule>
  </conditionalFormatting>
  <conditionalFormatting sqref="AD11">
    <cfRule type="containsText" dxfId="4989" priority="11064" operator="containsText" text="GP2">
      <formula>NOT(ISERROR(SEARCH("GP2",AD11)))</formula>
    </cfRule>
    <cfRule type="containsText" dxfId="4988" priority="11065" operator="containsText" text="GP1">
      <formula>NOT(ISERROR(SEARCH("GP1",AD11)))</formula>
    </cfRule>
  </conditionalFormatting>
  <conditionalFormatting sqref="AD11">
    <cfRule type="containsText" dxfId="4987" priority="11062" operator="containsText" text="GP2">
      <formula>NOT(ISERROR(SEARCH("GP2",AD11)))</formula>
    </cfRule>
    <cfRule type="containsText" dxfId="4986" priority="11063" operator="containsText" text="GP1">
      <formula>NOT(ISERROR(SEARCH("GP1",AD11)))</formula>
    </cfRule>
  </conditionalFormatting>
  <conditionalFormatting sqref="AD11">
    <cfRule type="containsText" dxfId="4985" priority="11060" operator="containsText" text="GP2">
      <formula>NOT(ISERROR(SEARCH("GP2",AD11)))</formula>
    </cfRule>
    <cfRule type="containsText" dxfId="4984" priority="11061" operator="containsText" text="GP1">
      <formula>NOT(ISERROR(SEARCH("GP1",AD11)))</formula>
    </cfRule>
  </conditionalFormatting>
  <conditionalFormatting sqref="AD11">
    <cfRule type="containsText" dxfId="4983" priority="11058" operator="containsText" text="GP2">
      <formula>NOT(ISERROR(SEARCH("GP2",AD11)))</formula>
    </cfRule>
    <cfRule type="containsText" dxfId="4982" priority="11059" operator="containsText" text="GP1">
      <formula>NOT(ISERROR(SEARCH("GP1",AD11)))</formula>
    </cfRule>
  </conditionalFormatting>
  <conditionalFormatting sqref="AD11">
    <cfRule type="containsText" dxfId="4981" priority="11056" operator="containsText" text="GP2">
      <formula>NOT(ISERROR(SEARCH("GP2",AD11)))</formula>
    </cfRule>
    <cfRule type="containsText" dxfId="4980" priority="11057" operator="containsText" text="GP1">
      <formula>NOT(ISERROR(SEARCH("GP1",AD11)))</formula>
    </cfRule>
  </conditionalFormatting>
  <conditionalFormatting sqref="AD11">
    <cfRule type="containsText" dxfId="4979" priority="11054" operator="containsText" text="GP2">
      <formula>NOT(ISERROR(SEARCH("GP2",AD11)))</formula>
    </cfRule>
    <cfRule type="containsText" dxfId="4978" priority="11055" operator="containsText" text="GP1">
      <formula>NOT(ISERROR(SEARCH("GP1",AD11)))</formula>
    </cfRule>
  </conditionalFormatting>
  <conditionalFormatting sqref="AD11">
    <cfRule type="containsText" dxfId="4977" priority="11052" operator="containsText" text="GP2">
      <formula>NOT(ISERROR(SEARCH("GP2",AD11)))</formula>
    </cfRule>
    <cfRule type="containsText" dxfId="4976" priority="11053" operator="containsText" text="GP1">
      <formula>NOT(ISERROR(SEARCH("GP1",AD11)))</formula>
    </cfRule>
  </conditionalFormatting>
  <conditionalFormatting sqref="AD11">
    <cfRule type="containsText" dxfId="4975" priority="11050" operator="containsText" text="GP2">
      <formula>NOT(ISERROR(SEARCH("GP2",AD11)))</formula>
    </cfRule>
    <cfRule type="containsText" dxfId="4974" priority="11051" operator="containsText" text="GP1">
      <formula>NOT(ISERROR(SEARCH("GP1",AD11)))</formula>
    </cfRule>
  </conditionalFormatting>
  <conditionalFormatting sqref="AD11">
    <cfRule type="containsText" dxfId="4973" priority="11048" operator="containsText" text="GP2">
      <formula>NOT(ISERROR(SEARCH("GP2",AD11)))</formula>
    </cfRule>
    <cfRule type="containsText" dxfId="4972" priority="11049" operator="containsText" text="GP1">
      <formula>NOT(ISERROR(SEARCH("GP1",AD11)))</formula>
    </cfRule>
  </conditionalFormatting>
  <conditionalFormatting sqref="AD11">
    <cfRule type="containsText" dxfId="4971" priority="11046" operator="containsText" text="GP2">
      <formula>NOT(ISERROR(SEARCH("GP2",AD11)))</formula>
    </cfRule>
    <cfRule type="containsText" dxfId="4970" priority="11047" operator="containsText" text="GP1">
      <formula>NOT(ISERROR(SEARCH("GP1",AD11)))</formula>
    </cfRule>
  </conditionalFormatting>
  <conditionalFormatting sqref="AD11">
    <cfRule type="containsText" dxfId="4969" priority="11044" operator="containsText" text="GP2">
      <formula>NOT(ISERROR(SEARCH("GP2",AD11)))</formula>
    </cfRule>
    <cfRule type="containsText" dxfId="4968" priority="11045" operator="containsText" text="GP1">
      <formula>NOT(ISERROR(SEARCH("GP1",AD11)))</formula>
    </cfRule>
  </conditionalFormatting>
  <conditionalFormatting sqref="AD11">
    <cfRule type="containsText" dxfId="4967" priority="11042" operator="containsText" text="GP2">
      <formula>NOT(ISERROR(SEARCH("GP2",AD11)))</formula>
    </cfRule>
    <cfRule type="containsText" dxfId="4966" priority="11043" operator="containsText" text="GP1">
      <formula>NOT(ISERROR(SEARCH("GP1",AD11)))</formula>
    </cfRule>
  </conditionalFormatting>
  <conditionalFormatting sqref="AD11">
    <cfRule type="containsText" dxfId="4965" priority="11040" operator="containsText" text="GP2">
      <formula>NOT(ISERROR(SEARCH("GP2",AD11)))</formula>
    </cfRule>
    <cfRule type="containsText" dxfId="4964" priority="11041" operator="containsText" text="GP1">
      <formula>NOT(ISERROR(SEARCH("GP1",AD11)))</formula>
    </cfRule>
  </conditionalFormatting>
  <conditionalFormatting sqref="AD11">
    <cfRule type="containsText" dxfId="4963" priority="11038" operator="containsText" text="GP2">
      <formula>NOT(ISERROR(SEARCH("GP2",AD11)))</formula>
    </cfRule>
    <cfRule type="containsText" dxfId="4962" priority="11039" operator="containsText" text="GP1">
      <formula>NOT(ISERROR(SEARCH("GP1",AD11)))</formula>
    </cfRule>
  </conditionalFormatting>
  <conditionalFormatting sqref="AD11">
    <cfRule type="containsText" dxfId="4961" priority="11036" operator="containsText" text="GP2">
      <formula>NOT(ISERROR(SEARCH("GP2",AD11)))</formula>
    </cfRule>
    <cfRule type="containsText" dxfId="4960" priority="11037" operator="containsText" text="GP1">
      <formula>NOT(ISERROR(SEARCH("GP1",AD11)))</formula>
    </cfRule>
  </conditionalFormatting>
  <conditionalFormatting sqref="AD11">
    <cfRule type="containsText" dxfId="4959" priority="11034" operator="containsText" text="GP2">
      <formula>NOT(ISERROR(SEARCH("GP2",AD11)))</formula>
    </cfRule>
    <cfRule type="containsText" dxfId="4958" priority="11035" operator="containsText" text="GP1">
      <formula>NOT(ISERROR(SEARCH("GP1",AD11)))</formula>
    </cfRule>
  </conditionalFormatting>
  <conditionalFormatting sqref="AD11">
    <cfRule type="containsText" dxfId="4957" priority="11032" operator="containsText" text="GP2">
      <formula>NOT(ISERROR(SEARCH("GP2",AD11)))</formula>
    </cfRule>
    <cfRule type="containsText" dxfId="4956" priority="11033" operator="containsText" text="GP1">
      <formula>NOT(ISERROR(SEARCH("GP1",AD11)))</formula>
    </cfRule>
  </conditionalFormatting>
  <conditionalFormatting sqref="AD11">
    <cfRule type="containsText" dxfId="4955" priority="11030" operator="containsText" text="GP2">
      <formula>NOT(ISERROR(SEARCH("GP2",AD11)))</formula>
    </cfRule>
    <cfRule type="containsText" dxfId="4954" priority="11031" operator="containsText" text="GP1">
      <formula>NOT(ISERROR(SEARCH("GP1",AD11)))</formula>
    </cfRule>
  </conditionalFormatting>
  <conditionalFormatting sqref="AD11">
    <cfRule type="containsText" dxfId="4953" priority="11028" operator="containsText" text="GP2">
      <formula>NOT(ISERROR(SEARCH("GP2",AD11)))</formula>
    </cfRule>
    <cfRule type="containsText" dxfId="4952" priority="11029" operator="containsText" text="GP1">
      <formula>NOT(ISERROR(SEARCH("GP1",AD11)))</formula>
    </cfRule>
  </conditionalFormatting>
  <conditionalFormatting sqref="AD11">
    <cfRule type="containsText" dxfId="4951" priority="11026" operator="containsText" text="GP2">
      <formula>NOT(ISERROR(SEARCH("GP2",AD11)))</formula>
    </cfRule>
    <cfRule type="containsText" dxfId="4950" priority="11027" operator="containsText" text="GP1">
      <formula>NOT(ISERROR(SEARCH("GP1",AD11)))</formula>
    </cfRule>
  </conditionalFormatting>
  <conditionalFormatting sqref="AD11">
    <cfRule type="containsText" dxfId="4949" priority="11024" operator="containsText" text="GP2">
      <formula>NOT(ISERROR(SEARCH("GP2",AD11)))</formula>
    </cfRule>
    <cfRule type="containsText" dxfId="4948" priority="11025" operator="containsText" text="GP1">
      <formula>NOT(ISERROR(SEARCH("GP1",AD11)))</formula>
    </cfRule>
  </conditionalFormatting>
  <conditionalFormatting sqref="AD11">
    <cfRule type="containsText" dxfId="4947" priority="11022" operator="containsText" text="GP2">
      <formula>NOT(ISERROR(SEARCH("GP2",AD11)))</formula>
    </cfRule>
    <cfRule type="containsText" dxfId="4946" priority="11023" operator="containsText" text="GP1">
      <formula>NOT(ISERROR(SEARCH("GP1",AD11)))</formula>
    </cfRule>
  </conditionalFormatting>
  <conditionalFormatting sqref="AD11">
    <cfRule type="containsText" dxfId="4945" priority="11020" operator="containsText" text="GP2">
      <formula>NOT(ISERROR(SEARCH("GP2",AD11)))</formula>
    </cfRule>
    <cfRule type="containsText" dxfId="4944" priority="11021" operator="containsText" text="GP1">
      <formula>NOT(ISERROR(SEARCH("GP1",AD11)))</formula>
    </cfRule>
  </conditionalFormatting>
  <conditionalFormatting sqref="AD11">
    <cfRule type="containsText" dxfId="4943" priority="11018" operator="containsText" text="GP2">
      <formula>NOT(ISERROR(SEARCH("GP2",AD11)))</formula>
    </cfRule>
    <cfRule type="containsText" dxfId="4942" priority="11019" operator="containsText" text="GP1">
      <formula>NOT(ISERROR(SEARCH("GP1",AD11)))</formula>
    </cfRule>
  </conditionalFormatting>
  <conditionalFormatting sqref="AD11">
    <cfRule type="containsText" dxfId="4941" priority="11016" operator="containsText" text="GP2">
      <formula>NOT(ISERROR(SEARCH("GP2",AD11)))</formula>
    </cfRule>
    <cfRule type="containsText" dxfId="4940" priority="11017" operator="containsText" text="GP1">
      <formula>NOT(ISERROR(SEARCH("GP1",AD11)))</formula>
    </cfRule>
  </conditionalFormatting>
  <conditionalFormatting sqref="AD11">
    <cfRule type="containsText" dxfId="4939" priority="11014" operator="containsText" text="GP2">
      <formula>NOT(ISERROR(SEARCH("GP2",AD11)))</formula>
    </cfRule>
    <cfRule type="containsText" dxfId="4938" priority="11015" operator="containsText" text="GP1">
      <formula>NOT(ISERROR(SEARCH("GP1",AD11)))</formula>
    </cfRule>
  </conditionalFormatting>
  <conditionalFormatting sqref="AD11">
    <cfRule type="containsText" dxfId="4937" priority="11012" operator="containsText" text="GP2">
      <formula>NOT(ISERROR(SEARCH("GP2",AD11)))</formula>
    </cfRule>
    <cfRule type="containsText" dxfId="4936" priority="11013" operator="containsText" text="GP1">
      <formula>NOT(ISERROR(SEARCH("GP1",AD11)))</formula>
    </cfRule>
  </conditionalFormatting>
  <conditionalFormatting sqref="AD11">
    <cfRule type="containsText" dxfId="4935" priority="11010" operator="containsText" text="GP2">
      <formula>NOT(ISERROR(SEARCH("GP2",AD11)))</formula>
    </cfRule>
    <cfRule type="containsText" dxfId="4934" priority="11011" operator="containsText" text="GP1">
      <formula>NOT(ISERROR(SEARCH("GP1",AD11)))</formula>
    </cfRule>
  </conditionalFormatting>
  <conditionalFormatting sqref="AD11">
    <cfRule type="containsText" dxfId="4933" priority="11008" operator="containsText" text="GP2">
      <formula>NOT(ISERROR(SEARCH("GP2",AD11)))</formula>
    </cfRule>
    <cfRule type="containsText" dxfId="4932" priority="11009" operator="containsText" text="GP1">
      <formula>NOT(ISERROR(SEARCH("GP1",AD11)))</formula>
    </cfRule>
  </conditionalFormatting>
  <conditionalFormatting sqref="AD11">
    <cfRule type="containsText" dxfId="4931" priority="11006" operator="containsText" text="GP2">
      <formula>NOT(ISERROR(SEARCH("GP2",AD11)))</formula>
    </cfRule>
    <cfRule type="containsText" dxfId="4930" priority="11007" operator="containsText" text="GP1">
      <formula>NOT(ISERROR(SEARCH("GP1",AD11)))</formula>
    </cfRule>
  </conditionalFormatting>
  <conditionalFormatting sqref="AD11">
    <cfRule type="containsText" dxfId="4929" priority="11004" operator="containsText" text="GP2">
      <formula>NOT(ISERROR(SEARCH("GP2",AD11)))</formula>
    </cfRule>
    <cfRule type="containsText" dxfId="4928" priority="11005" operator="containsText" text="GP1">
      <formula>NOT(ISERROR(SEARCH("GP1",AD11)))</formula>
    </cfRule>
  </conditionalFormatting>
  <conditionalFormatting sqref="AD11">
    <cfRule type="containsText" dxfId="4927" priority="11002" operator="containsText" text="GP2">
      <formula>NOT(ISERROR(SEARCH("GP2",AD11)))</formula>
    </cfRule>
    <cfRule type="containsText" dxfId="4926" priority="11003" operator="containsText" text="GP1">
      <formula>NOT(ISERROR(SEARCH("GP1",AD11)))</formula>
    </cfRule>
  </conditionalFormatting>
  <conditionalFormatting sqref="AD11">
    <cfRule type="containsText" dxfId="4925" priority="11000" operator="containsText" text="GP2">
      <formula>NOT(ISERROR(SEARCH("GP2",AD11)))</formula>
    </cfRule>
    <cfRule type="containsText" dxfId="4924" priority="11001" operator="containsText" text="GP1">
      <formula>NOT(ISERROR(SEARCH("GP1",AD11)))</formula>
    </cfRule>
  </conditionalFormatting>
  <conditionalFormatting sqref="AD11">
    <cfRule type="containsText" dxfId="4923" priority="10998" operator="containsText" text="GP2">
      <formula>NOT(ISERROR(SEARCH("GP2",AD11)))</formula>
    </cfRule>
    <cfRule type="containsText" dxfId="4922" priority="10999" operator="containsText" text="GP1">
      <formula>NOT(ISERROR(SEARCH("GP1",AD11)))</formula>
    </cfRule>
  </conditionalFormatting>
  <conditionalFormatting sqref="AD11">
    <cfRule type="containsText" dxfId="4921" priority="10996" operator="containsText" text="GP2">
      <formula>NOT(ISERROR(SEARCH("GP2",AD11)))</formula>
    </cfRule>
    <cfRule type="containsText" dxfId="4920" priority="10997" operator="containsText" text="GP1">
      <formula>NOT(ISERROR(SEARCH("GP1",AD11)))</formula>
    </cfRule>
  </conditionalFormatting>
  <conditionalFormatting sqref="AD11">
    <cfRule type="containsText" dxfId="4919" priority="10994" operator="containsText" text="GP2">
      <formula>NOT(ISERROR(SEARCH("GP2",AD11)))</formula>
    </cfRule>
    <cfRule type="containsText" dxfId="4918" priority="10995" operator="containsText" text="GP1">
      <formula>NOT(ISERROR(SEARCH("GP1",AD11)))</formula>
    </cfRule>
  </conditionalFormatting>
  <conditionalFormatting sqref="AD11">
    <cfRule type="containsText" dxfId="4917" priority="10992" operator="containsText" text="GP2">
      <formula>NOT(ISERROR(SEARCH("GP2",AD11)))</formula>
    </cfRule>
    <cfRule type="containsText" dxfId="4916" priority="10993" operator="containsText" text="GP1">
      <formula>NOT(ISERROR(SEARCH("GP1",AD11)))</formula>
    </cfRule>
  </conditionalFormatting>
  <conditionalFormatting sqref="AD11">
    <cfRule type="containsText" dxfId="4915" priority="10990" operator="containsText" text="GP2">
      <formula>NOT(ISERROR(SEARCH("GP2",AD11)))</formula>
    </cfRule>
    <cfRule type="containsText" dxfId="4914" priority="10991" operator="containsText" text="GP1">
      <formula>NOT(ISERROR(SEARCH("GP1",AD11)))</formula>
    </cfRule>
  </conditionalFormatting>
  <conditionalFormatting sqref="AD11">
    <cfRule type="containsText" dxfId="4913" priority="10988" operator="containsText" text="GP2">
      <formula>NOT(ISERROR(SEARCH("GP2",AD11)))</formula>
    </cfRule>
    <cfRule type="containsText" dxfId="4912" priority="10989" operator="containsText" text="GP1">
      <formula>NOT(ISERROR(SEARCH("GP1",AD11)))</formula>
    </cfRule>
  </conditionalFormatting>
  <conditionalFormatting sqref="AD11">
    <cfRule type="containsText" dxfId="4911" priority="10986" operator="containsText" text="GP2">
      <formula>NOT(ISERROR(SEARCH("GP2",AD11)))</formula>
    </cfRule>
    <cfRule type="containsText" dxfId="4910" priority="10987" operator="containsText" text="GP1">
      <formula>NOT(ISERROR(SEARCH("GP1",AD11)))</formula>
    </cfRule>
  </conditionalFormatting>
  <conditionalFormatting sqref="AD11">
    <cfRule type="containsText" dxfId="4909" priority="10984" operator="containsText" text="GP2">
      <formula>NOT(ISERROR(SEARCH("GP2",AD11)))</formula>
    </cfRule>
    <cfRule type="containsText" dxfId="4908" priority="10985" operator="containsText" text="GP1">
      <formula>NOT(ISERROR(SEARCH("GP1",AD11)))</formula>
    </cfRule>
  </conditionalFormatting>
  <conditionalFormatting sqref="AD11">
    <cfRule type="containsText" dxfId="4907" priority="10982" operator="containsText" text="GP2">
      <formula>NOT(ISERROR(SEARCH("GP2",AD11)))</formula>
    </cfRule>
    <cfRule type="containsText" dxfId="4906" priority="10983" operator="containsText" text="GP1">
      <formula>NOT(ISERROR(SEARCH("GP1",AD11)))</formula>
    </cfRule>
  </conditionalFormatting>
  <conditionalFormatting sqref="AD11">
    <cfRule type="containsText" dxfId="4905" priority="10980" operator="containsText" text="GP2">
      <formula>NOT(ISERROR(SEARCH("GP2",AD11)))</formula>
    </cfRule>
    <cfRule type="containsText" dxfId="4904" priority="10981" operator="containsText" text="GP1">
      <formula>NOT(ISERROR(SEARCH("GP1",AD11)))</formula>
    </cfRule>
  </conditionalFormatting>
  <conditionalFormatting sqref="AD11">
    <cfRule type="containsText" dxfId="4903" priority="10978" operator="containsText" text="GP2">
      <formula>NOT(ISERROR(SEARCH("GP2",AD11)))</formula>
    </cfRule>
    <cfRule type="containsText" dxfId="4902" priority="10979" operator="containsText" text="GP1">
      <formula>NOT(ISERROR(SEARCH("GP1",AD11)))</formula>
    </cfRule>
  </conditionalFormatting>
  <conditionalFormatting sqref="AD11">
    <cfRule type="containsText" dxfId="4901" priority="10976" operator="containsText" text="GP2">
      <formula>NOT(ISERROR(SEARCH("GP2",AD11)))</formula>
    </cfRule>
    <cfRule type="containsText" dxfId="4900" priority="10977" operator="containsText" text="GP1">
      <formula>NOT(ISERROR(SEARCH("GP1",AD11)))</formula>
    </cfRule>
  </conditionalFormatting>
  <conditionalFormatting sqref="AD11">
    <cfRule type="containsText" dxfId="4899" priority="10974" operator="containsText" text="GP2">
      <formula>NOT(ISERROR(SEARCH("GP2",AD11)))</formula>
    </cfRule>
    <cfRule type="containsText" dxfId="4898" priority="10975" operator="containsText" text="GP1">
      <formula>NOT(ISERROR(SEARCH("GP1",AD11)))</formula>
    </cfRule>
  </conditionalFormatting>
  <conditionalFormatting sqref="AD11">
    <cfRule type="containsText" dxfId="4897" priority="10972" operator="containsText" text="GP2">
      <formula>NOT(ISERROR(SEARCH("GP2",AD11)))</formula>
    </cfRule>
    <cfRule type="containsText" dxfId="4896" priority="10973" operator="containsText" text="GP1">
      <formula>NOT(ISERROR(SEARCH("GP1",AD11)))</formula>
    </cfRule>
  </conditionalFormatting>
  <conditionalFormatting sqref="AD11">
    <cfRule type="containsText" dxfId="4895" priority="10970" operator="containsText" text="GP2">
      <formula>NOT(ISERROR(SEARCH("GP2",AD11)))</formula>
    </cfRule>
    <cfRule type="containsText" dxfId="4894" priority="10971" operator="containsText" text="GP1">
      <formula>NOT(ISERROR(SEARCH("GP1",AD11)))</formula>
    </cfRule>
  </conditionalFormatting>
  <conditionalFormatting sqref="AD11">
    <cfRule type="containsText" dxfId="4893" priority="10968" operator="containsText" text="GP2">
      <formula>NOT(ISERROR(SEARCH("GP2",AD11)))</formula>
    </cfRule>
    <cfRule type="containsText" dxfId="4892" priority="10969" operator="containsText" text="GP1">
      <formula>NOT(ISERROR(SEARCH("GP1",AD11)))</formula>
    </cfRule>
  </conditionalFormatting>
  <conditionalFormatting sqref="AD11">
    <cfRule type="containsText" dxfId="4891" priority="10966" operator="containsText" text="GP2">
      <formula>NOT(ISERROR(SEARCH("GP2",AD11)))</formula>
    </cfRule>
    <cfRule type="containsText" dxfId="4890" priority="10967" operator="containsText" text="GP1">
      <formula>NOT(ISERROR(SEARCH("GP1",AD11)))</formula>
    </cfRule>
  </conditionalFormatting>
  <conditionalFormatting sqref="AD11">
    <cfRule type="containsText" dxfId="4889" priority="10964" operator="containsText" text="GP2">
      <formula>NOT(ISERROR(SEARCH("GP2",AD11)))</formula>
    </cfRule>
    <cfRule type="containsText" dxfId="4888" priority="10965" operator="containsText" text="GP1">
      <formula>NOT(ISERROR(SEARCH("GP1",AD11)))</formula>
    </cfRule>
  </conditionalFormatting>
  <conditionalFormatting sqref="AD11">
    <cfRule type="containsText" dxfId="4887" priority="10962" operator="containsText" text="GP2">
      <formula>NOT(ISERROR(SEARCH("GP2",AD11)))</formula>
    </cfRule>
    <cfRule type="containsText" dxfId="4886" priority="10963" operator="containsText" text="GP1">
      <formula>NOT(ISERROR(SEARCH("GP1",AD11)))</formula>
    </cfRule>
  </conditionalFormatting>
  <conditionalFormatting sqref="AD11">
    <cfRule type="containsText" dxfId="4885" priority="10960" operator="containsText" text="GP2">
      <formula>NOT(ISERROR(SEARCH("GP2",AD11)))</formula>
    </cfRule>
    <cfRule type="containsText" dxfId="4884" priority="10961" operator="containsText" text="GP1">
      <formula>NOT(ISERROR(SEARCH("GP1",AD11)))</formula>
    </cfRule>
  </conditionalFormatting>
  <conditionalFormatting sqref="AD11">
    <cfRule type="containsText" dxfId="4883" priority="10958" operator="containsText" text="GP2">
      <formula>NOT(ISERROR(SEARCH("GP2",AD11)))</formula>
    </cfRule>
    <cfRule type="containsText" dxfId="4882" priority="10959" operator="containsText" text="GP1">
      <formula>NOT(ISERROR(SEARCH("GP1",AD11)))</formula>
    </cfRule>
  </conditionalFormatting>
  <conditionalFormatting sqref="AD11">
    <cfRule type="containsText" dxfId="4881" priority="10956" operator="containsText" text="GP2">
      <formula>NOT(ISERROR(SEARCH("GP2",AD11)))</formula>
    </cfRule>
    <cfRule type="containsText" dxfId="4880" priority="10957" operator="containsText" text="GP1">
      <formula>NOT(ISERROR(SEARCH("GP1",AD11)))</formula>
    </cfRule>
  </conditionalFormatting>
  <conditionalFormatting sqref="AD11">
    <cfRule type="containsText" dxfId="4879" priority="10954" operator="containsText" text="GP2">
      <formula>NOT(ISERROR(SEARCH("GP2",AD11)))</formula>
    </cfRule>
    <cfRule type="containsText" dxfId="4878" priority="10955" operator="containsText" text="GP1">
      <formula>NOT(ISERROR(SEARCH("GP1",AD11)))</formula>
    </cfRule>
  </conditionalFormatting>
  <conditionalFormatting sqref="AD11">
    <cfRule type="containsText" dxfId="4877" priority="10952" operator="containsText" text="GP2">
      <formula>NOT(ISERROR(SEARCH("GP2",AD11)))</formula>
    </cfRule>
    <cfRule type="containsText" dxfId="4876" priority="10953" operator="containsText" text="GP1">
      <formula>NOT(ISERROR(SEARCH("GP1",AD11)))</formula>
    </cfRule>
  </conditionalFormatting>
  <conditionalFormatting sqref="AD11">
    <cfRule type="containsText" dxfId="4875" priority="10950" operator="containsText" text="GP2">
      <formula>NOT(ISERROR(SEARCH("GP2",AD11)))</formula>
    </cfRule>
    <cfRule type="containsText" dxfId="4874" priority="10951" operator="containsText" text="GP1">
      <formula>NOT(ISERROR(SEARCH("GP1",AD11)))</formula>
    </cfRule>
  </conditionalFormatting>
  <conditionalFormatting sqref="AD11">
    <cfRule type="containsText" dxfId="4873" priority="10948" operator="containsText" text="GP2">
      <formula>NOT(ISERROR(SEARCH("GP2",AD11)))</formula>
    </cfRule>
    <cfRule type="containsText" dxfId="4872" priority="10949" operator="containsText" text="GP1">
      <formula>NOT(ISERROR(SEARCH("GP1",AD11)))</formula>
    </cfRule>
  </conditionalFormatting>
  <conditionalFormatting sqref="AD11">
    <cfRule type="containsText" dxfId="4871" priority="10946" operator="containsText" text="GP2">
      <formula>NOT(ISERROR(SEARCH("GP2",AD11)))</formula>
    </cfRule>
    <cfRule type="containsText" dxfId="4870" priority="10947" operator="containsText" text="GP1">
      <formula>NOT(ISERROR(SEARCH("GP1",AD11)))</formula>
    </cfRule>
  </conditionalFormatting>
  <conditionalFormatting sqref="AD11">
    <cfRule type="containsText" dxfId="4869" priority="10944" operator="containsText" text="GP2">
      <formula>NOT(ISERROR(SEARCH("GP2",AD11)))</formula>
    </cfRule>
    <cfRule type="containsText" dxfId="4868" priority="10945" operator="containsText" text="GP1">
      <formula>NOT(ISERROR(SEARCH("GP1",AD11)))</formula>
    </cfRule>
  </conditionalFormatting>
  <conditionalFormatting sqref="AD11">
    <cfRule type="containsText" dxfId="4867" priority="10942" operator="containsText" text="GP2">
      <formula>NOT(ISERROR(SEARCH("GP2",AD11)))</formula>
    </cfRule>
    <cfRule type="containsText" dxfId="4866" priority="10943" operator="containsText" text="GP1">
      <formula>NOT(ISERROR(SEARCH("GP1",AD11)))</formula>
    </cfRule>
  </conditionalFormatting>
  <conditionalFormatting sqref="AD11">
    <cfRule type="containsText" dxfId="4865" priority="10940" operator="containsText" text="GP2">
      <formula>NOT(ISERROR(SEARCH("GP2",AD11)))</formula>
    </cfRule>
    <cfRule type="containsText" dxfId="4864" priority="10941" operator="containsText" text="GP1">
      <formula>NOT(ISERROR(SEARCH("GP1",AD11)))</formula>
    </cfRule>
  </conditionalFormatting>
  <conditionalFormatting sqref="AD11">
    <cfRule type="containsText" dxfId="4863" priority="10938" operator="containsText" text="GP2">
      <formula>NOT(ISERROR(SEARCH("GP2",AD11)))</formula>
    </cfRule>
    <cfRule type="containsText" dxfId="4862" priority="10939" operator="containsText" text="GP1">
      <formula>NOT(ISERROR(SEARCH("GP1",AD11)))</formula>
    </cfRule>
  </conditionalFormatting>
  <conditionalFormatting sqref="AD11">
    <cfRule type="containsText" dxfId="4861" priority="10936" operator="containsText" text="GP2">
      <formula>NOT(ISERROR(SEARCH("GP2",AD11)))</formula>
    </cfRule>
    <cfRule type="containsText" dxfId="4860" priority="10937" operator="containsText" text="GP1">
      <formula>NOT(ISERROR(SEARCH("GP1",AD11)))</formula>
    </cfRule>
  </conditionalFormatting>
  <conditionalFormatting sqref="AD11">
    <cfRule type="containsText" dxfId="4859" priority="10934" operator="containsText" text="GP2">
      <formula>NOT(ISERROR(SEARCH("GP2",AD11)))</formula>
    </cfRule>
    <cfRule type="containsText" dxfId="4858" priority="10935" operator="containsText" text="GP1">
      <formula>NOT(ISERROR(SEARCH("GP1",AD11)))</formula>
    </cfRule>
  </conditionalFormatting>
  <conditionalFormatting sqref="AD11">
    <cfRule type="containsText" dxfId="4857" priority="10932" operator="containsText" text="GP2">
      <formula>NOT(ISERROR(SEARCH("GP2",AD11)))</formula>
    </cfRule>
    <cfRule type="containsText" dxfId="4856" priority="10933" operator="containsText" text="GP1">
      <formula>NOT(ISERROR(SEARCH("GP1",AD11)))</formula>
    </cfRule>
  </conditionalFormatting>
  <conditionalFormatting sqref="AD11">
    <cfRule type="containsText" dxfId="4855" priority="10930" operator="containsText" text="GP2">
      <formula>NOT(ISERROR(SEARCH("GP2",AD11)))</formula>
    </cfRule>
    <cfRule type="containsText" dxfId="4854" priority="10931" operator="containsText" text="GP1">
      <formula>NOT(ISERROR(SEARCH("GP1",AD11)))</formula>
    </cfRule>
  </conditionalFormatting>
  <conditionalFormatting sqref="AD11">
    <cfRule type="containsText" dxfId="4853" priority="10928" operator="containsText" text="GP2">
      <formula>NOT(ISERROR(SEARCH("GP2",AD11)))</formula>
    </cfRule>
    <cfRule type="containsText" dxfId="4852" priority="10929" operator="containsText" text="GP1">
      <formula>NOT(ISERROR(SEARCH("GP1",AD11)))</formula>
    </cfRule>
  </conditionalFormatting>
  <conditionalFormatting sqref="AD11">
    <cfRule type="containsText" dxfId="4851" priority="10926" operator="containsText" text="GP2">
      <formula>NOT(ISERROR(SEARCH("GP2",AD11)))</formula>
    </cfRule>
    <cfRule type="containsText" dxfId="4850" priority="10927" operator="containsText" text="GP1">
      <formula>NOT(ISERROR(SEARCH("GP1",AD11)))</formula>
    </cfRule>
  </conditionalFormatting>
  <conditionalFormatting sqref="AD11">
    <cfRule type="containsText" dxfId="4849" priority="10924" operator="containsText" text="GP2">
      <formula>NOT(ISERROR(SEARCH("GP2",AD11)))</formula>
    </cfRule>
    <cfRule type="containsText" dxfId="4848" priority="10925" operator="containsText" text="GP1">
      <formula>NOT(ISERROR(SEARCH("GP1",AD11)))</formula>
    </cfRule>
  </conditionalFormatting>
  <conditionalFormatting sqref="AD11">
    <cfRule type="containsText" dxfId="4847" priority="10922" operator="containsText" text="GP2">
      <formula>NOT(ISERROR(SEARCH("GP2",AD11)))</formula>
    </cfRule>
    <cfRule type="containsText" dxfId="4846" priority="10923" operator="containsText" text="GP1">
      <formula>NOT(ISERROR(SEARCH("GP1",AD11)))</formula>
    </cfRule>
  </conditionalFormatting>
  <conditionalFormatting sqref="H12:I12">
    <cfRule type="containsBlanks" dxfId="4845" priority="10921">
      <formula>LEN(TRIM(H12))=0</formula>
    </cfRule>
  </conditionalFormatting>
  <conditionalFormatting sqref="H12:I12">
    <cfRule type="containsBlanks" dxfId="4844" priority="10920">
      <formula>LEN(TRIM(H12))=0</formula>
    </cfRule>
  </conditionalFormatting>
  <conditionalFormatting sqref="H12:I12">
    <cfRule type="containsBlanks" dxfId="4843" priority="10919">
      <formula>LEN(TRIM(H12))=0</formula>
    </cfRule>
  </conditionalFormatting>
  <conditionalFormatting sqref="H12:I12">
    <cfRule type="containsBlanks" dxfId="4842" priority="10918">
      <formula>LEN(TRIM(H12))=0</formula>
    </cfRule>
  </conditionalFormatting>
  <conditionalFormatting sqref="H12:I12">
    <cfRule type="containsBlanks" dxfId="4841" priority="10917">
      <formula>LEN(TRIM(H12))=0</formula>
    </cfRule>
  </conditionalFormatting>
  <conditionalFormatting sqref="N12">
    <cfRule type="containsBlanks" dxfId="4840" priority="10916">
      <formula>LEN(TRIM(N12))=0</formula>
    </cfRule>
  </conditionalFormatting>
  <conditionalFormatting sqref="N12">
    <cfRule type="containsBlanks" dxfId="4839" priority="10915">
      <formula>LEN(TRIM(N12))=0</formula>
    </cfRule>
  </conditionalFormatting>
  <conditionalFormatting sqref="N12">
    <cfRule type="containsBlanks" dxfId="4838" priority="10914">
      <formula>LEN(TRIM(N12))=0</formula>
    </cfRule>
  </conditionalFormatting>
  <conditionalFormatting sqref="N12">
    <cfRule type="containsBlanks" dxfId="4837" priority="10913">
      <formula>LEN(TRIM(N12))=0</formula>
    </cfRule>
  </conditionalFormatting>
  <conditionalFormatting sqref="N12">
    <cfRule type="containsBlanks" dxfId="4836" priority="10912">
      <formula>LEN(TRIM(N12))=0</formula>
    </cfRule>
  </conditionalFormatting>
  <conditionalFormatting sqref="N12">
    <cfRule type="containsBlanks" dxfId="4835" priority="10911">
      <formula>LEN(TRIM(N12))=0</formula>
    </cfRule>
  </conditionalFormatting>
  <conditionalFormatting sqref="N12">
    <cfRule type="containsBlanks" dxfId="4834" priority="10910">
      <formula>LEN(TRIM(N12))=0</formula>
    </cfRule>
  </conditionalFormatting>
  <conditionalFormatting sqref="N12">
    <cfRule type="containsBlanks" dxfId="4833" priority="10909">
      <formula>LEN(TRIM(N12))=0</formula>
    </cfRule>
  </conditionalFormatting>
  <conditionalFormatting sqref="AD12">
    <cfRule type="containsText" dxfId="4832" priority="10907" operator="containsText" text="GP2">
      <formula>NOT(ISERROR(SEARCH("GP2",AD12)))</formula>
    </cfRule>
    <cfRule type="containsText" dxfId="4831" priority="10908" operator="containsText" text="GP1">
      <formula>NOT(ISERROR(SEARCH("GP1",AD12)))</formula>
    </cfRule>
  </conditionalFormatting>
  <conditionalFormatting sqref="AD12">
    <cfRule type="containsText" dxfId="4830" priority="10901" operator="containsText" text="GP2">
      <formula>NOT(ISERROR(SEARCH("GP2",AD12)))</formula>
    </cfRule>
    <cfRule type="containsText" dxfId="4829" priority="10902" operator="containsText" text="GP1">
      <formula>NOT(ISERROR(SEARCH("GP1",AD12)))</formula>
    </cfRule>
  </conditionalFormatting>
  <conditionalFormatting sqref="AD12">
    <cfRule type="containsText" dxfId="4828" priority="10899" operator="containsText" text="GP2">
      <formula>NOT(ISERROR(SEARCH("GP2",AD12)))</formula>
    </cfRule>
    <cfRule type="containsText" dxfId="4827" priority="10900" operator="containsText" text="GP1">
      <formula>NOT(ISERROR(SEARCH("GP1",AD12)))</formula>
    </cfRule>
  </conditionalFormatting>
  <conditionalFormatting sqref="AD12">
    <cfRule type="containsText" dxfId="4826" priority="10897" operator="containsText" text="GP2">
      <formula>NOT(ISERROR(SEARCH("GP2",AD12)))</formula>
    </cfRule>
    <cfRule type="containsText" dxfId="4825" priority="10898" operator="containsText" text="GP1">
      <formula>NOT(ISERROR(SEARCH("GP1",AD12)))</formula>
    </cfRule>
  </conditionalFormatting>
  <conditionalFormatting sqref="AD12">
    <cfRule type="containsText" dxfId="4824" priority="10895" operator="containsText" text="GP2">
      <formula>NOT(ISERROR(SEARCH("GP2",AD12)))</formula>
    </cfRule>
    <cfRule type="containsText" dxfId="4823" priority="10896" operator="containsText" text="GP1">
      <formula>NOT(ISERROR(SEARCH("GP1",AD12)))</formula>
    </cfRule>
  </conditionalFormatting>
  <conditionalFormatting sqref="AD12">
    <cfRule type="containsText" dxfId="4822" priority="10893" operator="containsText" text="GP2">
      <formula>NOT(ISERROR(SEARCH("GP2",AD12)))</formula>
    </cfRule>
    <cfRule type="containsText" dxfId="4821" priority="10894" operator="containsText" text="GP1">
      <formula>NOT(ISERROR(SEARCH("GP1",AD12)))</formula>
    </cfRule>
  </conditionalFormatting>
  <conditionalFormatting sqref="AD12">
    <cfRule type="containsText" dxfId="4820" priority="10891" operator="containsText" text="GP2">
      <formula>NOT(ISERROR(SEARCH("GP2",AD12)))</formula>
    </cfRule>
    <cfRule type="containsText" dxfId="4819" priority="10892" operator="containsText" text="GP1">
      <formula>NOT(ISERROR(SEARCH("GP1",AD12)))</formula>
    </cfRule>
  </conditionalFormatting>
  <conditionalFormatting sqref="AD12">
    <cfRule type="containsText" dxfId="4818" priority="10905" operator="containsText" text="GP2">
      <formula>NOT(ISERROR(SEARCH("GP2",AD12)))</formula>
    </cfRule>
    <cfRule type="containsText" dxfId="4817" priority="10906" operator="containsText" text="GP1">
      <formula>NOT(ISERROR(SEARCH("GP1",AD12)))</formula>
    </cfRule>
  </conditionalFormatting>
  <conditionalFormatting sqref="AD12">
    <cfRule type="containsText" dxfId="4816" priority="10903" operator="containsText" text="GP2">
      <formula>NOT(ISERROR(SEARCH("GP2",AD12)))</formula>
    </cfRule>
    <cfRule type="containsText" dxfId="4815" priority="10904" operator="containsText" text="GP1">
      <formula>NOT(ISERROR(SEARCH("GP1",AD12)))</formula>
    </cfRule>
  </conditionalFormatting>
  <conditionalFormatting sqref="AD12">
    <cfRule type="containsText" dxfId="4814" priority="10889" operator="containsText" text="GP2">
      <formula>NOT(ISERROR(SEARCH("GP2",AD12)))</formula>
    </cfRule>
    <cfRule type="containsText" dxfId="4813" priority="10890" operator="containsText" text="GP1">
      <formula>NOT(ISERROR(SEARCH("GP1",AD12)))</formula>
    </cfRule>
  </conditionalFormatting>
  <conditionalFormatting sqref="AD12">
    <cfRule type="containsText" dxfId="4812" priority="10887" operator="containsText" text="GP2">
      <formula>NOT(ISERROR(SEARCH("GP2",AD12)))</formula>
    </cfRule>
    <cfRule type="containsText" dxfId="4811" priority="10888" operator="containsText" text="GP1">
      <formula>NOT(ISERROR(SEARCH("GP1",AD12)))</formula>
    </cfRule>
  </conditionalFormatting>
  <conditionalFormatting sqref="AD12">
    <cfRule type="containsText" dxfId="4810" priority="10885" operator="containsText" text="GP2">
      <formula>NOT(ISERROR(SEARCH("GP2",AD12)))</formula>
    </cfRule>
    <cfRule type="containsText" dxfId="4809" priority="10886" operator="containsText" text="GP1">
      <formula>NOT(ISERROR(SEARCH("GP1",AD12)))</formula>
    </cfRule>
  </conditionalFormatting>
  <conditionalFormatting sqref="AD12">
    <cfRule type="containsText" dxfId="4808" priority="10883" operator="containsText" text="GP2">
      <formula>NOT(ISERROR(SEARCH("GP2",AD12)))</formula>
    </cfRule>
    <cfRule type="containsText" dxfId="4807" priority="10884" operator="containsText" text="GP1">
      <formula>NOT(ISERROR(SEARCH("GP1",AD12)))</formula>
    </cfRule>
  </conditionalFormatting>
  <conditionalFormatting sqref="AD12">
    <cfRule type="containsText" dxfId="4806" priority="10881" operator="containsText" text="GP2">
      <formula>NOT(ISERROR(SEARCH("GP2",AD12)))</formula>
    </cfRule>
    <cfRule type="containsText" dxfId="4805" priority="10882" operator="containsText" text="GP1">
      <formula>NOT(ISERROR(SEARCH("GP1",AD12)))</formula>
    </cfRule>
  </conditionalFormatting>
  <conditionalFormatting sqref="AD12">
    <cfRule type="containsText" dxfId="4804" priority="10879" operator="containsText" text="GP2">
      <formula>NOT(ISERROR(SEARCH("GP2",AD12)))</formula>
    </cfRule>
    <cfRule type="containsText" dxfId="4803" priority="10880" operator="containsText" text="GP1">
      <formula>NOT(ISERROR(SEARCH("GP1",AD12)))</formula>
    </cfRule>
  </conditionalFormatting>
  <conditionalFormatting sqref="AD12">
    <cfRule type="containsText" dxfId="4802" priority="10877" operator="containsText" text="GP2">
      <formula>NOT(ISERROR(SEARCH("GP2",AD12)))</formula>
    </cfRule>
    <cfRule type="containsText" dxfId="4801" priority="10878" operator="containsText" text="GP1">
      <formula>NOT(ISERROR(SEARCH("GP1",AD12)))</formula>
    </cfRule>
  </conditionalFormatting>
  <conditionalFormatting sqref="AD12">
    <cfRule type="containsText" dxfId="4800" priority="10875" operator="containsText" text="GP2">
      <formula>NOT(ISERROR(SEARCH("GP2",AD12)))</formula>
    </cfRule>
    <cfRule type="containsText" dxfId="4799" priority="10876" operator="containsText" text="GP1">
      <formula>NOT(ISERROR(SEARCH("GP1",AD12)))</formula>
    </cfRule>
  </conditionalFormatting>
  <conditionalFormatting sqref="AD12">
    <cfRule type="containsText" dxfId="4798" priority="10873" operator="containsText" text="GP2">
      <formula>NOT(ISERROR(SEARCH("GP2",AD12)))</formula>
    </cfRule>
    <cfRule type="containsText" dxfId="4797" priority="10874" operator="containsText" text="GP1">
      <formula>NOT(ISERROR(SEARCH("GP1",AD12)))</formula>
    </cfRule>
  </conditionalFormatting>
  <conditionalFormatting sqref="AD12">
    <cfRule type="containsText" dxfId="4796" priority="10871" operator="containsText" text="GP2">
      <formula>NOT(ISERROR(SEARCH("GP2",AD12)))</formula>
    </cfRule>
    <cfRule type="containsText" dxfId="4795" priority="10872" operator="containsText" text="GP1">
      <formula>NOT(ISERROR(SEARCH("GP1",AD12)))</formula>
    </cfRule>
  </conditionalFormatting>
  <conditionalFormatting sqref="AD12">
    <cfRule type="containsText" dxfId="4794" priority="10869" operator="containsText" text="GP2">
      <formula>NOT(ISERROR(SEARCH("GP2",AD12)))</formula>
    </cfRule>
    <cfRule type="containsText" dxfId="4793" priority="10870" operator="containsText" text="GP1">
      <formula>NOT(ISERROR(SEARCH("GP1",AD12)))</formula>
    </cfRule>
  </conditionalFormatting>
  <conditionalFormatting sqref="AD12">
    <cfRule type="containsText" dxfId="4792" priority="10867" operator="containsText" text="GP2">
      <formula>NOT(ISERROR(SEARCH("GP2",AD12)))</formula>
    </cfRule>
    <cfRule type="containsText" dxfId="4791" priority="10868" operator="containsText" text="GP1">
      <formula>NOT(ISERROR(SEARCH("GP1",AD12)))</formula>
    </cfRule>
  </conditionalFormatting>
  <conditionalFormatting sqref="AD12">
    <cfRule type="containsText" dxfId="4790" priority="10865" operator="containsText" text="GP2">
      <formula>NOT(ISERROR(SEARCH("GP2",AD12)))</formula>
    </cfRule>
    <cfRule type="containsText" dxfId="4789" priority="10866" operator="containsText" text="GP1">
      <formula>NOT(ISERROR(SEARCH("GP1",AD12)))</formula>
    </cfRule>
  </conditionalFormatting>
  <conditionalFormatting sqref="AD12">
    <cfRule type="containsText" dxfId="4788" priority="10863" operator="containsText" text="GP2">
      <formula>NOT(ISERROR(SEARCH("GP2",AD12)))</formula>
    </cfRule>
    <cfRule type="containsText" dxfId="4787" priority="10864" operator="containsText" text="GP1">
      <formula>NOT(ISERROR(SEARCH("GP1",AD12)))</formula>
    </cfRule>
  </conditionalFormatting>
  <conditionalFormatting sqref="AD12">
    <cfRule type="containsText" dxfId="4786" priority="10861" operator="containsText" text="GP2">
      <formula>NOT(ISERROR(SEARCH("GP2",AD12)))</formula>
    </cfRule>
    <cfRule type="containsText" dxfId="4785" priority="10862" operator="containsText" text="GP1">
      <formula>NOT(ISERROR(SEARCH("GP1",AD12)))</formula>
    </cfRule>
  </conditionalFormatting>
  <conditionalFormatting sqref="AD12">
    <cfRule type="containsText" dxfId="4784" priority="10859" operator="containsText" text="GP2">
      <formula>NOT(ISERROR(SEARCH("GP2",AD12)))</formula>
    </cfRule>
    <cfRule type="containsText" dxfId="4783" priority="10860" operator="containsText" text="GP1">
      <formula>NOT(ISERROR(SEARCH("GP1",AD12)))</formula>
    </cfRule>
  </conditionalFormatting>
  <conditionalFormatting sqref="AD12">
    <cfRule type="containsText" dxfId="4782" priority="10857" operator="containsText" text="GP2">
      <formula>NOT(ISERROR(SEARCH("GP2",AD12)))</formula>
    </cfRule>
    <cfRule type="containsText" dxfId="4781" priority="10858" operator="containsText" text="GP1">
      <formula>NOT(ISERROR(SEARCH("GP1",AD12)))</formula>
    </cfRule>
  </conditionalFormatting>
  <conditionalFormatting sqref="AD12">
    <cfRule type="containsText" dxfId="4780" priority="10855" operator="containsText" text="GP2">
      <formula>NOT(ISERROR(SEARCH("GP2",AD12)))</formula>
    </cfRule>
    <cfRule type="containsText" dxfId="4779" priority="10856" operator="containsText" text="GP1">
      <formula>NOT(ISERROR(SEARCH("GP1",AD12)))</formula>
    </cfRule>
  </conditionalFormatting>
  <conditionalFormatting sqref="AD12">
    <cfRule type="containsText" dxfId="4778" priority="10853" operator="containsText" text="GP2">
      <formula>NOT(ISERROR(SEARCH("GP2",AD12)))</formula>
    </cfRule>
    <cfRule type="containsText" dxfId="4777" priority="10854" operator="containsText" text="GP1">
      <formula>NOT(ISERROR(SEARCH("GP1",AD12)))</formula>
    </cfRule>
  </conditionalFormatting>
  <conditionalFormatting sqref="AD12">
    <cfRule type="containsText" dxfId="4776" priority="10851" operator="containsText" text="GP2">
      <formula>NOT(ISERROR(SEARCH("GP2",AD12)))</formula>
    </cfRule>
    <cfRule type="containsText" dxfId="4775" priority="10852" operator="containsText" text="GP1">
      <formula>NOT(ISERROR(SEARCH("GP1",AD12)))</formula>
    </cfRule>
  </conditionalFormatting>
  <conditionalFormatting sqref="AD12">
    <cfRule type="containsText" dxfId="4774" priority="10849" operator="containsText" text="GP2">
      <formula>NOT(ISERROR(SEARCH("GP2",AD12)))</formula>
    </cfRule>
    <cfRule type="containsText" dxfId="4773" priority="10850" operator="containsText" text="GP1">
      <formula>NOT(ISERROR(SEARCH("GP1",AD12)))</formula>
    </cfRule>
  </conditionalFormatting>
  <conditionalFormatting sqref="AD12">
    <cfRule type="containsText" dxfId="4772" priority="10847" operator="containsText" text="GP2">
      <formula>NOT(ISERROR(SEARCH("GP2",AD12)))</formula>
    </cfRule>
    <cfRule type="containsText" dxfId="4771" priority="10848" operator="containsText" text="GP1">
      <formula>NOT(ISERROR(SEARCH("GP1",AD12)))</formula>
    </cfRule>
  </conditionalFormatting>
  <conditionalFormatting sqref="AD12">
    <cfRule type="containsText" dxfId="4770" priority="10845" operator="containsText" text="GP2">
      <formula>NOT(ISERROR(SEARCH("GP2",AD12)))</formula>
    </cfRule>
    <cfRule type="containsText" dxfId="4769" priority="10846" operator="containsText" text="GP1">
      <formula>NOT(ISERROR(SEARCH("GP1",AD12)))</formula>
    </cfRule>
  </conditionalFormatting>
  <conditionalFormatting sqref="AD12">
    <cfRule type="containsText" dxfId="4768" priority="10843" operator="containsText" text="GP2">
      <formula>NOT(ISERROR(SEARCH("GP2",AD12)))</formula>
    </cfRule>
    <cfRule type="containsText" dxfId="4767" priority="10844" operator="containsText" text="GP1">
      <formula>NOT(ISERROR(SEARCH("GP1",AD12)))</formula>
    </cfRule>
  </conditionalFormatting>
  <conditionalFormatting sqref="AD12">
    <cfRule type="containsText" dxfId="4766" priority="10841" operator="containsText" text="GP2">
      <formula>NOT(ISERROR(SEARCH("GP2",AD12)))</formula>
    </cfRule>
    <cfRule type="containsText" dxfId="4765" priority="10842" operator="containsText" text="GP1">
      <formula>NOT(ISERROR(SEARCH("GP1",AD12)))</formula>
    </cfRule>
  </conditionalFormatting>
  <conditionalFormatting sqref="AD12">
    <cfRule type="containsText" dxfId="4764" priority="10839" operator="containsText" text="GP2">
      <formula>NOT(ISERROR(SEARCH("GP2",AD12)))</formula>
    </cfRule>
    <cfRule type="containsText" dxfId="4763" priority="10840" operator="containsText" text="GP1">
      <formula>NOT(ISERROR(SEARCH("GP1",AD12)))</formula>
    </cfRule>
  </conditionalFormatting>
  <conditionalFormatting sqref="AD12">
    <cfRule type="containsText" dxfId="4762" priority="10837" operator="containsText" text="GP2">
      <formula>NOT(ISERROR(SEARCH("GP2",AD12)))</formula>
    </cfRule>
    <cfRule type="containsText" dxfId="4761" priority="10838" operator="containsText" text="GP1">
      <formula>NOT(ISERROR(SEARCH("GP1",AD12)))</formula>
    </cfRule>
  </conditionalFormatting>
  <conditionalFormatting sqref="AD12">
    <cfRule type="containsText" dxfId="4760" priority="10835" operator="containsText" text="GP2">
      <formula>NOT(ISERROR(SEARCH("GP2",AD12)))</formula>
    </cfRule>
    <cfRule type="containsText" dxfId="4759" priority="10836" operator="containsText" text="GP1">
      <formula>NOT(ISERROR(SEARCH("GP1",AD12)))</formula>
    </cfRule>
  </conditionalFormatting>
  <conditionalFormatting sqref="AD12">
    <cfRule type="containsText" dxfId="4758" priority="10833" operator="containsText" text="GP2">
      <formula>NOT(ISERROR(SEARCH("GP2",AD12)))</formula>
    </cfRule>
    <cfRule type="containsText" dxfId="4757" priority="10834" operator="containsText" text="GP1">
      <formula>NOT(ISERROR(SEARCH("GP1",AD12)))</formula>
    </cfRule>
  </conditionalFormatting>
  <conditionalFormatting sqref="AD12">
    <cfRule type="containsText" dxfId="4756" priority="10831" operator="containsText" text="GP2">
      <formula>NOT(ISERROR(SEARCH("GP2",AD12)))</formula>
    </cfRule>
    <cfRule type="containsText" dxfId="4755" priority="10832" operator="containsText" text="GP1">
      <formula>NOT(ISERROR(SEARCH("GP1",AD12)))</formula>
    </cfRule>
  </conditionalFormatting>
  <conditionalFormatting sqref="AD12">
    <cfRule type="containsText" dxfId="4754" priority="10829" operator="containsText" text="GP2">
      <formula>NOT(ISERROR(SEARCH("GP2",AD12)))</formula>
    </cfRule>
    <cfRule type="containsText" dxfId="4753" priority="10830" operator="containsText" text="GP1">
      <formula>NOT(ISERROR(SEARCH("GP1",AD12)))</formula>
    </cfRule>
  </conditionalFormatting>
  <conditionalFormatting sqref="AD12">
    <cfRule type="containsText" dxfId="4752" priority="10827" operator="containsText" text="GP2">
      <formula>NOT(ISERROR(SEARCH("GP2",AD12)))</formula>
    </cfRule>
    <cfRule type="containsText" dxfId="4751" priority="10828" operator="containsText" text="GP1">
      <formula>NOT(ISERROR(SEARCH("GP1",AD12)))</formula>
    </cfRule>
  </conditionalFormatting>
  <conditionalFormatting sqref="AD12">
    <cfRule type="containsText" dxfId="4750" priority="10825" operator="containsText" text="GP2">
      <formula>NOT(ISERROR(SEARCH("GP2",AD12)))</formula>
    </cfRule>
    <cfRule type="containsText" dxfId="4749" priority="10826" operator="containsText" text="GP1">
      <formula>NOT(ISERROR(SEARCH("GP1",AD12)))</formula>
    </cfRule>
  </conditionalFormatting>
  <conditionalFormatting sqref="AD12">
    <cfRule type="containsText" dxfId="4748" priority="10823" operator="containsText" text="GP2">
      <formula>NOT(ISERROR(SEARCH("GP2",AD12)))</formula>
    </cfRule>
    <cfRule type="containsText" dxfId="4747" priority="10824" operator="containsText" text="GP1">
      <formula>NOT(ISERROR(SEARCH("GP1",AD12)))</formula>
    </cfRule>
  </conditionalFormatting>
  <conditionalFormatting sqref="AD12">
    <cfRule type="containsText" dxfId="4746" priority="10821" operator="containsText" text="GP2">
      <formula>NOT(ISERROR(SEARCH("GP2",AD12)))</formula>
    </cfRule>
    <cfRule type="containsText" dxfId="4745" priority="10822" operator="containsText" text="GP1">
      <formula>NOT(ISERROR(SEARCH("GP1",AD12)))</formula>
    </cfRule>
  </conditionalFormatting>
  <conditionalFormatting sqref="AD12">
    <cfRule type="containsText" dxfId="4744" priority="10819" operator="containsText" text="GP2">
      <formula>NOT(ISERROR(SEARCH("GP2",AD12)))</formula>
    </cfRule>
    <cfRule type="containsText" dxfId="4743" priority="10820" operator="containsText" text="GP1">
      <formula>NOT(ISERROR(SEARCH("GP1",AD12)))</formula>
    </cfRule>
  </conditionalFormatting>
  <conditionalFormatting sqref="AD12">
    <cfRule type="containsText" dxfId="4742" priority="10817" operator="containsText" text="GP2">
      <formula>NOT(ISERROR(SEARCH("GP2",AD12)))</formula>
    </cfRule>
    <cfRule type="containsText" dxfId="4741" priority="10818" operator="containsText" text="GP1">
      <formula>NOT(ISERROR(SEARCH("GP1",AD12)))</formula>
    </cfRule>
  </conditionalFormatting>
  <conditionalFormatting sqref="AD12">
    <cfRule type="containsText" dxfId="4740" priority="10815" operator="containsText" text="GP2">
      <formula>NOT(ISERROR(SEARCH("GP2",AD12)))</formula>
    </cfRule>
    <cfRule type="containsText" dxfId="4739" priority="10816" operator="containsText" text="GP1">
      <formula>NOT(ISERROR(SEARCH("GP1",AD12)))</formula>
    </cfRule>
  </conditionalFormatting>
  <conditionalFormatting sqref="AD12">
    <cfRule type="containsText" dxfId="4738" priority="10813" operator="containsText" text="GP2">
      <formula>NOT(ISERROR(SEARCH("GP2",AD12)))</formula>
    </cfRule>
    <cfRule type="containsText" dxfId="4737" priority="10814" operator="containsText" text="GP1">
      <formula>NOT(ISERROR(SEARCH("GP1",AD12)))</formula>
    </cfRule>
  </conditionalFormatting>
  <conditionalFormatting sqref="AD12">
    <cfRule type="containsText" dxfId="4736" priority="10811" operator="containsText" text="GP2">
      <formula>NOT(ISERROR(SEARCH("GP2",AD12)))</formula>
    </cfRule>
    <cfRule type="containsText" dxfId="4735" priority="10812" operator="containsText" text="GP1">
      <formula>NOT(ISERROR(SEARCH("GP1",AD12)))</formula>
    </cfRule>
  </conditionalFormatting>
  <conditionalFormatting sqref="AD12">
    <cfRule type="containsText" dxfId="4734" priority="10809" operator="containsText" text="GP2">
      <formula>NOT(ISERROR(SEARCH("GP2",AD12)))</formula>
    </cfRule>
    <cfRule type="containsText" dxfId="4733" priority="10810" operator="containsText" text="GP1">
      <formula>NOT(ISERROR(SEARCH("GP1",AD12)))</formula>
    </cfRule>
  </conditionalFormatting>
  <conditionalFormatting sqref="AD12">
    <cfRule type="containsText" dxfId="4732" priority="10807" operator="containsText" text="GP2">
      <formula>NOT(ISERROR(SEARCH("GP2",AD12)))</formula>
    </cfRule>
    <cfRule type="containsText" dxfId="4731" priority="10808" operator="containsText" text="GP1">
      <formula>NOT(ISERROR(SEARCH("GP1",AD12)))</formula>
    </cfRule>
  </conditionalFormatting>
  <conditionalFormatting sqref="AD12">
    <cfRule type="containsText" dxfId="4730" priority="10805" operator="containsText" text="GP2">
      <formula>NOT(ISERROR(SEARCH("GP2",AD12)))</formula>
    </cfRule>
    <cfRule type="containsText" dxfId="4729" priority="10806" operator="containsText" text="GP1">
      <formula>NOT(ISERROR(SEARCH("GP1",AD12)))</formula>
    </cfRule>
  </conditionalFormatting>
  <conditionalFormatting sqref="AD12">
    <cfRule type="containsText" dxfId="4728" priority="10803" operator="containsText" text="GP2">
      <formula>NOT(ISERROR(SEARCH("GP2",AD12)))</formula>
    </cfRule>
    <cfRule type="containsText" dxfId="4727" priority="10804" operator="containsText" text="GP1">
      <formula>NOT(ISERROR(SEARCH("GP1",AD12)))</formula>
    </cfRule>
  </conditionalFormatting>
  <conditionalFormatting sqref="AD12">
    <cfRule type="containsText" dxfId="4726" priority="10801" operator="containsText" text="GP2">
      <formula>NOT(ISERROR(SEARCH("GP2",AD12)))</formula>
    </cfRule>
    <cfRule type="containsText" dxfId="4725" priority="10802" operator="containsText" text="GP1">
      <formula>NOT(ISERROR(SEARCH("GP1",AD12)))</formula>
    </cfRule>
  </conditionalFormatting>
  <conditionalFormatting sqref="AD12">
    <cfRule type="containsText" dxfId="4724" priority="10799" operator="containsText" text="GP2">
      <formula>NOT(ISERROR(SEARCH("GP2",AD12)))</formula>
    </cfRule>
    <cfRule type="containsText" dxfId="4723" priority="10800" operator="containsText" text="GP1">
      <formula>NOT(ISERROR(SEARCH("GP1",AD12)))</formula>
    </cfRule>
  </conditionalFormatting>
  <conditionalFormatting sqref="AD12">
    <cfRule type="containsText" dxfId="4722" priority="10797" operator="containsText" text="GP2">
      <formula>NOT(ISERROR(SEARCH("GP2",AD12)))</formula>
    </cfRule>
    <cfRule type="containsText" dxfId="4721" priority="10798" operator="containsText" text="GP1">
      <formula>NOT(ISERROR(SEARCH("GP1",AD12)))</formula>
    </cfRule>
  </conditionalFormatting>
  <conditionalFormatting sqref="AD12">
    <cfRule type="containsText" dxfId="4720" priority="10795" operator="containsText" text="GP2">
      <formula>NOT(ISERROR(SEARCH("GP2",AD12)))</formula>
    </cfRule>
    <cfRule type="containsText" dxfId="4719" priority="10796" operator="containsText" text="GP1">
      <formula>NOT(ISERROR(SEARCH("GP1",AD12)))</formula>
    </cfRule>
  </conditionalFormatting>
  <conditionalFormatting sqref="AD12">
    <cfRule type="containsText" dxfId="4718" priority="10793" operator="containsText" text="GP2">
      <formula>NOT(ISERROR(SEARCH("GP2",AD12)))</formula>
    </cfRule>
    <cfRule type="containsText" dxfId="4717" priority="10794" operator="containsText" text="GP1">
      <formula>NOT(ISERROR(SEARCH("GP1",AD12)))</formula>
    </cfRule>
  </conditionalFormatting>
  <conditionalFormatting sqref="AD12">
    <cfRule type="containsText" dxfId="4716" priority="10791" operator="containsText" text="GP2">
      <formula>NOT(ISERROR(SEARCH("GP2",AD12)))</formula>
    </cfRule>
    <cfRule type="containsText" dxfId="4715" priority="10792" operator="containsText" text="GP1">
      <formula>NOT(ISERROR(SEARCH("GP1",AD12)))</formula>
    </cfRule>
  </conditionalFormatting>
  <conditionalFormatting sqref="AD12">
    <cfRule type="containsText" dxfId="4714" priority="10789" operator="containsText" text="GP2">
      <formula>NOT(ISERROR(SEARCH("GP2",AD12)))</formula>
    </cfRule>
    <cfRule type="containsText" dxfId="4713" priority="10790" operator="containsText" text="GP1">
      <formula>NOT(ISERROR(SEARCH("GP1",AD12)))</formula>
    </cfRule>
  </conditionalFormatting>
  <conditionalFormatting sqref="AD12">
    <cfRule type="containsText" dxfId="4712" priority="10787" operator="containsText" text="GP2">
      <formula>NOT(ISERROR(SEARCH("GP2",AD12)))</formula>
    </cfRule>
    <cfRule type="containsText" dxfId="4711" priority="10788" operator="containsText" text="GP1">
      <formula>NOT(ISERROR(SEARCH("GP1",AD12)))</formula>
    </cfRule>
  </conditionalFormatting>
  <conditionalFormatting sqref="AD12">
    <cfRule type="containsText" dxfId="4710" priority="10785" operator="containsText" text="GP2">
      <formula>NOT(ISERROR(SEARCH("GP2",AD12)))</formula>
    </cfRule>
    <cfRule type="containsText" dxfId="4709" priority="10786" operator="containsText" text="GP1">
      <formula>NOT(ISERROR(SEARCH("GP1",AD12)))</formula>
    </cfRule>
  </conditionalFormatting>
  <conditionalFormatting sqref="AD12">
    <cfRule type="containsText" dxfId="4708" priority="10783" operator="containsText" text="GP2">
      <formula>NOT(ISERROR(SEARCH("GP2",AD12)))</formula>
    </cfRule>
    <cfRule type="containsText" dxfId="4707" priority="10784" operator="containsText" text="GP1">
      <formula>NOT(ISERROR(SEARCH("GP1",AD12)))</formula>
    </cfRule>
  </conditionalFormatting>
  <conditionalFormatting sqref="AD12">
    <cfRule type="containsText" dxfId="4706" priority="10781" operator="containsText" text="GP2">
      <formula>NOT(ISERROR(SEARCH("GP2",AD12)))</formula>
    </cfRule>
    <cfRule type="containsText" dxfId="4705" priority="10782" operator="containsText" text="GP1">
      <formula>NOT(ISERROR(SEARCH("GP1",AD12)))</formula>
    </cfRule>
  </conditionalFormatting>
  <conditionalFormatting sqref="AD12">
    <cfRule type="containsText" dxfId="4704" priority="10779" operator="containsText" text="GP2">
      <formula>NOT(ISERROR(SEARCH("GP2",AD12)))</formula>
    </cfRule>
    <cfRule type="containsText" dxfId="4703" priority="10780" operator="containsText" text="GP1">
      <formula>NOT(ISERROR(SEARCH("GP1",AD12)))</formula>
    </cfRule>
  </conditionalFormatting>
  <conditionalFormatting sqref="AD12">
    <cfRule type="containsText" dxfId="4702" priority="10777" operator="containsText" text="GP2">
      <formula>NOT(ISERROR(SEARCH("GP2",AD12)))</formula>
    </cfRule>
    <cfRule type="containsText" dxfId="4701" priority="10778" operator="containsText" text="GP1">
      <formula>NOT(ISERROR(SEARCH("GP1",AD12)))</formula>
    </cfRule>
  </conditionalFormatting>
  <conditionalFormatting sqref="AD12">
    <cfRule type="containsText" dxfId="4700" priority="10775" operator="containsText" text="GP2">
      <formula>NOT(ISERROR(SEARCH("GP2",AD12)))</formula>
    </cfRule>
    <cfRule type="containsText" dxfId="4699" priority="10776" operator="containsText" text="GP1">
      <formula>NOT(ISERROR(SEARCH("GP1",AD12)))</formula>
    </cfRule>
  </conditionalFormatting>
  <conditionalFormatting sqref="AD12">
    <cfRule type="containsText" dxfId="4698" priority="10773" operator="containsText" text="GP2">
      <formula>NOT(ISERROR(SEARCH("GP2",AD12)))</formula>
    </cfRule>
    <cfRule type="containsText" dxfId="4697" priority="10774" operator="containsText" text="GP1">
      <formula>NOT(ISERROR(SEARCH("GP1",AD12)))</formula>
    </cfRule>
  </conditionalFormatting>
  <conditionalFormatting sqref="AD12">
    <cfRule type="containsText" dxfId="4696" priority="10771" operator="containsText" text="GP2">
      <formula>NOT(ISERROR(SEARCH("GP2",AD12)))</formula>
    </cfRule>
    <cfRule type="containsText" dxfId="4695" priority="10772" operator="containsText" text="GP1">
      <formula>NOT(ISERROR(SEARCH("GP1",AD12)))</formula>
    </cfRule>
  </conditionalFormatting>
  <conditionalFormatting sqref="AD12">
    <cfRule type="containsText" dxfId="4694" priority="10769" operator="containsText" text="GP2">
      <formula>NOT(ISERROR(SEARCH("GP2",AD12)))</formula>
    </cfRule>
    <cfRule type="containsText" dxfId="4693" priority="10770" operator="containsText" text="GP1">
      <formula>NOT(ISERROR(SEARCH("GP1",AD12)))</formula>
    </cfRule>
  </conditionalFormatting>
  <conditionalFormatting sqref="AD12">
    <cfRule type="containsText" dxfId="4692" priority="10767" operator="containsText" text="GP2">
      <formula>NOT(ISERROR(SEARCH("GP2",AD12)))</formula>
    </cfRule>
    <cfRule type="containsText" dxfId="4691" priority="10768" operator="containsText" text="GP1">
      <formula>NOT(ISERROR(SEARCH("GP1",AD12)))</formula>
    </cfRule>
  </conditionalFormatting>
  <conditionalFormatting sqref="AD12">
    <cfRule type="containsText" dxfId="4690" priority="10765" operator="containsText" text="GP2">
      <formula>NOT(ISERROR(SEARCH("GP2",AD12)))</formula>
    </cfRule>
    <cfRule type="containsText" dxfId="4689" priority="10766" operator="containsText" text="GP1">
      <formula>NOT(ISERROR(SEARCH("GP1",AD12)))</formula>
    </cfRule>
  </conditionalFormatting>
  <conditionalFormatting sqref="AD12">
    <cfRule type="containsText" dxfId="4688" priority="10763" operator="containsText" text="GP2">
      <formula>NOT(ISERROR(SEARCH("GP2",AD12)))</formula>
    </cfRule>
    <cfRule type="containsText" dxfId="4687" priority="10764" operator="containsText" text="GP1">
      <formula>NOT(ISERROR(SEARCH("GP1",AD12)))</formula>
    </cfRule>
  </conditionalFormatting>
  <conditionalFormatting sqref="AD12">
    <cfRule type="containsText" dxfId="4686" priority="10761" operator="containsText" text="GP2">
      <formula>NOT(ISERROR(SEARCH("GP2",AD12)))</formula>
    </cfRule>
    <cfRule type="containsText" dxfId="4685" priority="10762" operator="containsText" text="GP1">
      <formula>NOT(ISERROR(SEARCH("GP1",AD12)))</formula>
    </cfRule>
  </conditionalFormatting>
  <conditionalFormatting sqref="AD12">
    <cfRule type="containsText" dxfId="4684" priority="10759" operator="containsText" text="GP2">
      <formula>NOT(ISERROR(SEARCH("GP2",AD12)))</formula>
    </cfRule>
    <cfRule type="containsText" dxfId="4683" priority="10760" operator="containsText" text="GP1">
      <formula>NOT(ISERROR(SEARCH("GP1",AD12)))</formula>
    </cfRule>
  </conditionalFormatting>
  <conditionalFormatting sqref="AD12">
    <cfRule type="containsText" dxfId="4682" priority="10757" operator="containsText" text="GP2">
      <formula>NOT(ISERROR(SEARCH("GP2",AD12)))</formula>
    </cfRule>
    <cfRule type="containsText" dxfId="4681" priority="10758" operator="containsText" text="GP1">
      <formula>NOT(ISERROR(SEARCH("GP1",AD12)))</formula>
    </cfRule>
  </conditionalFormatting>
  <conditionalFormatting sqref="AD12">
    <cfRule type="containsText" dxfId="4680" priority="10755" operator="containsText" text="GP2">
      <formula>NOT(ISERROR(SEARCH("GP2",AD12)))</formula>
    </cfRule>
    <cfRule type="containsText" dxfId="4679" priority="10756" operator="containsText" text="GP1">
      <formula>NOT(ISERROR(SEARCH("GP1",AD12)))</formula>
    </cfRule>
  </conditionalFormatting>
  <conditionalFormatting sqref="AD12">
    <cfRule type="containsText" dxfId="4678" priority="10753" operator="containsText" text="GP2">
      <formula>NOT(ISERROR(SEARCH("GP2",AD12)))</formula>
    </cfRule>
    <cfRule type="containsText" dxfId="4677" priority="10754" operator="containsText" text="GP1">
      <formula>NOT(ISERROR(SEARCH("GP1",AD12)))</formula>
    </cfRule>
  </conditionalFormatting>
  <conditionalFormatting sqref="AD12">
    <cfRule type="containsText" dxfId="4676" priority="10751" operator="containsText" text="GP2">
      <formula>NOT(ISERROR(SEARCH("GP2",AD12)))</formula>
    </cfRule>
    <cfRule type="containsText" dxfId="4675" priority="10752" operator="containsText" text="GP1">
      <formula>NOT(ISERROR(SEARCH("GP1",AD12)))</formula>
    </cfRule>
  </conditionalFormatting>
  <conditionalFormatting sqref="AD12">
    <cfRule type="containsText" dxfId="4674" priority="10749" operator="containsText" text="GP2">
      <formula>NOT(ISERROR(SEARCH("GP2",AD12)))</formula>
    </cfRule>
    <cfRule type="containsText" dxfId="4673" priority="10750" operator="containsText" text="GP1">
      <formula>NOT(ISERROR(SEARCH("GP1",AD12)))</formula>
    </cfRule>
  </conditionalFormatting>
  <conditionalFormatting sqref="AD12">
    <cfRule type="containsText" dxfId="4672" priority="10747" operator="containsText" text="GP2">
      <formula>NOT(ISERROR(SEARCH("GP2",AD12)))</formula>
    </cfRule>
    <cfRule type="containsText" dxfId="4671" priority="10748" operator="containsText" text="GP1">
      <formula>NOT(ISERROR(SEARCH("GP1",AD12)))</formula>
    </cfRule>
  </conditionalFormatting>
  <conditionalFormatting sqref="AD12">
    <cfRule type="containsText" dxfId="4670" priority="10745" operator="containsText" text="GP2">
      <formula>NOT(ISERROR(SEARCH("GP2",AD12)))</formula>
    </cfRule>
    <cfRule type="containsText" dxfId="4669" priority="10746" operator="containsText" text="GP1">
      <formula>NOT(ISERROR(SEARCH("GP1",AD12)))</formula>
    </cfRule>
  </conditionalFormatting>
  <conditionalFormatting sqref="AD12">
    <cfRule type="containsText" dxfId="4668" priority="10743" operator="containsText" text="GP2">
      <formula>NOT(ISERROR(SEARCH("GP2",AD12)))</formula>
    </cfRule>
    <cfRule type="containsText" dxfId="4667" priority="10744" operator="containsText" text="GP1">
      <formula>NOT(ISERROR(SEARCH("GP1",AD12)))</formula>
    </cfRule>
  </conditionalFormatting>
  <conditionalFormatting sqref="AD12">
    <cfRule type="containsText" dxfId="4666" priority="10741" operator="containsText" text="GP2">
      <formula>NOT(ISERROR(SEARCH("GP2",AD12)))</formula>
    </cfRule>
    <cfRule type="containsText" dxfId="4665" priority="10742" operator="containsText" text="GP1">
      <formula>NOT(ISERROR(SEARCH("GP1",AD12)))</formula>
    </cfRule>
  </conditionalFormatting>
  <conditionalFormatting sqref="AD12">
    <cfRule type="containsText" dxfId="4664" priority="10739" operator="containsText" text="GP2">
      <formula>NOT(ISERROR(SEARCH("GP2",AD12)))</formula>
    </cfRule>
    <cfRule type="containsText" dxfId="4663" priority="10740" operator="containsText" text="GP1">
      <formula>NOT(ISERROR(SEARCH("GP1",AD12)))</formula>
    </cfRule>
  </conditionalFormatting>
  <conditionalFormatting sqref="AD12">
    <cfRule type="containsText" dxfId="4662" priority="10737" operator="containsText" text="GP2">
      <formula>NOT(ISERROR(SEARCH("GP2",AD12)))</formula>
    </cfRule>
    <cfRule type="containsText" dxfId="4661" priority="10738" operator="containsText" text="GP1">
      <formula>NOT(ISERROR(SEARCH("GP1",AD12)))</formula>
    </cfRule>
  </conditionalFormatting>
  <conditionalFormatting sqref="AD12">
    <cfRule type="containsText" dxfId="4660" priority="10735" operator="containsText" text="GP2">
      <formula>NOT(ISERROR(SEARCH("GP2",AD12)))</formula>
    </cfRule>
    <cfRule type="containsText" dxfId="4659" priority="10736" operator="containsText" text="GP1">
      <formula>NOT(ISERROR(SEARCH("GP1",AD12)))</formula>
    </cfRule>
  </conditionalFormatting>
  <conditionalFormatting sqref="AD12">
    <cfRule type="containsText" dxfId="4658" priority="10733" operator="containsText" text="GP2">
      <formula>NOT(ISERROR(SEARCH("GP2",AD12)))</formula>
    </cfRule>
    <cfRule type="containsText" dxfId="4657" priority="10734" operator="containsText" text="GP1">
      <formula>NOT(ISERROR(SEARCH("GP1",AD12)))</formula>
    </cfRule>
  </conditionalFormatting>
  <conditionalFormatting sqref="AD12">
    <cfRule type="containsText" dxfId="4656" priority="10731" operator="containsText" text="GP2">
      <formula>NOT(ISERROR(SEARCH("GP2",AD12)))</formula>
    </cfRule>
    <cfRule type="containsText" dxfId="4655" priority="10732" operator="containsText" text="GP1">
      <formula>NOT(ISERROR(SEARCH("GP1",AD12)))</formula>
    </cfRule>
  </conditionalFormatting>
  <conditionalFormatting sqref="AD12">
    <cfRule type="containsText" dxfId="4654" priority="10729" operator="containsText" text="GP2">
      <formula>NOT(ISERROR(SEARCH("GP2",AD12)))</formula>
    </cfRule>
    <cfRule type="containsText" dxfId="4653" priority="10730" operator="containsText" text="GP1">
      <formula>NOT(ISERROR(SEARCH("GP1",AD12)))</formula>
    </cfRule>
  </conditionalFormatting>
  <conditionalFormatting sqref="AD12">
    <cfRule type="containsText" dxfId="4652" priority="10727" operator="containsText" text="GP2">
      <formula>NOT(ISERROR(SEARCH("GP2",AD12)))</formula>
    </cfRule>
    <cfRule type="containsText" dxfId="4651" priority="10728" operator="containsText" text="GP1">
      <formula>NOT(ISERROR(SEARCH("GP1",AD12)))</formula>
    </cfRule>
  </conditionalFormatting>
  <conditionalFormatting sqref="AD12">
    <cfRule type="containsText" dxfId="4650" priority="10725" operator="containsText" text="GP2">
      <formula>NOT(ISERROR(SEARCH("GP2",AD12)))</formula>
    </cfRule>
    <cfRule type="containsText" dxfId="4649" priority="10726" operator="containsText" text="GP1">
      <formula>NOT(ISERROR(SEARCH("GP1",AD12)))</formula>
    </cfRule>
  </conditionalFormatting>
  <conditionalFormatting sqref="AD12">
    <cfRule type="containsText" dxfId="4648" priority="10723" operator="containsText" text="GP2">
      <formula>NOT(ISERROR(SEARCH("GP2",AD12)))</formula>
    </cfRule>
    <cfRule type="containsText" dxfId="4647" priority="10724" operator="containsText" text="GP1">
      <formula>NOT(ISERROR(SEARCH("GP1",AD12)))</formula>
    </cfRule>
  </conditionalFormatting>
  <conditionalFormatting sqref="AD12">
    <cfRule type="containsText" dxfId="4646" priority="10721" operator="containsText" text="GP2">
      <formula>NOT(ISERROR(SEARCH("GP2",AD12)))</formula>
    </cfRule>
    <cfRule type="containsText" dxfId="4645" priority="10722" operator="containsText" text="GP1">
      <formula>NOT(ISERROR(SEARCH("GP1",AD12)))</formula>
    </cfRule>
  </conditionalFormatting>
  <conditionalFormatting sqref="AD12">
    <cfRule type="containsText" dxfId="4644" priority="10719" operator="containsText" text="GP2">
      <formula>NOT(ISERROR(SEARCH("GP2",AD12)))</formula>
    </cfRule>
    <cfRule type="containsText" dxfId="4643" priority="10720" operator="containsText" text="GP1">
      <formula>NOT(ISERROR(SEARCH("GP1",AD12)))</formula>
    </cfRule>
  </conditionalFormatting>
  <conditionalFormatting sqref="AD12">
    <cfRule type="containsText" dxfId="4642" priority="10717" operator="containsText" text="GP2">
      <formula>NOT(ISERROR(SEARCH("GP2",AD12)))</formula>
    </cfRule>
    <cfRule type="containsText" dxfId="4641" priority="10718" operator="containsText" text="GP1">
      <formula>NOT(ISERROR(SEARCH("GP1",AD12)))</formula>
    </cfRule>
  </conditionalFormatting>
  <conditionalFormatting sqref="AD12">
    <cfRule type="containsText" dxfId="4640" priority="10715" operator="containsText" text="GP2">
      <formula>NOT(ISERROR(SEARCH("GP2",AD12)))</formula>
    </cfRule>
    <cfRule type="containsText" dxfId="4639" priority="10716" operator="containsText" text="GP1">
      <formula>NOT(ISERROR(SEARCH("GP1",AD12)))</formula>
    </cfRule>
  </conditionalFormatting>
  <conditionalFormatting sqref="AD12">
    <cfRule type="containsText" dxfId="4638" priority="10713" operator="containsText" text="GP2">
      <formula>NOT(ISERROR(SEARCH("GP2",AD12)))</formula>
    </cfRule>
    <cfRule type="containsText" dxfId="4637" priority="10714" operator="containsText" text="GP1">
      <formula>NOT(ISERROR(SEARCH("GP1",AD12)))</formula>
    </cfRule>
  </conditionalFormatting>
  <conditionalFormatting sqref="AD12">
    <cfRule type="containsText" dxfId="4636" priority="10711" operator="containsText" text="GP2">
      <formula>NOT(ISERROR(SEARCH("GP2",AD12)))</formula>
    </cfRule>
    <cfRule type="containsText" dxfId="4635" priority="10712" operator="containsText" text="GP1">
      <formula>NOT(ISERROR(SEARCH("GP1",AD12)))</formula>
    </cfRule>
  </conditionalFormatting>
  <conditionalFormatting sqref="AD12">
    <cfRule type="containsText" dxfId="4634" priority="10709" operator="containsText" text="GP2">
      <formula>NOT(ISERROR(SEARCH("GP2",AD12)))</formula>
    </cfRule>
    <cfRule type="containsText" dxfId="4633" priority="10710" operator="containsText" text="GP1">
      <formula>NOT(ISERROR(SEARCH("GP1",AD12)))</formula>
    </cfRule>
  </conditionalFormatting>
  <conditionalFormatting sqref="AD12">
    <cfRule type="containsText" dxfId="4632" priority="10707" operator="containsText" text="GP2">
      <formula>NOT(ISERROR(SEARCH("GP2",AD12)))</formula>
    </cfRule>
    <cfRule type="containsText" dxfId="4631" priority="10708" operator="containsText" text="GP1">
      <formula>NOT(ISERROR(SEARCH("GP1",AD12)))</formula>
    </cfRule>
  </conditionalFormatting>
  <conditionalFormatting sqref="AD12">
    <cfRule type="containsText" dxfId="4630" priority="10705" operator="containsText" text="GP2">
      <formula>NOT(ISERROR(SEARCH("GP2",AD12)))</formula>
    </cfRule>
    <cfRule type="containsText" dxfId="4629" priority="10706" operator="containsText" text="GP1">
      <formula>NOT(ISERROR(SEARCH("GP1",AD12)))</formula>
    </cfRule>
  </conditionalFormatting>
  <conditionalFormatting sqref="AD12">
    <cfRule type="containsText" dxfId="4628" priority="10703" operator="containsText" text="GP2">
      <formula>NOT(ISERROR(SEARCH("GP2",AD12)))</formula>
    </cfRule>
    <cfRule type="containsText" dxfId="4627" priority="10704" operator="containsText" text="GP1">
      <formula>NOT(ISERROR(SEARCH("GP1",AD12)))</formula>
    </cfRule>
  </conditionalFormatting>
  <conditionalFormatting sqref="AD12">
    <cfRule type="containsText" dxfId="4626" priority="10701" operator="containsText" text="GP2">
      <formula>NOT(ISERROR(SEARCH("GP2",AD12)))</formula>
    </cfRule>
    <cfRule type="containsText" dxfId="4625" priority="10702" operator="containsText" text="GP1">
      <formula>NOT(ISERROR(SEARCH("GP1",AD12)))</formula>
    </cfRule>
  </conditionalFormatting>
  <conditionalFormatting sqref="AD12">
    <cfRule type="containsText" dxfId="4624" priority="10699" operator="containsText" text="GP2">
      <formula>NOT(ISERROR(SEARCH("GP2",AD12)))</formula>
    </cfRule>
    <cfRule type="containsText" dxfId="4623" priority="10700" operator="containsText" text="GP1">
      <formula>NOT(ISERROR(SEARCH("GP1",AD12)))</formula>
    </cfRule>
  </conditionalFormatting>
  <conditionalFormatting sqref="AD12">
    <cfRule type="containsText" dxfId="4622" priority="10697" operator="containsText" text="GP2">
      <formula>NOT(ISERROR(SEARCH("GP2",AD12)))</formula>
    </cfRule>
    <cfRule type="containsText" dxfId="4621" priority="10698" operator="containsText" text="GP1">
      <formula>NOT(ISERROR(SEARCH("GP1",AD12)))</formula>
    </cfRule>
  </conditionalFormatting>
  <conditionalFormatting sqref="AD12">
    <cfRule type="containsText" dxfId="4620" priority="10695" operator="containsText" text="GP2">
      <formula>NOT(ISERROR(SEARCH("GP2",AD12)))</formula>
    </cfRule>
    <cfRule type="containsText" dxfId="4619" priority="10696" operator="containsText" text="GP1">
      <formula>NOT(ISERROR(SEARCH("GP1",AD12)))</formula>
    </cfRule>
  </conditionalFormatting>
  <conditionalFormatting sqref="AD12">
    <cfRule type="containsText" dxfId="4618" priority="10693" operator="containsText" text="GP2">
      <formula>NOT(ISERROR(SEARCH("GP2",AD12)))</formula>
    </cfRule>
    <cfRule type="containsText" dxfId="4617" priority="10694" operator="containsText" text="GP1">
      <formula>NOT(ISERROR(SEARCH("GP1",AD12)))</formula>
    </cfRule>
  </conditionalFormatting>
  <conditionalFormatting sqref="AD12">
    <cfRule type="containsText" dxfId="4616" priority="10691" operator="containsText" text="GP2">
      <formula>NOT(ISERROR(SEARCH("GP2",AD12)))</formula>
    </cfRule>
    <cfRule type="containsText" dxfId="4615" priority="10692" operator="containsText" text="GP1">
      <formula>NOT(ISERROR(SEARCH("GP1",AD12)))</formula>
    </cfRule>
  </conditionalFormatting>
  <conditionalFormatting sqref="AD12">
    <cfRule type="containsText" dxfId="4614" priority="10689" operator="containsText" text="GP2">
      <formula>NOT(ISERROR(SEARCH("GP2",AD12)))</formula>
    </cfRule>
    <cfRule type="containsText" dxfId="4613" priority="10690" operator="containsText" text="GP1">
      <formula>NOT(ISERROR(SEARCH("GP1",AD12)))</formula>
    </cfRule>
  </conditionalFormatting>
  <conditionalFormatting sqref="AD12">
    <cfRule type="containsText" dxfId="4612" priority="10687" operator="containsText" text="GP2">
      <formula>NOT(ISERROR(SEARCH("GP2",AD12)))</formula>
    </cfRule>
    <cfRule type="containsText" dxfId="4611" priority="10688" operator="containsText" text="GP1">
      <formula>NOT(ISERROR(SEARCH("GP1",AD12)))</formula>
    </cfRule>
  </conditionalFormatting>
  <conditionalFormatting sqref="AD12">
    <cfRule type="containsText" dxfId="4610" priority="10685" operator="containsText" text="GP2">
      <formula>NOT(ISERROR(SEARCH("GP2",AD12)))</formula>
    </cfRule>
    <cfRule type="containsText" dxfId="4609" priority="10686" operator="containsText" text="GP1">
      <formula>NOT(ISERROR(SEARCH("GP1",AD12)))</formula>
    </cfRule>
  </conditionalFormatting>
  <conditionalFormatting sqref="AD12">
    <cfRule type="containsText" dxfId="4608" priority="10683" operator="containsText" text="GP2">
      <formula>NOT(ISERROR(SEARCH("GP2",AD12)))</formula>
    </cfRule>
    <cfRule type="containsText" dxfId="4607" priority="10684" operator="containsText" text="GP1">
      <formula>NOT(ISERROR(SEARCH("GP1",AD12)))</formula>
    </cfRule>
  </conditionalFormatting>
  <conditionalFormatting sqref="AD12">
    <cfRule type="containsText" dxfId="4606" priority="10681" operator="containsText" text="GP2">
      <formula>NOT(ISERROR(SEARCH("GP2",AD12)))</formula>
    </cfRule>
    <cfRule type="containsText" dxfId="4605" priority="10682" operator="containsText" text="GP1">
      <formula>NOT(ISERROR(SEARCH("GP1",AD12)))</formula>
    </cfRule>
  </conditionalFormatting>
  <conditionalFormatting sqref="AD12">
    <cfRule type="containsText" dxfId="4604" priority="10679" operator="containsText" text="GP2">
      <formula>NOT(ISERROR(SEARCH("GP2",AD12)))</formula>
    </cfRule>
    <cfRule type="containsText" dxfId="4603" priority="10680" operator="containsText" text="GP1">
      <formula>NOT(ISERROR(SEARCH("GP1",AD12)))</formula>
    </cfRule>
  </conditionalFormatting>
  <conditionalFormatting sqref="AD12">
    <cfRule type="containsText" dxfId="4602" priority="10677" operator="containsText" text="GP2">
      <formula>NOT(ISERROR(SEARCH("GP2",AD12)))</formula>
    </cfRule>
    <cfRule type="containsText" dxfId="4601" priority="10678" operator="containsText" text="GP1">
      <formula>NOT(ISERROR(SEARCH("GP1",AD12)))</formula>
    </cfRule>
  </conditionalFormatting>
  <conditionalFormatting sqref="AD12">
    <cfRule type="containsText" dxfId="4600" priority="10675" operator="containsText" text="GP2">
      <formula>NOT(ISERROR(SEARCH("GP2",AD12)))</formula>
    </cfRule>
    <cfRule type="containsText" dxfId="4599" priority="10676" operator="containsText" text="GP1">
      <formula>NOT(ISERROR(SEARCH("GP1",AD12)))</formula>
    </cfRule>
  </conditionalFormatting>
  <conditionalFormatting sqref="AD12">
    <cfRule type="containsText" dxfId="4598" priority="10673" operator="containsText" text="GP2">
      <formula>NOT(ISERROR(SEARCH("GP2",AD12)))</formula>
    </cfRule>
    <cfRule type="containsText" dxfId="4597" priority="10674" operator="containsText" text="GP1">
      <formula>NOT(ISERROR(SEARCH("GP1",AD12)))</formula>
    </cfRule>
  </conditionalFormatting>
  <conditionalFormatting sqref="AD12">
    <cfRule type="containsText" dxfId="4596" priority="10671" operator="containsText" text="GP2">
      <formula>NOT(ISERROR(SEARCH("GP2",AD12)))</formula>
    </cfRule>
    <cfRule type="containsText" dxfId="4595" priority="10672" operator="containsText" text="GP1">
      <formula>NOT(ISERROR(SEARCH("GP1",AD12)))</formula>
    </cfRule>
  </conditionalFormatting>
  <conditionalFormatting sqref="AD12">
    <cfRule type="containsText" dxfId="4594" priority="10669" operator="containsText" text="GP2">
      <formula>NOT(ISERROR(SEARCH("GP2",AD12)))</formula>
    </cfRule>
    <cfRule type="containsText" dxfId="4593" priority="10670" operator="containsText" text="GP1">
      <formula>NOT(ISERROR(SEARCH("GP1",AD12)))</formula>
    </cfRule>
  </conditionalFormatting>
  <conditionalFormatting sqref="AD12">
    <cfRule type="containsText" dxfId="4592" priority="10667" operator="containsText" text="GP2">
      <formula>NOT(ISERROR(SEARCH("GP2",AD12)))</formula>
    </cfRule>
    <cfRule type="containsText" dxfId="4591" priority="10668" operator="containsText" text="GP1">
      <formula>NOT(ISERROR(SEARCH("GP1",AD12)))</formula>
    </cfRule>
  </conditionalFormatting>
  <conditionalFormatting sqref="AD12">
    <cfRule type="containsText" dxfId="4590" priority="10665" operator="containsText" text="GP2">
      <formula>NOT(ISERROR(SEARCH("GP2",AD12)))</formula>
    </cfRule>
    <cfRule type="containsText" dxfId="4589" priority="10666" operator="containsText" text="GP1">
      <formula>NOT(ISERROR(SEARCH("GP1",AD12)))</formula>
    </cfRule>
  </conditionalFormatting>
  <conditionalFormatting sqref="AD12">
    <cfRule type="containsText" dxfId="4588" priority="10663" operator="containsText" text="GP2">
      <formula>NOT(ISERROR(SEARCH("GP2",AD12)))</formula>
    </cfRule>
    <cfRule type="containsText" dxfId="4587" priority="10664" operator="containsText" text="GP1">
      <formula>NOT(ISERROR(SEARCH("GP1",AD12)))</formula>
    </cfRule>
  </conditionalFormatting>
  <conditionalFormatting sqref="AD12">
    <cfRule type="containsText" dxfId="4586" priority="10661" operator="containsText" text="GP2">
      <formula>NOT(ISERROR(SEARCH("GP2",AD12)))</formula>
    </cfRule>
    <cfRule type="containsText" dxfId="4585" priority="10662" operator="containsText" text="GP1">
      <formula>NOT(ISERROR(SEARCH("GP1",AD12)))</formula>
    </cfRule>
  </conditionalFormatting>
  <conditionalFormatting sqref="AD12">
    <cfRule type="containsText" dxfId="4584" priority="10659" operator="containsText" text="GP2">
      <formula>NOT(ISERROR(SEARCH("GP2",AD12)))</formula>
    </cfRule>
    <cfRule type="containsText" dxfId="4583" priority="10660" operator="containsText" text="GP1">
      <formula>NOT(ISERROR(SEARCH("GP1",AD12)))</formula>
    </cfRule>
  </conditionalFormatting>
  <conditionalFormatting sqref="AD12">
    <cfRule type="containsText" dxfId="4582" priority="10657" operator="containsText" text="GP2">
      <formula>NOT(ISERROR(SEARCH("GP2",AD12)))</formula>
    </cfRule>
    <cfRule type="containsText" dxfId="4581" priority="10658" operator="containsText" text="GP1">
      <formula>NOT(ISERROR(SEARCH("GP1",AD12)))</formula>
    </cfRule>
  </conditionalFormatting>
  <conditionalFormatting sqref="AD12">
    <cfRule type="containsText" dxfId="4580" priority="10655" operator="containsText" text="GP2">
      <formula>NOT(ISERROR(SEARCH("GP2",AD12)))</formula>
    </cfRule>
    <cfRule type="containsText" dxfId="4579" priority="10656" operator="containsText" text="GP1">
      <formula>NOT(ISERROR(SEARCH("GP1",AD12)))</formula>
    </cfRule>
  </conditionalFormatting>
  <conditionalFormatting sqref="AD12">
    <cfRule type="containsText" dxfId="4578" priority="10653" operator="containsText" text="GP2">
      <formula>NOT(ISERROR(SEARCH("GP2",AD12)))</formula>
    </cfRule>
    <cfRule type="containsText" dxfId="4577" priority="10654" operator="containsText" text="GP1">
      <formula>NOT(ISERROR(SEARCH("GP1",AD12)))</formula>
    </cfRule>
  </conditionalFormatting>
  <conditionalFormatting sqref="AD12">
    <cfRule type="containsText" dxfId="4576" priority="10651" operator="containsText" text="GP2">
      <formula>NOT(ISERROR(SEARCH("GP2",AD12)))</formula>
    </cfRule>
    <cfRule type="containsText" dxfId="4575" priority="10652" operator="containsText" text="GP1">
      <formula>NOT(ISERROR(SEARCH("GP1",AD12)))</formula>
    </cfRule>
  </conditionalFormatting>
  <conditionalFormatting sqref="AD12">
    <cfRule type="containsText" dxfId="4574" priority="10649" operator="containsText" text="GP2">
      <formula>NOT(ISERROR(SEARCH("GP2",AD12)))</formula>
    </cfRule>
    <cfRule type="containsText" dxfId="4573" priority="10650" operator="containsText" text="GP1">
      <formula>NOT(ISERROR(SEARCH("GP1",AD12)))</formula>
    </cfRule>
  </conditionalFormatting>
  <conditionalFormatting sqref="AD12">
    <cfRule type="containsText" dxfId="4572" priority="10647" operator="containsText" text="GP2">
      <formula>NOT(ISERROR(SEARCH("GP2",AD12)))</formula>
    </cfRule>
    <cfRule type="containsText" dxfId="4571" priority="10648" operator="containsText" text="GP1">
      <formula>NOT(ISERROR(SEARCH("GP1",AD12)))</formula>
    </cfRule>
  </conditionalFormatting>
  <conditionalFormatting sqref="AD12">
    <cfRule type="containsText" dxfId="4570" priority="10645" operator="containsText" text="GP2">
      <formula>NOT(ISERROR(SEARCH("GP2",AD12)))</formula>
    </cfRule>
    <cfRule type="containsText" dxfId="4569" priority="10646" operator="containsText" text="GP1">
      <formula>NOT(ISERROR(SEARCH("GP1",AD12)))</formula>
    </cfRule>
  </conditionalFormatting>
  <conditionalFormatting sqref="AD12">
    <cfRule type="containsText" dxfId="4568" priority="10643" operator="containsText" text="GP2">
      <formula>NOT(ISERROR(SEARCH("GP2",AD12)))</formula>
    </cfRule>
    <cfRule type="containsText" dxfId="4567" priority="10644" operator="containsText" text="GP1">
      <formula>NOT(ISERROR(SEARCH("GP1",AD12)))</formula>
    </cfRule>
  </conditionalFormatting>
  <conditionalFormatting sqref="AD12">
    <cfRule type="containsText" dxfId="4566" priority="10641" operator="containsText" text="GP2">
      <formula>NOT(ISERROR(SEARCH("GP2",AD12)))</formula>
    </cfRule>
    <cfRule type="containsText" dxfId="4565" priority="10642" operator="containsText" text="GP1">
      <formula>NOT(ISERROR(SEARCH("GP1",AD12)))</formula>
    </cfRule>
  </conditionalFormatting>
  <conditionalFormatting sqref="AD12">
    <cfRule type="containsText" dxfId="4564" priority="10639" operator="containsText" text="GP2">
      <formula>NOT(ISERROR(SEARCH("GP2",AD12)))</formula>
    </cfRule>
    <cfRule type="containsText" dxfId="4563" priority="10640" operator="containsText" text="GP1">
      <formula>NOT(ISERROR(SEARCH("GP1",AD12)))</formula>
    </cfRule>
  </conditionalFormatting>
  <conditionalFormatting sqref="AD12">
    <cfRule type="containsText" dxfId="4562" priority="10637" operator="containsText" text="GP2">
      <formula>NOT(ISERROR(SEARCH("GP2",AD12)))</formula>
    </cfRule>
    <cfRule type="containsText" dxfId="4561" priority="10638" operator="containsText" text="GP1">
      <formula>NOT(ISERROR(SEARCH("GP1",AD12)))</formula>
    </cfRule>
  </conditionalFormatting>
  <conditionalFormatting sqref="AD12">
    <cfRule type="containsText" dxfId="4560" priority="10635" operator="containsText" text="GP2">
      <formula>NOT(ISERROR(SEARCH("GP2",AD12)))</formula>
    </cfRule>
    <cfRule type="containsText" dxfId="4559" priority="10636" operator="containsText" text="GP1">
      <formula>NOT(ISERROR(SEARCH("GP1",AD12)))</formula>
    </cfRule>
  </conditionalFormatting>
  <conditionalFormatting sqref="AD12">
    <cfRule type="containsText" dxfId="4558" priority="10633" operator="containsText" text="GP2">
      <formula>NOT(ISERROR(SEARCH("GP2",AD12)))</formula>
    </cfRule>
    <cfRule type="containsText" dxfId="4557" priority="10634" operator="containsText" text="GP1">
      <formula>NOT(ISERROR(SEARCH("GP1",AD12)))</formula>
    </cfRule>
  </conditionalFormatting>
  <conditionalFormatting sqref="AD12">
    <cfRule type="containsText" dxfId="4556" priority="10631" operator="containsText" text="GP2">
      <formula>NOT(ISERROR(SEARCH("GP2",AD12)))</formula>
    </cfRule>
    <cfRule type="containsText" dxfId="4555" priority="10632" operator="containsText" text="GP1">
      <formula>NOT(ISERROR(SEARCH("GP1",AD12)))</formula>
    </cfRule>
  </conditionalFormatting>
  <conditionalFormatting sqref="AD12">
    <cfRule type="containsText" dxfId="4554" priority="10629" operator="containsText" text="GP2">
      <formula>NOT(ISERROR(SEARCH("GP2",AD12)))</formula>
    </cfRule>
    <cfRule type="containsText" dxfId="4553" priority="10630" operator="containsText" text="GP1">
      <formula>NOT(ISERROR(SEARCH("GP1",AD12)))</formula>
    </cfRule>
  </conditionalFormatting>
  <conditionalFormatting sqref="AD12">
    <cfRule type="containsText" dxfId="4552" priority="10627" operator="containsText" text="GP2">
      <formula>NOT(ISERROR(SEARCH("GP2",AD12)))</formula>
    </cfRule>
    <cfRule type="containsText" dxfId="4551" priority="10628" operator="containsText" text="GP1">
      <formula>NOT(ISERROR(SEARCH("GP1",AD12)))</formula>
    </cfRule>
  </conditionalFormatting>
  <conditionalFormatting sqref="AD12">
    <cfRule type="containsText" dxfId="4550" priority="10625" operator="containsText" text="GP2">
      <formula>NOT(ISERROR(SEARCH("GP2",AD12)))</formula>
    </cfRule>
    <cfRule type="containsText" dxfId="4549" priority="10626" operator="containsText" text="GP1">
      <formula>NOT(ISERROR(SEARCH("GP1",AD12)))</formula>
    </cfRule>
  </conditionalFormatting>
  <conditionalFormatting sqref="AD12">
    <cfRule type="containsText" dxfId="4548" priority="10623" operator="containsText" text="GP2">
      <formula>NOT(ISERROR(SEARCH("GP2",AD12)))</formula>
    </cfRule>
    <cfRule type="containsText" dxfId="4547" priority="10624" operator="containsText" text="GP1">
      <formula>NOT(ISERROR(SEARCH("GP1",AD12)))</formula>
    </cfRule>
  </conditionalFormatting>
  <conditionalFormatting sqref="AD12">
    <cfRule type="containsText" dxfId="4546" priority="10621" operator="containsText" text="GP2">
      <formula>NOT(ISERROR(SEARCH("GP2",AD12)))</formula>
    </cfRule>
    <cfRule type="containsText" dxfId="4545" priority="10622" operator="containsText" text="GP1">
      <formula>NOT(ISERROR(SEARCH("GP1",AD12)))</formula>
    </cfRule>
  </conditionalFormatting>
  <conditionalFormatting sqref="AD12">
    <cfRule type="containsText" dxfId="4544" priority="10619" operator="containsText" text="GP2">
      <formula>NOT(ISERROR(SEARCH("GP2",AD12)))</formula>
    </cfRule>
    <cfRule type="containsText" dxfId="4543" priority="10620" operator="containsText" text="GP1">
      <formula>NOT(ISERROR(SEARCH("GP1",AD12)))</formula>
    </cfRule>
  </conditionalFormatting>
  <conditionalFormatting sqref="AD12">
    <cfRule type="containsText" dxfId="4542" priority="10617" operator="containsText" text="GP2">
      <formula>NOT(ISERROR(SEARCH("GP2",AD12)))</formula>
    </cfRule>
    <cfRule type="containsText" dxfId="4541" priority="10618" operator="containsText" text="GP1">
      <formula>NOT(ISERROR(SEARCH("GP1",AD12)))</formula>
    </cfRule>
  </conditionalFormatting>
  <conditionalFormatting sqref="AD12">
    <cfRule type="containsText" dxfId="4540" priority="10615" operator="containsText" text="GP2">
      <formula>NOT(ISERROR(SEARCH("GP2",AD12)))</formula>
    </cfRule>
    <cfRule type="containsText" dxfId="4539" priority="10616" operator="containsText" text="GP1">
      <formula>NOT(ISERROR(SEARCH("GP1",AD12)))</formula>
    </cfRule>
  </conditionalFormatting>
  <conditionalFormatting sqref="AD12">
    <cfRule type="containsText" dxfId="4538" priority="10613" operator="containsText" text="GP2">
      <formula>NOT(ISERROR(SEARCH("GP2",AD12)))</formula>
    </cfRule>
    <cfRule type="containsText" dxfId="4537" priority="10614" operator="containsText" text="GP1">
      <formula>NOT(ISERROR(SEARCH("GP1",AD12)))</formula>
    </cfRule>
  </conditionalFormatting>
  <conditionalFormatting sqref="AD12">
    <cfRule type="containsText" dxfId="4536" priority="10611" operator="containsText" text="GP2">
      <formula>NOT(ISERROR(SEARCH("GP2",AD12)))</formula>
    </cfRule>
    <cfRule type="containsText" dxfId="4535" priority="10612" operator="containsText" text="GP1">
      <formula>NOT(ISERROR(SEARCH("GP1",AD12)))</formula>
    </cfRule>
  </conditionalFormatting>
  <conditionalFormatting sqref="AD12">
    <cfRule type="containsText" dxfId="4534" priority="10609" operator="containsText" text="GP2">
      <formula>NOT(ISERROR(SEARCH("GP2",AD12)))</formula>
    </cfRule>
    <cfRule type="containsText" dxfId="4533" priority="10610" operator="containsText" text="GP1">
      <formula>NOT(ISERROR(SEARCH("GP1",AD12)))</formula>
    </cfRule>
  </conditionalFormatting>
  <conditionalFormatting sqref="AD12">
    <cfRule type="containsText" dxfId="4532" priority="10607" operator="containsText" text="GP2">
      <formula>NOT(ISERROR(SEARCH("GP2",AD12)))</formula>
    </cfRule>
    <cfRule type="containsText" dxfId="4531" priority="10608" operator="containsText" text="GP1">
      <formula>NOT(ISERROR(SEARCH("GP1",AD12)))</formula>
    </cfRule>
  </conditionalFormatting>
  <conditionalFormatting sqref="AD12">
    <cfRule type="containsText" dxfId="4530" priority="10605" operator="containsText" text="GP2">
      <formula>NOT(ISERROR(SEARCH("GP2",AD12)))</formula>
    </cfRule>
    <cfRule type="containsText" dxfId="4529" priority="10606" operator="containsText" text="GP1">
      <formula>NOT(ISERROR(SEARCH("GP1",AD12)))</formula>
    </cfRule>
  </conditionalFormatting>
  <conditionalFormatting sqref="AD12">
    <cfRule type="containsText" dxfId="4528" priority="10603" operator="containsText" text="GP2">
      <formula>NOT(ISERROR(SEARCH("GP2",AD12)))</formula>
    </cfRule>
    <cfRule type="containsText" dxfId="4527" priority="10604" operator="containsText" text="GP1">
      <formula>NOT(ISERROR(SEARCH("GP1",AD12)))</formula>
    </cfRule>
  </conditionalFormatting>
  <conditionalFormatting sqref="AD12">
    <cfRule type="containsText" dxfId="4526" priority="10601" operator="containsText" text="GP2">
      <formula>NOT(ISERROR(SEARCH("GP2",AD12)))</formula>
    </cfRule>
    <cfRule type="containsText" dxfId="4525" priority="10602" operator="containsText" text="GP1">
      <formula>NOT(ISERROR(SEARCH("GP1",AD12)))</formula>
    </cfRule>
  </conditionalFormatting>
  <conditionalFormatting sqref="AD12">
    <cfRule type="containsText" dxfId="4524" priority="10599" operator="containsText" text="GP2">
      <formula>NOT(ISERROR(SEARCH("GP2",AD12)))</formula>
    </cfRule>
    <cfRule type="containsText" dxfId="4523" priority="10600" operator="containsText" text="GP1">
      <formula>NOT(ISERROR(SEARCH("GP1",AD12)))</formula>
    </cfRule>
  </conditionalFormatting>
  <conditionalFormatting sqref="AD12">
    <cfRule type="containsText" dxfId="4522" priority="10597" operator="containsText" text="GP2">
      <formula>NOT(ISERROR(SEARCH("GP2",AD12)))</formula>
    </cfRule>
    <cfRule type="containsText" dxfId="4521" priority="10598" operator="containsText" text="GP1">
      <formula>NOT(ISERROR(SEARCH("GP1",AD12)))</formula>
    </cfRule>
  </conditionalFormatting>
  <conditionalFormatting sqref="AD12">
    <cfRule type="containsText" dxfId="4520" priority="10595" operator="containsText" text="GP2">
      <formula>NOT(ISERROR(SEARCH("GP2",AD12)))</formula>
    </cfRule>
    <cfRule type="containsText" dxfId="4519" priority="10596" operator="containsText" text="GP1">
      <formula>NOT(ISERROR(SEARCH("GP1",AD12)))</formula>
    </cfRule>
  </conditionalFormatting>
  <conditionalFormatting sqref="AD12">
    <cfRule type="containsText" dxfId="4518" priority="10593" operator="containsText" text="GP2">
      <formula>NOT(ISERROR(SEARCH("GP2",AD12)))</formula>
    </cfRule>
    <cfRule type="containsText" dxfId="4517" priority="10594" operator="containsText" text="GP1">
      <formula>NOT(ISERROR(SEARCH("GP1",AD12)))</formula>
    </cfRule>
  </conditionalFormatting>
  <conditionalFormatting sqref="AD12">
    <cfRule type="containsText" dxfId="4516" priority="10591" operator="containsText" text="GP2">
      <formula>NOT(ISERROR(SEARCH("GP2",AD12)))</formula>
    </cfRule>
    <cfRule type="containsText" dxfId="4515" priority="10592" operator="containsText" text="GP1">
      <formula>NOT(ISERROR(SEARCH("GP1",AD12)))</formula>
    </cfRule>
  </conditionalFormatting>
  <conditionalFormatting sqref="AD12">
    <cfRule type="containsText" dxfId="4514" priority="10589" operator="containsText" text="GP2">
      <formula>NOT(ISERROR(SEARCH("GP2",AD12)))</formula>
    </cfRule>
    <cfRule type="containsText" dxfId="4513" priority="10590" operator="containsText" text="GP1">
      <formula>NOT(ISERROR(SEARCH("GP1",AD12)))</formula>
    </cfRule>
  </conditionalFormatting>
  <conditionalFormatting sqref="AD12">
    <cfRule type="containsText" dxfId="4512" priority="10587" operator="containsText" text="GP2">
      <formula>NOT(ISERROR(SEARCH("GP2",AD12)))</formula>
    </cfRule>
    <cfRule type="containsText" dxfId="4511" priority="10588" operator="containsText" text="GP1">
      <formula>NOT(ISERROR(SEARCH("GP1",AD12)))</formula>
    </cfRule>
  </conditionalFormatting>
  <conditionalFormatting sqref="AD12">
    <cfRule type="containsText" dxfId="4510" priority="10585" operator="containsText" text="GP2">
      <formula>NOT(ISERROR(SEARCH("GP2",AD12)))</formula>
    </cfRule>
    <cfRule type="containsText" dxfId="4509" priority="10586" operator="containsText" text="GP1">
      <formula>NOT(ISERROR(SEARCH("GP1",AD12)))</formula>
    </cfRule>
  </conditionalFormatting>
  <conditionalFormatting sqref="AD12">
    <cfRule type="containsText" dxfId="4508" priority="10583" operator="containsText" text="GP2">
      <formula>NOT(ISERROR(SEARCH("GP2",AD12)))</formula>
    </cfRule>
    <cfRule type="containsText" dxfId="4507" priority="10584" operator="containsText" text="GP1">
      <formula>NOT(ISERROR(SEARCH("GP1",AD12)))</formula>
    </cfRule>
  </conditionalFormatting>
  <conditionalFormatting sqref="AD12">
    <cfRule type="containsText" dxfId="4506" priority="10581" operator="containsText" text="GP2">
      <formula>NOT(ISERROR(SEARCH("GP2",AD12)))</formula>
    </cfRule>
    <cfRule type="containsText" dxfId="4505" priority="10582" operator="containsText" text="GP1">
      <formula>NOT(ISERROR(SEARCH("GP1",AD12)))</formula>
    </cfRule>
  </conditionalFormatting>
  <conditionalFormatting sqref="AD12">
    <cfRule type="containsText" dxfId="4504" priority="10579" operator="containsText" text="GP2">
      <formula>NOT(ISERROR(SEARCH("GP2",AD12)))</formula>
    </cfRule>
    <cfRule type="containsText" dxfId="4503" priority="10580" operator="containsText" text="GP1">
      <formula>NOT(ISERROR(SEARCH("GP1",AD12)))</formula>
    </cfRule>
  </conditionalFormatting>
  <conditionalFormatting sqref="AD12">
    <cfRule type="containsText" dxfId="4502" priority="10577" operator="containsText" text="GP2">
      <formula>NOT(ISERROR(SEARCH("GP2",AD12)))</formula>
    </cfRule>
    <cfRule type="containsText" dxfId="4501" priority="10578" operator="containsText" text="GP1">
      <formula>NOT(ISERROR(SEARCH("GP1",AD12)))</formula>
    </cfRule>
  </conditionalFormatting>
  <conditionalFormatting sqref="AD12">
    <cfRule type="containsText" dxfId="4500" priority="10575" operator="containsText" text="GP2">
      <formula>NOT(ISERROR(SEARCH("GP2",AD12)))</formula>
    </cfRule>
    <cfRule type="containsText" dxfId="4499" priority="10576" operator="containsText" text="GP1">
      <formula>NOT(ISERROR(SEARCH("GP1",AD12)))</formula>
    </cfRule>
  </conditionalFormatting>
  <conditionalFormatting sqref="AD12">
    <cfRule type="containsText" dxfId="4498" priority="10573" operator="containsText" text="GP2">
      <formula>NOT(ISERROR(SEARCH("GP2",AD12)))</formula>
    </cfRule>
    <cfRule type="containsText" dxfId="4497" priority="10574" operator="containsText" text="GP1">
      <formula>NOT(ISERROR(SEARCH("GP1",AD12)))</formula>
    </cfRule>
  </conditionalFormatting>
  <conditionalFormatting sqref="AD12">
    <cfRule type="containsText" dxfId="4496" priority="10571" operator="containsText" text="GP2">
      <formula>NOT(ISERROR(SEARCH("GP2",AD12)))</formula>
    </cfRule>
    <cfRule type="containsText" dxfId="4495" priority="10572" operator="containsText" text="GP1">
      <formula>NOT(ISERROR(SEARCH("GP1",AD12)))</formula>
    </cfRule>
  </conditionalFormatting>
  <conditionalFormatting sqref="AD12">
    <cfRule type="containsText" dxfId="4494" priority="10569" operator="containsText" text="GP2">
      <formula>NOT(ISERROR(SEARCH("GP2",AD12)))</formula>
    </cfRule>
    <cfRule type="containsText" dxfId="4493" priority="10570" operator="containsText" text="GP1">
      <formula>NOT(ISERROR(SEARCH("GP1",AD12)))</formula>
    </cfRule>
  </conditionalFormatting>
  <conditionalFormatting sqref="AD12">
    <cfRule type="containsText" dxfId="4492" priority="10567" operator="containsText" text="GP2">
      <formula>NOT(ISERROR(SEARCH("GP2",AD12)))</formula>
    </cfRule>
    <cfRule type="containsText" dxfId="4491" priority="10568" operator="containsText" text="GP1">
      <formula>NOT(ISERROR(SEARCH("GP1",AD12)))</formula>
    </cfRule>
  </conditionalFormatting>
  <conditionalFormatting sqref="AD12">
    <cfRule type="containsText" dxfId="4490" priority="10565" operator="containsText" text="GP2">
      <formula>NOT(ISERROR(SEARCH("GP2",AD12)))</formula>
    </cfRule>
    <cfRule type="containsText" dxfId="4489" priority="10566" operator="containsText" text="GP1">
      <formula>NOT(ISERROR(SEARCH("GP1",AD12)))</formula>
    </cfRule>
  </conditionalFormatting>
  <conditionalFormatting sqref="AD12">
    <cfRule type="containsText" dxfId="4488" priority="10563" operator="containsText" text="GP2">
      <formula>NOT(ISERROR(SEARCH("GP2",AD12)))</formula>
    </cfRule>
    <cfRule type="containsText" dxfId="4487" priority="10564" operator="containsText" text="GP1">
      <formula>NOT(ISERROR(SEARCH("GP1",AD12)))</formula>
    </cfRule>
  </conditionalFormatting>
  <conditionalFormatting sqref="AD12">
    <cfRule type="containsText" dxfId="4486" priority="10561" operator="containsText" text="GP2">
      <formula>NOT(ISERROR(SEARCH("GP2",AD12)))</formula>
    </cfRule>
    <cfRule type="containsText" dxfId="4485" priority="10562" operator="containsText" text="GP1">
      <formula>NOT(ISERROR(SEARCH("GP1",AD12)))</formula>
    </cfRule>
  </conditionalFormatting>
  <conditionalFormatting sqref="AD12">
    <cfRule type="containsText" dxfId="4484" priority="10559" operator="containsText" text="GP2">
      <formula>NOT(ISERROR(SEARCH("GP2",AD12)))</formula>
    </cfRule>
    <cfRule type="containsText" dxfId="4483" priority="10560" operator="containsText" text="GP1">
      <formula>NOT(ISERROR(SEARCH("GP1",AD12)))</formula>
    </cfRule>
  </conditionalFormatting>
  <conditionalFormatting sqref="AD12">
    <cfRule type="containsText" dxfId="4482" priority="10557" operator="containsText" text="GP2">
      <formula>NOT(ISERROR(SEARCH("GP2",AD12)))</formula>
    </cfRule>
    <cfRule type="containsText" dxfId="4481" priority="10558" operator="containsText" text="GP1">
      <formula>NOT(ISERROR(SEARCH("GP1",AD12)))</formula>
    </cfRule>
  </conditionalFormatting>
  <conditionalFormatting sqref="AD12">
    <cfRule type="containsText" dxfId="4480" priority="10555" operator="containsText" text="GP2">
      <formula>NOT(ISERROR(SEARCH("GP2",AD12)))</formula>
    </cfRule>
    <cfRule type="containsText" dxfId="4479" priority="10556" operator="containsText" text="GP1">
      <formula>NOT(ISERROR(SEARCH("GP1",AD12)))</formula>
    </cfRule>
  </conditionalFormatting>
  <conditionalFormatting sqref="AD12">
    <cfRule type="containsText" dxfId="4478" priority="10553" operator="containsText" text="GP2">
      <formula>NOT(ISERROR(SEARCH("GP2",AD12)))</formula>
    </cfRule>
    <cfRule type="containsText" dxfId="4477" priority="10554" operator="containsText" text="GP1">
      <formula>NOT(ISERROR(SEARCH("GP1",AD12)))</formula>
    </cfRule>
  </conditionalFormatting>
  <conditionalFormatting sqref="AD12">
    <cfRule type="containsText" dxfId="4476" priority="10551" operator="containsText" text="GP2">
      <formula>NOT(ISERROR(SEARCH("GP2",AD12)))</formula>
    </cfRule>
    <cfRule type="containsText" dxfId="4475" priority="10552" operator="containsText" text="GP1">
      <formula>NOT(ISERROR(SEARCH("GP1",AD12)))</formula>
    </cfRule>
  </conditionalFormatting>
  <conditionalFormatting sqref="AD12">
    <cfRule type="containsText" dxfId="4474" priority="10549" operator="containsText" text="GP2">
      <formula>NOT(ISERROR(SEARCH("GP2",AD12)))</formula>
    </cfRule>
    <cfRule type="containsText" dxfId="4473" priority="10550" operator="containsText" text="GP1">
      <formula>NOT(ISERROR(SEARCH("GP1",AD12)))</formula>
    </cfRule>
  </conditionalFormatting>
  <conditionalFormatting sqref="AD12">
    <cfRule type="containsText" dxfId="4472" priority="10547" operator="containsText" text="GP2">
      <formula>NOT(ISERROR(SEARCH("GP2",AD12)))</formula>
    </cfRule>
    <cfRule type="containsText" dxfId="4471" priority="10548" operator="containsText" text="GP1">
      <formula>NOT(ISERROR(SEARCH("GP1",AD12)))</formula>
    </cfRule>
  </conditionalFormatting>
  <conditionalFormatting sqref="AD12">
    <cfRule type="containsText" dxfId="4470" priority="10545" operator="containsText" text="GP2">
      <formula>NOT(ISERROR(SEARCH("GP2",AD12)))</formula>
    </cfRule>
    <cfRule type="containsText" dxfId="4469" priority="10546" operator="containsText" text="GP1">
      <formula>NOT(ISERROR(SEARCH("GP1",AD12)))</formula>
    </cfRule>
  </conditionalFormatting>
  <conditionalFormatting sqref="AD12">
    <cfRule type="containsText" dxfId="4468" priority="10543" operator="containsText" text="GP2">
      <formula>NOT(ISERROR(SEARCH("GP2",AD12)))</formula>
    </cfRule>
    <cfRule type="containsText" dxfId="4467" priority="10544" operator="containsText" text="GP1">
      <formula>NOT(ISERROR(SEARCH("GP1",AD12)))</formula>
    </cfRule>
  </conditionalFormatting>
  <conditionalFormatting sqref="AD12">
    <cfRule type="containsText" dxfId="4466" priority="10541" operator="containsText" text="GP2">
      <formula>NOT(ISERROR(SEARCH("GP2",AD12)))</formula>
    </cfRule>
    <cfRule type="containsText" dxfId="4465" priority="10542" operator="containsText" text="GP1">
      <formula>NOT(ISERROR(SEARCH("GP1",AD12)))</formula>
    </cfRule>
  </conditionalFormatting>
  <conditionalFormatting sqref="AD12">
    <cfRule type="containsText" dxfId="4464" priority="10539" operator="containsText" text="GP2">
      <formula>NOT(ISERROR(SEARCH("GP2",AD12)))</formula>
    </cfRule>
    <cfRule type="containsText" dxfId="4463" priority="10540" operator="containsText" text="GP1">
      <formula>NOT(ISERROR(SEARCH("GP1",AD12)))</formula>
    </cfRule>
  </conditionalFormatting>
  <conditionalFormatting sqref="AD12">
    <cfRule type="containsText" dxfId="4462" priority="10537" operator="containsText" text="GP2">
      <formula>NOT(ISERROR(SEARCH("GP2",AD12)))</formula>
    </cfRule>
    <cfRule type="containsText" dxfId="4461" priority="10538" operator="containsText" text="GP1">
      <formula>NOT(ISERROR(SEARCH("GP1",AD12)))</formula>
    </cfRule>
  </conditionalFormatting>
  <conditionalFormatting sqref="AD12">
    <cfRule type="containsText" dxfId="4460" priority="10535" operator="containsText" text="GP2">
      <formula>NOT(ISERROR(SEARCH("GP2",AD12)))</formula>
    </cfRule>
    <cfRule type="containsText" dxfId="4459" priority="10536" operator="containsText" text="GP1">
      <formula>NOT(ISERROR(SEARCH("GP1",AD12)))</formula>
    </cfRule>
  </conditionalFormatting>
  <conditionalFormatting sqref="AD12">
    <cfRule type="containsText" dxfId="4458" priority="10533" operator="containsText" text="GP2">
      <formula>NOT(ISERROR(SEARCH("GP2",AD12)))</formula>
    </cfRule>
    <cfRule type="containsText" dxfId="4457" priority="10534" operator="containsText" text="GP1">
      <formula>NOT(ISERROR(SEARCH("GP1",AD12)))</formula>
    </cfRule>
  </conditionalFormatting>
  <conditionalFormatting sqref="AD12">
    <cfRule type="containsText" dxfId="4456" priority="10531" operator="containsText" text="GP2">
      <formula>NOT(ISERROR(SEARCH("GP2",AD12)))</formula>
    </cfRule>
    <cfRule type="containsText" dxfId="4455" priority="10532" operator="containsText" text="GP1">
      <formula>NOT(ISERROR(SEARCH("GP1",AD12)))</formula>
    </cfRule>
  </conditionalFormatting>
  <conditionalFormatting sqref="AD12">
    <cfRule type="containsText" dxfId="4454" priority="10529" operator="containsText" text="GP2">
      <formula>NOT(ISERROR(SEARCH("GP2",AD12)))</formula>
    </cfRule>
    <cfRule type="containsText" dxfId="4453" priority="10530" operator="containsText" text="GP1">
      <formula>NOT(ISERROR(SEARCH("GP1",AD12)))</formula>
    </cfRule>
  </conditionalFormatting>
  <conditionalFormatting sqref="AD12">
    <cfRule type="containsText" dxfId="4452" priority="10527" operator="containsText" text="GP2">
      <formula>NOT(ISERROR(SEARCH("GP2",AD12)))</formula>
    </cfRule>
    <cfRule type="containsText" dxfId="4451" priority="10528" operator="containsText" text="GP1">
      <formula>NOT(ISERROR(SEARCH("GP1",AD12)))</formula>
    </cfRule>
  </conditionalFormatting>
  <conditionalFormatting sqref="AD12">
    <cfRule type="containsText" dxfId="4450" priority="10525" operator="containsText" text="GP2">
      <formula>NOT(ISERROR(SEARCH("GP2",AD12)))</formula>
    </cfRule>
    <cfRule type="containsText" dxfId="4449" priority="10526" operator="containsText" text="GP1">
      <formula>NOT(ISERROR(SEARCH("GP1",AD12)))</formula>
    </cfRule>
  </conditionalFormatting>
  <conditionalFormatting sqref="AD12">
    <cfRule type="containsText" dxfId="4448" priority="10523" operator="containsText" text="GP2">
      <formula>NOT(ISERROR(SEARCH("GP2",AD12)))</formula>
    </cfRule>
    <cfRule type="containsText" dxfId="4447" priority="10524" operator="containsText" text="GP1">
      <formula>NOT(ISERROR(SEARCH("GP1",AD12)))</formula>
    </cfRule>
  </conditionalFormatting>
  <conditionalFormatting sqref="AD12">
    <cfRule type="containsText" dxfId="4446" priority="10521" operator="containsText" text="GP2">
      <formula>NOT(ISERROR(SEARCH("GP2",AD12)))</formula>
    </cfRule>
    <cfRule type="containsText" dxfId="4445" priority="10522" operator="containsText" text="GP1">
      <formula>NOT(ISERROR(SEARCH("GP1",AD12)))</formula>
    </cfRule>
  </conditionalFormatting>
  <conditionalFormatting sqref="AD12">
    <cfRule type="containsText" dxfId="4444" priority="10519" operator="containsText" text="GP2">
      <formula>NOT(ISERROR(SEARCH("GP2",AD12)))</formula>
    </cfRule>
    <cfRule type="containsText" dxfId="4443" priority="10520" operator="containsText" text="GP1">
      <formula>NOT(ISERROR(SEARCH("GP1",AD12)))</formula>
    </cfRule>
  </conditionalFormatting>
  <conditionalFormatting sqref="AD12">
    <cfRule type="containsText" dxfId="4442" priority="10517" operator="containsText" text="GP2">
      <formula>NOT(ISERROR(SEARCH("GP2",AD12)))</formula>
    </cfRule>
    <cfRule type="containsText" dxfId="4441" priority="10518" operator="containsText" text="GP1">
      <formula>NOT(ISERROR(SEARCH("GP1",AD12)))</formula>
    </cfRule>
  </conditionalFormatting>
  <conditionalFormatting sqref="AD12">
    <cfRule type="containsText" dxfId="4440" priority="10515" operator="containsText" text="GP2">
      <formula>NOT(ISERROR(SEARCH("GP2",AD12)))</formula>
    </cfRule>
    <cfRule type="containsText" dxfId="4439" priority="10516" operator="containsText" text="GP1">
      <formula>NOT(ISERROR(SEARCH("GP1",AD12)))</formula>
    </cfRule>
  </conditionalFormatting>
  <conditionalFormatting sqref="AD12">
    <cfRule type="containsText" dxfId="4438" priority="10513" operator="containsText" text="GP2">
      <formula>NOT(ISERROR(SEARCH("GP2",AD12)))</formula>
    </cfRule>
    <cfRule type="containsText" dxfId="4437" priority="10514" operator="containsText" text="GP1">
      <formula>NOT(ISERROR(SEARCH("GP1",AD12)))</formula>
    </cfRule>
  </conditionalFormatting>
  <conditionalFormatting sqref="AD12">
    <cfRule type="containsText" dxfId="4436" priority="10511" operator="containsText" text="GP2">
      <formula>NOT(ISERROR(SEARCH("GP2",AD12)))</formula>
    </cfRule>
    <cfRule type="containsText" dxfId="4435" priority="10512" operator="containsText" text="GP1">
      <formula>NOT(ISERROR(SEARCH("GP1",AD12)))</formula>
    </cfRule>
  </conditionalFormatting>
  <conditionalFormatting sqref="AD12">
    <cfRule type="containsText" dxfId="4434" priority="10509" operator="containsText" text="GP2">
      <formula>NOT(ISERROR(SEARCH("GP2",AD12)))</formula>
    </cfRule>
    <cfRule type="containsText" dxfId="4433" priority="10510" operator="containsText" text="GP1">
      <formula>NOT(ISERROR(SEARCH("GP1",AD12)))</formula>
    </cfRule>
  </conditionalFormatting>
  <conditionalFormatting sqref="AD12">
    <cfRule type="containsText" dxfId="4432" priority="10507" operator="containsText" text="GP2">
      <formula>NOT(ISERROR(SEARCH("GP2",AD12)))</formula>
    </cfRule>
    <cfRule type="containsText" dxfId="4431" priority="10508" operator="containsText" text="GP1">
      <formula>NOT(ISERROR(SEARCH("GP1",AD12)))</formula>
    </cfRule>
  </conditionalFormatting>
  <conditionalFormatting sqref="AD12">
    <cfRule type="containsText" dxfId="4430" priority="10505" operator="containsText" text="GP2">
      <formula>NOT(ISERROR(SEARCH("GP2",AD12)))</formula>
    </cfRule>
    <cfRule type="containsText" dxfId="4429" priority="10506" operator="containsText" text="GP1">
      <formula>NOT(ISERROR(SEARCH("GP1",AD12)))</formula>
    </cfRule>
  </conditionalFormatting>
  <conditionalFormatting sqref="AD12">
    <cfRule type="containsText" dxfId="4428" priority="10503" operator="containsText" text="GP2">
      <formula>NOT(ISERROR(SEARCH("GP2",AD12)))</formula>
    </cfRule>
    <cfRule type="containsText" dxfId="4427" priority="10504" operator="containsText" text="GP1">
      <formula>NOT(ISERROR(SEARCH("GP1",AD12)))</formula>
    </cfRule>
  </conditionalFormatting>
  <conditionalFormatting sqref="AD12">
    <cfRule type="containsText" dxfId="4426" priority="10501" operator="containsText" text="GP2">
      <formula>NOT(ISERROR(SEARCH("GP2",AD12)))</formula>
    </cfRule>
    <cfRule type="containsText" dxfId="4425" priority="10502" operator="containsText" text="GP1">
      <formula>NOT(ISERROR(SEARCH("GP1",AD12)))</formula>
    </cfRule>
  </conditionalFormatting>
  <conditionalFormatting sqref="AD12">
    <cfRule type="containsText" dxfId="4424" priority="10499" operator="containsText" text="GP2">
      <formula>NOT(ISERROR(SEARCH("GP2",AD12)))</formula>
    </cfRule>
    <cfRule type="containsText" dxfId="4423" priority="10500" operator="containsText" text="GP1">
      <formula>NOT(ISERROR(SEARCH("GP1",AD12)))</formula>
    </cfRule>
  </conditionalFormatting>
  <conditionalFormatting sqref="AD12">
    <cfRule type="containsText" dxfId="4422" priority="10497" operator="containsText" text="GP2">
      <formula>NOT(ISERROR(SEARCH("GP2",AD12)))</formula>
    </cfRule>
    <cfRule type="containsText" dxfId="4421" priority="10498" operator="containsText" text="GP1">
      <formula>NOT(ISERROR(SEARCH("GP1",AD12)))</formula>
    </cfRule>
  </conditionalFormatting>
  <conditionalFormatting sqref="AD12">
    <cfRule type="containsText" dxfId="4420" priority="10495" operator="containsText" text="GP2">
      <formula>NOT(ISERROR(SEARCH("GP2",AD12)))</formula>
    </cfRule>
    <cfRule type="containsText" dxfId="4419" priority="10496" operator="containsText" text="GP1">
      <formula>NOT(ISERROR(SEARCH("GP1",AD12)))</formula>
    </cfRule>
  </conditionalFormatting>
  <conditionalFormatting sqref="AD12">
    <cfRule type="containsText" dxfId="4418" priority="10493" operator="containsText" text="GP2">
      <formula>NOT(ISERROR(SEARCH("GP2",AD12)))</formula>
    </cfRule>
    <cfRule type="containsText" dxfId="4417" priority="10494" operator="containsText" text="GP1">
      <formula>NOT(ISERROR(SEARCH("GP1",AD12)))</formula>
    </cfRule>
  </conditionalFormatting>
  <conditionalFormatting sqref="AD12">
    <cfRule type="containsText" dxfId="4416" priority="10491" operator="containsText" text="GP2">
      <formula>NOT(ISERROR(SEARCH("GP2",AD12)))</formula>
    </cfRule>
    <cfRule type="containsText" dxfId="4415" priority="10492" operator="containsText" text="GP1">
      <formula>NOT(ISERROR(SEARCH("GP1",AD12)))</formula>
    </cfRule>
  </conditionalFormatting>
  <conditionalFormatting sqref="AD12">
    <cfRule type="containsText" dxfId="4414" priority="10489" operator="containsText" text="GP2">
      <formula>NOT(ISERROR(SEARCH("GP2",AD12)))</formula>
    </cfRule>
    <cfRule type="containsText" dxfId="4413" priority="10490" operator="containsText" text="GP1">
      <formula>NOT(ISERROR(SEARCH("GP1",AD12)))</formula>
    </cfRule>
  </conditionalFormatting>
  <conditionalFormatting sqref="AD12">
    <cfRule type="containsText" dxfId="4412" priority="10487" operator="containsText" text="GP2">
      <formula>NOT(ISERROR(SEARCH("GP2",AD12)))</formula>
    </cfRule>
    <cfRule type="containsText" dxfId="4411" priority="10488" operator="containsText" text="GP1">
      <formula>NOT(ISERROR(SEARCH("GP1",AD12)))</formula>
    </cfRule>
  </conditionalFormatting>
  <conditionalFormatting sqref="AD12">
    <cfRule type="containsText" dxfId="4410" priority="10485" operator="containsText" text="GP2">
      <formula>NOT(ISERROR(SEARCH("GP2",AD12)))</formula>
    </cfRule>
    <cfRule type="containsText" dxfId="4409" priority="10486" operator="containsText" text="GP1">
      <formula>NOT(ISERROR(SEARCH("GP1",AD12)))</formula>
    </cfRule>
  </conditionalFormatting>
  <conditionalFormatting sqref="AD12">
    <cfRule type="containsText" dxfId="4408" priority="10483" operator="containsText" text="GP2">
      <formula>NOT(ISERROR(SEARCH("GP2",AD12)))</formula>
    </cfRule>
    <cfRule type="containsText" dxfId="4407" priority="10484" operator="containsText" text="GP1">
      <formula>NOT(ISERROR(SEARCH("GP1",AD12)))</formula>
    </cfRule>
  </conditionalFormatting>
  <conditionalFormatting sqref="AD12">
    <cfRule type="containsText" dxfId="4406" priority="10481" operator="containsText" text="GP2">
      <formula>NOT(ISERROR(SEARCH("GP2",AD12)))</formula>
    </cfRule>
    <cfRule type="containsText" dxfId="4405" priority="10482" operator="containsText" text="GP1">
      <formula>NOT(ISERROR(SEARCH("GP1",AD12)))</formula>
    </cfRule>
  </conditionalFormatting>
  <conditionalFormatting sqref="AD12">
    <cfRule type="containsText" dxfId="4404" priority="10479" operator="containsText" text="GP2">
      <formula>NOT(ISERROR(SEARCH("GP2",AD12)))</formula>
    </cfRule>
    <cfRule type="containsText" dxfId="4403" priority="10480" operator="containsText" text="GP1">
      <formula>NOT(ISERROR(SEARCH("GP1",AD12)))</formula>
    </cfRule>
  </conditionalFormatting>
  <conditionalFormatting sqref="AD12">
    <cfRule type="containsText" dxfId="4402" priority="10477" operator="containsText" text="GP2">
      <formula>NOT(ISERROR(SEARCH("GP2",AD12)))</formula>
    </cfRule>
    <cfRule type="containsText" dxfId="4401" priority="10478" operator="containsText" text="GP1">
      <formula>NOT(ISERROR(SEARCH("GP1",AD12)))</formula>
    </cfRule>
  </conditionalFormatting>
  <conditionalFormatting sqref="AD12">
    <cfRule type="containsText" dxfId="4400" priority="10475" operator="containsText" text="GP2">
      <formula>NOT(ISERROR(SEARCH("GP2",AD12)))</formula>
    </cfRule>
    <cfRule type="containsText" dxfId="4399" priority="10476" operator="containsText" text="GP1">
      <formula>NOT(ISERROR(SEARCH("GP1",AD12)))</formula>
    </cfRule>
  </conditionalFormatting>
  <conditionalFormatting sqref="AD12">
    <cfRule type="containsText" dxfId="4398" priority="10473" operator="containsText" text="GP2">
      <formula>NOT(ISERROR(SEARCH("GP2",AD12)))</formula>
    </cfRule>
    <cfRule type="containsText" dxfId="4397" priority="10474" operator="containsText" text="GP1">
      <formula>NOT(ISERROR(SEARCH("GP1",AD12)))</formula>
    </cfRule>
  </conditionalFormatting>
  <conditionalFormatting sqref="AD12">
    <cfRule type="containsText" dxfId="4396" priority="10471" operator="containsText" text="GP2">
      <formula>NOT(ISERROR(SEARCH("GP2",AD12)))</formula>
    </cfRule>
    <cfRule type="containsText" dxfId="4395" priority="10472" operator="containsText" text="GP1">
      <formula>NOT(ISERROR(SEARCH("GP1",AD12)))</formula>
    </cfRule>
  </conditionalFormatting>
  <conditionalFormatting sqref="AD12">
    <cfRule type="containsText" dxfId="4394" priority="10469" operator="containsText" text="GP2">
      <formula>NOT(ISERROR(SEARCH("GP2",AD12)))</formula>
    </cfRule>
    <cfRule type="containsText" dxfId="4393" priority="10470" operator="containsText" text="GP1">
      <formula>NOT(ISERROR(SEARCH("GP1",AD12)))</formula>
    </cfRule>
  </conditionalFormatting>
  <conditionalFormatting sqref="AD12">
    <cfRule type="containsText" dxfId="4392" priority="10467" operator="containsText" text="GP2">
      <formula>NOT(ISERROR(SEARCH("GP2",AD12)))</formula>
    </cfRule>
    <cfRule type="containsText" dxfId="4391" priority="10468" operator="containsText" text="GP1">
      <formula>NOT(ISERROR(SEARCH("GP1",AD12)))</formula>
    </cfRule>
  </conditionalFormatting>
  <conditionalFormatting sqref="AD12">
    <cfRule type="containsText" dxfId="4390" priority="10465" operator="containsText" text="GP2">
      <formula>NOT(ISERROR(SEARCH("GP2",AD12)))</formula>
    </cfRule>
    <cfRule type="containsText" dxfId="4389" priority="10466" operator="containsText" text="GP1">
      <formula>NOT(ISERROR(SEARCH("GP1",AD12)))</formula>
    </cfRule>
  </conditionalFormatting>
  <conditionalFormatting sqref="AD12">
    <cfRule type="containsText" dxfId="4388" priority="10463" operator="containsText" text="GP2">
      <formula>NOT(ISERROR(SEARCH("GP2",AD12)))</formula>
    </cfRule>
    <cfRule type="containsText" dxfId="4387" priority="10464" operator="containsText" text="GP1">
      <formula>NOT(ISERROR(SEARCH("GP1",AD12)))</formula>
    </cfRule>
  </conditionalFormatting>
  <conditionalFormatting sqref="AD12">
    <cfRule type="containsText" dxfId="4386" priority="10461" operator="containsText" text="GP2">
      <formula>NOT(ISERROR(SEARCH("GP2",AD12)))</formula>
    </cfRule>
    <cfRule type="containsText" dxfId="4385" priority="10462" operator="containsText" text="GP1">
      <formula>NOT(ISERROR(SEARCH("GP1",AD12)))</formula>
    </cfRule>
  </conditionalFormatting>
  <conditionalFormatting sqref="AD12">
    <cfRule type="containsText" dxfId="4384" priority="10459" operator="containsText" text="GP2">
      <formula>NOT(ISERROR(SEARCH("GP2",AD12)))</formula>
    </cfRule>
    <cfRule type="containsText" dxfId="4383" priority="10460" operator="containsText" text="GP1">
      <formula>NOT(ISERROR(SEARCH("GP1",AD12)))</formula>
    </cfRule>
  </conditionalFormatting>
  <conditionalFormatting sqref="AD12">
    <cfRule type="containsText" dxfId="4382" priority="10457" operator="containsText" text="GP2">
      <formula>NOT(ISERROR(SEARCH("GP2",AD12)))</formula>
    </cfRule>
    <cfRule type="containsText" dxfId="4381" priority="10458" operator="containsText" text="GP1">
      <formula>NOT(ISERROR(SEARCH("GP1",AD12)))</formula>
    </cfRule>
  </conditionalFormatting>
  <conditionalFormatting sqref="AD12">
    <cfRule type="containsText" dxfId="4380" priority="10455" operator="containsText" text="GP2">
      <formula>NOT(ISERROR(SEARCH("GP2",AD12)))</formula>
    </cfRule>
    <cfRule type="containsText" dxfId="4379" priority="10456" operator="containsText" text="GP1">
      <formula>NOT(ISERROR(SEARCH("GP1",AD12)))</formula>
    </cfRule>
  </conditionalFormatting>
  <conditionalFormatting sqref="AD12">
    <cfRule type="containsText" dxfId="4378" priority="10453" operator="containsText" text="GP2">
      <formula>NOT(ISERROR(SEARCH("GP2",AD12)))</formula>
    </cfRule>
    <cfRule type="containsText" dxfId="4377" priority="10454" operator="containsText" text="GP1">
      <formula>NOT(ISERROR(SEARCH("GP1",AD12)))</formula>
    </cfRule>
  </conditionalFormatting>
  <conditionalFormatting sqref="AD12">
    <cfRule type="containsText" dxfId="4376" priority="10451" operator="containsText" text="GP2">
      <formula>NOT(ISERROR(SEARCH("GP2",AD12)))</formula>
    </cfRule>
    <cfRule type="containsText" dxfId="4375" priority="10452" operator="containsText" text="GP1">
      <formula>NOT(ISERROR(SEARCH("GP1",AD12)))</formula>
    </cfRule>
  </conditionalFormatting>
  <conditionalFormatting sqref="AD12">
    <cfRule type="containsText" dxfId="4374" priority="10449" operator="containsText" text="GP2">
      <formula>NOT(ISERROR(SEARCH("GP2",AD12)))</formula>
    </cfRule>
    <cfRule type="containsText" dxfId="4373" priority="10450" operator="containsText" text="GP1">
      <formula>NOT(ISERROR(SEARCH("GP1",AD12)))</formula>
    </cfRule>
  </conditionalFormatting>
  <conditionalFormatting sqref="AD12">
    <cfRule type="containsText" dxfId="4372" priority="10447" operator="containsText" text="GP2">
      <formula>NOT(ISERROR(SEARCH("GP2",AD12)))</formula>
    </cfRule>
    <cfRule type="containsText" dxfId="4371" priority="10448" operator="containsText" text="GP1">
      <formula>NOT(ISERROR(SEARCH("GP1",AD12)))</formula>
    </cfRule>
  </conditionalFormatting>
  <conditionalFormatting sqref="AD12">
    <cfRule type="containsText" dxfId="4370" priority="10445" operator="containsText" text="GP2">
      <formula>NOT(ISERROR(SEARCH("GP2",AD12)))</formula>
    </cfRule>
    <cfRule type="containsText" dxfId="4369" priority="10446" operator="containsText" text="GP1">
      <formula>NOT(ISERROR(SEARCH("GP1",AD12)))</formula>
    </cfRule>
  </conditionalFormatting>
  <conditionalFormatting sqref="AD12">
    <cfRule type="containsText" dxfId="4368" priority="10443" operator="containsText" text="GP2">
      <formula>NOT(ISERROR(SEARCH("GP2",AD12)))</formula>
    </cfRule>
    <cfRule type="containsText" dxfId="4367" priority="10444" operator="containsText" text="GP1">
      <formula>NOT(ISERROR(SEARCH("GP1",AD12)))</formula>
    </cfRule>
  </conditionalFormatting>
  <conditionalFormatting sqref="AD12">
    <cfRule type="containsText" dxfId="4366" priority="10441" operator="containsText" text="GP2">
      <formula>NOT(ISERROR(SEARCH("GP2",AD12)))</formula>
    </cfRule>
    <cfRule type="containsText" dxfId="4365" priority="10442" operator="containsText" text="GP1">
      <formula>NOT(ISERROR(SEARCH("GP1",AD12)))</formula>
    </cfRule>
  </conditionalFormatting>
  <conditionalFormatting sqref="AD12">
    <cfRule type="containsText" dxfId="4364" priority="10439" operator="containsText" text="GP2">
      <formula>NOT(ISERROR(SEARCH("GP2",AD12)))</formula>
    </cfRule>
    <cfRule type="containsText" dxfId="4363" priority="10440" operator="containsText" text="GP1">
      <formula>NOT(ISERROR(SEARCH("GP1",AD12)))</formula>
    </cfRule>
  </conditionalFormatting>
  <conditionalFormatting sqref="AD12">
    <cfRule type="containsText" dxfId="4362" priority="10437" operator="containsText" text="GP2">
      <formula>NOT(ISERROR(SEARCH("GP2",AD12)))</formula>
    </cfRule>
    <cfRule type="containsText" dxfId="4361" priority="10438" operator="containsText" text="GP1">
      <formula>NOT(ISERROR(SEARCH("GP1",AD12)))</formula>
    </cfRule>
  </conditionalFormatting>
  <conditionalFormatting sqref="AD12">
    <cfRule type="containsText" dxfId="4360" priority="10435" operator="containsText" text="GP2">
      <formula>NOT(ISERROR(SEARCH("GP2",AD12)))</formula>
    </cfRule>
    <cfRule type="containsText" dxfId="4359" priority="10436" operator="containsText" text="GP1">
      <formula>NOT(ISERROR(SEARCH("GP1",AD12)))</formula>
    </cfRule>
  </conditionalFormatting>
  <conditionalFormatting sqref="AD12">
    <cfRule type="containsText" dxfId="4358" priority="10433" operator="containsText" text="GP2">
      <formula>NOT(ISERROR(SEARCH("GP2",AD12)))</formula>
    </cfRule>
    <cfRule type="containsText" dxfId="4357" priority="10434" operator="containsText" text="GP1">
      <formula>NOT(ISERROR(SEARCH("GP1",AD12)))</formula>
    </cfRule>
  </conditionalFormatting>
  <conditionalFormatting sqref="AD12">
    <cfRule type="containsText" dxfId="4356" priority="10431" operator="containsText" text="GP2">
      <formula>NOT(ISERROR(SEARCH("GP2",AD12)))</formula>
    </cfRule>
    <cfRule type="containsText" dxfId="4355" priority="10432" operator="containsText" text="GP1">
      <formula>NOT(ISERROR(SEARCH("GP1",AD12)))</formula>
    </cfRule>
  </conditionalFormatting>
  <conditionalFormatting sqref="AD12">
    <cfRule type="containsText" dxfId="4354" priority="10429" operator="containsText" text="GP2">
      <formula>NOT(ISERROR(SEARCH("GP2",AD12)))</formula>
    </cfRule>
    <cfRule type="containsText" dxfId="4353" priority="10430" operator="containsText" text="GP1">
      <formula>NOT(ISERROR(SEARCH("GP1",AD12)))</formula>
    </cfRule>
  </conditionalFormatting>
  <conditionalFormatting sqref="AD12">
    <cfRule type="containsText" dxfId="4352" priority="10427" operator="containsText" text="GP2">
      <formula>NOT(ISERROR(SEARCH("GP2",AD12)))</formula>
    </cfRule>
    <cfRule type="containsText" dxfId="4351" priority="10428" operator="containsText" text="GP1">
      <formula>NOT(ISERROR(SEARCH("GP1",AD12)))</formula>
    </cfRule>
  </conditionalFormatting>
  <conditionalFormatting sqref="AD12">
    <cfRule type="containsText" dxfId="4350" priority="10425" operator="containsText" text="GP2">
      <formula>NOT(ISERROR(SEARCH("GP2",AD12)))</formula>
    </cfRule>
    <cfRule type="containsText" dxfId="4349" priority="10426" operator="containsText" text="GP1">
      <formula>NOT(ISERROR(SEARCH("GP1",AD12)))</formula>
    </cfRule>
  </conditionalFormatting>
  <conditionalFormatting sqref="AD12">
    <cfRule type="containsText" dxfId="4348" priority="10423" operator="containsText" text="GP2">
      <formula>NOT(ISERROR(SEARCH("GP2",AD12)))</formula>
    </cfRule>
    <cfRule type="containsText" dxfId="4347" priority="10424" operator="containsText" text="GP1">
      <formula>NOT(ISERROR(SEARCH("GP1",AD12)))</formula>
    </cfRule>
  </conditionalFormatting>
  <conditionalFormatting sqref="AD12">
    <cfRule type="containsText" dxfId="4346" priority="10421" operator="containsText" text="GP2">
      <formula>NOT(ISERROR(SEARCH("GP2",AD12)))</formula>
    </cfRule>
    <cfRule type="containsText" dxfId="4345" priority="10422" operator="containsText" text="GP1">
      <formula>NOT(ISERROR(SEARCH("GP1",AD12)))</formula>
    </cfRule>
  </conditionalFormatting>
  <conditionalFormatting sqref="AD12">
    <cfRule type="containsText" dxfId="4344" priority="10419" operator="containsText" text="GP2">
      <formula>NOT(ISERROR(SEARCH("GP2",AD12)))</formula>
    </cfRule>
    <cfRule type="containsText" dxfId="4343" priority="10420" operator="containsText" text="GP1">
      <formula>NOT(ISERROR(SEARCH("GP1",AD12)))</formula>
    </cfRule>
  </conditionalFormatting>
  <conditionalFormatting sqref="AD12">
    <cfRule type="containsText" dxfId="4342" priority="10417" operator="containsText" text="GP2">
      <formula>NOT(ISERROR(SEARCH("GP2",AD12)))</formula>
    </cfRule>
    <cfRule type="containsText" dxfId="4341" priority="10418" operator="containsText" text="GP1">
      <formula>NOT(ISERROR(SEARCH("GP1",AD12)))</formula>
    </cfRule>
  </conditionalFormatting>
  <conditionalFormatting sqref="AD12">
    <cfRule type="containsText" dxfId="4340" priority="10415" operator="containsText" text="GP2">
      <formula>NOT(ISERROR(SEARCH("GP2",AD12)))</formula>
    </cfRule>
    <cfRule type="containsText" dxfId="4339" priority="10416" operator="containsText" text="GP1">
      <formula>NOT(ISERROR(SEARCH("GP1",AD12)))</formula>
    </cfRule>
  </conditionalFormatting>
  <conditionalFormatting sqref="AD12">
    <cfRule type="containsText" dxfId="4338" priority="10413" operator="containsText" text="GP2">
      <formula>NOT(ISERROR(SEARCH("GP2",AD12)))</formula>
    </cfRule>
    <cfRule type="containsText" dxfId="4337" priority="10414" operator="containsText" text="GP1">
      <formula>NOT(ISERROR(SEARCH("GP1",AD12)))</formula>
    </cfRule>
  </conditionalFormatting>
  <conditionalFormatting sqref="AD12">
    <cfRule type="containsText" dxfId="4336" priority="10411" operator="containsText" text="GP2">
      <formula>NOT(ISERROR(SEARCH("GP2",AD12)))</formula>
    </cfRule>
    <cfRule type="containsText" dxfId="4335" priority="10412" operator="containsText" text="GP1">
      <formula>NOT(ISERROR(SEARCH("GP1",AD12)))</formula>
    </cfRule>
  </conditionalFormatting>
  <conditionalFormatting sqref="AD12">
    <cfRule type="containsText" dxfId="4334" priority="10409" operator="containsText" text="GP2">
      <formula>NOT(ISERROR(SEARCH("GP2",AD12)))</formula>
    </cfRule>
    <cfRule type="containsText" dxfId="4333" priority="10410" operator="containsText" text="GP1">
      <formula>NOT(ISERROR(SEARCH("GP1",AD12)))</formula>
    </cfRule>
  </conditionalFormatting>
  <conditionalFormatting sqref="AD12">
    <cfRule type="containsText" dxfId="4332" priority="10407" operator="containsText" text="GP2">
      <formula>NOT(ISERROR(SEARCH("GP2",AD12)))</formula>
    </cfRule>
    <cfRule type="containsText" dxfId="4331" priority="10408" operator="containsText" text="GP1">
      <formula>NOT(ISERROR(SEARCH("GP1",AD12)))</formula>
    </cfRule>
  </conditionalFormatting>
  <conditionalFormatting sqref="AD12">
    <cfRule type="containsText" dxfId="4330" priority="10405" operator="containsText" text="GP2">
      <formula>NOT(ISERROR(SEARCH("GP2",AD12)))</formula>
    </cfRule>
    <cfRule type="containsText" dxfId="4329" priority="10406" operator="containsText" text="GP1">
      <formula>NOT(ISERROR(SEARCH("GP1",AD12)))</formula>
    </cfRule>
  </conditionalFormatting>
  <conditionalFormatting sqref="AD12">
    <cfRule type="containsText" dxfId="4328" priority="10403" operator="containsText" text="GP2">
      <formula>NOT(ISERROR(SEARCH("GP2",AD12)))</formula>
    </cfRule>
    <cfRule type="containsText" dxfId="4327" priority="10404" operator="containsText" text="GP1">
      <formula>NOT(ISERROR(SEARCH("GP1",AD12)))</formula>
    </cfRule>
  </conditionalFormatting>
  <conditionalFormatting sqref="AD12">
    <cfRule type="containsText" dxfId="4326" priority="10397" operator="containsText" text="GP2">
      <formula>NOT(ISERROR(SEARCH("GP2",AD12)))</formula>
    </cfRule>
    <cfRule type="containsText" dxfId="4325" priority="10398" operator="containsText" text="GP1">
      <formula>NOT(ISERROR(SEARCH("GP1",AD12)))</formula>
    </cfRule>
  </conditionalFormatting>
  <conditionalFormatting sqref="AD12">
    <cfRule type="containsText" dxfId="4324" priority="10395" operator="containsText" text="GP2">
      <formula>NOT(ISERROR(SEARCH("GP2",AD12)))</formula>
    </cfRule>
    <cfRule type="containsText" dxfId="4323" priority="10396" operator="containsText" text="GP1">
      <formula>NOT(ISERROR(SEARCH("GP1",AD12)))</formula>
    </cfRule>
  </conditionalFormatting>
  <conditionalFormatting sqref="AD12">
    <cfRule type="containsText" dxfId="4322" priority="10393" operator="containsText" text="GP2">
      <formula>NOT(ISERROR(SEARCH("GP2",AD12)))</formula>
    </cfRule>
    <cfRule type="containsText" dxfId="4321" priority="10394" operator="containsText" text="GP1">
      <formula>NOT(ISERROR(SEARCH("GP1",AD12)))</formula>
    </cfRule>
  </conditionalFormatting>
  <conditionalFormatting sqref="AD12">
    <cfRule type="containsText" dxfId="4320" priority="10391" operator="containsText" text="GP2">
      <formula>NOT(ISERROR(SEARCH("GP2",AD12)))</formula>
    </cfRule>
    <cfRule type="containsText" dxfId="4319" priority="10392" operator="containsText" text="GP1">
      <formula>NOT(ISERROR(SEARCH("GP1",AD12)))</formula>
    </cfRule>
  </conditionalFormatting>
  <conditionalFormatting sqref="AD12">
    <cfRule type="containsText" dxfId="4318" priority="10389" operator="containsText" text="GP2">
      <formula>NOT(ISERROR(SEARCH("GP2",AD12)))</formula>
    </cfRule>
    <cfRule type="containsText" dxfId="4317" priority="10390" operator="containsText" text="GP1">
      <formula>NOT(ISERROR(SEARCH("GP1",AD12)))</formula>
    </cfRule>
  </conditionalFormatting>
  <conditionalFormatting sqref="AD12">
    <cfRule type="containsText" dxfId="4316" priority="10387" operator="containsText" text="GP2">
      <formula>NOT(ISERROR(SEARCH("GP2",AD12)))</formula>
    </cfRule>
    <cfRule type="containsText" dxfId="4315" priority="10388" operator="containsText" text="GP1">
      <formula>NOT(ISERROR(SEARCH("GP1",AD12)))</formula>
    </cfRule>
  </conditionalFormatting>
  <conditionalFormatting sqref="AD12">
    <cfRule type="containsText" dxfId="4314" priority="10401" operator="containsText" text="GP2">
      <formula>NOT(ISERROR(SEARCH("GP2",AD12)))</formula>
    </cfRule>
    <cfRule type="containsText" dxfId="4313" priority="10402" operator="containsText" text="GP1">
      <formula>NOT(ISERROR(SEARCH("GP1",AD12)))</formula>
    </cfRule>
  </conditionalFormatting>
  <conditionalFormatting sqref="AD12">
    <cfRule type="containsText" dxfId="4312" priority="10399" operator="containsText" text="GP2">
      <formula>NOT(ISERROR(SEARCH("GP2",AD12)))</formula>
    </cfRule>
    <cfRule type="containsText" dxfId="4311" priority="10400" operator="containsText" text="GP1">
      <formula>NOT(ISERROR(SEARCH("GP1",AD12)))</formula>
    </cfRule>
  </conditionalFormatting>
  <conditionalFormatting sqref="AD12">
    <cfRule type="containsText" dxfId="4310" priority="10385" operator="containsText" text="GP2">
      <formula>NOT(ISERROR(SEARCH("GP2",AD12)))</formula>
    </cfRule>
    <cfRule type="containsText" dxfId="4309" priority="10386" operator="containsText" text="GP1">
      <formula>NOT(ISERROR(SEARCH("GP1",AD12)))</formula>
    </cfRule>
  </conditionalFormatting>
  <conditionalFormatting sqref="AD12">
    <cfRule type="containsText" dxfId="4308" priority="10383" operator="containsText" text="GP2">
      <formula>NOT(ISERROR(SEARCH("GP2",AD12)))</formula>
    </cfRule>
    <cfRule type="containsText" dxfId="4307" priority="10384" operator="containsText" text="GP1">
      <formula>NOT(ISERROR(SEARCH("GP1",AD12)))</formula>
    </cfRule>
  </conditionalFormatting>
  <conditionalFormatting sqref="AD12">
    <cfRule type="containsText" dxfId="4306" priority="10381" operator="containsText" text="GP2">
      <formula>NOT(ISERROR(SEARCH("GP2",AD12)))</formula>
    </cfRule>
    <cfRule type="containsText" dxfId="4305" priority="10382" operator="containsText" text="GP1">
      <formula>NOT(ISERROR(SEARCH("GP1",AD12)))</formula>
    </cfRule>
  </conditionalFormatting>
  <conditionalFormatting sqref="AD12">
    <cfRule type="containsText" dxfId="4304" priority="10379" operator="containsText" text="GP2">
      <formula>NOT(ISERROR(SEARCH("GP2",AD12)))</formula>
    </cfRule>
    <cfRule type="containsText" dxfId="4303" priority="10380" operator="containsText" text="GP1">
      <formula>NOT(ISERROR(SEARCH("GP1",AD12)))</formula>
    </cfRule>
  </conditionalFormatting>
  <conditionalFormatting sqref="AD12">
    <cfRule type="containsText" dxfId="4302" priority="10377" operator="containsText" text="GP2">
      <formula>NOT(ISERROR(SEARCH("GP2",AD12)))</formula>
    </cfRule>
    <cfRule type="containsText" dxfId="4301" priority="10378" operator="containsText" text="GP1">
      <formula>NOT(ISERROR(SEARCH("GP1",AD12)))</formula>
    </cfRule>
  </conditionalFormatting>
  <conditionalFormatting sqref="AD12">
    <cfRule type="containsText" dxfId="4300" priority="10375" operator="containsText" text="GP2">
      <formula>NOT(ISERROR(SEARCH("GP2",AD12)))</formula>
    </cfRule>
    <cfRule type="containsText" dxfId="4299" priority="10376" operator="containsText" text="GP1">
      <formula>NOT(ISERROR(SEARCH("GP1",AD12)))</formula>
    </cfRule>
  </conditionalFormatting>
  <conditionalFormatting sqref="AD12">
    <cfRule type="containsText" dxfId="4298" priority="10373" operator="containsText" text="GP2">
      <formula>NOT(ISERROR(SEARCH("GP2",AD12)))</formula>
    </cfRule>
    <cfRule type="containsText" dxfId="4297" priority="10374" operator="containsText" text="GP1">
      <formula>NOT(ISERROR(SEARCH("GP1",AD12)))</formula>
    </cfRule>
  </conditionalFormatting>
  <conditionalFormatting sqref="AD12">
    <cfRule type="containsText" dxfId="4296" priority="10371" operator="containsText" text="GP2">
      <formula>NOT(ISERROR(SEARCH("GP2",AD12)))</formula>
    </cfRule>
    <cfRule type="containsText" dxfId="4295" priority="10372" operator="containsText" text="GP1">
      <formula>NOT(ISERROR(SEARCH("GP1",AD12)))</formula>
    </cfRule>
  </conditionalFormatting>
  <conditionalFormatting sqref="AD12">
    <cfRule type="containsText" dxfId="4294" priority="10369" operator="containsText" text="GP2">
      <formula>NOT(ISERROR(SEARCH("GP2",AD12)))</formula>
    </cfRule>
    <cfRule type="containsText" dxfId="4293" priority="10370" operator="containsText" text="GP1">
      <formula>NOT(ISERROR(SEARCH("GP1",AD12)))</formula>
    </cfRule>
  </conditionalFormatting>
  <conditionalFormatting sqref="AD12">
    <cfRule type="containsText" dxfId="4292" priority="10367" operator="containsText" text="GP2">
      <formula>NOT(ISERROR(SEARCH("GP2",AD12)))</formula>
    </cfRule>
    <cfRule type="containsText" dxfId="4291" priority="10368" operator="containsText" text="GP1">
      <formula>NOT(ISERROR(SEARCH("GP1",AD12)))</formula>
    </cfRule>
  </conditionalFormatting>
  <conditionalFormatting sqref="AD12">
    <cfRule type="containsText" dxfId="4290" priority="10365" operator="containsText" text="GP2">
      <formula>NOT(ISERROR(SEARCH("GP2",AD12)))</formula>
    </cfRule>
    <cfRule type="containsText" dxfId="4289" priority="10366" operator="containsText" text="GP1">
      <formula>NOT(ISERROR(SEARCH("GP1",AD12)))</formula>
    </cfRule>
  </conditionalFormatting>
  <conditionalFormatting sqref="AD12">
    <cfRule type="containsText" dxfId="4288" priority="10363" operator="containsText" text="GP2">
      <formula>NOT(ISERROR(SEARCH("GP2",AD12)))</formula>
    </cfRule>
    <cfRule type="containsText" dxfId="4287" priority="10364" operator="containsText" text="GP1">
      <formula>NOT(ISERROR(SEARCH("GP1",AD12)))</formula>
    </cfRule>
  </conditionalFormatting>
  <conditionalFormatting sqref="AD12">
    <cfRule type="containsText" dxfId="4286" priority="10361" operator="containsText" text="GP2">
      <formula>NOT(ISERROR(SEARCH("GP2",AD12)))</formula>
    </cfRule>
    <cfRule type="containsText" dxfId="4285" priority="10362" operator="containsText" text="GP1">
      <formula>NOT(ISERROR(SEARCH("GP1",AD12)))</formula>
    </cfRule>
  </conditionalFormatting>
  <conditionalFormatting sqref="AD12">
    <cfRule type="containsText" dxfId="4284" priority="10359" operator="containsText" text="GP2">
      <formula>NOT(ISERROR(SEARCH("GP2",AD12)))</formula>
    </cfRule>
    <cfRule type="containsText" dxfId="4283" priority="10360" operator="containsText" text="GP1">
      <formula>NOT(ISERROR(SEARCH("GP1",AD12)))</formula>
    </cfRule>
  </conditionalFormatting>
  <conditionalFormatting sqref="AD12">
    <cfRule type="containsText" dxfId="4282" priority="10357" operator="containsText" text="GP2">
      <formula>NOT(ISERROR(SEARCH("GP2",AD12)))</formula>
    </cfRule>
    <cfRule type="containsText" dxfId="4281" priority="10358" operator="containsText" text="GP1">
      <formula>NOT(ISERROR(SEARCH("GP1",AD12)))</formula>
    </cfRule>
  </conditionalFormatting>
  <conditionalFormatting sqref="AD12">
    <cfRule type="containsText" dxfId="4280" priority="10355" operator="containsText" text="GP2">
      <formula>NOT(ISERROR(SEARCH("GP2",AD12)))</formula>
    </cfRule>
    <cfRule type="containsText" dxfId="4279" priority="10356" operator="containsText" text="GP1">
      <formula>NOT(ISERROR(SEARCH("GP1",AD12)))</formula>
    </cfRule>
  </conditionalFormatting>
  <conditionalFormatting sqref="AD12">
    <cfRule type="containsText" dxfId="4278" priority="10353" operator="containsText" text="GP2">
      <formula>NOT(ISERROR(SEARCH("GP2",AD12)))</formula>
    </cfRule>
    <cfRule type="containsText" dxfId="4277" priority="10354" operator="containsText" text="GP1">
      <formula>NOT(ISERROR(SEARCH("GP1",AD12)))</formula>
    </cfRule>
  </conditionalFormatting>
  <conditionalFormatting sqref="AD12">
    <cfRule type="containsText" dxfId="4276" priority="10351" operator="containsText" text="GP2">
      <formula>NOT(ISERROR(SEARCH("GP2",AD12)))</formula>
    </cfRule>
    <cfRule type="containsText" dxfId="4275" priority="10352" operator="containsText" text="GP1">
      <formula>NOT(ISERROR(SEARCH("GP1",AD12)))</formula>
    </cfRule>
  </conditionalFormatting>
  <conditionalFormatting sqref="AD12">
    <cfRule type="containsText" dxfId="4274" priority="10349" operator="containsText" text="GP2">
      <formula>NOT(ISERROR(SEARCH("GP2",AD12)))</formula>
    </cfRule>
    <cfRule type="containsText" dxfId="4273" priority="10350" operator="containsText" text="GP1">
      <formula>NOT(ISERROR(SEARCH("GP1",AD12)))</formula>
    </cfRule>
  </conditionalFormatting>
  <conditionalFormatting sqref="AD12">
    <cfRule type="containsText" dxfId="4272" priority="10347" operator="containsText" text="GP2">
      <formula>NOT(ISERROR(SEARCH("GP2",AD12)))</formula>
    </cfRule>
    <cfRule type="containsText" dxfId="4271" priority="10348" operator="containsText" text="GP1">
      <formula>NOT(ISERROR(SEARCH("GP1",AD12)))</formula>
    </cfRule>
  </conditionalFormatting>
  <conditionalFormatting sqref="AD12">
    <cfRule type="containsText" dxfId="4270" priority="10345" operator="containsText" text="GP2">
      <formula>NOT(ISERROR(SEARCH("GP2",AD12)))</formula>
    </cfRule>
    <cfRule type="containsText" dxfId="4269" priority="10346" operator="containsText" text="GP1">
      <formula>NOT(ISERROR(SEARCH("GP1",AD12)))</formula>
    </cfRule>
  </conditionalFormatting>
  <conditionalFormatting sqref="AD12">
    <cfRule type="containsText" dxfId="4268" priority="10343" operator="containsText" text="GP2">
      <formula>NOT(ISERROR(SEARCH("GP2",AD12)))</formula>
    </cfRule>
    <cfRule type="containsText" dxfId="4267" priority="10344" operator="containsText" text="GP1">
      <formula>NOT(ISERROR(SEARCH("GP1",AD12)))</formula>
    </cfRule>
  </conditionalFormatting>
  <conditionalFormatting sqref="AD12">
    <cfRule type="containsText" dxfId="4266" priority="10341" operator="containsText" text="GP2">
      <formula>NOT(ISERROR(SEARCH("GP2",AD12)))</formula>
    </cfRule>
    <cfRule type="containsText" dxfId="4265" priority="10342" operator="containsText" text="GP1">
      <formula>NOT(ISERROR(SEARCH("GP1",AD12)))</formula>
    </cfRule>
  </conditionalFormatting>
  <conditionalFormatting sqref="AD12">
    <cfRule type="containsText" dxfId="4264" priority="10339" operator="containsText" text="GP2">
      <formula>NOT(ISERROR(SEARCH("GP2",AD12)))</formula>
    </cfRule>
    <cfRule type="containsText" dxfId="4263" priority="10340" operator="containsText" text="GP1">
      <formula>NOT(ISERROR(SEARCH("GP1",AD12)))</formula>
    </cfRule>
  </conditionalFormatting>
  <conditionalFormatting sqref="AD12">
    <cfRule type="containsText" dxfId="4262" priority="10337" operator="containsText" text="GP2">
      <formula>NOT(ISERROR(SEARCH("GP2",AD12)))</formula>
    </cfRule>
    <cfRule type="containsText" dxfId="4261" priority="10338" operator="containsText" text="GP1">
      <formula>NOT(ISERROR(SEARCH("GP1",AD12)))</formula>
    </cfRule>
  </conditionalFormatting>
  <conditionalFormatting sqref="AD12">
    <cfRule type="containsText" dxfId="4260" priority="10335" operator="containsText" text="GP2">
      <formula>NOT(ISERROR(SEARCH("GP2",AD12)))</formula>
    </cfRule>
    <cfRule type="containsText" dxfId="4259" priority="10336" operator="containsText" text="GP1">
      <formula>NOT(ISERROR(SEARCH("GP1",AD12)))</formula>
    </cfRule>
  </conditionalFormatting>
  <conditionalFormatting sqref="AD12">
    <cfRule type="containsText" dxfId="4258" priority="10333" operator="containsText" text="GP2">
      <formula>NOT(ISERROR(SEARCH("GP2",AD12)))</formula>
    </cfRule>
    <cfRule type="containsText" dxfId="4257" priority="10334" operator="containsText" text="GP1">
      <formula>NOT(ISERROR(SEARCH("GP1",AD12)))</formula>
    </cfRule>
  </conditionalFormatting>
  <conditionalFormatting sqref="AD12">
    <cfRule type="containsText" dxfId="4256" priority="10331" operator="containsText" text="GP2">
      <formula>NOT(ISERROR(SEARCH("GP2",AD12)))</formula>
    </cfRule>
    <cfRule type="containsText" dxfId="4255" priority="10332" operator="containsText" text="GP1">
      <formula>NOT(ISERROR(SEARCH("GP1",AD12)))</formula>
    </cfRule>
  </conditionalFormatting>
  <conditionalFormatting sqref="AD12">
    <cfRule type="containsText" dxfId="4254" priority="10329" operator="containsText" text="GP2">
      <formula>NOT(ISERROR(SEARCH("GP2",AD12)))</formula>
    </cfRule>
    <cfRule type="containsText" dxfId="4253" priority="10330" operator="containsText" text="GP1">
      <formula>NOT(ISERROR(SEARCH("GP1",AD12)))</formula>
    </cfRule>
  </conditionalFormatting>
  <conditionalFormatting sqref="AD12">
    <cfRule type="containsText" dxfId="4252" priority="10327" operator="containsText" text="GP2">
      <formula>NOT(ISERROR(SEARCH("GP2",AD12)))</formula>
    </cfRule>
    <cfRule type="containsText" dxfId="4251" priority="10328" operator="containsText" text="GP1">
      <formula>NOT(ISERROR(SEARCH("GP1",AD12)))</formula>
    </cfRule>
  </conditionalFormatting>
  <conditionalFormatting sqref="AD12">
    <cfRule type="containsText" dxfId="4250" priority="10325" operator="containsText" text="GP2">
      <formula>NOT(ISERROR(SEARCH("GP2",AD12)))</formula>
    </cfRule>
    <cfRule type="containsText" dxfId="4249" priority="10326" operator="containsText" text="GP1">
      <formula>NOT(ISERROR(SEARCH("GP1",AD12)))</formula>
    </cfRule>
  </conditionalFormatting>
  <conditionalFormatting sqref="AD12">
    <cfRule type="containsText" dxfId="4248" priority="10323" operator="containsText" text="GP2">
      <formula>NOT(ISERROR(SEARCH("GP2",AD12)))</formula>
    </cfRule>
    <cfRule type="containsText" dxfId="4247" priority="10324" operator="containsText" text="GP1">
      <formula>NOT(ISERROR(SEARCH("GP1",AD12)))</formula>
    </cfRule>
  </conditionalFormatting>
  <conditionalFormatting sqref="AD12">
    <cfRule type="containsText" dxfId="4246" priority="10321" operator="containsText" text="GP2">
      <formula>NOT(ISERROR(SEARCH("GP2",AD12)))</formula>
    </cfRule>
    <cfRule type="containsText" dxfId="4245" priority="10322" operator="containsText" text="GP1">
      <formula>NOT(ISERROR(SEARCH("GP1",AD12)))</formula>
    </cfRule>
  </conditionalFormatting>
  <conditionalFormatting sqref="AD12">
    <cfRule type="containsText" dxfId="4244" priority="10319" operator="containsText" text="GP2">
      <formula>NOT(ISERROR(SEARCH("GP2",AD12)))</formula>
    </cfRule>
    <cfRule type="containsText" dxfId="4243" priority="10320" operator="containsText" text="GP1">
      <formula>NOT(ISERROR(SEARCH("GP1",AD12)))</formula>
    </cfRule>
  </conditionalFormatting>
  <conditionalFormatting sqref="AD12">
    <cfRule type="containsText" dxfId="4242" priority="10317" operator="containsText" text="GP2">
      <formula>NOT(ISERROR(SEARCH("GP2",AD12)))</formula>
    </cfRule>
    <cfRule type="containsText" dxfId="4241" priority="10318" operator="containsText" text="GP1">
      <formula>NOT(ISERROR(SEARCH("GP1",AD12)))</formula>
    </cfRule>
  </conditionalFormatting>
  <conditionalFormatting sqref="AD12">
    <cfRule type="containsText" dxfId="4240" priority="10315" operator="containsText" text="GP2">
      <formula>NOT(ISERROR(SEARCH("GP2",AD12)))</formula>
    </cfRule>
    <cfRule type="containsText" dxfId="4239" priority="10316" operator="containsText" text="GP1">
      <formula>NOT(ISERROR(SEARCH("GP1",AD12)))</formula>
    </cfRule>
  </conditionalFormatting>
  <conditionalFormatting sqref="AD12">
    <cfRule type="containsText" dxfId="4238" priority="10313" operator="containsText" text="GP2">
      <formula>NOT(ISERROR(SEARCH("GP2",AD12)))</formula>
    </cfRule>
    <cfRule type="containsText" dxfId="4237" priority="10314" operator="containsText" text="GP1">
      <formula>NOT(ISERROR(SEARCH("GP1",AD12)))</formula>
    </cfRule>
  </conditionalFormatting>
  <conditionalFormatting sqref="AD12">
    <cfRule type="containsText" dxfId="4236" priority="10311" operator="containsText" text="GP2">
      <formula>NOT(ISERROR(SEARCH("GP2",AD12)))</formula>
    </cfRule>
    <cfRule type="containsText" dxfId="4235" priority="10312" operator="containsText" text="GP1">
      <formula>NOT(ISERROR(SEARCH("GP1",AD12)))</formula>
    </cfRule>
  </conditionalFormatting>
  <conditionalFormatting sqref="AD12">
    <cfRule type="containsText" dxfId="4234" priority="10309" operator="containsText" text="GP2">
      <formula>NOT(ISERROR(SEARCH("GP2",AD12)))</formula>
    </cfRule>
    <cfRule type="containsText" dxfId="4233" priority="10310" operator="containsText" text="GP1">
      <formula>NOT(ISERROR(SEARCH("GP1",AD12)))</formula>
    </cfRule>
  </conditionalFormatting>
  <conditionalFormatting sqref="AD12">
    <cfRule type="containsText" dxfId="4232" priority="10307" operator="containsText" text="GP2">
      <formula>NOT(ISERROR(SEARCH("GP2",AD12)))</formula>
    </cfRule>
    <cfRule type="containsText" dxfId="4231" priority="10308" operator="containsText" text="GP1">
      <formula>NOT(ISERROR(SEARCH("GP1",AD12)))</formula>
    </cfRule>
  </conditionalFormatting>
  <conditionalFormatting sqref="AD12">
    <cfRule type="containsText" dxfId="4230" priority="10305" operator="containsText" text="GP2">
      <formula>NOT(ISERROR(SEARCH("GP2",AD12)))</formula>
    </cfRule>
    <cfRule type="containsText" dxfId="4229" priority="10306" operator="containsText" text="GP1">
      <formula>NOT(ISERROR(SEARCH("GP1",AD12)))</formula>
    </cfRule>
  </conditionalFormatting>
  <conditionalFormatting sqref="AD12">
    <cfRule type="containsText" dxfId="4228" priority="10303" operator="containsText" text="GP2">
      <formula>NOT(ISERROR(SEARCH("GP2",AD12)))</formula>
    </cfRule>
    <cfRule type="containsText" dxfId="4227" priority="10304" operator="containsText" text="GP1">
      <formula>NOT(ISERROR(SEARCH("GP1",AD12)))</formula>
    </cfRule>
  </conditionalFormatting>
  <conditionalFormatting sqref="AD12">
    <cfRule type="containsText" dxfId="4226" priority="10301" operator="containsText" text="GP2">
      <formula>NOT(ISERROR(SEARCH("GP2",AD12)))</formula>
    </cfRule>
    <cfRule type="containsText" dxfId="4225" priority="10302" operator="containsText" text="GP1">
      <formula>NOT(ISERROR(SEARCH("GP1",AD12)))</formula>
    </cfRule>
  </conditionalFormatting>
  <conditionalFormatting sqref="AD12">
    <cfRule type="containsText" dxfId="4224" priority="10299" operator="containsText" text="GP2">
      <formula>NOT(ISERROR(SEARCH("GP2",AD12)))</formula>
    </cfRule>
    <cfRule type="containsText" dxfId="4223" priority="10300" operator="containsText" text="GP1">
      <formula>NOT(ISERROR(SEARCH("GP1",AD12)))</formula>
    </cfRule>
  </conditionalFormatting>
  <conditionalFormatting sqref="AD12">
    <cfRule type="containsText" dxfId="4222" priority="10297" operator="containsText" text="GP2">
      <formula>NOT(ISERROR(SEARCH("GP2",AD12)))</formula>
    </cfRule>
    <cfRule type="containsText" dxfId="4221" priority="10298" operator="containsText" text="GP1">
      <formula>NOT(ISERROR(SEARCH("GP1",AD12)))</formula>
    </cfRule>
  </conditionalFormatting>
  <conditionalFormatting sqref="AD12">
    <cfRule type="containsText" dxfId="4220" priority="10295" operator="containsText" text="GP2">
      <formula>NOT(ISERROR(SEARCH("GP2",AD12)))</formula>
    </cfRule>
    <cfRule type="containsText" dxfId="4219" priority="10296" operator="containsText" text="GP1">
      <formula>NOT(ISERROR(SEARCH("GP1",AD12)))</formula>
    </cfRule>
  </conditionalFormatting>
  <conditionalFormatting sqref="AD12">
    <cfRule type="containsText" dxfId="4218" priority="10293" operator="containsText" text="GP2">
      <formula>NOT(ISERROR(SEARCH("GP2",AD12)))</formula>
    </cfRule>
    <cfRule type="containsText" dxfId="4217" priority="10294" operator="containsText" text="GP1">
      <formula>NOT(ISERROR(SEARCH("GP1",AD12)))</formula>
    </cfRule>
  </conditionalFormatting>
  <conditionalFormatting sqref="AD12">
    <cfRule type="containsText" dxfId="4216" priority="10291" operator="containsText" text="GP2">
      <formula>NOT(ISERROR(SEARCH("GP2",AD12)))</formula>
    </cfRule>
    <cfRule type="containsText" dxfId="4215" priority="10292" operator="containsText" text="GP1">
      <formula>NOT(ISERROR(SEARCH("GP1",AD12)))</formula>
    </cfRule>
  </conditionalFormatting>
  <conditionalFormatting sqref="AD12">
    <cfRule type="containsText" dxfId="4214" priority="10289" operator="containsText" text="GP2">
      <formula>NOT(ISERROR(SEARCH("GP2",AD12)))</formula>
    </cfRule>
    <cfRule type="containsText" dxfId="4213" priority="10290" operator="containsText" text="GP1">
      <formula>NOT(ISERROR(SEARCH("GP1",AD12)))</formula>
    </cfRule>
  </conditionalFormatting>
  <conditionalFormatting sqref="AD12">
    <cfRule type="containsText" dxfId="4212" priority="10287" operator="containsText" text="GP2">
      <formula>NOT(ISERROR(SEARCH("GP2",AD12)))</formula>
    </cfRule>
    <cfRule type="containsText" dxfId="4211" priority="10288" operator="containsText" text="GP1">
      <formula>NOT(ISERROR(SEARCH("GP1",AD12)))</formula>
    </cfRule>
  </conditionalFormatting>
  <conditionalFormatting sqref="AD12">
    <cfRule type="containsText" dxfId="4210" priority="10285" operator="containsText" text="GP2">
      <formula>NOT(ISERROR(SEARCH("GP2",AD12)))</formula>
    </cfRule>
    <cfRule type="containsText" dxfId="4209" priority="10286" operator="containsText" text="GP1">
      <formula>NOT(ISERROR(SEARCH("GP1",AD12)))</formula>
    </cfRule>
  </conditionalFormatting>
  <conditionalFormatting sqref="AD12">
    <cfRule type="containsText" dxfId="4208" priority="10283" operator="containsText" text="GP2">
      <formula>NOT(ISERROR(SEARCH("GP2",AD12)))</formula>
    </cfRule>
    <cfRule type="containsText" dxfId="4207" priority="10284" operator="containsText" text="GP1">
      <formula>NOT(ISERROR(SEARCH("GP1",AD12)))</formula>
    </cfRule>
  </conditionalFormatting>
  <conditionalFormatting sqref="AD12">
    <cfRule type="containsText" dxfId="4206" priority="10281" operator="containsText" text="GP2">
      <formula>NOT(ISERROR(SEARCH("GP2",AD12)))</formula>
    </cfRule>
    <cfRule type="containsText" dxfId="4205" priority="10282" operator="containsText" text="GP1">
      <formula>NOT(ISERROR(SEARCH("GP1",AD12)))</formula>
    </cfRule>
  </conditionalFormatting>
  <conditionalFormatting sqref="AD12">
    <cfRule type="containsText" dxfId="4204" priority="10279" operator="containsText" text="GP2">
      <formula>NOT(ISERROR(SEARCH("GP2",AD12)))</formula>
    </cfRule>
    <cfRule type="containsText" dxfId="4203" priority="10280" operator="containsText" text="GP1">
      <formula>NOT(ISERROR(SEARCH("GP1",AD12)))</formula>
    </cfRule>
  </conditionalFormatting>
  <conditionalFormatting sqref="AD12">
    <cfRule type="containsText" dxfId="4202" priority="10277" operator="containsText" text="GP2">
      <formula>NOT(ISERROR(SEARCH("GP2",AD12)))</formula>
    </cfRule>
    <cfRule type="containsText" dxfId="4201" priority="10278" operator="containsText" text="GP1">
      <formula>NOT(ISERROR(SEARCH("GP1",AD12)))</formula>
    </cfRule>
  </conditionalFormatting>
  <conditionalFormatting sqref="AD12">
    <cfRule type="containsText" dxfId="4200" priority="10275" operator="containsText" text="GP2">
      <formula>NOT(ISERROR(SEARCH("GP2",AD12)))</formula>
    </cfRule>
    <cfRule type="containsText" dxfId="4199" priority="10276" operator="containsText" text="GP1">
      <formula>NOT(ISERROR(SEARCH("GP1",AD12)))</formula>
    </cfRule>
  </conditionalFormatting>
  <conditionalFormatting sqref="AD12">
    <cfRule type="containsText" dxfId="4198" priority="10273" operator="containsText" text="GP2">
      <formula>NOT(ISERROR(SEARCH("GP2",AD12)))</formula>
    </cfRule>
    <cfRule type="containsText" dxfId="4197" priority="10274" operator="containsText" text="GP1">
      <formula>NOT(ISERROR(SEARCH("GP1",AD12)))</formula>
    </cfRule>
  </conditionalFormatting>
  <conditionalFormatting sqref="AD12">
    <cfRule type="containsText" dxfId="4196" priority="10271" operator="containsText" text="GP2">
      <formula>NOT(ISERROR(SEARCH("GP2",AD12)))</formula>
    </cfRule>
    <cfRule type="containsText" dxfId="4195" priority="10272" operator="containsText" text="GP1">
      <formula>NOT(ISERROR(SEARCH("GP1",AD12)))</formula>
    </cfRule>
  </conditionalFormatting>
  <conditionalFormatting sqref="AD12">
    <cfRule type="containsText" dxfId="4194" priority="10269" operator="containsText" text="GP2">
      <formula>NOT(ISERROR(SEARCH("GP2",AD12)))</formula>
    </cfRule>
    <cfRule type="containsText" dxfId="4193" priority="10270" operator="containsText" text="GP1">
      <formula>NOT(ISERROR(SEARCH("GP1",AD12)))</formula>
    </cfRule>
  </conditionalFormatting>
  <conditionalFormatting sqref="AD12">
    <cfRule type="containsText" dxfId="4192" priority="10267" operator="containsText" text="GP2">
      <formula>NOT(ISERROR(SEARCH("GP2",AD12)))</formula>
    </cfRule>
    <cfRule type="containsText" dxfId="4191" priority="10268" operator="containsText" text="GP1">
      <formula>NOT(ISERROR(SEARCH("GP1",AD12)))</formula>
    </cfRule>
  </conditionalFormatting>
  <conditionalFormatting sqref="AD12">
    <cfRule type="containsText" dxfId="4190" priority="10265" operator="containsText" text="GP2">
      <formula>NOT(ISERROR(SEARCH("GP2",AD12)))</formula>
    </cfRule>
    <cfRule type="containsText" dxfId="4189" priority="10266" operator="containsText" text="GP1">
      <formula>NOT(ISERROR(SEARCH("GP1",AD12)))</formula>
    </cfRule>
  </conditionalFormatting>
  <conditionalFormatting sqref="AD12">
    <cfRule type="containsText" dxfId="4188" priority="10263" operator="containsText" text="GP2">
      <formula>NOT(ISERROR(SEARCH("GP2",AD12)))</formula>
    </cfRule>
    <cfRule type="containsText" dxfId="4187" priority="10264" operator="containsText" text="GP1">
      <formula>NOT(ISERROR(SEARCH("GP1",AD12)))</formula>
    </cfRule>
  </conditionalFormatting>
  <conditionalFormatting sqref="AD12">
    <cfRule type="containsText" dxfId="4186" priority="10261" operator="containsText" text="GP2">
      <formula>NOT(ISERROR(SEARCH("GP2",AD12)))</formula>
    </cfRule>
    <cfRule type="containsText" dxfId="4185" priority="10262" operator="containsText" text="GP1">
      <formula>NOT(ISERROR(SEARCH("GP1",AD12)))</formula>
    </cfRule>
  </conditionalFormatting>
  <conditionalFormatting sqref="AD12">
    <cfRule type="containsText" dxfId="4184" priority="10259" operator="containsText" text="GP2">
      <formula>NOT(ISERROR(SEARCH("GP2",AD12)))</formula>
    </cfRule>
    <cfRule type="containsText" dxfId="4183" priority="10260" operator="containsText" text="GP1">
      <formula>NOT(ISERROR(SEARCH("GP1",AD12)))</formula>
    </cfRule>
  </conditionalFormatting>
  <conditionalFormatting sqref="AD12">
    <cfRule type="containsText" dxfId="4182" priority="10257" operator="containsText" text="GP2">
      <formula>NOT(ISERROR(SEARCH("GP2",AD12)))</formula>
    </cfRule>
    <cfRule type="containsText" dxfId="4181" priority="10258" operator="containsText" text="GP1">
      <formula>NOT(ISERROR(SEARCH("GP1",AD12)))</formula>
    </cfRule>
  </conditionalFormatting>
  <conditionalFormatting sqref="AD12">
    <cfRule type="containsText" dxfId="4180" priority="10255" operator="containsText" text="GP2">
      <formula>NOT(ISERROR(SEARCH("GP2",AD12)))</formula>
    </cfRule>
    <cfRule type="containsText" dxfId="4179" priority="10256" operator="containsText" text="GP1">
      <formula>NOT(ISERROR(SEARCH("GP1",AD12)))</formula>
    </cfRule>
  </conditionalFormatting>
  <conditionalFormatting sqref="AD12">
    <cfRule type="containsText" dxfId="4178" priority="10253" operator="containsText" text="GP2">
      <formula>NOT(ISERROR(SEARCH("GP2",AD12)))</formula>
    </cfRule>
    <cfRule type="containsText" dxfId="4177" priority="10254" operator="containsText" text="GP1">
      <formula>NOT(ISERROR(SEARCH("GP1",AD12)))</formula>
    </cfRule>
  </conditionalFormatting>
  <conditionalFormatting sqref="AD12">
    <cfRule type="containsText" dxfId="4176" priority="10251" operator="containsText" text="GP2">
      <formula>NOT(ISERROR(SEARCH("GP2",AD12)))</formula>
    </cfRule>
    <cfRule type="containsText" dxfId="4175" priority="10252" operator="containsText" text="GP1">
      <formula>NOT(ISERROR(SEARCH("GP1",AD12)))</formula>
    </cfRule>
  </conditionalFormatting>
  <conditionalFormatting sqref="AD12">
    <cfRule type="containsText" dxfId="4174" priority="10249" operator="containsText" text="GP2">
      <formula>NOT(ISERROR(SEARCH("GP2",AD12)))</formula>
    </cfRule>
    <cfRule type="containsText" dxfId="4173" priority="10250" operator="containsText" text="GP1">
      <formula>NOT(ISERROR(SEARCH("GP1",AD12)))</formula>
    </cfRule>
  </conditionalFormatting>
  <conditionalFormatting sqref="AD12">
    <cfRule type="containsText" dxfId="4172" priority="10247" operator="containsText" text="GP2">
      <formula>NOT(ISERROR(SEARCH("GP2",AD12)))</formula>
    </cfRule>
    <cfRule type="containsText" dxfId="4171" priority="10248" operator="containsText" text="GP1">
      <formula>NOT(ISERROR(SEARCH("GP1",AD12)))</formula>
    </cfRule>
  </conditionalFormatting>
  <conditionalFormatting sqref="AD12">
    <cfRule type="containsText" dxfId="4170" priority="10245" operator="containsText" text="GP2">
      <formula>NOT(ISERROR(SEARCH("GP2",AD12)))</formula>
    </cfRule>
    <cfRule type="containsText" dxfId="4169" priority="10246" operator="containsText" text="GP1">
      <formula>NOT(ISERROR(SEARCH("GP1",AD12)))</formula>
    </cfRule>
  </conditionalFormatting>
  <conditionalFormatting sqref="AD12">
    <cfRule type="containsText" dxfId="4168" priority="10243" operator="containsText" text="GP2">
      <formula>NOT(ISERROR(SEARCH("GP2",AD12)))</formula>
    </cfRule>
    <cfRule type="containsText" dxfId="4167" priority="10244" operator="containsText" text="GP1">
      <formula>NOT(ISERROR(SEARCH("GP1",AD12)))</formula>
    </cfRule>
  </conditionalFormatting>
  <conditionalFormatting sqref="AD12">
    <cfRule type="containsText" dxfId="4166" priority="10241" operator="containsText" text="GP2">
      <formula>NOT(ISERROR(SEARCH("GP2",AD12)))</formula>
    </cfRule>
    <cfRule type="containsText" dxfId="4165" priority="10242" operator="containsText" text="GP1">
      <formula>NOT(ISERROR(SEARCH("GP1",AD12)))</formula>
    </cfRule>
  </conditionalFormatting>
  <conditionalFormatting sqref="AD12">
    <cfRule type="containsText" dxfId="4164" priority="10239" operator="containsText" text="GP2">
      <formula>NOT(ISERROR(SEARCH("GP2",AD12)))</formula>
    </cfRule>
    <cfRule type="containsText" dxfId="4163" priority="10240" operator="containsText" text="GP1">
      <formula>NOT(ISERROR(SEARCH("GP1",AD12)))</formula>
    </cfRule>
  </conditionalFormatting>
  <conditionalFormatting sqref="AD12">
    <cfRule type="containsText" dxfId="4162" priority="10237" operator="containsText" text="GP2">
      <formula>NOT(ISERROR(SEARCH("GP2",AD12)))</formula>
    </cfRule>
    <cfRule type="containsText" dxfId="4161" priority="10238" operator="containsText" text="GP1">
      <formula>NOT(ISERROR(SEARCH("GP1",AD12)))</formula>
    </cfRule>
  </conditionalFormatting>
  <conditionalFormatting sqref="AD12">
    <cfRule type="containsText" dxfId="4160" priority="10235" operator="containsText" text="GP2">
      <formula>NOT(ISERROR(SEARCH("GP2",AD12)))</formula>
    </cfRule>
    <cfRule type="containsText" dxfId="4159" priority="10236" operator="containsText" text="GP1">
      <formula>NOT(ISERROR(SEARCH("GP1",AD12)))</formula>
    </cfRule>
  </conditionalFormatting>
  <conditionalFormatting sqref="AD12">
    <cfRule type="containsText" dxfId="4158" priority="10233" operator="containsText" text="GP2">
      <formula>NOT(ISERROR(SEARCH("GP2",AD12)))</formula>
    </cfRule>
    <cfRule type="containsText" dxfId="4157" priority="10234" operator="containsText" text="GP1">
      <formula>NOT(ISERROR(SEARCH("GP1",AD12)))</formula>
    </cfRule>
  </conditionalFormatting>
  <conditionalFormatting sqref="AD12">
    <cfRule type="containsText" dxfId="4156" priority="10231" operator="containsText" text="GP2">
      <formula>NOT(ISERROR(SEARCH("GP2",AD12)))</formula>
    </cfRule>
    <cfRule type="containsText" dxfId="4155" priority="10232" operator="containsText" text="GP1">
      <formula>NOT(ISERROR(SEARCH("GP1",AD12)))</formula>
    </cfRule>
  </conditionalFormatting>
  <conditionalFormatting sqref="AD12">
    <cfRule type="containsText" dxfId="4154" priority="10229" operator="containsText" text="GP2">
      <formula>NOT(ISERROR(SEARCH("GP2",AD12)))</formula>
    </cfRule>
    <cfRule type="containsText" dxfId="4153" priority="10230" operator="containsText" text="GP1">
      <formula>NOT(ISERROR(SEARCH("GP1",AD12)))</formula>
    </cfRule>
  </conditionalFormatting>
  <conditionalFormatting sqref="AD12">
    <cfRule type="containsText" dxfId="4152" priority="10227" operator="containsText" text="GP2">
      <formula>NOT(ISERROR(SEARCH("GP2",AD12)))</formula>
    </cfRule>
    <cfRule type="containsText" dxfId="4151" priority="10228" operator="containsText" text="GP1">
      <formula>NOT(ISERROR(SEARCH("GP1",AD12)))</formula>
    </cfRule>
  </conditionalFormatting>
  <conditionalFormatting sqref="AD12">
    <cfRule type="containsText" dxfId="4150" priority="10225" operator="containsText" text="GP2">
      <formula>NOT(ISERROR(SEARCH("GP2",AD12)))</formula>
    </cfRule>
    <cfRule type="containsText" dxfId="4149" priority="10226" operator="containsText" text="GP1">
      <formula>NOT(ISERROR(SEARCH("GP1",AD12)))</formula>
    </cfRule>
  </conditionalFormatting>
  <conditionalFormatting sqref="AD12">
    <cfRule type="containsText" dxfId="4148" priority="10223" operator="containsText" text="GP2">
      <formula>NOT(ISERROR(SEARCH("GP2",AD12)))</formula>
    </cfRule>
    <cfRule type="containsText" dxfId="4147" priority="10224" operator="containsText" text="GP1">
      <formula>NOT(ISERROR(SEARCH("GP1",AD12)))</formula>
    </cfRule>
  </conditionalFormatting>
  <conditionalFormatting sqref="AD12">
    <cfRule type="containsText" dxfId="4146" priority="10221" operator="containsText" text="GP2">
      <formula>NOT(ISERROR(SEARCH("GP2",AD12)))</formula>
    </cfRule>
    <cfRule type="containsText" dxfId="4145" priority="10222" operator="containsText" text="GP1">
      <formula>NOT(ISERROR(SEARCH("GP1",AD12)))</formula>
    </cfRule>
  </conditionalFormatting>
  <conditionalFormatting sqref="AD12">
    <cfRule type="containsText" dxfId="4144" priority="10219" operator="containsText" text="GP2">
      <formula>NOT(ISERROR(SEARCH("GP2",AD12)))</formula>
    </cfRule>
    <cfRule type="containsText" dxfId="4143" priority="10220" operator="containsText" text="GP1">
      <formula>NOT(ISERROR(SEARCH("GP1",AD12)))</formula>
    </cfRule>
  </conditionalFormatting>
  <conditionalFormatting sqref="AD12">
    <cfRule type="containsText" dxfId="4142" priority="10217" operator="containsText" text="GP2">
      <formula>NOT(ISERROR(SEARCH("GP2",AD12)))</formula>
    </cfRule>
    <cfRule type="containsText" dxfId="4141" priority="10218" operator="containsText" text="GP1">
      <formula>NOT(ISERROR(SEARCH("GP1",AD12)))</formula>
    </cfRule>
  </conditionalFormatting>
  <conditionalFormatting sqref="AD12">
    <cfRule type="containsText" dxfId="4140" priority="10215" operator="containsText" text="GP2">
      <formula>NOT(ISERROR(SEARCH("GP2",AD12)))</formula>
    </cfRule>
    <cfRule type="containsText" dxfId="4139" priority="10216" operator="containsText" text="GP1">
      <formula>NOT(ISERROR(SEARCH("GP1",AD12)))</formula>
    </cfRule>
  </conditionalFormatting>
  <conditionalFormatting sqref="AD12">
    <cfRule type="containsText" dxfId="4138" priority="10213" operator="containsText" text="GP2">
      <formula>NOT(ISERROR(SEARCH("GP2",AD12)))</formula>
    </cfRule>
    <cfRule type="containsText" dxfId="4137" priority="10214" operator="containsText" text="GP1">
      <formula>NOT(ISERROR(SEARCH("GP1",AD12)))</formula>
    </cfRule>
  </conditionalFormatting>
  <conditionalFormatting sqref="AD12">
    <cfRule type="containsText" dxfId="4136" priority="10211" operator="containsText" text="GP2">
      <formula>NOT(ISERROR(SEARCH("GP2",AD12)))</formula>
    </cfRule>
    <cfRule type="containsText" dxfId="4135" priority="10212" operator="containsText" text="GP1">
      <formula>NOT(ISERROR(SEARCH("GP1",AD12)))</formula>
    </cfRule>
  </conditionalFormatting>
  <conditionalFormatting sqref="AD12">
    <cfRule type="containsText" dxfId="4134" priority="10209" operator="containsText" text="GP2">
      <formula>NOT(ISERROR(SEARCH("GP2",AD12)))</formula>
    </cfRule>
    <cfRule type="containsText" dxfId="4133" priority="10210" operator="containsText" text="GP1">
      <formula>NOT(ISERROR(SEARCH("GP1",AD12)))</formula>
    </cfRule>
  </conditionalFormatting>
  <conditionalFormatting sqref="AD12">
    <cfRule type="containsText" dxfId="4132" priority="10207" operator="containsText" text="GP2">
      <formula>NOT(ISERROR(SEARCH("GP2",AD12)))</formula>
    </cfRule>
    <cfRule type="containsText" dxfId="4131" priority="10208" operator="containsText" text="GP1">
      <formula>NOT(ISERROR(SEARCH("GP1",AD12)))</formula>
    </cfRule>
  </conditionalFormatting>
  <conditionalFormatting sqref="AD12">
    <cfRule type="containsText" dxfId="4130" priority="10205" operator="containsText" text="GP2">
      <formula>NOT(ISERROR(SEARCH("GP2",AD12)))</formula>
    </cfRule>
    <cfRule type="containsText" dxfId="4129" priority="10206" operator="containsText" text="GP1">
      <formula>NOT(ISERROR(SEARCH("GP1",AD12)))</formula>
    </cfRule>
  </conditionalFormatting>
  <conditionalFormatting sqref="AD12">
    <cfRule type="containsText" dxfId="4128" priority="10203" operator="containsText" text="GP2">
      <formula>NOT(ISERROR(SEARCH("GP2",AD12)))</formula>
    </cfRule>
    <cfRule type="containsText" dxfId="4127" priority="10204" operator="containsText" text="GP1">
      <formula>NOT(ISERROR(SEARCH("GP1",AD12)))</formula>
    </cfRule>
  </conditionalFormatting>
  <conditionalFormatting sqref="AD12">
    <cfRule type="containsText" dxfId="4126" priority="10201" operator="containsText" text="GP2">
      <formula>NOT(ISERROR(SEARCH("GP2",AD12)))</formula>
    </cfRule>
    <cfRule type="containsText" dxfId="4125" priority="10202" operator="containsText" text="GP1">
      <formula>NOT(ISERROR(SEARCH("GP1",AD12)))</formula>
    </cfRule>
  </conditionalFormatting>
  <conditionalFormatting sqref="AD12">
    <cfRule type="containsText" dxfId="4124" priority="10199" operator="containsText" text="GP2">
      <formula>NOT(ISERROR(SEARCH("GP2",AD12)))</formula>
    </cfRule>
    <cfRule type="containsText" dxfId="4123" priority="10200" operator="containsText" text="GP1">
      <formula>NOT(ISERROR(SEARCH("GP1",AD12)))</formula>
    </cfRule>
  </conditionalFormatting>
  <conditionalFormatting sqref="AD12">
    <cfRule type="containsText" dxfId="4122" priority="10197" operator="containsText" text="GP2">
      <formula>NOT(ISERROR(SEARCH("GP2",AD12)))</formula>
    </cfRule>
    <cfRule type="containsText" dxfId="4121" priority="10198" operator="containsText" text="GP1">
      <formula>NOT(ISERROR(SEARCH("GP1",AD12)))</formula>
    </cfRule>
  </conditionalFormatting>
  <conditionalFormatting sqref="AD12">
    <cfRule type="containsText" dxfId="4120" priority="10195" operator="containsText" text="GP2">
      <formula>NOT(ISERROR(SEARCH("GP2",AD12)))</formula>
    </cfRule>
    <cfRule type="containsText" dxfId="4119" priority="10196" operator="containsText" text="GP1">
      <formula>NOT(ISERROR(SEARCH("GP1",AD12)))</formula>
    </cfRule>
  </conditionalFormatting>
  <conditionalFormatting sqref="AD12">
    <cfRule type="containsText" dxfId="4118" priority="10193" operator="containsText" text="GP2">
      <formula>NOT(ISERROR(SEARCH("GP2",AD12)))</formula>
    </cfRule>
    <cfRule type="containsText" dxfId="4117" priority="10194" operator="containsText" text="GP1">
      <formula>NOT(ISERROR(SEARCH("GP1",AD12)))</formula>
    </cfRule>
  </conditionalFormatting>
  <conditionalFormatting sqref="AD12">
    <cfRule type="containsText" dxfId="4116" priority="10191" operator="containsText" text="GP2">
      <formula>NOT(ISERROR(SEARCH("GP2",AD12)))</formula>
    </cfRule>
    <cfRule type="containsText" dxfId="4115" priority="10192" operator="containsText" text="GP1">
      <formula>NOT(ISERROR(SEARCH("GP1",AD12)))</formula>
    </cfRule>
  </conditionalFormatting>
  <conditionalFormatting sqref="AD12">
    <cfRule type="containsText" dxfId="4114" priority="10189" operator="containsText" text="GP2">
      <formula>NOT(ISERROR(SEARCH("GP2",AD12)))</formula>
    </cfRule>
    <cfRule type="containsText" dxfId="4113" priority="10190" operator="containsText" text="GP1">
      <formula>NOT(ISERROR(SEARCH("GP1",AD12)))</formula>
    </cfRule>
  </conditionalFormatting>
  <conditionalFormatting sqref="AD12">
    <cfRule type="containsText" dxfId="4112" priority="10187" operator="containsText" text="GP2">
      <formula>NOT(ISERROR(SEARCH("GP2",AD12)))</formula>
    </cfRule>
    <cfRule type="containsText" dxfId="4111" priority="10188" operator="containsText" text="GP1">
      <formula>NOT(ISERROR(SEARCH("GP1",AD12)))</formula>
    </cfRule>
  </conditionalFormatting>
  <conditionalFormatting sqref="AD12">
    <cfRule type="containsText" dxfId="4110" priority="10185" operator="containsText" text="GP2">
      <formula>NOT(ISERROR(SEARCH("GP2",AD12)))</formula>
    </cfRule>
    <cfRule type="containsText" dxfId="4109" priority="10186" operator="containsText" text="GP1">
      <formula>NOT(ISERROR(SEARCH("GP1",AD12)))</formula>
    </cfRule>
  </conditionalFormatting>
  <conditionalFormatting sqref="AD12">
    <cfRule type="containsText" dxfId="4108" priority="10183" operator="containsText" text="GP2">
      <formula>NOT(ISERROR(SEARCH("GP2",AD12)))</formula>
    </cfRule>
    <cfRule type="containsText" dxfId="4107" priority="10184" operator="containsText" text="GP1">
      <formula>NOT(ISERROR(SEARCH("GP1",AD12)))</formula>
    </cfRule>
  </conditionalFormatting>
  <conditionalFormatting sqref="AD12">
    <cfRule type="containsText" dxfId="4106" priority="10181" operator="containsText" text="GP2">
      <formula>NOT(ISERROR(SEARCH("GP2",AD12)))</formula>
    </cfRule>
    <cfRule type="containsText" dxfId="4105" priority="10182" operator="containsText" text="GP1">
      <formula>NOT(ISERROR(SEARCH("GP1",AD12)))</formula>
    </cfRule>
  </conditionalFormatting>
  <conditionalFormatting sqref="AD12">
    <cfRule type="containsText" dxfId="4104" priority="10179" operator="containsText" text="GP2">
      <formula>NOT(ISERROR(SEARCH("GP2",AD12)))</formula>
    </cfRule>
    <cfRule type="containsText" dxfId="4103" priority="10180" operator="containsText" text="GP1">
      <formula>NOT(ISERROR(SEARCH("GP1",AD12)))</formula>
    </cfRule>
  </conditionalFormatting>
  <conditionalFormatting sqref="AD12">
    <cfRule type="containsText" dxfId="4102" priority="10177" operator="containsText" text="GP2">
      <formula>NOT(ISERROR(SEARCH("GP2",AD12)))</formula>
    </cfRule>
    <cfRule type="containsText" dxfId="4101" priority="10178" operator="containsText" text="GP1">
      <formula>NOT(ISERROR(SEARCH("GP1",AD12)))</formula>
    </cfRule>
  </conditionalFormatting>
  <conditionalFormatting sqref="AD12">
    <cfRule type="containsText" dxfId="4100" priority="10175" operator="containsText" text="GP2">
      <formula>NOT(ISERROR(SEARCH("GP2",AD12)))</formula>
    </cfRule>
    <cfRule type="containsText" dxfId="4099" priority="10176" operator="containsText" text="GP1">
      <formula>NOT(ISERROR(SEARCH("GP1",AD12)))</formula>
    </cfRule>
  </conditionalFormatting>
  <conditionalFormatting sqref="AD12">
    <cfRule type="containsText" dxfId="4098" priority="10173" operator="containsText" text="GP2">
      <formula>NOT(ISERROR(SEARCH("GP2",AD12)))</formula>
    </cfRule>
    <cfRule type="containsText" dxfId="4097" priority="10174" operator="containsText" text="GP1">
      <formula>NOT(ISERROR(SEARCH("GP1",AD12)))</formula>
    </cfRule>
  </conditionalFormatting>
  <conditionalFormatting sqref="AD12">
    <cfRule type="containsText" dxfId="4096" priority="10171" operator="containsText" text="GP2">
      <formula>NOT(ISERROR(SEARCH("GP2",AD12)))</formula>
    </cfRule>
    <cfRule type="containsText" dxfId="4095" priority="10172" operator="containsText" text="GP1">
      <formula>NOT(ISERROR(SEARCH("GP1",AD12)))</formula>
    </cfRule>
  </conditionalFormatting>
  <conditionalFormatting sqref="AD12">
    <cfRule type="containsText" dxfId="4094" priority="10169" operator="containsText" text="GP2">
      <formula>NOT(ISERROR(SEARCH("GP2",AD12)))</formula>
    </cfRule>
    <cfRule type="containsText" dxfId="4093" priority="10170" operator="containsText" text="GP1">
      <formula>NOT(ISERROR(SEARCH("GP1",AD12)))</formula>
    </cfRule>
  </conditionalFormatting>
  <conditionalFormatting sqref="AD12">
    <cfRule type="containsText" dxfId="4092" priority="10167" operator="containsText" text="GP2">
      <formula>NOT(ISERROR(SEARCH("GP2",AD12)))</formula>
    </cfRule>
    <cfRule type="containsText" dxfId="4091" priority="10168" operator="containsText" text="GP1">
      <formula>NOT(ISERROR(SEARCH("GP1",AD12)))</formula>
    </cfRule>
  </conditionalFormatting>
  <conditionalFormatting sqref="AD12">
    <cfRule type="containsText" dxfId="4090" priority="10165" operator="containsText" text="GP2">
      <formula>NOT(ISERROR(SEARCH("GP2",AD12)))</formula>
    </cfRule>
    <cfRule type="containsText" dxfId="4089" priority="10166" operator="containsText" text="GP1">
      <formula>NOT(ISERROR(SEARCH("GP1",AD12)))</formula>
    </cfRule>
  </conditionalFormatting>
  <conditionalFormatting sqref="AD12">
    <cfRule type="containsText" dxfId="4088" priority="10163" operator="containsText" text="GP2">
      <formula>NOT(ISERROR(SEARCH("GP2",AD12)))</formula>
    </cfRule>
    <cfRule type="containsText" dxfId="4087" priority="10164" operator="containsText" text="GP1">
      <formula>NOT(ISERROR(SEARCH("GP1",AD12)))</formula>
    </cfRule>
  </conditionalFormatting>
  <conditionalFormatting sqref="AD12">
    <cfRule type="containsText" dxfId="4086" priority="10161" operator="containsText" text="GP2">
      <formula>NOT(ISERROR(SEARCH("GP2",AD12)))</formula>
    </cfRule>
    <cfRule type="containsText" dxfId="4085" priority="10162" operator="containsText" text="GP1">
      <formula>NOT(ISERROR(SEARCH("GP1",AD12)))</formula>
    </cfRule>
  </conditionalFormatting>
  <conditionalFormatting sqref="AD12">
    <cfRule type="containsText" dxfId="4084" priority="10159" operator="containsText" text="GP2">
      <formula>NOT(ISERROR(SEARCH("GP2",AD12)))</formula>
    </cfRule>
    <cfRule type="containsText" dxfId="4083" priority="10160" operator="containsText" text="GP1">
      <formula>NOT(ISERROR(SEARCH("GP1",AD12)))</formula>
    </cfRule>
  </conditionalFormatting>
  <conditionalFormatting sqref="AD12">
    <cfRule type="containsText" dxfId="4082" priority="10157" operator="containsText" text="GP2">
      <formula>NOT(ISERROR(SEARCH("GP2",AD12)))</formula>
    </cfRule>
    <cfRule type="containsText" dxfId="4081" priority="10158" operator="containsText" text="GP1">
      <formula>NOT(ISERROR(SEARCH("GP1",AD12)))</formula>
    </cfRule>
  </conditionalFormatting>
  <conditionalFormatting sqref="AD12">
    <cfRule type="containsText" dxfId="4080" priority="10155" operator="containsText" text="GP2">
      <formula>NOT(ISERROR(SEARCH("GP2",AD12)))</formula>
    </cfRule>
    <cfRule type="containsText" dxfId="4079" priority="10156" operator="containsText" text="GP1">
      <formula>NOT(ISERROR(SEARCH("GP1",AD12)))</formula>
    </cfRule>
  </conditionalFormatting>
  <conditionalFormatting sqref="AD12">
    <cfRule type="containsText" dxfId="4078" priority="10153" operator="containsText" text="GP2">
      <formula>NOT(ISERROR(SEARCH("GP2",AD12)))</formula>
    </cfRule>
    <cfRule type="containsText" dxfId="4077" priority="10154" operator="containsText" text="GP1">
      <formula>NOT(ISERROR(SEARCH("GP1",AD12)))</formula>
    </cfRule>
  </conditionalFormatting>
  <conditionalFormatting sqref="AD12">
    <cfRule type="containsText" dxfId="4076" priority="10151" operator="containsText" text="GP2">
      <formula>NOT(ISERROR(SEARCH("GP2",AD12)))</formula>
    </cfRule>
    <cfRule type="containsText" dxfId="4075" priority="10152" operator="containsText" text="GP1">
      <formula>NOT(ISERROR(SEARCH("GP1",AD12)))</formula>
    </cfRule>
  </conditionalFormatting>
  <conditionalFormatting sqref="AD12">
    <cfRule type="containsText" dxfId="4074" priority="10149" operator="containsText" text="GP2">
      <formula>NOT(ISERROR(SEARCH("GP2",AD12)))</formula>
    </cfRule>
    <cfRule type="containsText" dxfId="4073" priority="10150" operator="containsText" text="GP1">
      <formula>NOT(ISERROR(SEARCH("GP1",AD12)))</formula>
    </cfRule>
  </conditionalFormatting>
  <conditionalFormatting sqref="AD12">
    <cfRule type="containsText" dxfId="4072" priority="10147" operator="containsText" text="GP2">
      <formula>NOT(ISERROR(SEARCH("GP2",AD12)))</formula>
    </cfRule>
    <cfRule type="containsText" dxfId="4071" priority="10148" operator="containsText" text="GP1">
      <formula>NOT(ISERROR(SEARCH("GP1",AD12)))</formula>
    </cfRule>
  </conditionalFormatting>
  <conditionalFormatting sqref="AD12">
    <cfRule type="containsText" dxfId="4070" priority="10145" operator="containsText" text="GP2">
      <formula>NOT(ISERROR(SEARCH("GP2",AD12)))</formula>
    </cfRule>
    <cfRule type="containsText" dxfId="4069" priority="10146" operator="containsText" text="GP1">
      <formula>NOT(ISERROR(SEARCH("GP1",AD12)))</formula>
    </cfRule>
  </conditionalFormatting>
  <conditionalFormatting sqref="AD12">
    <cfRule type="containsText" dxfId="4068" priority="10143" operator="containsText" text="GP2">
      <formula>NOT(ISERROR(SEARCH("GP2",AD12)))</formula>
    </cfRule>
    <cfRule type="containsText" dxfId="4067" priority="10144" operator="containsText" text="GP1">
      <formula>NOT(ISERROR(SEARCH("GP1",AD12)))</formula>
    </cfRule>
  </conditionalFormatting>
  <conditionalFormatting sqref="AD12">
    <cfRule type="containsText" dxfId="4066" priority="10141" operator="containsText" text="GP2">
      <formula>NOT(ISERROR(SEARCH("GP2",AD12)))</formula>
    </cfRule>
    <cfRule type="containsText" dxfId="4065" priority="10142" operator="containsText" text="GP1">
      <formula>NOT(ISERROR(SEARCH("GP1",AD12)))</formula>
    </cfRule>
  </conditionalFormatting>
  <conditionalFormatting sqref="AD12">
    <cfRule type="containsText" dxfId="4064" priority="10139" operator="containsText" text="GP2">
      <formula>NOT(ISERROR(SEARCH("GP2",AD12)))</formula>
    </cfRule>
    <cfRule type="containsText" dxfId="4063" priority="10140" operator="containsText" text="GP1">
      <formula>NOT(ISERROR(SEARCH("GP1",AD12)))</formula>
    </cfRule>
  </conditionalFormatting>
  <conditionalFormatting sqref="AD12">
    <cfRule type="containsText" dxfId="4062" priority="10137" operator="containsText" text="GP2">
      <formula>NOT(ISERROR(SEARCH("GP2",AD12)))</formula>
    </cfRule>
    <cfRule type="containsText" dxfId="4061" priority="10138" operator="containsText" text="GP1">
      <formula>NOT(ISERROR(SEARCH("GP1",AD12)))</formula>
    </cfRule>
  </conditionalFormatting>
  <conditionalFormatting sqref="AD12">
    <cfRule type="containsText" dxfId="4060" priority="10135" operator="containsText" text="GP2">
      <formula>NOT(ISERROR(SEARCH("GP2",AD12)))</formula>
    </cfRule>
    <cfRule type="containsText" dxfId="4059" priority="10136" operator="containsText" text="GP1">
      <formula>NOT(ISERROR(SEARCH("GP1",AD12)))</formula>
    </cfRule>
  </conditionalFormatting>
  <conditionalFormatting sqref="AD12">
    <cfRule type="containsText" dxfId="4058" priority="10133" operator="containsText" text="GP2">
      <formula>NOT(ISERROR(SEARCH("GP2",AD12)))</formula>
    </cfRule>
    <cfRule type="containsText" dxfId="4057" priority="10134" operator="containsText" text="GP1">
      <formula>NOT(ISERROR(SEARCH("GP1",AD12)))</formula>
    </cfRule>
  </conditionalFormatting>
  <conditionalFormatting sqref="AD12">
    <cfRule type="containsText" dxfId="4056" priority="10131" operator="containsText" text="GP2">
      <formula>NOT(ISERROR(SEARCH("GP2",AD12)))</formula>
    </cfRule>
    <cfRule type="containsText" dxfId="4055" priority="10132" operator="containsText" text="GP1">
      <formula>NOT(ISERROR(SEARCH("GP1",AD12)))</formula>
    </cfRule>
  </conditionalFormatting>
  <conditionalFormatting sqref="AD12">
    <cfRule type="containsText" dxfId="4054" priority="10129" operator="containsText" text="GP2">
      <formula>NOT(ISERROR(SEARCH("GP2",AD12)))</formula>
    </cfRule>
    <cfRule type="containsText" dxfId="4053" priority="10130" operator="containsText" text="GP1">
      <formula>NOT(ISERROR(SEARCH("GP1",AD12)))</formula>
    </cfRule>
  </conditionalFormatting>
  <conditionalFormatting sqref="AD12">
    <cfRule type="containsText" dxfId="4052" priority="10127" operator="containsText" text="GP2">
      <formula>NOT(ISERROR(SEARCH("GP2",AD12)))</formula>
    </cfRule>
    <cfRule type="containsText" dxfId="4051" priority="10128" operator="containsText" text="GP1">
      <formula>NOT(ISERROR(SEARCH("GP1",AD12)))</formula>
    </cfRule>
  </conditionalFormatting>
  <conditionalFormatting sqref="AD12">
    <cfRule type="containsText" dxfId="4050" priority="10125" operator="containsText" text="GP2">
      <formula>NOT(ISERROR(SEARCH("GP2",AD12)))</formula>
    </cfRule>
    <cfRule type="containsText" dxfId="4049" priority="10126" operator="containsText" text="GP1">
      <formula>NOT(ISERROR(SEARCH("GP1",AD12)))</formula>
    </cfRule>
  </conditionalFormatting>
  <conditionalFormatting sqref="AD12">
    <cfRule type="containsText" dxfId="4048" priority="10123" operator="containsText" text="GP2">
      <formula>NOT(ISERROR(SEARCH("GP2",AD12)))</formula>
    </cfRule>
    <cfRule type="containsText" dxfId="4047" priority="10124" operator="containsText" text="GP1">
      <formula>NOT(ISERROR(SEARCH("GP1",AD12)))</formula>
    </cfRule>
  </conditionalFormatting>
  <conditionalFormatting sqref="AD12">
    <cfRule type="containsText" dxfId="4046" priority="10121" operator="containsText" text="GP2">
      <formula>NOT(ISERROR(SEARCH("GP2",AD12)))</formula>
    </cfRule>
    <cfRule type="containsText" dxfId="4045" priority="10122" operator="containsText" text="GP1">
      <formula>NOT(ISERROR(SEARCH("GP1",AD12)))</formula>
    </cfRule>
  </conditionalFormatting>
  <conditionalFormatting sqref="AD12">
    <cfRule type="containsText" dxfId="4044" priority="10119" operator="containsText" text="GP2">
      <formula>NOT(ISERROR(SEARCH("GP2",AD12)))</formula>
    </cfRule>
    <cfRule type="containsText" dxfId="4043" priority="10120" operator="containsText" text="GP1">
      <formula>NOT(ISERROR(SEARCH("GP1",AD12)))</formula>
    </cfRule>
  </conditionalFormatting>
  <conditionalFormatting sqref="AD12">
    <cfRule type="containsText" dxfId="4042" priority="10117" operator="containsText" text="GP2">
      <formula>NOT(ISERROR(SEARCH("GP2",AD12)))</formula>
    </cfRule>
    <cfRule type="containsText" dxfId="4041" priority="10118" operator="containsText" text="GP1">
      <formula>NOT(ISERROR(SEARCH("GP1",AD12)))</formula>
    </cfRule>
  </conditionalFormatting>
  <conditionalFormatting sqref="AD12">
    <cfRule type="containsText" dxfId="4040" priority="10115" operator="containsText" text="GP2">
      <formula>NOT(ISERROR(SEARCH("GP2",AD12)))</formula>
    </cfRule>
    <cfRule type="containsText" dxfId="4039" priority="10116" operator="containsText" text="GP1">
      <formula>NOT(ISERROR(SEARCH("GP1",AD12)))</formula>
    </cfRule>
  </conditionalFormatting>
  <conditionalFormatting sqref="AD12">
    <cfRule type="containsText" dxfId="4038" priority="10113" operator="containsText" text="GP2">
      <formula>NOT(ISERROR(SEARCH("GP2",AD12)))</formula>
    </cfRule>
    <cfRule type="containsText" dxfId="4037" priority="10114" operator="containsText" text="GP1">
      <formula>NOT(ISERROR(SEARCH("GP1",AD12)))</formula>
    </cfRule>
  </conditionalFormatting>
  <conditionalFormatting sqref="AD12">
    <cfRule type="containsText" dxfId="4036" priority="10111" operator="containsText" text="GP2">
      <formula>NOT(ISERROR(SEARCH("GP2",AD12)))</formula>
    </cfRule>
    <cfRule type="containsText" dxfId="4035" priority="10112" operator="containsText" text="GP1">
      <formula>NOT(ISERROR(SEARCH("GP1",AD12)))</formula>
    </cfRule>
  </conditionalFormatting>
  <conditionalFormatting sqref="AD12">
    <cfRule type="containsText" dxfId="4034" priority="10109" operator="containsText" text="GP2">
      <formula>NOT(ISERROR(SEARCH("GP2",AD12)))</formula>
    </cfRule>
    <cfRule type="containsText" dxfId="4033" priority="10110" operator="containsText" text="GP1">
      <formula>NOT(ISERROR(SEARCH("GP1",AD12)))</formula>
    </cfRule>
  </conditionalFormatting>
  <conditionalFormatting sqref="AD12">
    <cfRule type="containsText" dxfId="4032" priority="10107" operator="containsText" text="GP2">
      <formula>NOT(ISERROR(SEARCH("GP2",AD12)))</formula>
    </cfRule>
    <cfRule type="containsText" dxfId="4031" priority="10108" operator="containsText" text="GP1">
      <formula>NOT(ISERROR(SEARCH("GP1",AD12)))</formula>
    </cfRule>
  </conditionalFormatting>
  <conditionalFormatting sqref="AD12">
    <cfRule type="containsText" dxfId="4030" priority="10105" operator="containsText" text="GP2">
      <formula>NOT(ISERROR(SEARCH("GP2",AD12)))</formula>
    </cfRule>
    <cfRule type="containsText" dxfId="4029" priority="10106" operator="containsText" text="GP1">
      <formula>NOT(ISERROR(SEARCH("GP1",AD12)))</formula>
    </cfRule>
  </conditionalFormatting>
  <conditionalFormatting sqref="AD12">
    <cfRule type="containsText" dxfId="4028" priority="10103" operator="containsText" text="GP2">
      <formula>NOT(ISERROR(SEARCH("GP2",AD12)))</formula>
    </cfRule>
    <cfRule type="containsText" dxfId="4027" priority="10104" operator="containsText" text="GP1">
      <formula>NOT(ISERROR(SEARCH("GP1",AD12)))</formula>
    </cfRule>
  </conditionalFormatting>
  <conditionalFormatting sqref="AD12">
    <cfRule type="containsText" dxfId="4026" priority="10101" operator="containsText" text="GP2">
      <formula>NOT(ISERROR(SEARCH("GP2",AD12)))</formula>
    </cfRule>
    <cfRule type="containsText" dxfId="4025" priority="10102" operator="containsText" text="GP1">
      <formula>NOT(ISERROR(SEARCH("GP1",AD12)))</formula>
    </cfRule>
  </conditionalFormatting>
  <conditionalFormatting sqref="AD12">
    <cfRule type="containsText" dxfId="4024" priority="10099" operator="containsText" text="GP2">
      <formula>NOT(ISERROR(SEARCH("GP2",AD12)))</formula>
    </cfRule>
    <cfRule type="containsText" dxfId="4023" priority="10100" operator="containsText" text="GP1">
      <formula>NOT(ISERROR(SEARCH("GP1",AD12)))</formula>
    </cfRule>
  </conditionalFormatting>
  <conditionalFormatting sqref="AD12">
    <cfRule type="containsText" dxfId="4022" priority="10097" operator="containsText" text="GP2">
      <formula>NOT(ISERROR(SEARCH("GP2",AD12)))</formula>
    </cfRule>
    <cfRule type="containsText" dxfId="4021" priority="10098" operator="containsText" text="GP1">
      <formula>NOT(ISERROR(SEARCH("GP1",AD12)))</formula>
    </cfRule>
  </conditionalFormatting>
  <conditionalFormatting sqref="AD12">
    <cfRule type="containsText" dxfId="4020" priority="10095" operator="containsText" text="GP2">
      <formula>NOT(ISERROR(SEARCH("GP2",AD12)))</formula>
    </cfRule>
    <cfRule type="containsText" dxfId="4019" priority="10096" operator="containsText" text="GP1">
      <formula>NOT(ISERROR(SEARCH("GP1",AD12)))</formula>
    </cfRule>
  </conditionalFormatting>
  <conditionalFormatting sqref="AD12">
    <cfRule type="containsText" dxfId="4018" priority="10093" operator="containsText" text="GP2">
      <formula>NOT(ISERROR(SEARCH("GP2",AD12)))</formula>
    </cfRule>
    <cfRule type="containsText" dxfId="4017" priority="10094" operator="containsText" text="GP1">
      <formula>NOT(ISERROR(SEARCH("GP1",AD12)))</formula>
    </cfRule>
  </conditionalFormatting>
  <conditionalFormatting sqref="AD12">
    <cfRule type="containsText" dxfId="4016" priority="10091" operator="containsText" text="GP2">
      <formula>NOT(ISERROR(SEARCH("GP2",AD12)))</formula>
    </cfRule>
    <cfRule type="containsText" dxfId="4015" priority="10092" operator="containsText" text="GP1">
      <formula>NOT(ISERROR(SEARCH("GP1",AD12)))</formula>
    </cfRule>
  </conditionalFormatting>
  <conditionalFormatting sqref="AD12">
    <cfRule type="containsText" dxfId="4014" priority="10089" operator="containsText" text="GP2">
      <formula>NOT(ISERROR(SEARCH("GP2",AD12)))</formula>
    </cfRule>
    <cfRule type="containsText" dxfId="4013" priority="10090" operator="containsText" text="GP1">
      <formula>NOT(ISERROR(SEARCH("GP1",AD12)))</formula>
    </cfRule>
  </conditionalFormatting>
  <conditionalFormatting sqref="AD12">
    <cfRule type="containsText" dxfId="4012" priority="10087" operator="containsText" text="GP2">
      <formula>NOT(ISERROR(SEARCH("GP2",AD12)))</formula>
    </cfRule>
    <cfRule type="containsText" dxfId="4011" priority="10088" operator="containsText" text="GP1">
      <formula>NOT(ISERROR(SEARCH("GP1",AD12)))</formula>
    </cfRule>
  </conditionalFormatting>
  <conditionalFormatting sqref="AD12">
    <cfRule type="containsText" dxfId="4010" priority="10085" operator="containsText" text="GP2">
      <formula>NOT(ISERROR(SEARCH("GP2",AD12)))</formula>
    </cfRule>
    <cfRule type="containsText" dxfId="4009" priority="10086" operator="containsText" text="GP1">
      <formula>NOT(ISERROR(SEARCH("GP1",AD12)))</formula>
    </cfRule>
  </conditionalFormatting>
  <conditionalFormatting sqref="AD12">
    <cfRule type="containsText" dxfId="4008" priority="10083" operator="containsText" text="GP2">
      <formula>NOT(ISERROR(SEARCH("GP2",AD12)))</formula>
    </cfRule>
    <cfRule type="containsText" dxfId="4007" priority="10084" operator="containsText" text="GP1">
      <formula>NOT(ISERROR(SEARCH("GP1",AD12)))</formula>
    </cfRule>
  </conditionalFormatting>
  <conditionalFormatting sqref="AD12">
    <cfRule type="containsText" dxfId="4006" priority="10081" operator="containsText" text="GP2">
      <formula>NOT(ISERROR(SEARCH("GP2",AD12)))</formula>
    </cfRule>
    <cfRule type="containsText" dxfId="4005" priority="10082" operator="containsText" text="GP1">
      <formula>NOT(ISERROR(SEARCH("GP1",AD12)))</formula>
    </cfRule>
  </conditionalFormatting>
  <conditionalFormatting sqref="AD12">
    <cfRule type="containsText" dxfId="4004" priority="10079" operator="containsText" text="GP2">
      <formula>NOT(ISERROR(SEARCH("GP2",AD12)))</formula>
    </cfRule>
    <cfRule type="containsText" dxfId="4003" priority="10080" operator="containsText" text="GP1">
      <formula>NOT(ISERROR(SEARCH("GP1",AD12)))</formula>
    </cfRule>
  </conditionalFormatting>
  <conditionalFormatting sqref="AD12">
    <cfRule type="containsText" dxfId="4002" priority="10077" operator="containsText" text="GP2">
      <formula>NOT(ISERROR(SEARCH("GP2",AD12)))</formula>
    </cfRule>
    <cfRule type="containsText" dxfId="4001" priority="10078" operator="containsText" text="GP1">
      <formula>NOT(ISERROR(SEARCH("GP1",AD12)))</formula>
    </cfRule>
  </conditionalFormatting>
  <conditionalFormatting sqref="AD12">
    <cfRule type="containsText" dxfId="4000" priority="10075" operator="containsText" text="GP2">
      <formula>NOT(ISERROR(SEARCH("GP2",AD12)))</formula>
    </cfRule>
    <cfRule type="containsText" dxfId="3999" priority="10076" operator="containsText" text="GP1">
      <formula>NOT(ISERROR(SEARCH("GP1",AD12)))</formula>
    </cfRule>
  </conditionalFormatting>
  <conditionalFormatting sqref="AD12">
    <cfRule type="containsText" dxfId="3998" priority="10073" operator="containsText" text="GP2">
      <formula>NOT(ISERROR(SEARCH("GP2",AD12)))</formula>
    </cfRule>
    <cfRule type="containsText" dxfId="3997" priority="10074" operator="containsText" text="GP1">
      <formula>NOT(ISERROR(SEARCH("GP1",AD12)))</formula>
    </cfRule>
  </conditionalFormatting>
  <conditionalFormatting sqref="AD12">
    <cfRule type="containsText" dxfId="3996" priority="10071" operator="containsText" text="GP2">
      <formula>NOT(ISERROR(SEARCH("GP2",AD12)))</formula>
    </cfRule>
    <cfRule type="containsText" dxfId="3995" priority="10072" operator="containsText" text="GP1">
      <formula>NOT(ISERROR(SEARCH("GP1",AD12)))</formula>
    </cfRule>
  </conditionalFormatting>
  <conditionalFormatting sqref="AD12">
    <cfRule type="containsText" dxfId="3994" priority="10069" operator="containsText" text="GP2">
      <formula>NOT(ISERROR(SEARCH("GP2",AD12)))</formula>
    </cfRule>
    <cfRule type="containsText" dxfId="3993" priority="10070" operator="containsText" text="GP1">
      <formula>NOT(ISERROR(SEARCH("GP1",AD12)))</formula>
    </cfRule>
  </conditionalFormatting>
  <conditionalFormatting sqref="AD12">
    <cfRule type="containsText" dxfId="3992" priority="10067" operator="containsText" text="GP2">
      <formula>NOT(ISERROR(SEARCH("GP2",AD12)))</formula>
    </cfRule>
    <cfRule type="containsText" dxfId="3991" priority="10068" operator="containsText" text="GP1">
      <formula>NOT(ISERROR(SEARCH("GP1",AD12)))</formula>
    </cfRule>
  </conditionalFormatting>
  <conditionalFormatting sqref="AD12">
    <cfRule type="containsText" dxfId="3990" priority="10065" operator="containsText" text="GP2">
      <formula>NOT(ISERROR(SEARCH("GP2",AD12)))</formula>
    </cfRule>
    <cfRule type="containsText" dxfId="3989" priority="10066" operator="containsText" text="GP1">
      <formula>NOT(ISERROR(SEARCH("GP1",AD12)))</formula>
    </cfRule>
  </conditionalFormatting>
  <conditionalFormatting sqref="AD12">
    <cfRule type="containsText" dxfId="3988" priority="10063" operator="containsText" text="GP2">
      <formula>NOT(ISERROR(SEARCH("GP2",AD12)))</formula>
    </cfRule>
    <cfRule type="containsText" dxfId="3987" priority="10064" operator="containsText" text="GP1">
      <formula>NOT(ISERROR(SEARCH("GP1",AD12)))</formula>
    </cfRule>
  </conditionalFormatting>
  <conditionalFormatting sqref="AD12">
    <cfRule type="containsText" dxfId="3986" priority="10061" operator="containsText" text="GP2">
      <formula>NOT(ISERROR(SEARCH("GP2",AD12)))</formula>
    </cfRule>
    <cfRule type="containsText" dxfId="3985" priority="10062" operator="containsText" text="GP1">
      <formula>NOT(ISERROR(SEARCH("GP1",AD12)))</formula>
    </cfRule>
  </conditionalFormatting>
  <conditionalFormatting sqref="AD12">
    <cfRule type="containsText" dxfId="3984" priority="10059" operator="containsText" text="GP2">
      <formula>NOT(ISERROR(SEARCH("GP2",AD12)))</formula>
    </cfRule>
    <cfRule type="containsText" dxfId="3983" priority="10060" operator="containsText" text="GP1">
      <formula>NOT(ISERROR(SEARCH("GP1",AD12)))</formula>
    </cfRule>
  </conditionalFormatting>
  <conditionalFormatting sqref="AD12">
    <cfRule type="containsText" dxfId="3982" priority="10057" operator="containsText" text="GP2">
      <formula>NOT(ISERROR(SEARCH("GP2",AD12)))</formula>
    </cfRule>
    <cfRule type="containsText" dxfId="3981" priority="10058" operator="containsText" text="GP1">
      <formula>NOT(ISERROR(SEARCH("GP1",AD12)))</formula>
    </cfRule>
  </conditionalFormatting>
  <conditionalFormatting sqref="AD12">
    <cfRule type="containsText" dxfId="3980" priority="10055" operator="containsText" text="GP2">
      <formula>NOT(ISERROR(SEARCH("GP2",AD12)))</formula>
    </cfRule>
    <cfRule type="containsText" dxfId="3979" priority="10056" operator="containsText" text="GP1">
      <formula>NOT(ISERROR(SEARCH("GP1",AD12)))</formula>
    </cfRule>
  </conditionalFormatting>
  <conditionalFormatting sqref="AD12">
    <cfRule type="containsText" dxfId="3978" priority="10053" operator="containsText" text="GP2">
      <formula>NOT(ISERROR(SEARCH("GP2",AD12)))</formula>
    </cfRule>
    <cfRule type="containsText" dxfId="3977" priority="10054" operator="containsText" text="GP1">
      <formula>NOT(ISERROR(SEARCH("GP1",AD12)))</formula>
    </cfRule>
  </conditionalFormatting>
  <conditionalFormatting sqref="AD12">
    <cfRule type="containsText" dxfId="3976" priority="10051" operator="containsText" text="GP2">
      <formula>NOT(ISERROR(SEARCH("GP2",AD12)))</formula>
    </cfRule>
    <cfRule type="containsText" dxfId="3975" priority="10052" operator="containsText" text="GP1">
      <formula>NOT(ISERROR(SEARCH("GP1",AD12)))</formula>
    </cfRule>
  </conditionalFormatting>
  <conditionalFormatting sqref="AD12">
    <cfRule type="containsText" dxfId="3974" priority="10049" operator="containsText" text="GP2">
      <formula>NOT(ISERROR(SEARCH("GP2",AD12)))</formula>
    </cfRule>
    <cfRule type="containsText" dxfId="3973" priority="10050" operator="containsText" text="GP1">
      <formula>NOT(ISERROR(SEARCH("GP1",AD12)))</formula>
    </cfRule>
  </conditionalFormatting>
  <conditionalFormatting sqref="AD12">
    <cfRule type="containsText" dxfId="3972" priority="10047" operator="containsText" text="GP2">
      <formula>NOT(ISERROR(SEARCH("GP2",AD12)))</formula>
    </cfRule>
    <cfRule type="containsText" dxfId="3971" priority="10048" operator="containsText" text="GP1">
      <formula>NOT(ISERROR(SEARCH("GP1",AD12)))</formula>
    </cfRule>
  </conditionalFormatting>
  <conditionalFormatting sqref="AD12">
    <cfRule type="containsText" dxfId="3970" priority="10045" operator="containsText" text="GP2">
      <formula>NOT(ISERROR(SEARCH("GP2",AD12)))</formula>
    </cfRule>
    <cfRule type="containsText" dxfId="3969" priority="10046" operator="containsText" text="GP1">
      <formula>NOT(ISERROR(SEARCH("GP1",AD12)))</formula>
    </cfRule>
  </conditionalFormatting>
  <conditionalFormatting sqref="AD12">
    <cfRule type="containsText" dxfId="3968" priority="10043" operator="containsText" text="GP2">
      <formula>NOT(ISERROR(SEARCH("GP2",AD12)))</formula>
    </cfRule>
    <cfRule type="containsText" dxfId="3967" priority="10044" operator="containsText" text="GP1">
      <formula>NOT(ISERROR(SEARCH("GP1",AD12)))</formula>
    </cfRule>
  </conditionalFormatting>
  <conditionalFormatting sqref="AD12">
    <cfRule type="containsText" dxfId="3966" priority="10041" operator="containsText" text="GP2">
      <formula>NOT(ISERROR(SEARCH("GP2",AD12)))</formula>
    </cfRule>
    <cfRule type="containsText" dxfId="3965" priority="10042" operator="containsText" text="GP1">
      <formula>NOT(ISERROR(SEARCH("GP1",AD12)))</formula>
    </cfRule>
  </conditionalFormatting>
  <conditionalFormatting sqref="AD12">
    <cfRule type="containsText" dxfId="3964" priority="10039" operator="containsText" text="GP2">
      <formula>NOT(ISERROR(SEARCH("GP2",AD12)))</formula>
    </cfRule>
    <cfRule type="containsText" dxfId="3963" priority="10040" operator="containsText" text="GP1">
      <formula>NOT(ISERROR(SEARCH("GP1",AD12)))</formula>
    </cfRule>
  </conditionalFormatting>
  <conditionalFormatting sqref="AD12">
    <cfRule type="containsText" dxfId="3962" priority="10037" operator="containsText" text="GP2">
      <formula>NOT(ISERROR(SEARCH("GP2",AD12)))</formula>
    </cfRule>
    <cfRule type="containsText" dxfId="3961" priority="10038" operator="containsText" text="GP1">
      <formula>NOT(ISERROR(SEARCH("GP1",AD12)))</formula>
    </cfRule>
  </conditionalFormatting>
  <conditionalFormatting sqref="AD12">
    <cfRule type="containsText" dxfId="3960" priority="10035" operator="containsText" text="GP2">
      <formula>NOT(ISERROR(SEARCH("GP2",AD12)))</formula>
    </cfRule>
    <cfRule type="containsText" dxfId="3959" priority="10036" operator="containsText" text="GP1">
      <formula>NOT(ISERROR(SEARCH("GP1",AD12)))</formula>
    </cfRule>
  </conditionalFormatting>
  <conditionalFormatting sqref="AD12">
    <cfRule type="containsText" dxfId="3958" priority="10033" operator="containsText" text="GP2">
      <formula>NOT(ISERROR(SEARCH("GP2",AD12)))</formula>
    </cfRule>
    <cfRule type="containsText" dxfId="3957" priority="10034" operator="containsText" text="GP1">
      <formula>NOT(ISERROR(SEARCH("GP1",AD12)))</formula>
    </cfRule>
  </conditionalFormatting>
  <conditionalFormatting sqref="AD12">
    <cfRule type="containsText" dxfId="3956" priority="10031" operator="containsText" text="GP2">
      <formula>NOT(ISERROR(SEARCH("GP2",AD12)))</formula>
    </cfRule>
    <cfRule type="containsText" dxfId="3955" priority="10032" operator="containsText" text="GP1">
      <formula>NOT(ISERROR(SEARCH("GP1",AD12)))</formula>
    </cfRule>
  </conditionalFormatting>
  <conditionalFormatting sqref="AD12">
    <cfRule type="containsText" dxfId="3954" priority="10029" operator="containsText" text="GP2">
      <formula>NOT(ISERROR(SEARCH("GP2",AD12)))</formula>
    </cfRule>
    <cfRule type="containsText" dxfId="3953" priority="10030" operator="containsText" text="GP1">
      <formula>NOT(ISERROR(SEARCH("GP1",AD12)))</formula>
    </cfRule>
  </conditionalFormatting>
  <conditionalFormatting sqref="AD12">
    <cfRule type="containsText" dxfId="3952" priority="10027" operator="containsText" text="GP2">
      <formula>NOT(ISERROR(SEARCH("GP2",AD12)))</formula>
    </cfRule>
    <cfRule type="containsText" dxfId="3951" priority="10028" operator="containsText" text="GP1">
      <formula>NOT(ISERROR(SEARCH("GP1",AD12)))</formula>
    </cfRule>
  </conditionalFormatting>
  <conditionalFormatting sqref="AD12">
    <cfRule type="containsText" dxfId="3950" priority="10025" operator="containsText" text="GP2">
      <formula>NOT(ISERROR(SEARCH("GP2",AD12)))</formula>
    </cfRule>
    <cfRule type="containsText" dxfId="3949" priority="10026" operator="containsText" text="GP1">
      <formula>NOT(ISERROR(SEARCH("GP1",AD12)))</formula>
    </cfRule>
  </conditionalFormatting>
  <conditionalFormatting sqref="AD12">
    <cfRule type="containsText" dxfId="3948" priority="10023" operator="containsText" text="GP2">
      <formula>NOT(ISERROR(SEARCH("GP2",AD12)))</formula>
    </cfRule>
    <cfRule type="containsText" dxfId="3947" priority="10024" operator="containsText" text="GP1">
      <formula>NOT(ISERROR(SEARCH("GP1",AD12)))</formula>
    </cfRule>
  </conditionalFormatting>
  <conditionalFormatting sqref="AD12">
    <cfRule type="containsText" dxfId="3946" priority="10021" operator="containsText" text="GP2">
      <formula>NOT(ISERROR(SEARCH("GP2",AD12)))</formula>
    </cfRule>
    <cfRule type="containsText" dxfId="3945" priority="10022" operator="containsText" text="GP1">
      <formula>NOT(ISERROR(SEARCH("GP1",AD12)))</formula>
    </cfRule>
  </conditionalFormatting>
  <conditionalFormatting sqref="AD12">
    <cfRule type="containsText" dxfId="3944" priority="10019" operator="containsText" text="GP2">
      <formula>NOT(ISERROR(SEARCH("GP2",AD12)))</formula>
    </cfRule>
    <cfRule type="containsText" dxfId="3943" priority="10020" operator="containsText" text="GP1">
      <formula>NOT(ISERROR(SEARCH("GP1",AD12)))</formula>
    </cfRule>
  </conditionalFormatting>
  <conditionalFormatting sqref="AD12">
    <cfRule type="containsText" dxfId="3942" priority="10017" operator="containsText" text="GP2">
      <formula>NOT(ISERROR(SEARCH("GP2",AD12)))</formula>
    </cfRule>
    <cfRule type="containsText" dxfId="3941" priority="10018" operator="containsText" text="GP1">
      <formula>NOT(ISERROR(SEARCH("GP1",AD12)))</formula>
    </cfRule>
  </conditionalFormatting>
  <conditionalFormatting sqref="AD12">
    <cfRule type="containsText" dxfId="3940" priority="10015" operator="containsText" text="GP2">
      <formula>NOT(ISERROR(SEARCH("GP2",AD12)))</formula>
    </cfRule>
    <cfRule type="containsText" dxfId="3939" priority="10016" operator="containsText" text="GP1">
      <formula>NOT(ISERROR(SEARCH("GP1",AD12)))</formula>
    </cfRule>
  </conditionalFormatting>
  <conditionalFormatting sqref="AD12">
    <cfRule type="containsText" dxfId="3938" priority="10013" operator="containsText" text="GP2">
      <formula>NOT(ISERROR(SEARCH("GP2",AD12)))</formula>
    </cfRule>
    <cfRule type="containsText" dxfId="3937" priority="10014" operator="containsText" text="GP1">
      <formula>NOT(ISERROR(SEARCH("GP1",AD12)))</formula>
    </cfRule>
  </conditionalFormatting>
  <conditionalFormatting sqref="AD12">
    <cfRule type="containsText" dxfId="3936" priority="10011" operator="containsText" text="GP2">
      <formula>NOT(ISERROR(SEARCH("GP2",AD12)))</formula>
    </cfRule>
    <cfRule type="containsText" dxfId="3935" priority="10012" operator="containsText" text="GP1">
      <formula>NOT(ISERROR(SEARCH("GP1",AD12)))</formula>
    </cfRule>
  </conditionalFormatting>
  <conditionalFormatting sqref="AD12">
    <cfRule type="containsText" dxfId="3934" priority="10009" operator="containsText" text="GP2">
      <formula>NOT(ISERROR(SEARCH("GP2",AD12)))</formula>
    </cfRule>
    <cfRule type="containsText" dxfId="3933" priority="10010" operator="containsText" text="GP1">
      <formula>NOT(ISERROR(SEARCH("GP1",AD12)))</formula>
    </cfRule>
  </conditionalFormatting>
  <conditionalFormatting sqref="AD12">
    <cfRule type="containsText" dxfId="3932" priority="10007" operator="containsText" text="GP2">
      <formula>NOT(ISERROR(SEARCH("GP2",AD12)))</formula>
    </cfRule>
    <cfRule type="containsText" dxfId="3931" priority="10008" operator="containsText" text="GP1">
      <formula>NOT(ISERROR(SEARCH("GP1",AD12)))</formula>
    </cfRule>
  </conditionalFormatting>
  <conditionalFormatting sqref="AD12">
    <cfRule type="containsText" dxfId="3930" priority="10005" operator="containsText" text="GP2">
      <formula>NOT(ISERROR(SEARCH("GP2",AD12)))</formula>
    </cfRule>
    <cfRule type="containsText" dxfId="3929" priority="10006" operator="containsText" text="GP1">
      <formula>NOT(ISERROR(SEARCH("GP1",AD12)))</formula>
    </cfRule>
  </conditionalFormatting>
  <conditionalFormatting sqref="AD12">
    <cfRule type="containsText" dxfId="3928" priority="10003" operator="containsText" text="GP2">
      <formula>NOT(ISERROR(SEARCH("GP2",AD12)))</formula>
    </cfRule>
    <cfRule type="containsText" dxfId="3927" priority="10004" operator="containsText" text="GP1">
      <formula>NOT(ISERROR(SEARCH("GP1",AD12)))</formula>
    </cfRule>
  </conditionalFormatting>
  <conditionalFormatting sqref="AD12">
    <cfRule type="containsText" dxfId="3926" priority="10001" operator="containsText" text="GP2">
      <formula>NOT(ISERROR(SEARCH("GP2",AD12)))</formula>
    </cfRule>
    <cfRule type="containsText" dxfId="3925" priority="10002" operator="containsText" text="GP1">
      <formula>NOT(ISERROR(SEARCH("GP1",AD12)))</formula>
    </cfRule>
  </conditionalFormatting>
  <conditionalFormatting sqref="AD12">
    <cfRule type="containsText" dxfId="3924" priority="9999" operator="containsText" text="GP2">
      <formula>NOT(ISERROR(SEARCH("GP2",AD12)))</formula>
    </cfRule>
    <cfRule type="containsText" dxfId="3923" priority="10000" operator="containsText" text="GP1">
      <formula>NOT(ISERROR(SEARCH("GP1",AD12)))</formula>
    </cfRule>
  </conditionalFormatting>
  <conditionalFormatting sqref="AD12">
    <cfRule type="containsText" dxfId="3922" priority="9997" operator="containsText" text="GP2">
      <formula>NOT(ISERROR(SEARCH("GP2",AD12)))</formula>
    </cfRule>
    <cfRule type="containsText" dxfId="3921" priority="9998" operator="containsText" text="GP1">
      <formula>NOT(ISERROR(SEARCH("GP1",AD12)))</formula>
    </cfRule>
  </conditionalFormatting>
  <conditionalFormatting sqref="AD12">
    <cfRule type="containsText" dxfId="3920" priority="9995" operator="containsText" text="GP2">
      <formula>NOT(ISERROR(SEARCH("GP2",AD12)))</formula>
    </cfRule>
    <cfRule type="containsText" dxfId="3919" priority="9996" operator="containsText" text="GP1">
      <formula>NOT(ISERROR(SEARCH("GP1",AD12)))</formula>
    </cfRule>
  </conditionalFormatting>
  <conditionalFormatting sqref="AD12">
    <cfRule type="containsText" dxfId="3918" priority="9993" operator="containsText" text="GP2">
      <formula>NOT(ISERROR(SEARCH("GP2",AD12)))</formula>
    </cfRule>
    <cfRule type="containsText" dxfId="3917" priority="9994" operator="containsText" text="GP1">
      <formula>NOT(ISERROR(SEARCH("GP1",AD12)))</formula>
    </cfRule>
  </conditionalFormatting>
  <conditionalFormatting sqref="AD12">
    <cfRule type="containsText" dxfId="3916" priority="9991" operator="containsText" text="GP2">
      <formula>NOT(ISERROR(SEARCH("GP2",AD12)))</formula>
    </cfRule>
    <cfRule type="containsText" dxfId="3915" priority="9992" operator="containsText" text="GP1">
      <formula>NOT(ISERROR(SEARCH("GP1",AD12)))</formula>
    </cfRule>
  </conditionalFormatting>
  <conditionalFormatting sqref="AD12">
    <cfRule type="containsText" dxfId="3914" priority="9989" operator="containsText" text="GP2">
      <formula>NOT(ISERROR(SEARCH("GP2",AD12)))</formula>
    </cfRule>
    <cfRule type="containsText" dxfId="3913" priority="9990" operator="containsText" text="GP1">
      <formula>NOT(ISERROR(SEARCH("GP1",AD12)))</formula>
    </cfRule>
  </conditionalFormatting>
  <conditionalFormatting sqref="AD12">
    <cfRule type="containsText" dxfId="3912" priority="9987" operator="containsText" text="GP2">
      <formula>NOT(ISERROR(SEARCH("GP2",AD12)))</formula>
    </cfRule>
    <cfRule type="containsText" dxfId="3911" priority="9988" operator="containsText" text="GP1">
      <formula>NOT(ISERROR(SEARCH("GP1",AD12)))</formula>
    </cfRule>
  </conditionalFormatting>
  <conditionalFormatting sqref="AD12">
    <cfRule type="containsText" dxfId="3910" priority="9985" operator="containsText" text="GP2">
      <formula>NOT(ISERROR(SEARCH("GP2",AD12)))</formula>
    </cfRule>
    <cfRule type="containsText" dxfId="3909" priority="9986" operator="containsText" text="GP1">
      <formula>NOT(ISERROR(SEARCH("GP1",AD12)))</formula>
    </cfRule>
  </conditionalFormatting>
  <conditionalFormatting sqref="AD12">
    <cfRule type="containsText" dxfId="3908" priority="9983" operator="containsText" text="GP2">
      <formula>NOT(ISERROR(SEARCH("GP2",AD12)))</formula>
    </cfRule>
    <cfRule type="containsText" dxfId="3907" priority="9984" operator="containsText" text="GP1">
      <formula>NOT(ISERROR(SEARCH("GP1",AD12)))</formula>
    </cfRule>
  </conditionalFormatting>
  <conditionalFormatting sqref="AD12">
    <cfRule type="containsText" dxfId="3906" priority="9981" operator="containsText" text="GP2">
      <formula>NOT(ISERROR(SEARCH("GP2",AD12)))</formula>
    </cfRule>
    <cfRule type="containsText" dxfId="3905" priority="9982" operator="containsText" text="GP1">
      <formula>NOT(ISERROR(SEARCH("GP1",AD12)))</formula>
    </cfRule>
  </conditionalFormatting>
  <conditionalFormatting sqref="AD12">
    <cfRule type="containsText" dxfId="3904" priority="9979" operator="containsText" text="GP2">
      <formula>NOT(ISERROR(SEARCH("GP2",AD12)))</formula>
    </cfRule>
    <cfRule type="containsText" dxfId="3903" priority="9980" operator="containsText" text="GP1">
      <formula>NOT(ISERROR(SEARCH("GP1",AD12)))</formula>
    </cfRule>
  </conditionalFormatting>
  <conditionalFormatting sqref="AD12">
    <cfRule type="containsText" dxfId="3902" priority="9977" operator="containsText" text="GP2">
      <formula>NOT(ISERROR(SEARCH("GP2",AD12)))</formula>
    </cfRule>
    <cfRule type="containsText" dxfId="3901" priority="9978" operator="containsText" text="GP1">
      <formula>NOT(ISERROR(SEARCH("GP1",AD12)))</formula>
    </cfRule>
  </conditionalFormatting>
  <conditionalFormatting sqref="AD12">
    <cfRule type="containsText" dxfId="3900" priority="9975" operator="containsText" text="GP2">
      <formula>NOT(ISERROR(SEARCH("GP2",AD12)))</formula>
    </cfRule>
    <cfRule type="containsText" dxfId="3899" priority="9976" operator="containsText" text="GP1">
      <formula>NOT(ISERROR(SEARCH("GP1",AD12)))</formula>
    </cfRule>
  </conditionalFormatting>
  <conditionalFormatting sqref="AD12">
    <cfRule type="containsText" dxfId="3898" priority="9973" operator="containsText" text="GP2">
      <formula>NOT(ISERROR(SEARCH("GP2",AD12)))</formula>
    </cfRule>
    <cfRule type="containsText" dxfId="3897" priority="9974" operator="containsText" text="GP1">
      <formula>NOT(ISERROR(SEARCH("GP1",AD12)))</formula>
    </cfRule>
  </conditionalFormatting>
  <conditionalFormatting sqref="AD12">
    <cfRule type="containsText" dxfId="3896" priority="9971" operator="containsText" text="GP2">
      <formula>NOT(ISERROR(SEARCH("GP2",AD12)))</formula>
    </cfRule>
    <cfRule type="containsText" dxfId="3895" priority="9972" operator="containsText" text="GP1">
      <formula>NOT(ISERROR(SEARCH("GP1",AD12)))</formula>
    </cfRule>
  </conditionalFormatting>
  <conditionalFormatting sqref="AD12">
    <cfRule type="containsText" dxfId="3894" priority="9969" operator="containsText" text="GP2">
      <formula>NOT(ISERROR(SEARCH("GP2",AD12)))</formula>
    </cfRule>
    <cfRule type="containsText" dxfId="3893" priority="9970" operator="containsText" text="GP1">
      <formula>NOT(ISERROR(SEARCH("GP1",AD12)))</formula>
    </cfRule>
  </conditionalFormatting>
  <conditionalFormatting sqref="AD12">
    <cfRule type="containsText" dxfId="3892" priority="9967" operator="containsText" text="GP2">
      <formula>NOT(ISERROR(SEARCH("GP2",AD12)))</formula>
    </cfRule>
    <cfRule type="containsText" dxfId="3891" priority="9968" operator="containsText" text="GP1">
      <formula>NOT(ISERROR(SEARCH("GP1",AD12)))</formula>
    </cfRule>
  </conditionalFormatting>
  <conditionalFormatting sqref="AD12">
    <cfRule type="containsText" dxfId="3890" priority="9965" operator="containsText" text="GP2">
      <formula>NOT(ISERROR(SEARCH("GP2",AD12)))</formula>
    </cfRule>
    <cfRule type="containsText" dxfId="3889" priority="9966" operator="containsText" text="GP1">
      <formula>NOT(ISERROR(SEARCH("GP1",AD12)))</formula>
    </cfRule>
  </conditionalFormatting>
  <conditionalFormatting sqref="AD12">
    <cfRule type="containsText" dxfId="3888" priority="9963" operator="containsText" text="GP2">
      <formula>NOT(ISERROR(SEARCH("GP2",AD12)))</formula>
    </cfRule>
    <cfRule type="containsText" dxfId="3887" priority="9964" operator="containsText" text="GP1">
      <formula>NOT(ISERROR(SEARCH("GP1",AD12)))</formula>
    </cfRule>
  </conditionalFormatting>
  <conditionalFormatting sqref="AD12">
    <cfRule type="containsText" dxfId="3886" priority="9961" operator="containsText" text="GP2">
      <formula>NOT(ISERROR(SEARCH("GP2",AD12)))</formula>
    </cfRule>
    <cfRule type="containsText" dxfId="3885" priority="9962" operator="containsText" text="GP1">
      <formula>NOT(ISERROR(SEARCH("GP1",AD12)))</formula>
    </cfRule>
  </conditionalFormatting>
  <conditionalFormatting sqref="AD12">
    <cfRule type="containsText" dxfId="3884" priority="9959" operator="containsText" text="GP2">
      <formula>NOT(ISERROR(SEARCH("GP2",AD12)))</formula>
    </cfRule>
    <cfRule type="containsText" dxfId="3883" priority="9960" operator="containsText" text="GP1">
      <formula>NOT(ISERROR(SEARCH("GP1",AD12)))</formula>
    </cfRule>
  </conditionalFormatting>
  <conditionalFormatting sqref="AD12">
    <cfRule type="containsText" dxfId="3882" priority="9957" operator="containsText" text="GP2">
      <formula>NOT(ISERROR(SEARCH("GP2",AD12)))</formula>
    </cfRule>
    <cfRule type="containsText" dxfId="3881" priority="9958" operator="containsText" text="GP1">
      <formula>NOT(ISERROR(SEARCH("GP1",AD12)))</formula>
    </cfRule>
  </conditionalFormatting>
  <conditionalFormatting sqref="AD12">
    <cfRule type="containsText" dxfId="3880" priority="9955" operator="containsText" text="GP2">
      <formula>NOT(ISERROR(SEARCH("GP2",AD12)))</formula>
    </cfRule>
    <cfRule type="containsText" dxfId="3879" priority="9956" operator="containsText" text="GP1">
      <formula>NOT(ISERROR(SEARCH("GP1",AD12)))</formula>
    </cfRule>
  </conditionalFormatting>
  <conditionalFormatting sqref="AD12">
    <cfRule type="containsText" dxfId="3878" priority="9953" operator="containsText" text="GP2">
      <formula>NOT(ISERROR(SEARCH("GP2",AD12)))</formula>
    </cfRule>
    <cfRule type="containsText" dxfId="3877" priority="9954" operator="containsText" text="GP1">
      <formula>NOT(ISERROR(SEARCH("GP1",AD12)))</formula>
    </cfRule>
  </conditionalFormatting>
  <conditionalFormatting sqref="AD12">
    <cfRule type="containsText" dxfId="3876" priority="9951" operator="containsText" text="GP2">
      <formula>NOT(ISERROR(SEARCH("GP2",AD12)))</formula>
    </cfRule>
    <cfRule type="containsText" dxfId="3875" priority="9952" operator="containsText" text="GP1">
      <formula>NOT(ISERROR(SEARCH("GP1",AD12)))</formula>
    </cfRule>
  </conditionalFormatting>
  <conditionalFormatting sqref="AD12">
    <cfRule type="containsText" dxfId="3874" priority="9949" operator="containsText" text="GP2">
      <formula>NOT(ISERROR(SEARCH("GP2",AD12)))</formula>
    </cfRule>
    <cfRule type="containsText" dxfId="3873" priority="9950" operator="containsText" text="GP1">
      <formula>NOT(ISERROR(SEARCH("GP1",AD12)))</formula>
    </cfRule>
  </conditionalFormatting>
  <conditionalFormatting sqref="AD12">
    <cfRule type="containsText" dxfId="3872" priority="9947" operator="containsText" text="GP2">
      <formula>NOT(ISERROR(SEARCH("GP2",AD12)))</formula>
    </cfRule>
    <cfRule type="containsText" dxfId="3871" priority="9948" operator="containsText" text="GP1">
      <formula>NOT(ISERROR(SEARCH("GP1",AD12)))</formula>
    </cfRule>
  </conditionalFormatting>
  <conditionalFormatting sqref="AD12">
    <cfRule type="containsText" dxfId="3870" priority="9945" operator="containsText" text="GP2">
      <formula>NOT(ISERROR(SEARCH("GP2",AD12)))</formula>
    </cfRule>
    <cfRule type="containsText" dxfId="3869" priority="9946" operator="containsText" text="GP1">
      <formula>NOT(ISERROR(SEARCH("GP1",AD12)))</formula>
    </cfRule>
  </conditionalFormatting>
  <conditionalFormatting sqref="AD12">
    <cfRule type="containsText" dxfId="3868" priority="9943" operator="containsText" text="GP2">
      <formula>NOT(ISERROR(SEARCH("GP2",AD12)))</formula>
    </cfRule>
    <cfRule type="containsText" dxfId="3867" priority="9944" operator="containsText" text="GP1">
      <formula>NOT(ISERROR(SEARCH("GP1",AD12)))</formula>
    </cfRule>
  </conditionalFormatting>
  <conditionalFormatting sqref="AD12">
    <cfRule type="containsText" dxfId="3866" priority="9941" operator="containsText" text="GP2">
      <formula>NOT(ISERROR(SEARCH("GP2",AD12)))</formula>
    </cfRule>
    <cfRule type="containsText" dxfId="3865" priority="9942" operator="containsText" text="GP1">
      <formula>NOT(ISERROR(SEARCH("GP1",AD12)))</formula>
    </cfRule>
  </conditionalFormatting>
  <conditionalFormatting sqref="AD12">
    <cfRule type="containsText" dxfId="3864" priority="9939" operator="containsText" text="GP2">
      <formula>NOT(ISERROR(SEARCH("GP2",AD12)))</formula>
    </cfRule>
    <cfRule type="containsText" dxfId="3863" priority="9940" operator="containsText" text="GP1">
      <formula>NOT(ISERROR(SEARCH("GP1",AD12)))</formula>
    </cfRule>
  </conditionalFormatting>
  <conditionalFormatting sqref="AD12">
    <cfRule type="containsText" dxfId="3862" priority="9937" operator="containsText" text="GP2">
      <formula>NOT(ISERROR(SEARCH("GP2",AD12)))</formula>
    </cfRule>
    <cfRule type="containsText" dxfId="3861" priority="9938" operator="containsText" text="GP1">
      <formula>NOT(ISERROR(SEARCH("GP1",AD12)))</formula>
    </cfRule>
  </conditionalFormatting>
  <conditionalFormatting sqref="AD12">
    <cfRule type="containsText" dxfId="3860" priority="9935" operator="containsText" text="GP2">
      <formula>NOT(ISERROR(SEARCH("GP2",AD12)))</formula>
    </cfRule>
    <cfRule type="containsText" dxfId="3859" priority="9936" operator="containsText" text="GP1">
      <formula>NOT(ISERROR(SEARCH("GP1",AD12)))</formula>
    </cfRule>
  </conditionalFormatting>
  <conditionalFormatting sqref="AD12">
    <cfRule type="containsText" dxfId="3858" priority="9933" operator="containsText" text="GP2">
      <formula>NOT(ISERROR(SEARCH("GP2",AD12)))</formula>
    </cfRule>
    <cfRule type="containsText" dxfId="3857" priority="9934" operator="containsText" text="GP1">
      <formula>NOT(ISERROR(SEARCH("GP1",AD12)))</formula>
    </cfRule>
  </conditionalFormatting>
  <conditionalFormatting sqref="AD12">
    <cfRule type="containsText" dxfId="3856" priority="9931" operator="containsText" text="GP2">
      <formula>NOT(ISERROR(SEARCH("GP2",AD12)))</formula>
    </cfRule>
    <cfRule type="containsText" dxfId="3855" priority="9932" operator="containsText" text="GP1">
      <formula>NOT(ISERROR(SEARCH("GP1",AD12)))</formula>
    </cfRule>
  </conditionalFormatting>
  <conditionalFormatting sqref="AD12">
    <cfRule type="containsText" dxfId="3854" priority="9929" operator="containsText" text="GP2">
      <formula>NOT(ISERROR(SEARCH("GP2",AD12)))</formula>
    </cfRule>
    <cfRule type="containsText" dxfId="3853" priority="9930" operator="containsText" text="GP1">
      <formula>NOT(ISERROR(SEARCH("GP1",AD12)))</formula>
    </cfRule>
  </conditionalFormatting>
  <conditionalFormatting sqref="AD12">
    <cfRule type="containsText" dxfId="3852" priority="9927" operator="containsText" text="GP2">
      <formula>NOT(ISERROR(SEARCH("GP2",AD12)))</formula>
    </cfRule>
    <cfRule type="containsText" dxfId="3851" priority="9928" operator="containsText" text="GP1">
      <formula>NOT(ISERROR(SEARCH("GP1",AD12)))</formula>
    </cfRule>
  </conditionalFormatting>
  <conditionalFormatting sqref="AD12">
    <cfRule type="containsText" dxfId="3850" priority="9925" operator="containsText" text="GP2">
      <formula>NOT(ISERROR(SEARCH("GP2",AD12)))</formula>
    </cfRule>
    <cfRule type="containsText" dxfId="3849" priority="9926" operator="containsText" text="GP1">
      <formula>NOT(ISERROR(SEARCH("GP1",AD12)))</formula>
    </cfRule>
  </conditionalFormatting>
  <conditionalFormatting sqref="AD12">
    <cfRule type="containsText" dxfId="3848" priority="9923" operator="containsText" text="GP2">
      <formula>NOT(ISERROR(SEARCH("GP2",AD12)))</formula>
    </cfRule>
    <cfRule type="containsText" dxfId="3847" priority="9924" operator="containsText" text="GP1">
      <formula>NOT(ISERROR(SEARCH("GP1",AD12)))</formula>
    </cfRule>
  </conditionalFormatting>
  <conditionalFormatting sqref="AD12">
    <cfRule type="containsText" dxfId="3846" priority="9921" operator="containsText" text="GP2">
      <formula>NOT(ISERROR(SEARCH("GP2",AD12)))</formula>
    </cfRule>
    <cfRule type="containsText" dxfId="3845" priority="9922" operator="containsText" text="GP1">
      <formula>NOT(ISERROR(SEARCH("GP1",AD12)))</formula>
    </cfRule>
  </conditionalFormatting>
  <conditionalFormatting sqref="AD12">
    <cfRule type="containsText" dxfId="3844" priority="9919" operator="containsText" text="GP2">
      <formula>NOT(ISERROR(SEARCH("GP2",AD12)))</formula>
    </cfRule>
    <cfRule type="containsText" dxfId="3843" priority="9920" operator="containsText" text="GP1">
      <formula>NOT(ISERROR(SEARCH("GP1",AD12)))</formula>
    </cfRule>
  </conditionalFormatting>
  <conditionalFormatting sqref="AD12">
    <cfRule type="containsText" dxfId="3842" priority="9917" operator="containsText" text="GP2">
      <formula>NOT(ISERROR(SEARCH("GP2",AD12)))</formula>
    </cfRule>
    <cfRule type="containsText" dxfId="3841" priority="9918" operator="containsText" text="GP1">
      <formula>NOT(ISERROR(SEARCH("GP1",AD12)))</formula>
    </cfRule>
  </conditionalFormatting>
  <conditionalFormatting sqref="AD12">
    <cfRule type="containsText" dxfId="3840" priority="9915" operator="containsText" text="GP2">
      <formula>NOT(ISERROR(SEARCH("GP2",AD12)))</formula>
    </cfRule>
    <cfRule type="containsText" dxfId="3839" priority="9916" operator="containsText" text="GP1">
      <formula>NOT(ISERROR(SEARCH("GP1",AD12)))</formula>
    </cfRule>
  </conditionalFormatting>
  <conditionalFormatting sqref="AD12">
    <cfRule type="containsText" dxfId="3838" priority="9913" operator="containsText" text="GP2">
      <formula>NOT(ISERROR(SEARCH("GP2",AD12)))</formula>
    </cfRule>
    <cfRule type="containsText" dxfId="3837" priority="9914" operator="containsText" text="GP1">
      <formula>NOT(ISERROR(SEARCH("GP1",AD12)))</formula>
    </cfRule>
  </conditionalFormatting>
  <conditionalFormatting sqref="AD12">
    <cfRule type="containsText" dxfId="3836" priority="9911" operator="containsText" text="GP2">
      <formula>NOT(ISERROR(SEARCH("GP2",AD12)))</formula>
    </cfRule>
    <cfRule type="containsText" dxfId="3835" priority="9912" operator="containsText" text="GP1">
      <formula>NOT(ISERROR(SEARCH("GP1",AD12)))</formula>
    </cfRule>
  </conditionalFormatting>
  <conditionalFormatting sqref="AD12">
    <cfRule type="containsText" dxfId="3834" priority="9909" operator="containsText" text="GP2">
      <formula>NOT(ISERROR(SEARCH("GP2",AD12)))</formula>
    </cfRule>
    <cfRule type="containsText" dxfId="3833" priority="9910" operator="containsText" text="GP1">
      <formula>NOT(ISERROR(SEARCH("GP1",AD12)))</formula>
    </cfRule>
  </conditionalFormatting>
  <conditionalFormatting sqref="AD12">
    <cfRule type="containsText" dxfId="3832" priority="9907" operator="containsText" text="GP2">
      <formula>NOT(ISERROR(SEARCH("GP2",AD12)))</formula>
    </cfRule>
    <cfRule type="containsText" dxfId="3831" priority="9908" operator="containsText" text="GP1">
      <formula>NOT(ISERROR(SEARCH("GP1",AD12)))</formula>
    </cfRule>
  </conditionalFormatting>
  <conditionalFormatting sqref="AD12">
    <cfRule type="containsText" dxfId="3830" priority="9905" operator="containsText" text="GP2">
      <formula>NOT(ISERROR(SEARCH("GP2",AD12)))</formula>
    </cfRule>
    <cfRule type="containsText" dxfId="3829" priority="9906" operator="containsText" text="GP1">
      <formula>NOT(ISERROR(SEARCH("GP1",AD12)))</formula>
    </cfRule>
  </conditionalFormatting>
  <conditionalFormatting sqref="AD12">
    <cfRule type="containsText" dxfId="3828" priority="9903" operator="containsText" text="GP2">
      <formula>NOT(ISERROR(SEARCH("GP2",AD12)))</formula>
    </cfRule>
    <cfRule type="containsText" dxfId="3827" priority="9904" operator="containsText" text="GP1">
      <formula>NOT(ISERROR(SEARCH("GP1",AD12)))</formula>
    </cfRule>
  </conditionalFormatting>
  <conditionalFormatting sqref="AD12">
    <cfRule type="containsText" dxfId="3826" priority="9901" operator="containsText" text="GP2">
      <formula>NOT(ISERROR(SEARCH("GP2",AD12)))</formula>
    </cfRule>
    <cfRule type="containsText" dxfId="3825" priority="9902" operator="containsText" text="GP1">
      <formula>NOT(ISERROR(SEARCH("GP1",AD12)))</formula>
    </cfRule>
  </conditionalFormatting>
  <conditionalFormatting sqref="AD12">
    <cfRule type="containsText" dxfId="3824" priority="9899" operator="containsText" text="GP2">
      <formula>NOT(ISERROR(SEARCH("GP2",AD12)))</formula>
    </cfRule>
    <cfRule type="containsText" dxfId="3823" priority="9900" operator="containsText" text="GP1">
      <formula>NOT(ISERROR(SEARCH("GP1",AD12)))</formula>
    </cfRule>
  </conditionalFormatting>
  <conditionalFormatting sqref="AD12">
    <cfRule type="containsText" dxfId="3822" priority="9893" operator="containsText" text="GP2">
      <formula>NOT(ISERROR(SEARCH("GP2",AD12)))</formula>
    </cfRule>
    <cfRule type="containsText" dxfId="3821" priority="9894" operator="containsText" text="GP1">
      <formula>NOT(ISERROR(SEARCH("GP1",AD12)))</formula>
    </cfRule>
  </conditionalFormatting>
  <conditionalFormatting sqref="AD12">
    <cfRule type="containsText" dxfId="3820" priority="9891" operator="containsText" text="GP2">
      <formula>NOT(ISERROR(SEARCH("GP2",AD12)))</formula>
    </cfRule>
    <cfRule type="containsText" dxfId="3819" priority="9892" operator="containsText" text="GP1">
      <formula>NOT(ISERROR(SEARCH("GP1",AD12)))</formula>
    </cfRule>
  </conditionalFormatting>
  <conditionalFormatting sqref="AD12">
    <cfRule type="containsText" dxfId="3818" priority="9889" operator="containsText" text="GP2">
      <formula>NOT(ISERROR(SEARCH("GP2",AD12)))</formula>
    </cfRule>
    <cfRule type="containsText" dxfId="3817" priority="9890" operator="containsText" text="GP1">
      <formula>NOT(ISERROR(SEARCH("GP1",AD12)))</formula>
    </cfRule>
  </conditionalFormatting>
  <conditionalFormatting sqref="AD12">
    <cfRule type="containsText" dxfId="3816" priority="9887" operator="containsText" text="GP2">
      <formula>NOT(ISERROR(SEARCH("GP2",AD12)))</formula>
    </cfRule>
    <cfRule type="containsText" dxfId="3815" priority="9888" operator="containsText" text="GP1">
      <formula>NOT(ISERROR(SEARCH("GP1",AD12)))</formula>
    </cfRule>
  </conditionalFormatting>
  <conditionalFormatting sqref="AD12">
    <cfRule type="containsText" dxfId="3814" priority="9885" operator="containsText" text="GP2">
      <formula>NOT(ISERROR(SEARCH("GP2",AD12)))</formula>
    </cfRule>
    <cfRule type="containsText" dxfId="3813" priority="9886" operator="containsText" text="GP1">
      <formula>NOT(ISERROR(SEARCH("GP1",AD12)))</formula>
    </cfRule>
  </conditionalFormatting>
  <conditionalFormatting sqref="AD12">
    <cfRule type="containsText" dxfId="3812" priority="9883" operator="containsText" text="GP2">
      <formula>NOT(ISERROR(SEARCH("GP2",AD12)))</formula>
    </cfRule>
    <cfRule type="containsText" dxfId="3811" priority="9884" operator="containsText" text="GP1">
      <formula>NOT(ISERROR(SEARCH("GP1",AD12)))</formula>
    </cfRule>
  </conditionalFormatting>
  <conditionalFormatting sqref="AD12">
    <cfRule type="containsText" dxfId="3810" priority="9897" operator="containsText" text="GP2">
      <formula>NOT(ISERROR(SEARCH("GP2",AD12)))</formula>
    </cfRule>
    <cfRule type="containsText" dxfId="3809" priority="9898" operator="containsText" text="GP1">
      <formula>NOT(ISERROR(SEARCH("GP1",AD12)))</formula>
    </cfRule>
  </conditionalFormatting>
  <conditionalFormatting sqref="AD12">
    <cfRule type="containsText" dxfId="3808" priority="9895" operator="containsText" text="GP2">
      <formula>NOT(ISERROR(SEARCH("GP2",AD12)))</formula>
    </cfRule>
    <cfRule type="containsText" dxfId="3807" priority="9896" operator="containsText" text="GP1">
      <formula>NOT(ISERROR(SEARCH("GP1",AD12)))</formula>
    </cfRule>
  </conditionalFormatting>
  <conditionalFormatting sqref="AD12">
    <cfRule type="containsText" dxfId="3806" priority="9881" operator="containsText" text="GP2">
      <formula>NOT(ISERROR(SEARCH("GP2",AD12)))</formula>
    </cfRule>
    <cfRule type="containsText" dxfId="3805" priority="9882" operator="containsText" text="GP1">
      <formula>NOT(ISERROR(SEARCH("GP1",AD12)))</formula>
    </cfRule>
  </conditionalFormatting>
  <conditionalFormatting sqref="AD12">
    <cfRule type="containsText" dxfId="3804" priority="9879" operator="containsText" text="GP2">
      <formula>NOT(ISERROR(SEARCH("GP2",AD12)))</formula>
    </cfRule>
    <cfRule type="containsText" dxfId="3803" priority="9880" operator="containsText" text="GP1">
      <formula>NOT(ISERROR(SEARCH("GP1",AD12)))</formula>
    </cfRule>
  </conditionalFormatting>
  <conditionalFormatting sqref="AD12">
    <cfRule type="containsText" dxfId="3802" priority="9877" operator="containsText" text="GP2">
      <formula>NOT(ISERROR(SEARCH("GP2",AD12)))</formula>
    </cfRule>
    <cfRule type="containsText" dxfId="3801" priority="9878" operator="containsText" text="GP1">
      <formula>NOT(ISERROR(SEARCH("GP1",AD12)))</formula>
    </cfRule>
  </conditionalFormatting>
  <conditionalFormatting sqref="AD12">
    <cfRule type="containsText" dxfId="3800" priority="9875" operator="containsText" text="GP2">
      <formula>NOT(ISERROR(SEARCH("GP2",AD12)))</formula>
    </cfRule>
    <cfRule type="containsText" dxfId="3799" priority="9876" operator="containsText" text="GP1">
      <formula>NOT(ISERROR(SEARCH("GP1",AD12)))</formula>
    </cfRule>
  </conditionalFormatting>
  <conditionalFormatting sqref="AD12">
    <cfRule type="containsText" dxfId="3798" priority="9873" operator="containsText" text="GP2">
      <formula>NOT(ISERROR(SEARCH("GP2",AD12)))</formula>
    </cfRule>
    <cfRule type="containsText" dxfId="3797" priority="9874" operator="containsText" text="GP1">
      <formula>NOT(ISERROR(SEARCH("GP1",AD12)))</formula>
    </cfRule>
  </conditionalFormatting>
  <conditionalFormatting sqref="AD12">
    <cfRule type="containsText" dxfId="3796" priority="9871" operator="containsText" text="GP2">
      <formula>NOT(ISERROR(SEARCH("GP2",AD12)))</formula>
    </cfRule>
    <cfRule type="containsText" dxfId="3795" priority="9872" operator="containsText" text="GP1">
      <formula>NOT(ISERROR(SEARCH("GP1",AD12)))</formula>
    </cfRule>
  </conditionalFormatting>
  <conditionalFormatting sqref="AD12">
    <cfRule type="containsText" dxfId="3794" priority="9869" operator="containsText" text="GP2">
      <formula>NOT(ISERROR(SEARCH("GP2",AD12)))</formula>
    </cfRule>
    <cfRule type="containsText" dxfId="3793" priority="9870" operator="containsText" text="GP1">
      <formula>NOT(ISERROR(SEARCH("GP1",AD12)))</formula>
    </cfRule>
  </conditionalFormatting>
  <conditionalFormatting sqref="AD12">
    <cfRule type="containsText" dxfId="3792" priority="9867" operator="containsText" text="GP2">
      <formula>NOT(ISERROR(SEARCH("GP2",AD12)))</formula>
    </cfRule>
    <cfRule type="containsText" dxfId="3791" priority="9868" operator="containsText" text="GP1">
      <formula>NOT(ISERROR(SEARCH("GP1",AD12)))</formula>
    </cfRule>
  </conditionalFormatting>
  <conditionalFormatting sqref="AD12">
    <cfRule type="containsText" dxfId="3790" priority="9865" operator="containsText" text="GP2">
      <formula>NOT(ISERROR(SEARCH("GP2",AD12)))</formula>
    </cfRule>
    <cfRule type="containsText" dxfId="3789" priority="9866" operator="containsText" text="GP1">
      <formula>NOT(ISERROR(SEARCH("GP1",AD12)))</formula>
    </cfRule>
  </conditionalFormatting>
  <conditionalFormatting sqref="AD12">
    <cfRule type="containsText" dxfId="3788" priority="9863" operator="containsText" text="GP2">
      <formula>NOT(ISERROR(SEARCH("GP2",AD12)))</formula>
    </cfRule>
    <cfRule type="containsText" dxfId="3787" priority="9864" operator="containsText" text="GP1">
      <formula>NOT(ISERROR(SEARCH("GP1",AD12)))</formula>
    </cfRule>
  </conditionalFormatting>
  <conditionalFormatting sqref="AD12">
    <cfRule type="containsText" dxfId="3786" priority="9861" operator="containsText" text="GP2">
      <formula>NOT(ISERROR(SEARCH("GP2",AD12)))</formula>
    </cfRule>
    <cfRule type="containsText" dxfId="3785" priority="9862" operator="containsText" text="GP1">
      <formula>NOT(ISERROR(SEARCH("GP1",AD12)))</formula>
    </cfRule>
  </conditionalFormatting>
  <conditionalFormatting sqref="AD12">
    <cfRule type="containsText" dxfId="3784" priority="9859" operator="containsText" text="GP2">
      <formula>NOT(ISERROR(SEARCH("GP2",AD12)))</formula>
    </cfRule>
    <cfRule type="containsText" dxfId="3783" priority="9860" operator="containsText" text="GP1">
      <formula>NOT(ISERROR(SEARCH("GP1",AD12)))</formula>
    </cfRule>
  </conditionalFormatting>
  <conditionalFormatting sqref="AD12">
    <cfRule type="containsText" dxfId="3782" priority="9857" operator="containsText" text="GP2">
      <formula>NOT(ISERROR(SEARCH("GP2",AD12)))</formula>
    </cfRule>
    <cfRule type="containsText" dxfId="3781" priority="9858" operator="containsText" text="GP1">
      <formula>NOT(ISERROR(SEARCH("GP1",AD12)))</formula>
    </cfRule>
  </conditionalFormatting>
  <conditionalFormatting sqref="AD12">
    <cfRule type="containsText" dxfId="3780" priority="9855" operator="containsText" text="GP2">
      <formula>NOT(ISERROR(SEARCH("GP2",AD12)))</formula>
    </cfRule>
    <cfRule type="containsText" dxfId="3779" priority="9856" operator="containsText" text="GP1">
      <formula>NOT(ISERROR(SEARCH("GP1",AD12)))</formula>
    </cfRule>
  </conditionalFormatting>
  <conditionalFormatting sqref="AD12">
    <cfRule type="containsText" dxfId="3778" priority="9853" operator="containsText" text="GP2">
      <formula>NOT(ISERROR(SEARCH("GP2",AD12)))</formula>
    </cfRule>
    <cfRule type="containsText" dxfId="3777" priority="9854" operator="containsText" text="GP1">
      <formula>NOT(ISERROR(SEARCH("GP1",AD12)))</formula>
    </cfRule>
  </conditionalFormatting>
  <conditionalFormatting sqref="AD12">
    <cfRule type="containsText" dxfId="3776" priority="9851" operator="containsText" text="GP2">
      <formula>NOT(ISERROR(SEARCH("GP2",AD12)))</formula>
    </cfRule>
    <cfRule type="containsText" dxfId="3775" priority="9852" operator="containsText" text="GP1">
      <formula>NOT(ISERROR(SEARCH("GP1",AD12)))</formula>
    </cfRule>
  </conditionalFormatting>
  <conditionalFormatting sqref="AD12">
    <cfRule type="containsText" dxfId="3774" priority="9849" operator="containsText" text="GP2">
      <formula>NOT(ISERROR(SEARCH("GP2",AD12)))</formula>
    </cfRule>
    <cfRule type="containsText" dxfId="3773" priority="9850" operator="containsText" text="GP1">
      <formula>NOT(ISERROR(SEARCH("GP1",AD12)))</formula>
    </cfRule>
  </conditionalFormatting>
  <conditionalFormatting sqref="AD12">
    <cfRule type="containsText" dxfId="3772" priority="9847" operator="containsText" text="GP2">
      <formula>NOT(ISERROR(SEARCH("GP2",AD12)))</formula>
    </cfRule>
    <cfRule type="containsText" dxfId="3771" priority="9848" operator="containsText" text="GP1">
      <formula>NOT(ISERROR(SEARCH("GP1",AD12)))</formula>
    </cfRule>
  </conditionalFormatting>
  <conditionalFormatting sqref="AD12">
    <cfRule type="containsText" dxfId="3770" priority="9845" operator="containsText" text="GP2">
      <formula>NOT(ISERROR(SEARCH("GP2",AD12)))</formula>
    </cfRule>
    <cfRule type="containsText" dxfId="3769" priority="9846" operator="containsText" text="GP1">
      <formula>NOT(ISERROR(SEARCH("GP1",AD12)))</formula>
    </cfRule>
  </conditionalFormatting>
  <conditionalFormatting sqref="AD12">
    <cfRule type="containsText" dxfId="3768" priority="9843" operator="containsText" text="GP2">
      <formula>NOT(ISERROR(SEARCH("GP2",AD12)))</formula>
    </cfRule>
    <cfRule type="containsText" dxfId="3767" priority="9844" operator="containsText" text="GP1">
      <formula>NOT(ISERROR(SEARCH("GP1",AD12)))</formula>
    </cfRule>
  </conditionalFormatting>
  <conditionalFormatting sqref="AD12">
    <cfRule type="containsText" dxfId="3766" priority="9841" operator="containsText" text="GP2">
      <formula>NOT(ISERROR(SEARCH("GP2",AD12)))</formula>
    </cfRule>
    <cfRule type="containsText" dxfId="3765" priority="9842" operator="containsText" text="GP1">
      <formula>NOT(ISERROR(SEARCH("GP1",AD12)))</formula>
    </cfRule>
  </conditionalFormatting>
  <conditionalFormatting sqref="AD12">
    <cfRule type="containsText" dxfId="3764" priority="9839" operator="containsText" text="GP2">
      <formula>NOT(ISERROR(SEARCH("GP2",AD12)))</formula>
    </cfRule>
    <cfRule type="containsText" dxfId="3763" priority="9840" operator="containsText" text="GP1">
      <formula>NOT(ISERROR(SEARCH("GP1",AD12)))</formula>
    </cfRule>
  </conditionalFormatting>
  <conditionalFormatting sqref="AD12">
    <cfRule type="containsText" dxfId="3762" priority="9837" operator="containsText" text="GP2">
      <formula>NOT(ISERROR(SEARCH("GP2",AD12)))</formula>
    </cfRule>
    <cfRule type="containsText" dxfId="3761" priority="9838" operator="containsText" text="GP1">
      <formula>NOT(ISERROR(SEARCH("GP1",AD12)))</formula>
    </cfRule>
  </conditionalFormatting>
  <conditionalFormatting sqref="AD12">
    <cfRule type="containsText" dxfId="3760" priority="9835" operator="containsText" text="GP2">
      <formula>NOT(ISERROR(SEARCH("GP2",AD12)))</formula>
    </cfRule>
    <cfRule type="containsText" dxfId="3759" priority="9836" operator="containsText" text="GP1">
      <formula>NOT(ISERROR(SEARCH("GP1",AD12)))</formula>
    </cfRule>
  </conditionalFormatting>
  <conditionalFormatting sqref="AD12">
    <cfRule type="containsText" dxfId="3758" priority="9833" operator="containsText" text="GP2">
      <formula>NOT(ISERROR(SEARCH("GP2",AD12)))</formula>
    </cfRule>
    <cfRule type="containsText" dxfId="3757" priority="9834" operator="containsText" text="GP1">
      <formula>NOT(ISERROR(SEARCH("GP1",AD12)))</formula>
    </cfRule>
  </conditionalFormatting>
  <conditionalFormatting sqref="AD12">
    <cfRule type="containsText" dxfId="3756" priority="9831" operator="containsText" text="GP2">
      <formula>NOT(ISERROR(SEARCH("GP2",AD12)))</formula>
    </cfRule>
    <cfRule type="containsText" dxfId="3755" priority="9832" operator="containsText" text="GP1">
      <formula>NOT(ISERROR(SEARCH("GP1",AD12)))</formula>
    </cfRule>
  </conditionalFormatting>
  <conditionalFormatting sqref="AD12">
    <cfRule type="containsText" dxfId="3754" priority="9829" operator="containsText" text="GP2">
      <formula>NOT(ISERROR(SEARCH("GP2",AD12)))</formula>
    </cfRule>
    <cfRule type="containsText" dxfId="3753" priority="9830" operator="containsText" text="GP1">
      <formula>NOT(ISERROR(SEARCH("GP1",AD12)))</formula>
    </cfRule>
  </conditionalFormatting>
  <conditionalFormatting sqref="AD12">
    <cfRule type="containsText" dxfId="3752" priority="9827" operator="containsText" text="GP2">
      <formula>NOT(ISERROR(SEARCH("GP2",AD12)))</formula>
    </cfRule>
    <cfRule type="containsText" dxfId="3751" priority="9828" operator="containsText" text="GP1">
      <formula>NOT(ISERROR(SEARCH("GP1",AD12)))</formula>
    </cfRule>
  </conditionalFormatting>
  <conditionalFormatting sqref="AD12">
    <cfRule type="containsText" dxfId="3750" priority="9825" operator="containsText" text="GP2">
      <formula>NOT(ISERROR(SEARCH("GP2",AD12)))</formula>
    </cfRule>
    <cfRule type="containsText" dxfId="3749" priority="9826" operator="containsText" text="GP1">
      <formula>NOT(ISERROR(SEARCH("GP1",AD12)))</formula>
    </cfRule>
  </conditionalFormatting>
  <conditionalFormatting sqref="AD12">
    <cfRule type="containsText" dxfId="3748" priority="9823" operator="containsText" text="GP2">
      <formula>NOT(ISERROR(SEARCH("GP2",AD12)))</formula>
    </cfRule>
    <cfRule type="containsText" dxfId="3747" priority="9824" operator="containsText" text="GP1">
      <formula>NOT(ISERROR(SEARCH("GP1",AD12)))</formula>
    </cfRule>
  </conditionalFormatting>
  <conditionalFormatting sqref="AD12">
    <cfRule type="containsText" dxfId="3746" priority="9821" operator="containsText" text="GP2">
      <formula>NOT(ISERROR(SEARCH("GP2",AD12)))</formula>
    </cfRule>
    <cfRule type="containsText" dxfId="3745" priority="9822" operator="containsText" text="GP1">
      <formula>NOT(ISERROR(SEARCH("GP1",AD12)))</formula>
    </cfRule>
  </conditionalFormatting>
  <conditionalFormatting sqref="AD12">
    <cfRule type="containsText" dxfId="3744" priority="9819" operator="containsText" text="GP2">
      <formula>NOT(ISERROR(SEARCH("GP2",AD12)))</formula>
    </cfRule>
    <cfRule type="containsText" dxfId="3743" priority="9820" operator="containsText" text="GP1">
      <formula>NOT(ISERROR(SEARCH("GP1",AD12)))</formula>
    </cfRule>
  </conditionalFormatting>
  <conditionalFormatting sqref="AD12">
    <cfRule type="containsText" dxfId="3742" priority="9817" operator="containsText" text="GP2">
      <formula>NOT(ISERROR(SEARCH("GP2",AD12)))</formula>
    </cfRule>
    <cfRule type="containsText" dxfId="3741" priority="9818" operator="containsText" text="GP1">
      <formula>NOT(ISERROR(SEARCH("GP1",AD12)))</formula>
    </cfRule>
  </conditionalFormatting>
  <conditionalFormatting sqref="AD12">
    <cfRule type="containsText" dxfId="3740" priority="9815" operator="containsText" text="GP2">
      <formula>NOT(ISERROR(SEARCH("GP2",AD12)))</formula>
    </cfRule>
    <cfRule type="containsText" dxfId="3739" priority="9816" operator="containsText" text="GP1">
      <formula>NOT(ISERROR(SEARCH("GP1",AD12)))</formula>
    </cfRule>
  </conditionalFormatting>
  <conditionalFormatting sqref="AD12">
    <cfRule type="containsText" dxfId="3738" priority="9813" operator="containsText" text="GP2">
      <formula>NOT(ISERROR(SEARCH("GP2",AD12)))</formula>
    </cfRule>
    <cfRule type="containsText" dxfId="3737" priority="9814" operator="containsText" text="GP1">
      <formula>NOT(ISERROR(SEARCH("GP1",AD12)))</formula>
    </cfRule>
  </conditionalFormatting>
  <conditionalFormatting sqref="AD12">
    <cfRule type="containsText" dxfId="3736" priority="9811" operator="containsText" text="GP2">
      <formula>NOT(ISERROR(SEARCH("GP2",AD12)))</formula>
    </cfRule>
    <cfRule type="containsText" dxfId="3735" priority="9812" operator="containsText" text="GP1">
      <formula>NOT(ISERROR(SEARCH("GP1",AD12)))</formula>
    </cfRule>
  </conditionalFormatting>
  <conditionalFormatting sqref="AD12">
    <cfRule type="containsText" dxfId="3734" priority="9809" operator="containsText" text="GP2">
      <formula>NOT(ISERROR(SEARCH("GP2",AD12)))</formula>
    </cfRule>
    <cfRule type="containsText" dxfId="3733" priority="9810" operator="containsText" text="GP1">
      <formula>NOT(ISERROR(SEARCH("GP1",AD12)))</formula>
    </cfRule>
  </conditionalFormatting>
  <conditionalFormatting sqref="AD12">
    <cfRule type="containsText" dxfId="3732" priority="9807" operator="containsText" text="GP2">
      <formula>NOT(ISERROR(SEARCH("GP2",AD12)))</formula>
    </cfRule>
    <cfRule type="containsText" dxfId="3731" priority="9808" operator="containsText" text="GP1">
      <formula>NOT(ISERROR(SEARCH("GP1",AD12)))</formula>
    </cfRule>
  </conditionalFormatting>
  <conditionalFormatting sqref="AD12">
    <cfRule type="containsText" dxfId="3730" priority="9805" operator="containsText" text="GP2">
      <formula>NOT(ISERROR(SEARCH("GP2",AD12)))</formula>
    </cfRule>
    <cfRule type="containsText" dxfId="3729" priority="9806" operator="containsText" text="GP1">
      <formula>NOT(ISERROR(SEARCH("GP1",AD12)))</formula>
    </cfRule>
  </conditionalFormatting>
  <conditionalFormatting sqref="AD12">
    <cfRule type="containsText" dxfId="3728" priority="9803" operator="containsText" text="GP2">
      <formula>NOT(ISERROR(SEARCH("GP2",AD12)))</formula>
    </cfRule>
    <cfRule type="containsText" dxfId="3727" priority="9804" operator="containsText" text="GP1">
      <formula>NOT(ISERROR(SEARCH("GP1",AD12)))</formula>
    </cfRule>
  </conditionalFormatting>
  <conditionalFormatting sqref="AD12">
    <cfRule type="containsText" dxfId="3726" priority="9801" operator="containsText" text="GP2">
      <formula>NOT(ISERROR(SEARCH("GP2",AD12)))</formula>
    </cfRule>
    <cfRule type="containsText" dxfId="3725" priority="9802" operator="containsText" text="GP1">
      <formula>NOT(ISERROR(SEARCH("GP1",AD12)))</formula>
    </cfRule>
  </conditionalFormatting>
  <conditionalFormatting sqref="AD12">
    <cfRule type="containsText" dxfId="3724" priority="9799" operator="containsText" text="GP2">
      <formula>NOT(ISERROR(SEARCH("GP2",AD12)))</formula>
    </cfRule>
    <cfRule type="containsText" dxfId="3723" priority="9800" operator="containsText" text="GP1">
      <formula>NOT(ISERROR(SEARCH("GP1",AD12)))</formula>
    </cfRule>
  </conditionalFormatting>
  <conditionalFormatting sqref="AD12">
    <cfRule type="containsText" dxfId="3722" priority="9797" operator="containsText" text="GP2">
      <formula>NOT(ISERROR(SEARCH("GP2",AD12)))</formula>
    </cfRule>
    <cfRule type="containsText" dxfId="3721" priority="9798" operator="containsText" text="GP1">
      <formula>NOT(ISERROR(SEARCH("GP1",AD12)))</formula>
    </cfRule>
  </conditionalFormatting>
  <conditionalFormatting sqref="AD12">
    <cfRule type="containsText" dxfId="3720" priority="9795" operator="containsText" text="GP2">
      <formula>NOT(ISERROR(SEARCH("GP2",AD12)))</formula>
    </cfRule>
    <cfRule type="containsText" dxfId="3719" priority="9796" operator="containsText" text="GP1">
      <formula>NOT(ISERROR(SEARCH("GP1",AD12)))</formula>
    </cfRule>
  </conditionalFormatting>
  <conditionalFormatting sqref="AD12">
    <cfRule type="containsText" dxfId="3718" priority="9793" operator="containsText" text="GP2">
      <formula>NOT(ISERROR(SEARCH("GP2",AD12)))</formula>
    </cfRule>
    <cfRule type="containsText" dxfId="3717" priority="9794" operator="containsText" text="GP1">
      <formula>NOT(ISERROR(SEARCH("GP1",AD12)))</formula>
    </cfRule>
  </conditionalFormatting>
  <conditionalFormatting sqref="AD12">
    <cfRule type="containsText" dxfId="3716" priority="9791" operator="containsText" text="GP2">
      <formula>NOT(ISERROR(SEARCH("GP2",AD12)))</formula>
    </cfRule>
    <cfRule type="containsText" dxfId="3715" priority="9792" operator="containsText" text="GP1">
      <formula>NOT(ISERROR(SEARCH("GP1",AD12)))</formula>
    </cfRule>
  </conditionalFormatting>
  <conditionalFormatting sqref="AD12">
    <cfRule type="containsText" dxfId="3714" priority="9789" operator="containsText" text="GP2">
      <formula>NOT(ISERROR(SEARCH("GP2",AD12)))</formula>
    </cfRule>
    <cfRule type="containsText" dxfId="3713" priority="9790" operator="containsText" text="GP1">
      <formula>NOT(ISERROR(SEARCH("GP1",AD12)))</formula>
    </cfRule>
  </conditionalFormatting>
  <conditionalFormatting sqref="AD12">
    <cfRule type="containsText" dxfId="3712" priority="9787" operator="containsText" text="GP2">
      <formula>NOT(ISERROR(SEARCH("GP2",AD12)))</formula>
    </cfRule>
    <cfRule type="containsText" dxfId="3711" priority="9788" operator="containsText" text="GP1">
      <formula>NOT(ISERROR(SEARCH("GP1",AD12)))</formula>
    </cfRule>
  </conditionalFormatting>
  <conditionalFormatting sqref="AD12">
    <cfRule type="containsText" dxfId="3710" priority="9785" operator="containsText" text="GP2">
      <formula>NOT(ISERROR(SEARCH("GP2",AD12)))</formula>
    </cfRule>
    <cfRule type="containsText" dxfId="3709" priority="9786" operator="containsText" text="GP1">
      <formula>NOT(ISERROR(SEARCH("GP1",AD12)))</formula>
    </cfRule>
  </conditionalFormatting>
  <conditionalFormatting sqref="AD12">
    <cfRule type="containsText" dxfId="3708" priority="9783" operator="containsText" text="GP2">
      <formula>NOT(ISERROR(SEARCH("GP2",AD12)))</formula>
    </cfRule>
    <cfRule type="containsText" dxfId="3707" priority="9784" operator="containsText" text="GP1">
      <formula>NOT(ISERROR(SEARCH("GP1",AD12)))</formula>
    </cfRule>
  </conditionalFormatting>
  <conditionalFormatting sqref="AD12">
    <cfRule type="containsText" dxfId="3706" priority="9781" operator="containsText" text="GP2">
      <formula>NOT(ISERROR(SEARCH("GP2",AD12)))</formula>
    </cfRule>
    <cfRule type="containsText" dxfId="3705" priority="9782" operator="containsText" text="GP1">
      <formula>NOT(ISERROR(SEARCH("GP1",AD12)))</formula>
    </cfRule>
  </conditionalFormatting>
  <conditionalFormatting sqref="AD12">
    <cfRule type="containsText" dxfId="3704" priority="9779" operator="containsText" text="GP2">
      <formula>NOT(ISERROR(SEARCH("GP2",AD12)))</formula>
    </cfRule>
    <cfRule type="containsText" dxfId="3703" priority="9780" operator="containsText" text="GP1">
      <formula>NOT(ISERROR(SEARCH("GP1",AD12)))</formula>
    </cfRule>
  </conditionalFormatting>
  <conditionalFormatting sqref="AD12">
    <cfRule type="containsText" dxfId="3702" priority="9777" operator="containsText" text="GP2">
      <formula>NOT(ISERROR(SEARCH("GP2",AD12)))</formula>
    </cfRule>
    <cfRule type="containsText" dxfId="3701" priority="9778" operator="containsText" text="GP1">
      <formula>NOT(ISERROR(SEARCH("GP1",AD12)))</formula>
    </cfRule>
  </conditionalFormatting>
  <conditionalFormatting sqref="AD12">
    <cfRule type="containsText" dxfId="3700" priority="9775" operator="containsText" text="GP2">
      <formula>NOT(ISERROR(SEARCH("GP2",AD12)))</formula>
    </cfRule>
    <cfRule type="containsText" dxfId="3699" priority="9776" operator="containsText" text="GP1">
      <formula>NOT(ISERROR(SEARCH("GP1",AD12)))</formula>
    </cfRule>
  </conditionalFormatting>
  <conditionalFormatting sqref="AD12">
    <cfRule type="containsText" dxfId="3698" priority="9773" operator="containsText" text="GP2">
      <formula>NOT(ISERROR(SEARCH("GP2",AD12)))</formula>
    </cfRule>
    <cfRule type="containsText" dxfId="3697" priority="9774" operator="containsText" text="GP1">
      <formula>NOT(ISERROR(SEARCH("GP1",AD12)))</formula>
    </cfRule>
  </conditionalFormatting>
  <conditionalFormatting sqref="AD12">
    <cfRule type="containsText" dxfId="3696" priority="9771" operator="containsText" text="GP2">
      <formula>NOT(ISERROR(SEARCH("GP2",AD12)))</formula>
    </cfRule>
    <cfRule type="containsText" dxfId="3695" priority="9772" operator="containsText" text="GP1">
      <formula>NOT(ISERROR(SEARCH("GP1",AD12)))</formula>
    </cfRule>
  </conditionalFormatting>
  <conditionalFormatting sqref="AD12">
    <cfRule type="containsText" dxfId="3694" priority="9769" operator="containsText" text="GP2">
      <formula>NOT(ISERROR(SEARCH("GP2",AD12)))</formula>
    </cfRule>
    <cfRule type="containsText" dxfId="3693" priority="9770" operator="containsText" text="GP1">
      <formula>NOT(ISERROR(SEARCH("GP1",AD12)))</formula>
    </cfRule>
  </conditionalFormatting>
  <conditionalFormatting sqref="AD12">
    <cfRule type="containsText" dxfId="3692" priority="9767" operator="containsText" text="GP2">
      <formula>NOT(ISERROR(SEARCH("GP2",AD12)))</formula>
    </cfRule>
    <cfRule type="containsText" dxfId="3691" priority="9768" operator="containsText" text="GP1">
      <formula>NOT(ISERROR(SEARCH("GP1",AD12)))</formula>
    </cfRule>
  </conditionalFormatting>
  <conditionalFormatting sqref="AD12">
    <cfRule type="containsText" dxfId="3690" priority="9765" operator="containsText" text="GP2">
      <formula>NOT(ISERROR(SEARCH("GP2",AD12)))</formula>
    </cfRule>
    <cfRule type="containsText" dxfId="3689" priority="9766" operator="containsText" text="GP1">
      <formula>NOT(ISERROR(SEARCH("GP1",AD12)))</formula>
    </cfRule>
  </conditionalFormatting>
  <conditionalFormatting sqref="AD12">
    <cfRule type="containsText" dxfId="3688" priority="9763" operator="containsText" text="GP2">
      <formula>NOT(ISERROR(SEARCH("GP2",AD12)))</formula>
    </cfRule>
    <cfRule type="containsText" dxfId="3687" priority="9764" operator="containsText" text="GP1">
      <formula>NOT(ISERROR(SEARCH("GP1",AD12)))</formula>
    </cfRule>
  </conditionalFormatting>
  <conditionalFormatting sqref="AD12">
    <cfRule type="containsText" dxfId="3686" priority="9761" operator="containsText" text="GP2">
      <formula>NOT(ISERROR(SEARCH("GP2",AD12)))</formula>
    </cfRule>
    <cfRule type="containsText" dxfId="3685" priority="9762" operator="containsText" text="GP1">
      <formula>NOT(ISERROR(SEARCH("GP1",AD12)))</formula>
    </cfRule>
  </conditionalFormatting>
  <conditionalFormatting sqref="AD12">
    <cfRule type="containsText" dxfId="3684" priority="9759" operator="containsText" text="GP2">
      <formula>NOT(ISERROR(SEARCH("GP2",AD12)))</formula>
    </cfRule>
    <cfRule type="containsText" dxfId="3683" priority="9760" operator="containsText" text="GP1">
      <formula>NOT(ISERROR(SEARCH("GP1",AD12)))</formula>
    </cfRule>
  </conditionalFormatting>
  <conditionalFormatting sqref="AD12">
    <cfRule type="containsText" dxfId="3682" priority="9757" operator="containsText" text="GP2">
      <formula>NOT(ISERROR(SEARCH("GP2",AD12)))</formula>
    </cfRule>
    <cfRule type="containsText" dxfId="3681" priority="9758" operator="containsText" text="GP1">
      <formula>NOT(ISERROR(SEARCH("GP1",AD12)))</formula>
    </cfRule>
  </conditionalFormatting>
  <conditionalFormatting sqref="AD12">
    <cfRule type="containsText" dxfId="3680" priority="9755" operator="containsText" text="GP2">
      <formula>NOT(ISERROR(SEARCH("GP2",AD12)))</formula>
    </cfRule>
    <cfRule type="containsText" dxfId="3679" priority="9756" operator="containsText" text="GP1">
      <formula>NOT(ISERROR(SEARCH("GP1",AD12)))</formula>
    </cfRule>
  </conditionalFormatting>
  <conditionalFormatting sqref="AD12">
    <cfRule type="containsText" dxfId="3678" priority="9753" operator="containsText" text="GP2">
      <formula>NOT(ISERROR(SEARCH("GP2",AD12)))</formula>
    </cfRule>
    <cfRule type="containsText" dxfId="3677" priority="9754" operator="containsText" text="GP1">
      <formula>NOT(ISERROR(SEARCH("GP1",AD12)))</formula>
    </cfRule>
  </conditionalFormatting>
  <conditionalFormatting sqref="AD12">
    <cfRule type="containsText" dxfId="3676" priority="9751" operator="containsText" text="GP2">
      <formula>NOT(ISERROR(SEARCH("GP2",AD12)))</formula>
    </cfRule>
    <cfRule type="containsText" dxfId="3675" priority="9752" operator="containsText" text="GP1">
      <formula>NOT(ISERROR(SEARCH("GP1",AD12)))</formula>
    </cfRule>
  </conditionalFormatting>
  <conditionalFormatting sqref="AD12">
    <cfRule type="containsText" dxfId="3674" priority="9749" operator="containsText" text="GP2">
      <formula>NOT(ISERROR(SEARCH("GP2",AD12)))</formula>
    </cfRule>
    <cfRule type="containsText" dxfId="3673" priority="9750" operator="containsText" text="GP1">
      <formula>NOT(ISERROR(SEARCH("GP1",AD12)))</formula>
    </cfRule>
  </conditionalFormatting>
  <conditionalFormatting sqref="AD12">
    <cfRule type="containsText" dxfId="3672" priority="9747" operator="containsText" text="GP2">
      <formula>NOT(ISERROR(SEARCH("GP2",AD12)))</formula>
    </cfRule>
    <cfRule type="containsText" dxfId="3671" priority="9748" operator="containsText" text="GP1">
      <formula>NOT(ISERROR(SEARCH("GP1",AD12)))</formula>
    </cfRule>
  </conditionalFormatting>
  <conditionalFormatting sqref="AD12">
    <cfRule type="containsText" dxfId="3670" priority="9745" operator="containsText" text="GP2">
      <formula>NOT(ISERROR(SEARCH("GP2",AD12)))</formula>
    </cfRule>
    <cfRule type="containsText" dxfId="3669" priority="9746" operator="containsText" text="GP1">
      <formula>NOT(ISERROR(SEARCH("GP1",AD12)))</formula>
    </cfRule>
  </conditionalFormatting>
  <conditionalFormatting sqref="AD12">
    <cfRule type="containsText" dxfId="3668" priority="9743" operator="containsText" text="GP2">
      <formula>NOT(ISERROR(SEARCH("GP2",AD12)))</formula>
    </cfRule>
    <cfRule type="containsText" dxfId="3667" priority="9744" operator="containsText" text="GP1">
      <formula>NOT(ISERROR(SEARCH("GP1",AD12)))</formula>
    </cfRule>
  </conditionalFormatting>
  <conditionalFormatting sqref="AD12">
    <cfRule type="containsText" dxfId="3666" priority="9741" operator="containsText" text="GP2">
      <formula>NOT(ISERROR(SEARCH("GP2",AD12)))</formula>
    </cfRule>
    <cfRule type="containsText" dxfId="3665" priority="9742" operator="containsText" text="GP1">
      <formula>NOT(ISERROR(SEARCH("GP1",AD12)))</formula>
    </cfRule>
  </conditionalFormatting>
  <conditionalFormatting sqref="AD12">
    <cfRule type="containsText" dxfId="3664" priority="9739" operator="containsText" text="GP2">
      <formula>NOT(ISERROR(SEARCH("GP2",AD12)))</formula>
    </cfRule>
    <cfRule type="containsText" dxfId="3663" priority="9740" operator="containsText" text="GP1">
      <formula>NOT(ISERROR(SEARCH("GP1",AD12)))</formula>
    </cfRule>
  </conditionalFormatting>
  <conditionalFormatting sqref="AD12">
    <cfRule type="containsText" dxfId="3662" priority="9737" operator="containsText" text="GP2">
      <formula>NOT(ISERROR(SEARCH("GP2",AD12)))</formula>
    </cfRule>
    <cfRule type="containsText" dxfId="3661" priority="9738" operator="containsText" text="GP1">
      <formula>NOT(ISERROR(SEARCH("GP1",AD12)))</formula>
    </cfRule>
  </conditionalFormatting>
  <conditionalFormatting sqref="AD12">
    <cfRule type="containsText" dxfId="3660" priority="9735" operator="containsText" text="GP2">
      <formula>NOT(ISERROR(SEARCH("GP2",AD12)))</formula>
    </cfRule>
    <cfRule type="containsText" dxfId="3659" priority="9736" operator="containsText" text="GP1">
      <formula>NOT(ISERROR(SEARCH("GP1",AD12)))</formula>
    </cfRule>
  </conditionalFormatting>
  <conditionalFormatting sqref="AD12">
    <cfRule type="containsText" dxfId="3658" priority="9733" operator="containsText" text="GP2">
      <formula>NOT(ISERROR(SEARCH("GP2",AD12)))</formula>
    </cfRule>
    <cfRule type="containsText" dxfId="3657" priority="9734" operator="containsText" text="GP1">
      <formula>NOT(ISERROR(SEARCH("GP1",AD12)))</formula>
    </cfRule>
  </conditionalFormatting>
  <conditionalFormatting sqref="AD12">
    <cfRule type="containsText" dxfId="3656" priority="9731" operator="containsText" text="GP2">
      <formula>NOT(ISERROR(SEARCH("GP2",AD12)))</formula>
    </cfRule>
    <cfRule type="containsText" dxfId="3655" priority="9732" operator="containsText" text="GP1">
      <formula>NOT(ISERROR(SEARCH("GP1",AD12)))</formula>
    </cfRule>
  </conditionalFormatting>
  <conditionalFormatting sqref="AD12">
    <cfRule type="containsText" dxfId="3654" priority="9729" operator="containsText" text="GP2">
      <formula>NOT(ISERROR(SEARCH("GP2",AD12)))</formula>
    </cfRule>
    <cfRule type="containsText" dxfId="3653" priority="9730" operator="containsText" text="GP1">
      <formula>NOT(ISERROR(SEARCH("GP1",AD12)))</formula>
    </cfRule>
  </conditionalFormatting>
  <conditionalFormatting sqref="AD12">
    <cfRule type="containsText" dxfId="3652" priority="9727" operator="containsText" text="GP2">
      <formula>NOT(ISERROR(SEARCH("GP2",AD12)))</formula>
    </cfRule>
    <cfRule type="containsText" dxfId="3651" priority="9728" operator="containsText" text="GP1">
      <formula>NOT(ISERROR(SEARCH("GP1",AD12)))</formula>
    </cfRule>
  </conditionalFormatting>
  <conditionalFormatting sqref="AD12">
    <cfRule type="containsText" dxfId="3650" priority="9725" operator="containsText" text="GP2">
      <formula>NOT(ISERROR(SEARCH("GP2",AD12)))</formula>
    </cfRule>
    <cfRule type="containsText" dxfId="3649" priority="9726" operator="containsText" text="GP1">
      <formula>NOT(ISERROR(SEARCH("GP1",AD12)))</formula>
    </cfRule>
  </conditionalFormatting>
  <conditionalFormatting sqref="AD12">
    <cfRule type="containsText" dxfId="3648" priority="9723" operator="containsText" text="GP2">
      <formula>NOT(ISERROR(SEARCH("GP2",AD12)))</formula>
    </cfRule>
    <cfRule type="containsText" dxfId="3647" priority="9724" operator="containsText" text="GP1">
      <formula>NOT(ISERROR(SEARCH("GP1",AD12)))</formula>
    </cfRule>
  </conditionalFormatting>
  <conditionalFormatting sqref="AD12">
    <cfRule type="containsText" dxfId="3646" priority="9721" operator="containsText" text="GP2">
      <formula>NOT(ISERROR(SEARCH("GP2",AD12)))</formula>
    </cfRule>
    <cfRule type="containsText" dxfId="3645" priority="9722" operator="containsText" text="GP1">
      <formula>NOT(ISERROR(SEARCH("GP1",AD12)))</formula>
    </cfRule>
  </conditionalFormatting>
  <conditionalFormatting sqref="AD12">
    <cfRule type="containsText" dxfId="3644" priority="9719" operator="containsText" text="GP2">
      <formula>NOT(ISERROR(SEARCH("GP2",AD12)))</formula>
    </cfRule>
    <cfRule type="containsText" dxfId="3643" priority="9720" operator="containsText" text="GP1">
      <formula>NOT(ISERROR(SEARCH("GP1",AD12)))</formula>
    </cfRule>
  </conditionalFormatting>
  <conditionalFormatting sqref="AD12">
    <cfRule type="containsText" dxfId="3642" priority="9717" operator="containsText" text="GP2">
      <formula>NOT(ISERROR(SEARCH("GP2",AD12)))</formula>
    </cfRule>
    <cfRule type="containsText" dxfId="3641" priority="9718" operator="containsText" text="GP1">
      <formula>NOT(ISERROR(SEARCH("GP1",AD12)))</formula>
    </cfRule>
  </conditionalFormatting>
  <conditionalFormatting sqref="AD12">
    <cfRule type="containsText" dxfId="3640" priority="9715" operator="containsText" text="GP2">
      <formula>NOT(ISERROR(SEARCH("GP2",AD12)))</formula>
    </cfRule>
    <cfRule type="containsText" dxfId="3639" priority="9716" operator="containsText" text="GP1">
      <formula>NOT(ISERROR(SEARCH("GP1",AD12)))</formula>
    </cfRule>
  </conditionalFormatting>
  <conditionalFormatting sqref="AD12">
    <cfRule type="containsText" dxfId="3638" priority="9713" operator="containsText" text="GP2">
      <formula>NOT(ISERROR(SEARCH("GP2",AD12)))</formula>
    </cfRule>
    <cfRule type="containsText" dxfId="3637" priority="9714" operator="containsText" text="GP1">
      <formula>NOT(ISERROR(SEARCH("GP1",AD12)))</formula>
    </cfRule>
  </conditionalFormatting>
  <conditionalFormatting sqref="AD12">
    <cfRule type="containsText" dxfId="3636" priority="9711" operator="containsText" text="GP2">
      <formula>NOT(ISERROR(SEARCH("GP2",AD12)))</formula>
    </cfRule>
    <cfRule type="containsText" dxfId="3635" priority="9712" operator="containsText" text="GP1">
      <formula>NOT(ISERROR(SEARCH("GP1",AD12)))</formula>
    </cfRule>
  </conditionalFormatting>
  <conditionalFormatting sqref="AD12">
    <cfRule type="containsText" dxfId="3634" priority="9709" operator="containsText" text="GP2">
      <formula>NOT(ISERROR(SEARCH("GP2",AD12)))</formula>
    </cfRule>
    <cfRule type="containsText" dxfId="3633" priority="9710" operator="containsText" text="GP1">
      <formula>NOT(ISERROR(SEARCH("GP1",AD12)))</formula>
    </cfRule>
  </conditionalFormatting>
  <conditionalFormatting sqref="AD12">
    <cfRule type="containsText" dxfId="3632" priority="9707" operator="containsText" text="GP2">
      <formula>NOT(ISERROR(SEARCH("GP2",AD12)))</formula>
    </cfRule>
    <cfRule type="containsText" dxfId="3631" priority="9708" operator="containsText" text="GP1">
      <formula>NOT(ISERROR(SEARCH("GP1",AD12)))</formula>
    </cfRule>
  </conditionalFormatting>
  <conditionalFormatting sqref="AD12">
    <cfRule type="containsText" dxfId="3630" priority="9705" operator="containsText" text="GP2">
      <formula>NOT(ISERROR(SEARCH("GP2",AD12)))</formula>
    </cfRule>
    <cfRule type="containsText" dxfId="3629" priority="9706" operator="containsText" text="GP1">
      <formula>NOT(ISERROR(SEARCH("GP1",AD12)))</formula>
    </cfRule>
  </conditionalFormatting>
  <conditionalFormatting sqref="AD12">
    <cfRule type="containsText" dxfId="3628" priority="9703" operator="containsText" text="GP2">
      <formula>NOT(ISERROR(SEARCH("GP2",AD12)))</formula>
    </cfRule>
    <cfRule type="containsText" dxfId="3627" priority="9704" operator="containsText" text="GP1">
      <formula>NOT(ISERROR(SEARCH("GP1",AD12)))</formula>
    </cfRule>
  </conditionalFormatting>
  <conditionalFormatting sqref="AD12">
    <cfRule type="containsText" dxfId="3626" priority="9701" operator="containsText" text="GP2">
      <formula>NOT(ISERROR(SEARCH("GP2",AD12)))</formula>
    </cfRule>
    <cfRule type="containsText" dxfId="3625" priority="9702" operator="containsText" text="GP1">
      <formula>NOT(ISERROR(SEARCH("GP1",AD12)))</formula>
    </cfRule>
  </conditionalFormatting>
  <conditionalFormatting sqref="AD12">
    <cfRule type="containsText" dxfId="3624" priority="9699" operator="containsText" text="GP2">
      <formula>NOT(ISERROR(SEARCH("GP2",AD12)))</formula>
    </cfRule>
    <cfRule type="containsText" dxfId="3623" priority="9700" operator="containsText" text="GP1">
      <formula>NOT(ISERROR(SEARCH("GP1",AD12)))</formula>
    </cfRule>
  </conditionalFormatting>
  <conditionalFormatting sqref="AD12">
    <cfRule type="containsText" dxfId="3622" priority="9697" operator="containsText" text="GP2">
      <formula>NOT(ISERROR(SEARCH("GP2",AD12)))</formula>
    </cfRule>
    <cfRule type="containsText" dxfId="3621" priority="9698" operator="containsText" text="GP1">
      <formula>NOT(ISERROR(SEARCH("GP1",AD12)))</formula>
    </cfRule>
  </conditionalFormatting>
  <conditionalFormatting sqref="AD12">
    <cfRule type="containsText" dxfId="3620" priority="9695" operator="containsText" text="GP2">
      <formula>NOT(ISERROR(SEARCH("GP2",AD12)))</formula>
    </cfRule>
    <cfRule type="containsText" dxfId="3619" priority="9696" operator="containsText" text="GP1">
      <formula>NOT(ISERROR(SEARCH("GP1",AD12)))</formula>
    </cfRule>
  </conditionalFormatting>
  <conditionalFormatting sqref="AD12">
    <cfRule type="containsText" dxfId="3618" priority="9693" operator="containsText" text="GP2">
      <formula>NOT(ISERROR(SEARCH("GP2",AD12)))</formula>
    </cfRule>
    <cfRule type="containsText" dxfId="3617" priority="9694" operator="containsText" text="GP1">
      <formula>NOT(ISERROR(SEARCH("GP1",AD12)))</formula>
    </cfRule>
  </conditionalFormatting>
  <conditionalFormatting sqref="AD12">
    <cfRule type="containsText" dxfId="3616" priority="9691" operator="containsText" text="GP2">
      <formula>NOT(ISERROR(SEARCH("GP2",AD12)))</formula>
    </cfRule>
    <cfRule type="containsText" dxfId="3615" priority="9692" operator="containsText" text="GP1">
      <formula>NOT(ISERROR(SEARCH("GP1",AD12)))</formula>
    </cfRule>
  </conditionalFormatting>
  <conditionalFormatting sqref="AD12">
    <cfRule type="containsText" dxfId="3614" priority="9689" operator="containsText" text="GP2">
      <formula>NOT(ISERROR(SEARCH("GP2",AD12)))</formula>
    </cfRule>
    <cfRule type="containsText" dxfId="3613" priority="9690" operator="containsText" text="GP1">
      <formula>NOT(ISERROR(SEARCH("GP1",AD12)))</formula>
    </cfRule>
  </conditionalFormatting>
  <conditionalFormatting sqref="AD12">
    <cfRule type="containsText" dxfId="3612" priority="9687" operator="containsText" text="GP2">
      <formula>NOT(ISERROR(SEARCH("GP2",AD12)))</formula>
    </cfRule>
    <cfRule type="containsText" dxfId="3611" priority="9688" operator="containsText" text="GP1">
      <formula>NOT(ISERROR(SEARCH("GP1",AD12)))</formula>
    </cfRule>
  </conditionalFormatting>
  <conditionalFormatting sqref="AD12">
    <cfRule type="containsText" dxfId="3610" priority="9685" operator="containsText" text="GP2">
      <formula>NOT(ISERROR(SEARCH("GP2",AD12)))</formula>
    </cfRule>
    <cfRule type="containsText" dxfId="3609" priority="9686" operator="containsText" text="GP1">
      <formula>NOT(ISERROR(SEARCH("GP1",AD12)))</formula>
    </cfRule>
  </conditionalFormatting>
  <conditionalFormatting sqref="AD12">
    <cfRule type="containsText" dxfId="3608" priority="9683" operator="containsText" text="GP2">
      <formula>NOT(ISERROR(SEARCH("GP2",AD12)))</formula>
    </cfRule>
    <cfRule type="containsText" dxfId="3607" priority="9684" operator="containsText" text="GP1">
      <formula>NOT(ISERROR(SEARCH("GP1",AD12)))</formula>
    </cfRule>
  </conditionalFormatting>
  <conditionalFormatting sqref="AD12">
    <cfRule type="containsText" dxfId="3606" priority="9681" operator="containsText" text="GP2">
      <formula>NOT(ISERROR(SEARCH("GP2",AD12)))</formula>
    </cfRule>
    <cfRule type="containsText" dxfId="3605" priority="9682" operator="containsText" text="GP1">
      <formula>NOT(ISERROR(SEARCH("GP1",AD12)))</formula>
    </cfRule>
  </conditionalFormatting>
  <conditionalFormatting sqref="AD12">
    <cfRule type="containsText" dxfId="3604" priority="9679" operator="containsText" text="GP2">
      <formula>NOT(ISERROR(SEARCH("GP2",AD12)))</formula>
    </cfRule>
    <cfRule type="containsText" dxfId="3603" priority="9680" operator="containsText" text="GP1">
      <formula>NOT(ISERROR(SEARCH("GP1",AD12)))</formula>
    </cfRule>
  </conditionalFormatting>
  <conditionalFormatting sqref="AD12">
    <cfRule type="containsText" dxfId="3602" priority="9677" operator="containsText" text="GP2">
      <formula>NOT(ISERROR(SEARCH("GP2",AD12)))</formula>
    </cfRule>
    <cfRule type="containsText" dxfId="3601" priority="9678" operator="containsText" text="GP1">
      <formula>NOT(ISERROR(SEARCH("GP1",AD12)))</formula>
    </cfRule>
  </conditionalFormatting>
  <conditionalFormatting sqref="AD12">
    <cfRule type="containsText" dxfId="3600" priority="9675" operator="containsText" text="GP2">
      <formula>NOT(ISERROR(SEARCH("GP2",AD12)))</formula>
    </cfRule>
    <cfRule type="containsText" dxfId="3599" priority="9676" operator="containsText" text="GP1">
      <formula>NOT(ISERROR(SEARCH("GP1",AD12)))</formula>
    </cfRule>
  </conditionalFormatting>
  <conditionalFormatting sqref="AD12">
    <cfRule type="containsText" dxfId="3598" priority="9673" operator="containsText" text="GP2">
      <formula>NOT(ISERROR(SEARCH("GP2",AD12)))</formula>
    </cfRule>
    <cfRule type="containsText" dxfId="3597" priority="9674" operator="containsText" text="GP1">
      <formula>NOT(ISERROR(SEARCH("GP1",AD12)))</formula>
    </cfRule>
  </conditionalFormatting>
  <conditionalFormatting sqref="AD12">
    <cfRule type="containsText" dxfId="3596" priority="9671" operator="containsText" text="GP2">
      <formula>NOT(ISERROR(SEARCH("GP2",AD12)))</formula>
    </cfRule>
    <cfRule type="containsText" dxfId="3595" priority="9672" operator="containsText" text="GP1">
      <formula>NOT(ISERROR(SEARCH("GP1",AD12)))</formula>
    </cfRule>
  </conditionalFormatting>
  <conditionalFormatting sqref="AD12">
    <cfRule type="containsText" dxfId="3594" priority="9669" operator="containsText" text="GP2">
      <formula>NOT(ISERROR(SEARCH("GP2",AD12)))</formula>
    </cfRule>
    <cfRule type="containsText" dxfId="3593" priority="9670" operator="containsText" text="GP1">
      <formula>NOT(ISERROR(SEARCH("GP1",AD12)))</formula>
    </cfRule>
  </conditionalFormatting>
  <conditionalFormatting sqref="AD12">
    <cfRule type="containsText" dxfId="3592" priority="9667" operator="containsText" text="GP2">
      <formula>NOT(ISERROR(SEARCH("GP2",AD12)))</formula>
    </cfRule>
    <cfRule type="containsText" dxfId="3591" priority="9668" operator="containsText" text="GP1">
      <formula>NOT(ISERROR(SEARCH("GP1",AD12)))</formula>
    </cfRule>
  </conditionalFormatting>
  <conditionalFormatting sqref="AD12">
    <cfRule type="containsText" dxfId="3590" priority="9665" operator="containsText" text="GP2">
      <formula>NOT(ISERROR(SEARCH("GP2",AD12)))</formula>
    </cfRule>
    <cfRule type="containsText" dxfId="3589" priority="9666" operator="containsText" text="GP1">
      <formula>NOT(ISERROR(SEARCH("GP1",AD12)))</formula>
    </cfRule>
  </conditionalFormatting>
  <conditionalFormatting sqref="AD12">
    <cfRule type="containsText" dxfId="3588" priority="9663" operator="containsText" text="GP2">
      <formula>NOT(ISERROR(SEARCH("GP2",AD12)))</formula>
    </cfRule>
    <cfRule type="containsText" dxfId="3587" priority="9664" operator="containsText" text="GP1">
      <formula>NOT(ISERROR(SEARCH("GP1",AD12)))</formula>
    </cfRule>
  </conditionalFormatting>
  <conditionalFormatting sqref="AD12">
    <cfRule type="containsText" dxfId="3586" priority="9661" operator="containsText" text="GP2">
      <formula>NOT(ISERROR(SEARCH("GP2",AD12)))</formula>
    </cfRule>
    <cfRule type="containsText" dxfId="3585" priority="9662" operator="containsText" text="GP1">
      <formula>NOT(ISERROR(SEARCH("GP1",AD12)))</formula>
    </cfRule>
  </conditionalFormatting>
  <conditionalFormatting sqref="AD12">
    <cfRule type="containsText" dxfId="3584" priority="9659" operator="containsText" text="GP2">
      <formula>NOT(ISERROR(SEARCH("GP2",AD12)))</formula>
    </cfRule>
    <cfRule type="containsText" dxfId="3583" priority="9660" operator="containsText" text="GP1">
      <formula>NOT(ISERROR(SEARCH("GP1",AD12)))</formula>
    </cfRule>
  </conditionalFormatting>
  <conditionalFormatting sqref="AD12">
    <cfRule type="containsText" dxfId="3582" priority="9657" operator="containsText" text="GP2">
      <formula>NOT(ISERROR(SEARCH("GP2",AD12)))</formula>
    </cfRule>
    <cfRule type="containsText" dxfId="3581" priority="9658" operator="containsText" text="GP1">
      <formula>NOT(ISERROR(SEARCH("GP1",AD12)))</formula>
    </cfRule>
  </conditionalFormatting>
  <conditionalFormatting sqref="AD12">
    <cfRule type="containsText" dxfId="3580" priority="9655" operator="containsText" text="GP2">
      <formula>NOT(ISERROR(SEARCH("GP2",AD12)))</formula>
    </cfRule>
    <cfRule type="containsText" dxfId="3579" priority="9656" operator="containsText" text="GP1">
      <formula>NOT(ISERROR(SEARCH("GP1",AD12)))</formula>
    </cfRule>
  </conditionalFormatting>
  <conditionalFormatting sqref="AD12">
    <cfRule type="containsText" dxfId="3578" priority="9653" operator="containsText" text="GP2">
      <formula>NOT(ISERROR(SEARCH("GP2",AD12)))</formula>
    </cfRule>
    <cfRule type="containsText" dxfId="3577" priority="9654" operator="containsText" text="GP1">
      <formula>NOT(ISERROR(SEARCH("GP1",AD12)))</formula>
    </cfRule>
  </conditionalFormatting>
  <conditionalFormatting sqref="AD12">
    <cfRule type="containsText" dxfId="3576" priority="9651" operator="containsText" text="GP2">
      <formula>NOT(ISERROR(SEARCH("GP2",AD12)))</formula>
    </cfRule>
    <cfRule type="containsText" dxfId="3575" priority="9652" operator="containsText" text="GP1">
      <formula>NOT(ISERROR(SEARCH("GP1",AD12)))</formula>
    </cfRule>
  </conditionalFormatting>
  <conditionalFormatting sqref="AD12">
    <cfRule type="containsText" dxfId="3574" priority="9649" operator="containsText" text="GP2">
      <formula>NOT(ISERROR(SEARCH("GP2",AD12)))</formula>
    </cfRule>
    <cfRule type="containsText" dxfId="3573" priority="9650" operator="containsText" text="GP1">
      <formula>NOT(ISERROR(SEARCH("GP1",AD12)))</formula>
    </cfRule>
  </conditionalFormatting>
  <conditionalFormatting sqref="AD12">
    <cfRule type="containsText" dxfId="3572" priority="9647" operator="containsText" text="GP2">
      <formula>NOT(ISERROR(SEARCH("GP2",AD12)))</formula>
    </cfRule>
    <cfRule type="containsText" dxfId="3571" priority="9648" operator="containsText" text="GP1">
      <formula>NOT(ISERROR(SEARCH("GP1",AD12)))</formula>
    </cfRule>
  </conditionalFormatting>
  <conditionalFormatting sqref="AD12">
    <cfRule type="containsText" dxfId="3570" priority="9645" operator="containsText" text="GP2">
      <formula>NOT(ISERROR(SEARCH("GP2",AD12)))</formula>
    </cfRule>
    <cfRule type="containsText" dxfId="3569" priority="9646" operator="containsText" text="GP1">
      <formula>NOT(ISERROR(SEARCH("GP1",AD12)))</formula>
    </cfRule>
  </conditionalFormatting>
  <conditionalFormatting sqref="AD12">
    <cfRule type="containsText" dxfId="3568" priority="9643" operator="containsText" text="GP2">
      <formula>NOT(ISERROR(SEARCH("GP2",AD12)))</formula>
    </cfRule>
    <cfRule type="containsText" dxfId="3567" priority="9644" operator="containsText" text="GP1">
      <formula>NOT(ISERROR(SEARCH("GP1",AD12)))</formula>
    </cfRule>
  </conditionalFormatting>
  <conditionalFormatting sqref="AD12">
    <cfRule type="containsText" dxfId="3566" priority="9641" operator="containsText" text="GP2">
      <formula>NOT(ISERROR(SEARCH("GP2",AD12)))</formula>
    </cfRule>
    <cfRule type="containsText" dxfId="3565" priority="9642" operator="containsText" text="GP1">
      <formula>NOT(ISERROR(SEARCH("GP1",AD12)))</formula>
    </cfRule>
  </conditionalFormatting>
  <conditionalFormatting sqref="AD12">
    <cfRule type="containsText" dxfId="3564" priority="9639" operator="containsText" text="GP2">
      <formula>NOT(ISERROR(SEARCH("GP2",AD12)))</formula>
    </cfRule>
    <cfRule type="containsText" dxfId="3563" priority="9640" operator="containsText" text="GP1">
      <formula>NOT(ISERROR(SEARCH("GP1",AD12)))</formula>
    </cfRule>
  </conditionalFormatting>
  <conditionalFormatting sqref="AD12">
    <cfRule type="containsText" dxfId="3562" priority="9637" operator="containsText" text="GP2">
      <formula>NOT(ISERROR(SEARCH("GP2",AD12)))</formula>
    </cfRule>
    <cfRule type="containsText" dxfId="3561" priority="9638" operator="containsText" text="GP1">
      <formula>NOT(ISERROR(SEARCH("GP1",AD12)))</formula>
    </cfRule>
  </conditionalFormatting>
  <conditionalFormatting sqref="AD12">
    <cfRule type="containsText" dxfId="3560" priority="9635" operator="containsText" text="GP2">
      <formula>NOT(ISERROR(SEARCH("GP2",AD12)))</formula>
    </cfRule>
    <cfRule type="containsText" dxfId="3559" priority="9636" operator="containsText" text="GP1">
      <formula>NOT(ISERROR(SEARCH("GP1",AD12)))</formula>
    </cfRule>
  </conditionalFormatting>
  <conditionalFormatting sqref="AD12">
    <cfRule type="containsText" dxfId="3558" priority="9633" operator="containsText" text="GP2">
      <formula>NOT(ISERROR(SEARCH("GP2",AD12)))</formula>
    </cfRule>
    <cfRule type="containsText" dxfId="3557" priority="9634" operator="containsText" text="GP1">
      <formula>NOT(ISERROR(SEARCH("GP1",AD12)))</formula>
    </cfRule>
  </conditionalFormatting>
  <conditionalFormatting sqref="AD12">
    <cfRule type="containsText" dxfId="3556" priority="9631" operator="containsText" text="GP2">
      <formula>NOT(ISERROR(SEARCH("GP2",AD12)))</formula>
    </cfRule>
    <cfRule type="containsText" dxfId="3555" priority="9632" operator="containsText" text="GP1">
      <formula>NOT(ISERROR(SEARCH("GP1",AD12)))</formula>
    </cfRule>
  </conditionalFormatting>
  <conditionalFormatting sqref="AD12">
    <cfRule type="containsText" dxfId="3554" priority="9629" operator="containsText" text="GP2">
      <formula>NOT(ISERROR(SEARCH("GP2",AD12)))</formula>
    </cfRule>
    <cfRule type="containsText" dxfId="3553" priority="9630" operator="containsText" text="GP1">
      <formula>NOT(ISERROR(SEARCH("GP1",AD12)))</formula>
    </cfRule>
  </conditionalFormatting>
  <conditionalFormatting sqref="AD12">
    <cfRule type="containsText" dxfId="3552" priority="9627" operator="containsText" text="GP2">
      <formula>NOT(ISERROR(SEARCH("GP2",AD12)))</formula>
    </cfRule>
    <cfRule type="containsText" dxfId="3551" priority="9628" operator="containsText" text="GP1">
      <formula>NOT(ISERROR(SEARCH("GP1",AD12)))</formula>
    </cfRule>
  </conditionalFormatting>
  <conditionalFormatting sqref="AD12">
    <cfRule type="containsText" dxfId="3550" priority="9625" operator="containsText" text="GP2">
      <formula>NOT(ISERROR(SEARCH("GP2",AD12)))</formula>
    </cfRule>
    <cfRule type="containsText" dxfId="3549" priority="9626" operator="containsText" text="GP1">
      <formula>NOT(ISERROR(SEARCH("GP1",AD12)))</formula>
    </cfRule>
  </conditionalFormatting>
  <conditionalFormatting sqref="AD12">
    <cfRule type="containsText" dxfId="3548" priority="9623" operator="containsText" text="GP2">
      <formula>NOT(ISERROR(SEARCH("GP2",AD12)))</formula>
    </cfRule>
    <cfRule type="containsText" dxfId="3547" priority="9624" operator="containsText" text="GP1">
      <formula>NOT(ISERROR(SEARCH("GP1",AD12)))</formula>
    </cfRule>
  </conditionalFormatting>
  <conditionalFormatting sqref="AD12">
    <cfRule type="containsText" dxfId="3546" priority="9621" operator="containsText" text="GP2">
      <formula>NOT(ISERROR(SEARCH("GP2",AD12)))</formula>
    </cfRule>
    <cfRule type="containsText" dxfId="3545" priority="9622" operator="containsText" text="GP1">
      <formula>NOT(ISERROR(SEARCH("GP1",AD12)))</formula>
    </cfRule>
  </conditionalFormatting>
  <conditionalFormatting sqref="AD12">
    <cfRule type="containsText" dxfId="3544" priority="9619" operator="containsText" text="GP2">
      <formula>NOT(ISERROR(SEARCH("GP2",AD12)))</formula>
    </cfRule>
    <cfRule type="containsText" dxfId="3543" priority="9620" operator="containsText" text="GP1">
      <formula>NOT(ISERROR(SEARCH("GP1",AD12)))</formula>
    </cfRule>
  </conditionalFormatting>
  <conditionalFormatting sqref="AD12">
    <cfRule type="containsText" dxfId="3542" priority="9617" operator="containsText" text="GP2">
      <formula>NOT(ISERROR(SEARCH("GP2",AD12)))</formula>
    </cfRule>
    <cfRule type="containsText" dxfId="3541" priority="9618" operator="containsText" text="GP1">
      <formula>NOT(ISERROR(SEARCH("GP1",AD12)))</formula>
    </cfRule>
  </conditionalFormatting>
  <conditionalFormatting sqref="AD12">
    <cfRule type="containsText" dxfId="3540" priority="9615" operator="containsText" text="GP2">
      <formula>NOT(ISERROR(SEARCH("GP2",AD12)))</formula>
    </cfRule>
    <cfRule type="containsText" dxfId="3539" priority="9616" operator="containsText" text="GP1">
      <formula>NOT(ISERROR(SEARCH("GP1",AD12)))</formula>
    </cfRule>
  </conditionalFormatting>
  <conditionalFormatting sqref="AD12">
    <cfRule type="containsText" dxfId="3538" priority="9613" operator="containsText" text="GP2">
      <formula>NOT(ISERROR(SEARCH("GP2",AD12)))</formula>
    </cfRule>
    <cfRule type="containsText" dxfId="3537" priority="9614" operator="containsText" text="GP1">
      <formula>NOT(ISERROR(SEARCH("GP1",AD12)))</formula>
    </cfRule>
  </conditionalFormatting>
  <conditionalFormatting sqref="AD12">
    <cfRule type="containsText" dxfId="3536" priority="9611" operator="containsText" text="GP2">
      <formula>NOT(ISERROR(SEARCH("GP2",AD12)))</formula>
    </cfRule>
    <cfRule type="containsText" dxfId="3535" priority="9612" operator="containsText" text="GP1">
      <formula>NOT(ISERROR(SEARCH("GP1",AD12)))</formula>
    </cfRule>
  </conditionalFormatting>
  <conditionalFormatting sqref="AD12">
    <cfRule type="containsText" dxfId="3534" priority="9609" operator="containsText" text="GP2">
      <formula>NOT(ISERROR(SEARCH("GP2",AD12)))</formula>
    </cfRule>
    <cfRule type="containsText" dxfId="3533" priority="9610" operator="containsText" text="GP1">
      <formula>NOT(ISERROR(SEARCH("GP1",AD12)))</formula>
    </cfRule>
  </conditionalFormatting>
  <conditionalFormatting sqref="AD12">
    <cfRule type="containsText" dxfId="3532" priority="9607" operator="containsText" text="GP2">
      <formula>NOT(ISERROR(SEARCH("GP2",AD12)))</formula>
    </cfRule>
    <cfRule type="containsText" dxfId="3531" priority="9608" operator="containsText" text="GP1">
      <formula>NOT(ISERROR(SEARCH("GP1",AD12)))</formula>
    </cfRule>
  </conditionalFormatting>
  <conditionalFormatting sqref="AD12">
    <cfRule type="containsText" dxfId="3530" priority="9605" operator="containsText" text="GP2">
      <formula>NOT(ISERROR(SEARCH("GP2",AD12)))</formula>
    </cfRule>
    <cfRule type="containsText" dxfId="3529" priority="9606" operator="containsText" text="GP1">
      <formula>NOT(ISERROR(SEARCH("GP1",AD12)))</formula>
    </cfRule>
  </conditionalFormatting>
  <conditionalFormatting sqref="AD12">
    <cfRule type="containsText" dxfId="3528" priority="9603" operator="containsText" text="GP2">
      <formula>NOT(ISERROR(SEARCH("GP2",AD12)))</formula>
    </cfRule>
    <cfRule type="containsText" dxfId="3527" priority="9604" operator="containsText" text="GP1">
      <formula>NOT(ISERROR(SEARCH("GP1",AD12)))</formula>
    </cfRule>
  </conditionalFormatting>
  <conditionalFormatting sqref="AD12">
    <cfRule type="containsText" dxfId="3526" priority="9601" operator="containsText" text="GP2">
      <formula>NOT(ISERROR(SEARCH("GP2",AD12)))</formula>
    </cfRule>
    <cfRule type="containsText" dxfId="3525" priority="9602" operator="containsText" text="GP1">
      <formula>NOT(ISERROR(SEARCH("GP1",AD12)))</formula>
    </cfRule>
  </conditionalFormatting>
  <conditionalFormatting sqref="AD12">
    <cfRule type="containsText" dxfId="3524" priority="9599" operator="containsText" text="GP2">
      <formula>NOT(ISERROR(SEARCH("GP2",AD12)))</formula>
    </cfRule>
    <cfRule type="containsText" dxfId="3523" priority="9600" operator="containsText" text="GP1">
      <formula>NOT(ISERROR(SEARCH("GP1",AD12)))</formula>
    </cfRule>
  </conditionalFormatting>
  <conditionalFormatting sqref="AD12">
    <cfRule type="containsText" dxfId="3522" priority="9597" operator="containsText" text="GP2">
      <formula>NOT(ISERROR(SEARCH("GP2",AD12)))</formula>
    </cfRule>
    <cfRule type="containsText" dxfId="3521" priority="9598" operator="containsText" text="GP1">
      <formula>NOT(ISERROR(SEARCH("GP1",AD12)))</formula>
    </cfRule>
  </conditionalFormatting>
  <conditionalFormatting sqref="AD12">
    <cfRule type="containsText" dxfId="3520" priority="9595" operator="containsText" text="GP2">
      <formula>NOT(ISERROR(SEARCH("GP2",AD12)))</formula>
    </cfRule>
    <cfRule type="containsText" dxfId="3519" priority="9596" operator="containsText" text="GP1">
      <formula>NOT(ISERROR(SEARCH("GP1",AD12)))</formula>
    </cfRule>
  </conditionalFormatting>
  <conditionalFormatting sqref="AD12">
    <cfRule type="containsText" dxfId="3518" priority="9593" operator="containsText" text="GP2">
      <formula>NOT(ISERROR(SEARCH("GP2",AD12)))</formula>
    </cfRule>
    <cfRule type="containsText" dxfId="3517" priority="9594" operator="containsText" text="GP1">
      <formula>NOT(ISERROR(SEARCH("GP1",AD12)))</formula>
    </cfRule>
  </conditionalFormatting>
  <conditionalFormatting sqref="AD12">
    <cfRule type="containsText" dxfId="3516" priority="9591" operator="containsText" text="GP2">
      <formula>NOT(ISERROR(SEARCH("GP2",AD12)))</formula>
    </cfRule>
    <cfRule type="containsText" dxfId="3515" priority="9592" operator="containsText" text="GP1">
      <formula>NOT(ISERROR(SEARCH("GP1",AD12)))</formula>
    </cfRule>
  </conditionalFormatting>
  <conditionalFormatting sqref="AD12">
    <cfRule type="containsText" dxfId="3514" priority="9589" operator="containsText" text="GP2">
      <formula>NOT(ISERROR(SEARCH("GP2",AD12)))</formula>
    </cfRule>
    <cfRule type="containsText" dxfId="3513" priority="9590" operator="containsText" text="GP1">
      <formula>NOT(ISERROR(SEARCH("GP1",AD12)))</formula>
    </cfRule>
  </conditionalFormatting>
  <conditionalFormatting sqref="AD12">
    <cfRule type="containsText" dxfId="3512" priority="9587" operator="containsText" text="GP2">
      <formula>NOT(ISERROR(SEARCH("GP2",AD12)))</formula>
    </cfRule>
    <cfRule type="containsText" dxfId="3511" priority="9588" operator="containsText" text="GP1">
      <formula>NOT(ISERROR(SEARCH("GP1",AD12)))</formula>
    </cfRule>
  </conditionalFormatting>
  <conditionalFormatting sqref="AD12">
    <cfRule type="containsText" dxfId="3510" priority="9585" operator="containsText" text="GP2">
      <formula>NOT(ISERROR(SEARCH("GP2",AD12)))</formula>
    </cfRule>
    <cfRule type="containsText" dxfId="3509" priority="9586" operator="containsText" text="GP1">
      <formula>NOT(ISERROR(SEARCH("GP1",AD12)))</formula>
    </cfRule>
  </conditionalFormatting>
  <conditionalFormatting sqref="AD12">
    <cfRule type="containsText" dxfId="3508" priority="9583" operator="containsText" text="GP2">
      <formula>NOT(ISERROR(SEARCH("GP2",AD12)))</formula>
    </cfRule>
    <cfRule type="containsText" dxfId="3507" priority="9584" operator="containsText" text="GP1">
      <formula>NOT(ISERROR(SEARCH("GP1",AD12)))</formula>
    </cfRule>
  </conditionalFormatting>
  <conditionalFormatting sqref="AD12">
    <cfRule type="containsText" dxfId="3506" priority="9581" operator="containsText" text="GP2">
      <formula>NOT(ISERROR(SEARCH("GP2",AD12)))</formula>
    </cfRule>
    <cfRule type="containsText" dxfId="3505" priority="9582" operator="containsText" text="GP1">
      <formula>NOT(ISERROR(SEARCH("GP1",AD12)))</formula>
    </cfRule>
  </conditionalFormatting>
  <conditionalFormatting sqref="AD12">
    <cfRule type="containsText" dxfId="3504" priority="9579" operator="containsText" text="GP2">
      <formula>NOT(ISERROR(SEARCH("GP2",AD12)))</formula>
    </cfRule>
    <cfRule type="containsText" dxfId="3503" priority="9580" operator="containsText" text="GP1">
      <formula>NOT(ISERROR(SEARCH("GP1",AD12)))</formula>
    </cfRule>
  </conditionalFormatting>
  <conditionalFormatting sqref="AD12">
    <cfRule type="containsText" dxfId="3502" priority="9577" operator="containsText" text="GP2">
      <formula>NOT(ISERROR(SEARCH("GP2",AD12)))</formula>
    </cfRule>
    <cfRule type="containsText" dxfId="3501" priority="9578" operator="containsText" text="GP1">
      <formula>NOT(ISERROR(SEARCH("GP1",AD12)))</formula>
    </cfRule>
  </conditionalFormatting>
  <conditionalFormatting sqref="AD12">
    <cfRule type="containsText" dxfId="3500" priority="9575" operator="containsText" text="GP2">
      <formula>NOT(ISERROR(SEARCH("GP2",AD12)))</formula>
    </cfRule>
    <cfRule type="containsText" dxfId="3499" priority="9576" operator="containsText" text="GP1">
      <formula>NOT(ISERROR(SEARCH("GP1",AD12)))</formula>
    </cfRule>
  </conditionalFormatting>
  <conditionalFormatting sqref="AD12">
    <cfRule type="containsText" dxfId="3498" priority="9573" operator="containsText" text="GP2">
      <formula>NOT(ISERROR(SEARCH("GP2",AD12)))</formula>
    </cfRule>
    <cfRule type="containsText" dxfId="3497" priority="9574" operator="containsText" text="GP1">
      <formula>NOT(ISERROR(SEARCH("GP1",AD12)))</formula>
    </cfRule>
  </conditionalFormatting>
  <conditionalFormatting sqref="AD12">
    <cfRule type="containsText" dxfId="3496" priority="9571" operator="containsText" text="GP2">
      <formula>NOT(ISERROR(SEARCH("GP2",AD12)))</formula>
    </cfRule>
    <cfRule type="containsText" dxfId="3495" priority="9572" operator="containsText" text="GP1">
      <formula>NOT(ISERROR(SEARCH("GP1",AD12)))</formula>
    </cfRule>
  </conditionalFormatting>
  <conditionalFormatting sqref="AD12">
    <cfRule type="containsText" dxfId="3494" priority="9569" operator="containsText" text="GP2">
      <formula>NOT(ISERROR(SEARCH("GP2",AD12)))</formula>
    </cfRule>
    <cfRule type="containsText" dxfId="3493" priority="9570" operator="containsText" text="GP1">
      <formula>NOT(ISERROR(SEARCH("GP1",AD12)))</formula>
    </cfRule>
  </conditionalFormatting>
  <conditionalFormatting sqref="AD12">
    <cfRule type="containsText" dxfId="3492" priority="9567" operator="containsText" text="GP2">
      <formula>NOT(ISERROR(SEARCH("GP2",AD12)))</formula>
    </cfRule>
    <cfRule type="containsText" dxfId="3491" priority="9568" operator="containsText" text="GP1">
      <formula>NOT(ISERROR(SEARCH("GP1",AD12)))</formula>
    </cfRule>
  </conditionalFormatting>
  <conditionalFormatting sqref="AD12">
    <cfRule type="containsText" dxfId="3490" priority="9565" operator="containsText" text="GP2">
      <formula>NOT(ISERROR(SEARCH("GP2",AD12)))</formula>
    </cfRule>
    <cfRule type="containsText" dxfId="3489" priority="9566" operator="containsText" text="GP1">
      <formula>NOT(ISERROR(SEARCH("GP1",AD12)))</formula>
    </cfRule>
  </conditionalFormatting>
  <conditionalFormatting sqref="AD12">
    <cfRule type="containsText" dxfId="3488" priority="9563" operator="containsText" text="GP2">
      <formula>NOT(ISERROR(SEARCH("GP2",AD12)))</formula>
    </cfRule>
    <cfRule type="containsText" dxfId="3487" priority="9564" operator="containsText" text="GP1">
      <formula>NOT(ISERROR(SEARCH("GP1",AD12)))</formula>
    </cfRule>
  </conditionalFormatting>
  <conditionalFormatting sqref="AD12">
    <cfRule type="containsText" dxfId="3486" priority="9561" operator="containsText" text="GP2">
      <formula>NOT(ISERROR(SEARCH("GP2",AD12)))</formula>
    </cfRule>
    <cfRule type="containsText" dxfId="3485" priority="9562" operator="containsText" text="GP1">
      <formula>NOT(ISERROR(SEARCH("GP1",AD12)))</formula>
    </cfRule>
  </conditionalFormatting>
  <conditionalFormatting sqref="AD12">
    <cfRule type="containsText" dxfId="3484" priority="9559" operator="containsText" text="GP2">
      <formula>NOT(ISERROR(SEARCH("GP2",AD12)))</formula>
    </cfRule>
    <cfRule type="containsText" dxfId="3483" priority="9560" operator="containsText" text="GP1">
      <formula>NOT(ISERROR(SEARCH("GP1",AD12)))</formula>
    </cfRule>
  </conditionalFormatting>
  <conditionalFormatting sqref="AD12">
    <cfRule type="containsText" dxfId="3482" priority="9557" operator="containsText" text="GP2">
      <formula>NOT(ISERROR(SEARCH("GP2",AD12)))</formula>
    </cfRule>
    <cfRule type="containsText" dxfId="3481" priority="9558" operator="containsText" text="GP1">
      <formula>NOT(ISERROR(SEARCH("GP1",AD12)))</formula>
    </cfRule>
  </conditionalFormatting>
  <conditionalFormatting sqref="AD12">
    <cfRule type="containsText" dxfId="3480" priority="9555" operator="containsText" text="GP2">
      <formula>NOT(ISERROR(SEARCH("GP2",AD12)))</formula>
    </cfRule>
    <cfRule type="containsText" dxfId="3479" priority="9556" operator="containsText" text="GP1">
      <formula>NOT(ISERROR(SEARCH("GP1",AD12)))</formula>
    </cfRule>
  </conditionalFormatting>
  <conditionalFormatting sqref="AD12">
    <cfRule type="containsText" dxfId="3478" priority="9553" operator="containsText" text="GP2">
      <formula>NOT(ISERROR(SEARCH("GP2",AD12)))</formula>
    </cfRule>
    <cfRule type="containsText" dxfId="3477" priority="9554" operator="containsText" text="GP1">
      <formula>NOT(ISERROR(SEARCH("GP1",AD12)))</formula>
    </cfRule>
  </conditionalFormatting>
  <conditionalFormatting sqref="AD12">
    <cfRule type="containsText" dxfId="3476" priority="9551" operator="containsText" text="GP2">
      <formula>NOT(ISERROR(SEARCH("GP2",AD12)))</formula>
    </cfRule>
    <cfRule type="containsText" dxfId="3475" priority="9552" operator="containsText" text="GP1">
      <formula>NOT(ISERROR(SEARCH("GP1",AD12)))</formula>
    </cfRule>
  </conditionalFormatting>
  <conditionalFormatting sqref="AD12">
    <cfRule type="containsText" dxfId="3474" priority="9549" operator="containsText" text="GP2">
      <formula>NOT(ISERROR(SEARCH("GP2",AD12)))</formula>
    </cfRule>
    <cfRule type="containsText" dxfId="3473" priority="9550" operator="containsText" text="GP1">
      <formula>NOT(ISERROR(SEARCH("GP1",AD12)))</formula>
    </cfRule>
  </conditionalFormatting>
  <conditionalFormatting sqref="AD12">
    <cfRule type="containsText" dxfId="3472" priority="9547" operator="containsText" text="GP2">
      <formula>NOT(ISERROR(SEARCH("GP2",AD12)))</formula>
    </cfRule>
    <cfRule type="containsText" dxfId="3471" priority="9548" operator="containsText" text="GP1">
      <formula>NOT(ISERROR(SEARCH("GP1",AD12)))</formula>
    </cfRule>
  </conditionalFormatting>
  <conditionalFormatting sqref="AD12">
    <cfRule type="containsText" dxfId="3470" priority="9545" operator="containsText" text="GP2">
      <formula>NOT(ISERROR(SEARCH("GP2",AD12)))</formula>
    </cfRule>
    <cfRule type="containsText" dxfId="3469" priority="9546" operator="containsText" text="GP1">
      <formula>NOT(ISERROR(SEARCH("GP1",AD12)))</formula>
    </cfRule>
  </conditionalFormatting>
  <conditionalFormatting sqref="AD12">
    <cfRule type="containsText" dxfId="3468" priority="9543" operator="containsText" text="GP2">
      <formula>NOT(ISERROR(SEARCH("GP2",AD12)))</formula>
    </cfRule>
    <cfRule type="containsText" dxfId="3467" priority="9544" operator="containsText" text="GP1">
      <formula>NOT(ISERROR(SEARCH("GP1",AD12)))</formula>
    </cfRule>
  </conditionalFormatting>
  <conditionalFormatting sqref="AD12">
    <cfRule type="containsText" dxfId="3466" priority="9541" operator="containsText" text="GP2">
      <formula>NOT(ISERROR(SEARCH("GP2",AD12)))</formula>
    </cfRule>
    <cfRule type="containsText" dxfId="3465" priority="9542" operator="containsText" text="GP1">
      <formula>NOT(ISERROR(SEARCH("GP1",AD12)))</formula>
    </cfRule>
  </conditionalFormatting>
  <conditionalFormatting sqref="AD12">
    <cfRule type="containsText" dxfId="3464" priority="9539" operator="containsText" text="GP2">
      <formula>NOT(ISERROR(SEARCH("GP2",AD12)))</formula>
    </cfRule>
    <cfRule type="containsText" dxfId="3463" priority="9540" operator="containsText" text="GP1">
      <formula>NOT(ISERROR(SEARCH("GP1",AD12)))</formula>
    </cfRule>
  </conditionalFormatting>
  <conditionalFormatting sqref="AD12">
    <cfRule type="containsText" dxfId="3462" priority="9537" operator="containsText" text="GP2">
      <formula>NOT(ISERROR(SEARCH("GP2",AD12)))</formula>
    </cfRule>
    <cfRule type="containsText" dxfId="3461" priority="9538" operator="containsText" text="GP1">
      <formula>NOT(ISERROR(SEARCH("GP1",AD12)))</formula>
    </cfRule>
  </conditionalFormatting>
  <conditionalFormatting sqref="AD12">
    <cfRule type="containsText" dxfId="3460" priority="9535" operator="containsText" text="GP2">
      <formula>NOT(ISERROR(SEARCH("GP2",AD12)))</formula>
    </cfRule>
    <cfRule type="containsText" dxfId="3459" priority="9536" operator="containsText" text="GP1">
      <formula>NOT(ISERROR(SEARCH("GP1",AD12)))</formula>
    </cfRule>
  </conditionalFormatting>
  <conditionalFormatting sqref="AD12">
    <cfRule type="containsText" dxfId="3458" priority="9533" operator="containsText" text="GP2">
      <formula>NOT(ISERROR(SEARCH("GP2",AD12)))</formula>
    </cfRule>
    <cfRule type="containsText" dxfId="3457" priority="9534" operator="containsText" text="GP1">
      <formula>NOT(ISERROR(SEARCH("GP1",AD12)))</formula>
    </cfRule>
  </conditionalFormatting>
  <conditionalFormatting sqref="AD12">
    <cfRule type="containsText" dxfId="3456" priority="9531" operator="containsText" text="GP2">
      <formula>NOT(ISERROR(SEARCH("GP2",AD12)))</formula>
    </cfRule>
    <cfRule type="containsText" dxfId="3455" priority="9532" operator="containsText" text="GP1">
      <formula>NOT(ISERROR(SEARCH("GP1",AD12)))</formula>
    </cfRule>
  </conditionalFormatting>
  <conditionalFormatting sqref="AD12">
    <cfRule type="containsText" dxfId="3454" priority="9529" operator="containsText" text="GP2">
      <formula>NOT(ISERROR(SEARCH("GP2",AD12)))</formula>
    </cfRule>
    <cfRule type="containsText" dxfId="3453" priority="9530" operator="containsText" text="GP1">
      <formula>NOT(ISERROR(SEARCH("GP1",AD12)))</formula>
    </cfRule>
  </conditionalFormatting>
  <conditionalFormatting sqref="AD12">
    <cfRule type="containsText" dxfId="3452" priority="9527" operator="containsText" text="GP2">
      <formula>NOT(ISERROR(SEARCH("GP2",AD12)))</formula>
    </cfRule>
    <cfRule type="containsText" dxfId="3451" priority="9528" operator="containsText" text="GP1">
      <formula>NOT(ISERROR(SEARCH("GP1",AD12)))</formula>
    </cfRule>
  </conditionalFormatting>
  <conditionalFormatting sqref="AD12">
    <cfRule type="containsText" dxfId="3450" priority="9525" operator="containsText" text="GP2">
      <formula>NOT(ISERROR(SEARCH("GP2",AD12)))</formula>
    </cfRule>
    <cfRule type="containsText" dxfId="3449" priority="9526" operator="containsText" text="GP1">
      <formula>NOT(ISERROR(SEARCH("GP1",AD12)))</formula>
    </cfRule>
  </conditionalFormatting>
  <conditionalFormatting sqref="AD12">
    <cfRule type="containsText" dxfId="3448" priority="9523" operator="containsText" text="GP2">
      <formula>NOT(ISERROR(SEARCH("GP2",AD12)))</formula>
    </cfRule>
    <cfRule type="containsText" dxfId="3447" priority="9524" operator="containsText" text="GP1">
      <formula>NOT(ISERROR(SEARCH("GP1",AD12)))</formula>
    </cfRule>
  </conditionalFormatting>
  <conditionalFormatting sqref="AD12">
    <cfRule type="containsText" dxfId="3446" priority="9521" operator="containsText" text="GP2">
      <formula>NOT(ISERROR(SEARCH("GP2",AD12)))</formula>
    </cfRule>
    <cfRule type="containsText" dxfId="3445" priority="9522" operator="containsText" text="GP1">
      <formula>NOT(ISERROR(SEARCH("GP1",AD12)))</formula>
    </cfRule>
  </conditionalFormatting>
  <conditionalFormatting sqref="AD12">
    <cfRule type="containsText" dxfId="3444" priority="9519" operator="containsText" text="GP2">
      <formula>NOT(ISERROR(SEARCH("GP2",AD12)))</formula>
    </cfRule>
    <cfRule type="containsText" dxfId="3443" priority="9520" operator="containsText" text="GP1">
      <formula>NOT(ISERROR(SEARCH("GP1",AD12)))</formula>
    </cfRule>
  </conditionalFormatting>
  <conditionalFormatting sqref="AD12">
    <cfRule type="containsText" dxfId="3442" priority="9517" operator="containsText" text="GP2">
      <formula>NOT(ISERROR(SEARCH("GP2",AD12)))</formula>
    </cfRule>
    <cfRule type="containsText" dxfId="3441" priority="9518" operator="containsText" text="GP1">
      <formula>NOT(ISERROR(SEARCH("GP1",AD12)))</formula>
    </cfRule>
  </conditionalFormatting>
  <conditionalFormatting sqref="AD12">
    <cfRule type="containsText" dxfId="3440" priority="9515" operator="containsText" text="GP2">
      <formula>NOT(ISERROR(SEARCH("GP2",AD12)))</formula>
    </cfRule>
    <cfRule type="containsText" dxfId="3439" priority="9516" operator="containsText" text="GP1">
      <formula>NOT(ISERROR(SEARCH("GP1",AD12)))</formula>
    </cfRule>
  </conditionalFormatting>
  <conditionalFormatting sqref="AD12">
    <cfRule type="containsText" dxfId="3438" priority="9513" operator="containsText" text="GP2">
      <formula>NOT(ISERROR(SEARCH("GP2",AD12)))</formula>
    </cfRule>
    <cfRule type="containsText" dxfId="3437" priority="9514" operator="containsText" text="GP1">
      <formula>NOT(ISERROR(SEARCH("GP1",AD12)))</formula>
    </cfRule>
  </conditionalFormatting>
  <conditionalFormatting sqref="AD12">
    <cfRule type="containsText" dxfId="3436" priority="9511" operator="containsText" text="GP2">
      <formula>NOT(ISERROR(SEARCH("GP2",AD12)))</formula>
    </cfRule>
    <cfRule type="containsText" dxfId="3435" priority="9512" operator="containsText" text="GP1">
      <formula>NOT(ISERROR(SEARCH("GP1",AD12)))</formula>
    </cfRule>
  </conditionalFormatting>
  <conditionalFormatting sqref="AD12">
    <cfRule type="containsText" dxfId="3434" priority="9509" operator="containsText" text="GP2">
      <formula>NOT(ISERROR(SEARCH("GP2",AD12)))</formula>
    </cfRule>
    <cfRule type="containsText" dxfId="3433" priority="9510" operator="containsText" text="GP1">
      <formula>NOT(ISERROR(SEARCH("GP1",AD12)))</formula>
    </cfRule>
  </conditionalFormatting>
  <conditionalFormatting sqref="AD12">
    <cfRule type="containsText" dxfId="3432" priority="9507" operator="containsText" text="GP2">
      <formula>NOT(ISERROR(SEARCH("GP2",AD12)))</formula>
    </cfRule>
    <cfRule type="containsText" dxfId="3431" priority="9508" operator="containsText" text="GP1">
      <formula>NOT(ISERROR(SEARCH("GP1",AD12)))</formula>
    </cfRule>
  </conditionalFormatting>
  <conditionalFormatting sqref="AD12">
    <cfRule type="containsText" dxfId="3430" priority="9505" operator="containsText" text="GP2">
      <formula>NOT(ISERROR(SEARCH("GP2",AD12)))</formula>
    </cfRule>
    <cfRule type="containsText" dxfId="3429" priority="9506" operator="containsText" text="GP1">
      <formula>NOT(ISERROR(SEARCH("GP1",AD12)))</formula>
    </cfRule>
  </conditionalFormatting>
  <conditionalFormatting sqref="AD12">
    <cfRule type="containsText" dxfId="3428" priority="9503" operator="containsText" text="GP2">
      <formula>NOT(ISERROR(SEARCH("GP2",AD12)))</formula>
    </cfRule>
    <cfRule type="containsText" dxfId="3427" priority="9504" operator="containsText" text="GP1">
      <formula>NOT(ISERROR(SEARCH("GP1",AD12)))</formula>
    </cfRule>
  </conditionalFormatting>
  <conditionalFormatting sqref="AD12">
    <cfRule type="containsText" dxfId="3426" priority="9501" operator="containsText" text="GP2">
      <formula>NOT(ISERROR(SEARCH("GP2",AD12)))</formula>
    </cfRule>
    <cfRule type="containsText" dxfId="3425" priority="9502" operator="containsText" text="GP1">
      <formula>NOT(ISERROR(SEARCH("GP1",AD12)))</formula>
    </cfRule>
  </conditionalFormatting>
  <conditionalFormatting sqref="AD12">
    <cfRule type="containsText" dxfId="3424" priority="9499" operator="containsText" text="GP2">
      <formula>NOT(ISERROR(SEARCH("GP2",AD12)))</formula>
    </cfRule>
    <cfRule type="containsText" dxfId="3423" priority="9500" operator="containsText" text="GP1">
      <formula>NOT(ISERROR(SEARCH("GP1",AD12)))</formula>
    </cfRule>
  </conditionalFormatting>
  <conditionalFormatting sqref="AD12">
    <cfRule type="containsText" dxfId="3422" priority="9497" operator="containsText" text="GP2">
      <formula>NOT(ISERROR(SEARCH("GP2",AD12)))</formula>
    </cfRule>
    <cfRule type="containsText" dxfId="3421" priority="9498" operator="containsText" text="GP1">
      <formula>NOT(ISERROR(SEARCH("GP1",AD12)))</formula>
    </cfRule>
  </conditionalFormatting>
  <conditionalFormatting sqref="AD12">
    <cfRule type="containsText" dxfId="3420" priority="9495" operator="containsText" text="GP2">
      <formula>NOT(ISERROR(SEARCH("GP2",AD12)))</formula>
    </cfRule>
    <cfRule type="containsText" dxfId="3419" priority="9496" operator="containsText" text="GP1">
      <formula>NOT(ISERROR(SEARCH("GP1",AD12)))</formula>
    </cfRule>
  </conditionalFormatting>
  <conditionalFormatting sqref="AD12">
    <cfRule type="containsText" dxfId="3418" priority="9493" operator="containsText" text="GP2">
      <formula>NOT(ISERROR(SEARCH("GP2",AD12)))</formula>
    </cfRule>
    <cfRule type="containsText" dxfId="3417" priority="9494" operator="containsText" text="GP1">
      <formula>NOT(ISERROR(SEARCH("GP1",AD12)))</formula>
    </cfRule>
  </conditionalFormatting>
  <conditionalFormatting sqref="AD12">
    <cfRule type="containsText" dxfId="3416" priority="9491" operator="containsText" text="GP2">
      <formula>NOT(ISERROR(SEARCH("GP2",AD12)))</formula>
    </cfRule>
    <cfRule type="containsText" dxfId="3415" priority="9492" operator="containsText" text="GP1">
      <formula>NOT(ISERROR(SEARCH("GP1",AD12)))</formula>
    </cfRule>
  </conditionalFormatting>
  <conditionalFormatting sqref="AD12">
    <cfRule type="containsText" dxfId="3414" priority="9489" operator="containsText" text="GP2">
      <formula>NOT(ISERROR(SEARCH("GP2",AD12)))</formula>
    </cfRule>
    <cfRule type="containsText" dxfId="3413" priority="9490" operator="containsText" text="GP1">
      <formula>NOT(ISERROR(SEARCH("GP1",AD12)))</formula>
    </cfRule>
  </conditionalFormatting>
  <conditionalFormatting sqref="AD12">
    <cfRule type="containsText" dxfId="3412" priority="9487" operator="containsText" text="GP2">
      <formula>NOT(ISERROR(SEARCH("GP2",AD12)))</formula>
    </cfRule>
    <cfRule type="containsText" dxfId="3411" priority="9488" operator="containsText" text="GP1">
      <formula>NOT(ISERROR(SEARCH("GP1",AD12)))</formula>
    </cfRule>
  </conditionalFormatting>
  <conditionalFormatting sqref="AD12">
    <cfRule type="containsText" dxfId="3410" priority="9485" operator="containsText" text="GP2">
      <formula>NOT(ISERROR(SEARCH("GP2",AD12)))</formula>
    </cfRule>
    <cfRule type="containsText" dxfId="3409" priority="9486" operator="containsText" text="GP1">
      <formula>NOT(ISERROR(SEARCH("GP1",AD12)))</formula>
    </cfRule>
  </conditionalFormatting>
  <conditionalFormatting sqref="AD12">
    <cfRule type="containsText" dxfId="3408" priority="9483" operator="containsText" text="GP2">
      <formula>NOT(ISERROR(SEARCH("GP2",AD12)))</formula>
    </cfRule>
    <cfRule type="containsText" dxfId="3407" priority="9484" operator="containsText" text="GP1">
      <formula>NOT(ISERROR(SEARCH("GP1",AD12)))</formula>
    </cfRule>
  </conditionalFormatting>
  <conditionalFormatting sqref="AD12">
    <cfRule type="containsText" dxfId="3406" priority="9481" operator="containsText" text="GP2">
      <formula>NOT(ISERROR(SEARCH("GP2",AD12)))</formula>
    </cfRule>
    <cfRule type="containsText" dxfId="3405" priority="9482" operator="containsText" text="GP1">
      <formula>NOT(ISERROR(SEARCH("GP1",AD12)))</formula>
    </cfRule>
  </conditionalFormatting>
  <conditionalFormatting sqref="AD12">
    <cfRule type="containsText" dxfId="3404" priority="9479" operator="containsText" text="GP2">
      <formula>NOT(ISERROR(SEARCH("GP2",AD12)))</formula>
    </cfRule>
    <cfRule type="containsText" dxfId="3403" priority="9480" operator="containsText" text="GP1">
      <formula>NOT(ISERROR(SEARCH("GP1",AD12)))</formula>
    </cfRule>
  </conditionalFormatting>
  <conditionalFormatting sqref="AD12">
    <cfRule type="containsText" dxfId="3402" priority="9477" operator="containsText" text="GP2">
      <formula>NOT(ISERROR(SEARCH("GP2",AD12)))</formula>
    </cfRule>
    <cfRule type="containsText" dxfId="3401" priority="9478" operator="containsText" text="GP1">
      <formula>NOT(ISERROR(SEARCH("GP1",AD12)))</formula>
    </cfRule>
  </conditionalFormatting>
  <conditionalFormatting sqref="AD12">
    <cfRule type="containsText" dxfId="3400" priority="9475" operator="containsText" text="GP2">
      <formula>NOT(ISERROR(SEARCH("GP2",AD12)))</formula>
    </cfRule>
    <cfRule type="containsText" dxfId="3399" priority="9476" operator="containsText" text="GP1">
      <formula>NOT(ISERROR(SEARCH("GP1",AD12)))</formula>
    </cfRule>
  </conditionalFormatting>
  <conditionalFormatting sqref="AD12">
    <cfRule type="containsText" dxfId="3398" priority="9473" operator="containsText" text="GP2">
      <formula>NOT(ISERROR(SEARCH("GP2",AD12)))</formula>
    </cfRule>
    <cfRule type="containsText" dxfId="3397" priority="9474" operator="containsText" text="GP1">
      <formula>NOT(ISERROR(SEARCH("GP1",AD12)))</formula>
    </cfRule>
  </conditionalFormatting>
  <conditionalFormatting sqref="AD12">
    <cfRule type="containsText" dxfId="3396" priority="9471" operator="containsText" text="GP2">
      <formula>NOT(ISERROR(SEARCH("GP2",AD12)))</formula>
    </cfRule>
    <cfRule type="containsText" dxfId="3395" priority="9472" operator="containsText" text="GP1">
      <formula>NOT(ISERROR(SEARCH("GP1",AD12)))</formula>
    </cfRule>
  </conditionalFormatting>
  <conditionalFormatting sqref="AD12">
    <cfRule type="containsText" dxfId="3394" priority="9469" operator="containsText" text="GP2">
      <formula>NOT(ISERROR(SEARCH("GP2",AD12)))</formula>
    </cfRule>
    <cfRule type="containsText" dxfId="3393" priority="9470" operator="containsText" text="GP1">
      <formula>NOT(ISERROR(SEARCH("GP1",AD12)))</formula>
    </cfRule>
  </conditionalFormatting>
  <conditionalFormatting sqref="AD12">
    <cfRule type="containsText" dxfId="3392" priority="9467" operator="containsText" text="GP2">
      <formula>NOT(ISERROR(SEARCH("GP2",AD12)))</formula>
    </cfRule>
    <cfRule type="containsText" dxfId="3391" priority="9468" operator="containsText" text="GP1">
      <formula>NOT(ISERROR(SEARCH("GP1",AD12)))</formula>
    </cfRule>
  </conditionalFormatting>
  <conditionalFormatting sqref="AD12">
    <cfRule type="containsText" dxfId="3390" priority="9465" operator="containsText" text="GP2">
      <formula>NOT(ISERROR(SEARCH("GP2",AD12)))</formula>
    </cfRule>
    <cfRule type="containsText" dxfId="3389" priority="9466" operator="containsText" text="GP1">
      <formula>NOT(ISERROR(SEARCH("GP1",AD12)))</formula>
    </cfRule>
  </conditionalFormatting>
  <conditionalFormatting sqref="AD12">
    <cfRule type="containsText" dxfId="3388" priority="9463" operator="containsText" text="GP2">
      <formula>NOT(ISERROR(SEARCH("GP2",AD12)))</formula>
    </cfRule>
    <cfRule type="containsText" dxfId="3387" priority="9464" operator="containsText" text="GP1">
      <formula>NOT(ISERROR(SEARCH("GP1",AD12)))</formula>
    </cfRule>
  </conditionalFormatting>
  <conditionalFormatting sqref="AD12">
    <cfRule type="containsText" dxfId="3386" priority="9461" operator="containsText" text="GP2">
      <formula>NOT(ISERROR(SEARCH("GP2",AD12)))</formula>
    </cfRule>
    <cfRule type="containsText" dxfId="3385" priority="9462" operator="containsText" text="GP1">
      <formula>NOT(ISERROR(SEARCH("GP1",AD12)))</formula>
    </cfRule>
  </conditionalFormatting>
  <conditionalFormatting sqref="AD12">
    <cfRule type="containsText" dxfId="3384" priority="9459" operator="containsText" text="GP2">
      <formula>NOT(ISERROR(SEARCH("GP2",AD12)))</formula>
    </cfRule>
    <cfRule type="containsText" dxfId="3383" priority="9460" operator="containsText" text="GP1">
      <formula>NOT(ISERROR(SEARCH("GP1",AD12)))</formula>
    </cfRule>
  </conditionalFormatting>
  <conditionalFormatting sqref="AD12">
    <cfRule type="containsText" dxfId="3382" priority="9457" operator="containsText" text="GP2">
      <formula>NOT(ISERROR(SEARCH("GP2",AD12)))</formula>
    </cfRule>
    <cfRule type="containsText" dxfId="3381" priority="9458" operator="containsText" text="GP1">
      <formula>NOT(ISERROR(SEARCH("GP1",AD12)))</formula>
    </cfRule>
  </conditionalFormatting>
  <conditionalFormatting sqref="AD12">
    <cfRule type="containsText" dxfId="3380" priority="9455" operator="containsText" text="GP2">
      <formula>NOT(ISERROR(SEARCH("GP2",AD12)))</formula>
    </cfRule>
    <cfRule type="containsText" dxfId="3379" priority="9456" operator="containsText" text="GP1">
      <formula>NOT(ISERROR(SEARCH("GP1",AD12)))</formula>
    </cfRule>
  </conditionalFormatting>
  <conditionalFormatting sqref="AD12">
    <cfRule type="containsText" dxfId="3378" priority="9453" operator="containsText" text="GP2">
      <formula>NOT(ISERROR(SEARCH("GP2",AD12)))</formula>
    </cfRule>
    <cfRule type="containsText" dxfId="3377" priority="9454" operator="containsText" text="GP1">
      <formula>NOT(ISERROR(SEARCH("GP1",AD12)))</formula>
    </cfRule>
  </conditionalFormatting>
  <conditionalFormatting sqref="AD12">
    <cfRule type="containsText" dxfId="3376" priority="9451" operator="containsText" text="GP2">
      <formula>NOT(ISERROR(SEARCH("GP2",AD12)))</formula>
    </cfRule>
    <cfRule type="containsText" dxfId="3375" priority="9452" operator="containsText" text="GP1">
      <formula>NOT(ISERROR(SEARCH("GP1",AD12)))</formula>
    </cfRule>
  </conditionalFormatting>
  <conditionalFormatting sqref="AD12">
    <cfRule type="containsText" dxfId="3374" priority="9449" operator="containsText" text="GP2">
      <formula>NOT(ISERROR(SEARCH("GP2",AD12)))</formula>
    </cfRule>
    <cfRule type="containsText" dxfId="3373" priority="9450" operator="containsText" text="GP1">
      <formula>NOT(ISERROR(SEARCH("GP1",AD12)))</formula>
    </cfRule>
  </conditionalFormatting>
  <conditionalFormatting sqref="AD12">
    <cfRule type="containsText" dxfId="3372" priority="9447" operator="containsText" text="GP2">
      <formula>NOT(ISERROR(SEARCH("GP2",AD12)))</formula>
    </cfRule>
    <cfRule type="containsText" dxfId="3371" priority="9448" operator="containsText" text="GP1">
      <formula>NOT(ISERROR(SEARCH("GP1",AD12)))</formula>
    </cfRule>
  </conditionalFormatting>
  <conditionalFormatting sqref="AD12">
    <cfRule type="containsText" dxfId="3370" priority="9445" operator="containsText" text="GP2">
      <formula>NOT(ISERROR(SEARCH("GP2",AD12)))</formula>
    </cfRule>
    <cfRule type="containsText" dxfId="3369" priority="9446" operator="containsText" text="GP1">
      <formula>NOT(ISERROR(SEARCH("GP1",AD12)))</formula>
    </cfRule>
  </conditionalFormatting>
  <conditionalFormatting sqref="AD12">
    <cfRule type="containsText" dxfId="3368" priority="9443" operator="containsText" text="GP2">
      <formula>NOT(ISERROR(SEARCH("GP2",AD12)))</formula>
    </cfRule>
    <cfRule type="containsText" dxfId="3367" priority="9444" operator="containsText" text="GP1">
      <formula>NOT(ISERROR(SEARCH("GP1",AD12)))</formula>
    </cfRule>
  </conditionalFormatting>
  <conditionalFormatting sqref="AD12">
    <cfRule type="containsText" dxfId="3366" priority="9441" operator="containsText" text="GP2">
      <formula>NOT(ISERROR(SEARCH("GP2",AD12)))</formula>
    </cfRule>
    <cfRule type="containsText" dxfId="3365" priority="9442" operator="containsText" text="GP1">
      <formula>NOT(ISERROR(SEARCH("GP1",AD12)))</formula>
    </cfRule>
  </conditionalFormatting>
  <conditionalFormatting sqref="AD12">
    <cfRule type="containsText" dxfId="3364" priority="9439" operator="containsText" text="GP2">
      <formula>NOT(ISERROR(SEARCH("GP2",AD12)))</formula>
    </cfRule>
    <cfRule type="containsText" dxfId="3363" priority="9440" operator="containsText" text="GP1">
      <formula>NOT(ISERROR(SEARCH("GP1",AD12)))</formula>
    </cfRule>
  </conditionalFormatting>
  <conditionalFormatting sqref="AD12">
    <cfRule type="containsText" dxfId="3362" priority="9437" operator="containsText" text="GP2">
      <formula>NOT(ISERROR(SEARCH("GP2",AD12)))</formula>
    </cfRule>
    <cfRule type="containsText" dxfId="3361" priority="9438" operator="containsText" text="GP1">
      <formula>NOT(ISERROR(SEARCH("GP1",AD12)))</formula>
    </cfRule>
  </conditionalFormatting>
  <conditionalFormatting sqref="AD12">
    <cfRule type="containsText" dxfId="3360" priority="9435" operator="containsText" text="GP2">
      <formula>NOT(ISERROR(SEARCH("GP2",AD12)))</formula>
    </cfRule>
    <cfRule type="containsText" dxfId="3359" priority="9436" operator="containsText" text="GP1">
      <formula>NOT(ISERROR(SEARCH("GP1",AD12)))</formula>
    </cfRule>
  </conditionalFormatting>
  <conditionalFormatting sqref="AD12">
    <cfRule type="containsText" dxfId="3358" priority="9433" operator="containsText" text="GP2">
      <formula>NOT(ISERROR(SEARCH("GP2",AD12)))</formula>
    </cfRule>
    <cfRule type="containsText" dxfId="3357" priority="9434" operator="containsText" text="GP1">
      <formula>NOT(ISERROR(SEARCH("GP1",AD12)))</formula>
    </cfRule>
  </conditionalFormatting>
  <conditionalFormatting sqref="AD12">
    <cfRule type="containsText" dxfId="3356" priority="9431" operator="containsText" text="GP2">
      <formula>NOT(ISERROR(SEARCH("GP2",AD12)))</formula>
    </cfRule>
    <cfRule type="containsText" dxfId="3355" priority="9432" operator="containsText" text="GP1">
      <formula>NOT(ISERROR(SEARCH("GP1",AD12)))</formula>
    </cfRule>
  </conditionalFormatting>
  <conditionalFormatting sqref="AD12">
    <cfRule type="containsText" dxfId="3354" priority="9429" operator="containsText" text="GP2">
      <formula>NOT(ISERROR(SEARCH("GP2",AD12)))</formula>
    </cfRule>
    <cfRule type="containsText" dxfId="3353" priority="9430" operator="containsText" text="GP1">
      <formula>NOT(ISERROR(SEARCH("GP1",AD12)))</formula>
    </cfRule>
  </conditionalFormatting>
  <conditionalFormatting sqref="AD12">
    <cfRule type="containsText" dxfId="3352" priority="9427" operator="containsText" text="GP2">
      <formula>NOT(ISERROR(SEARCH("GP2",AD12)))</formula>
    </cfRule>
    <cfRule type="containsText" dxfId="3351" priority="9428" operator="containsText" text="GP1">
      <formula>NOT(ISERROR(SEARCH("GP1",AD12)))</formula>
    </cfRule>
  </conditionalFormatting>
  <conditionalFormatting sqref="AD12">
    <cfRule type="containsText" dxfId="3350" priority="9425" operator="containsText" text="GP2">
      <formula>NOT(ISERROR(SEARCH("GP2",AD12)))</formula>
    </cfRule>
    <cfRule type="containsText" dxfId="3349" priority="9426" operator="containsText" text="GP1">
      <formula>NOT(ISERROR(SEARCH("GP1",AD12)))</formula>
    </cfRule>
  </conditionalFormatting>
  <conditionalFormatting sqref="AD12">
    <cfRule type="containsText" dxfId="3348" priority="9423" operator="containsText" text="GP2">
      <formula>NOT(ISERROR(SEARCH("GP2",AD12)))</formula>
    </cfRule>
    <cfRule type="containsText" dxfId="3347" priority="9424" operator="containsText" text="GP1">
      <formula>NOT(ISERROR(SEARCH("GP1",AD12)))</formula>
    </cfRule>
  </conditionalFormatting>
  <conditionalFormatting sqref="AD12">
    <cfRule type="containsText" dxfId="3346" priority="9421" operator="containsText" text="GP2">
      <formula>NOT(ISERROR(SEARCH("GP2",AD12)))</formula>
    </cfRule>
    <cfRule type="containsText" dxfId="3345" priority="9422" operator="containsText" text="GP1">
      <formula>NOT(ISERROR(SEARCH("GP1",AD12)))</formula>
    </cfRule>
  </conditionalFormatting>
  <conditionalFormatting sqref="AD12">
    <cfRule type="containsText" dxfId="3344" priority="9419" operator="containsText" text="GP2">
      <formula>NOT(ISERROR(SEARCH("GP2",AD12)))</formula>
    </cfRule>
    <cfRule type="containsText" dxfId="3343" priority="9420" operator="containsText" text="GP1">
      <formula>NOT(ISERROR(SEARCH("GP1",AD12)))</formula>
    </cfRule>
  </conditionalFormatting>
  <conditionalFormatting sqref="AD12">
    <cfRule type="containsText" dxfId="3342" priority="9417" operator="containsText" text="GP2">
      <formula>NOT(ISERROR(SEARCH("GP2",AD12)))</formula>
    </cfRule>
    <cfRule type="containsText" dxfId="3341" priority="9418" operator="containsText" text="GP1">
      <formula>NOT(ISERROR(SEARCH("GP1",AD12)))</formula>
    </cfRule>
  </conditionalFormatting>
  <conditionalFormatting sqref="AD12">
    <cfRule type="containsText" dxfId="3340" priority="9415" operator="containsText" text="GP2">
      <formula>NOT(ISERROR(SEARCH("GP2",AD12)))</formula>
    </cfRule>
    <cfRule type="containsText" dxfId="3339" priority="9416" operator="containsText" text="GP1">
      <formula>NOT(ISERROR(SEARCH("GP1",AD12)))</formula>
    </cfRule>
  </conditionalFormatting>
  <conditionalFormatting sqref="AD12">
    <cfRule type="containsText" dxfId="3338" priority="9413" operator="containsText" text="GP2">
      <formula>NOT(ISERROR(SEARCH("GP2",AD12)))</formula>
    </cfRule>
    <cfRule type="containsText" dxfId="3337" priority="9414" operator="containsText" text="GP1">
      <formula>NOT(ISERROR(SEARCH("GP1",AD12)))</formula>
    </cfRule>
  </conditionalFormatting>
  <conditionalFormatting sqref="AD12">
    <cfRule type="containsText" dxfId="3336" priority="9411" operator="containsText" text="GP2">
      <formula>NOT(ISERROR(SEARCH("GP2",AD12)))</formula>
    </cfRule>
    <cfRule type="containsText" dxfId="3335" priority="9412" operator="containsText" text="GP1">
      <formula>NOT(ISERROR(SEARCH("GP1",AD12)))</formula>
    </cfRule>
  </conditionalFormatting>
  <conditionalFormatting sqref="AD12">
    <cfRule type="containsText" dxfId="3334" priority="9409" operator="containsText" text="GP2">
      <formula>NOT(ISERROR(SEARCH("GP2",AD12)))</formula>
    </cfRule>
    <cfRule type="containsText" dxfId="3333" priority="9410" operator="containsText" text="GP1">
      <formula>NOT(ISERROR(SEARCH("GP1",AD12)))</formula>
    </cfRule>
  </conditionalFormatting>
  <conditionalFormatting sqref="AD12">
    <cfRule type="containsText" dxfId="3332" priority="9407" operator="containsText" text="GP2">
      <formula>NOT(ISERROR(SEARCH("GP2",AD12)))</formula>
    </cfRule>
    <cfRule type="containsText" dxfId="3331" priority="9408" operator="containsText" text="GP1">
      <formula>NOT(ISERROR(SEARCH("GP1",AD12)))</formula>
    </cfRule>
  </conditionalFormatting>
  <conditionalFormatting sqref="AD12">
    <cfRule type="containsText" dxfId="3330" priority="9405" operator="containsText" text="GP2">
      <formula>NOT(ISERROR(SEARCH("GP2",AD12)))</formula>
    </cfRule>
    <cfRule type="containsText" dxfId="3329" priority="9406" operator="containsText" text="GP1">
      <formula>NOT(ISERROR(SEARCH("GP1",AD12)))</formula>
    </cfRule>
  </conditionalFormatting>
  <conditionalFormatting sqref="AD12">
    <cfRule type="containsText" dxfId="3328" priority="9403" operator="containsText" text="GP2">
      <formula>NOT(ISERROR(SEARCH("GP2",AD12)))</formula>
    </cfRule>
    <cfRule type="containsText" dxfId="3327" priority="9404" operator="containsText" text="GP1">
      <formula>NOT(ISERROR(SEARCH("GP1",AD12)))</formula>
    </cfRule>
  </conditionalFormatting>
  <conditionalFormatting sqref="AD12">
    <cfRule type="containsText" dxfId="3326" priority="9401" operator="containsText" text="GP2">
      <formula>NOT(ISERROR(SEARCH("GP2",AD12)))</formula>
    </cfRule>
    <cfRule type="containsText" dxfId="3325" priority="9402" operator="containsText" text="GP1">
      <formula>NOT(ISERROR(SEARCH("GP1",AD12)))</formula>
    </cfRule>
  </conditionalFormatting>
  <conditionalFormatting sqref="AD12">
    <cfRule type="containsText" dxfId="3324" priority="9399" operator="containsText" text="GP2">
      <formula>NOT(ISERROR(SEARCH("GP2",AD12)))</formula>
    </cfRule>
    <cfRule type="containsText" dxfId="3323" priority="9400" operator="containsText" text="GP1">
      <formula>NOT(ISERROR(SEARCH("GP1",AD12)))</formula>
    </cfRule>
  </conditionalFormatting>
  <conditionalFormatting sqref="AD12">
    <cfRule type="containsText" dxfId="3322" priority="9397" operator="containsText" text="GP2">
      <formula>NOT(ISERROR(SEARCH("GP2",AD12)))</formula>
    </cfRule>
    <cfRule type="containsText" dxfId="3321" priority="9398" operator="containsText" text="GP1">
      <formula>NOT(ISERROR(SEARCH("GP1",AD12)))</formula>
    </cfRule>
  </conditionalFormatting>
  <conditionalFormatting sqref="AD12">
    <cfRule type="containsText" dxfId="3320" priority="9395" operator="containsText" text="GP2">
      <formula>NOT(ISERROR(SEARCH("GP2",AD12)))</formula>
    </cfRule>
    <cfRule type="containsText" dxfId="3319" priority="9396" operator="containsText" text="GP1">
      <formula>NOT(ISERROR(SEARCH("GP1",AD12)))</formula>
    </cfRule>
  </conditionalFormatting>
  <conditionalFormatting sqref="N13">
    <cfRule type="containsBlanks" dxfId="3318" priority="9379">
      <formula>LEN(TRIM(N13))=0</formula>
    </cfRule>
  </conditionalFormatting>
  <conditionalFormatting sqref="N13">
    <cfRule type="containsBlanks" dxfId="3317" priority="9378">
      <formula>LEN(TRIM(N13))=0</formula>
    </cfRule>
  </conditionalFormatting>
  <conditionalFormatting sqref="N13">
    <cfRule type="containsBlanks" dxfId="3316" priority="9377">
      <formula>LEN(TRIM(N13))=0</formula>
    </cfRule>
  </conditionalFormatting>
  <conditionalFormatting sqref="N13">
    <cfRule type="containsBlanks" dxfId="3315" priority="9376">
      <formula>LEN(TRIM(N13))=0</formula>
    </cfRule>
  </conditionalFormatting>
  <conditionalFormatting sqref="N13">
    <cfRule type="containsBlanks" dxfId="3314" priority="9375">
      <formula>LEN(TRIM(N13))=0</formula>
    </cfRule>
  </conditionalFormatting>
  <conditionalFormatting sqref="N13">
    <cfRule type="containsBlanks" dxfId="3313" priority="9374">
      <formula>LEN(TRIM(N13))=0</formula>
    </cfRule>
  </conditionalFormatting>
  <conditionalFormatting sqref="N13">
    <cfRule type="containsBlanks" dxfId="3312" priority="9373">
      <formula>LEN(TRIM(N13))=0</formula>
    </cfRule>
  </conditionalFormatting>
  <conditionalFormatting sqref="N13">
    <cfRule type="containsBlanks" dxfId="3311" priority="9372">
      <formula>LEN(TRIM(N13))=0</formula>
    </cfRule>
  </conditionalFormatting>
  <conditionalFormatting sqref="AD12">
    <cfRule type="containsText" dxfId="3310" priority="9366" operator="containsText" text="GP2">
      <formula>NOT(ISERROR(SEARCH("GP2",AD12)))</formula>
    </cfRule>
    <cfRule type="containsText" dxfId="3309" priority="9367" operator="containsText" text="GP1">
      <formula>NOT(ISERROR(SEARCH("GP1",AD12)))</formula>
    </cfRule>
  </conditionalFormatting>
  <conditionalFormatting sqref="AD12">
    <cfRule type="containsText" dxfId="3308" priority="9364" operator="containsText" text="GP2">
      <formula>NOT(ISERROR(SEARCH("GP2",AD12)))</formula>
    </cfRule>
    <cfRule type="containsText" dxfId="3307" priority="9365" operator="containsText" text="GP1">
      <formula>NOT(ISERROR(SEARCH("GP1",AD12)))</formula>
    </cfRule>
  </conditionalFormatting>
  <conditionalFormatting sqref="AD12">
    <cfRule type="containsText" dxfId="3306" priority="9362" operator="containsText" text="GP2">
      <formula>NOT(ISERROR(SEARCH("GP2",AD12)))</formula>
    </cfRule>
    <cfRule type="containsText" dxfId="3305" priority="9363" operator="containsText" text="GP1">
      <formula>NOT(ISERROR(SEARCH("GP1",AD12)))</formula>
    </cfRule>
  </conditionalFormatting>
  <conditionalFormatting sqref="AD12">
    <cfRule type="containsText" dxfId="3304" priority="9360" operator="containsText" text="GP2">
      <formula>NOT(ISERROR(SEARCH("GP2",AD12)))</formula>
    </cfRule>
    <cfRule type="containsText" dxfId="3303" priority="9361" operator="containsText" text="GP1">
      <formula>NOT(ISERROR(SEARCH("GP1",AD12)))</formula>
    </cfRule>
  </conditionalFormatting>
  <conditionalFormatting sqref="AD12">
    <cfRule type="containsText" dxfId="3302" priority="9358" operator="containsText" text="GP2">
      <formula>NOT(ISERROR(SEARCH("GP2",AD12)))</formula>
    </cfRule>
    <cfRule type="containsText" dxfId="3301" priority="9359" operator="containsText" text="GP1">
      <formula>NOT(ISERROR(SEARCH("GP1",AD12)))</formula>
    </cfRule>
  </conditionalFormatting>
  <conditionalFormatting sqref="AD12">
    <cfRule type="containsText" dxfId="3300" priority="9356" operator="containsText" text="GP2">
      <formula>NOT(ISERROR(SEARCH("GP2",AD12)))</formula>
    </cfRule>
    <cfRule type="containsText" dxfId="3299" priority="9357" operator="containsText" text="GP1">
      <formula>NOT(ISERROR(SEARCH("GP1",AD12)))</formula>
    </cfRule>
  </conditionalFormatting>
  <conditionalFormatting sqref="AD12">
    <cfRule type="containsText" dxfId="3298" priority="9370" operator="containsText" text="GP2">
      <formula>NOT(ISERROR(SEARCH("GP2",AD12)))</formula>
    </cfRule>
    <cfRule type="containsText" dxfId="3297" priority="9371" operator="containsText" text="GP1">
      <formula>NOT(ISERROR(SEARCH("GP1",AD12)))</formula>
    </cfRule>
  </conditionalFormatting>
  <conditionalFormatting sqref="AD12">
    <cfRule type="containsText" dxfId="3296" priority="9368" operator="containsText" text="GP2">
      <formula>NOT(ISERROR(SEARCH("GP2",AD12)))</formula>
    </cfRule>
    <cfRule type="containsText" dxfId="3295" priority="9369" operator="containsText" text="GP1">
      <formula>NOT(ISERROR(SEARCH("GP1",AD12)))</formula>
    </cfRule>
  </conditionalFormatting>
  <conditionalFormatting sqref="AD12">
    <cfRule type="containsText" dxfId="3294" priority="9354" operator="containsText" text="GP2">
      <formula>NOT(ISERROR(SEARCH("GP2",AD12)))</formula>
    </cfRule>
    <cfRule type="containsText" dxfId="3293" priority="9355" operator="containsText" text="GP1">
      <formula>NOT(ISERROR(SEARCH("GP1",AD12)))</formula>
    </cfRule>
  </conditionalFormatting>
  <conditionalFormatting sqref="AD12">
    <cfRule type="containsText" dxfId="3292" priority="9352" operator="containsText" text="GP2">
      <formula>NOT(ISERROR(SEARCH("GP2",AD12)))</formula>
    </cfRule>
    <cfRule type="containsText" dxfId="3291" priority="9353" operator="containsText" text="GP1">
      <formula>NOT(ISERROR(SEARCH("GP1",AD12)))</formula>
    </cfRule>
  </conditionalFormatting>
  <conditionalFormatting sqref="AD12">
    <cfRule type="containsText" dxfId="3290" priority="9350" operator="containsText" text="GP2">
      <formula>NOT(ISERROR(SEARCH("GP2",AD12)))</formula>
    </cfRule>
    <cfRule type="containsText" dxfId="3289" priority="9351" operator="containsText" text="GP1">
      <formula>NOT(ISERROR(SEARCH("GP1",AD12)))</formula>
    </cfRule>
  </conditionalFormatting>
  <conditionalFormatting sqref="AD12">
    <cfRule type="containsText" dxfId="3288" priority="9348" operator="containsText" text="GP2">
      <formula>NOT(ISERROR(SEARCH("GP2",AD12)))</formula>
    </cfRule>
    <cfRule type="containsText" dxfId="3287" priority="9349" operator="containsText" text="GP1">
      <formula>NOT(ISERROR(SEARCH("GP1",AD12)))</formula>
    </cfRule>
  </conditionalFormatting>
  <conditionalFormatting sqref="AD12">
    <cfRule type="containsText" dxfId="3286" priority="9346" operator="containsText" text="GP2">
      <formula>NOT(ISERROR(SEARCH("GP2",AD12)))</formula>
    </cfRule>
    <cfRule type="containsText" dxfId="3285" priority="9347" operator="containsText" text="GP1">
      <formula>NOT(ISERROR(SEARCH("GP1",AD12)))</formula>
    </cfRule>
  </conditionalFormatting>
  <conditionalFormatting sqref="AD12">
    <cfRule type="containsText" dxfId="3284" priority="9344" operator="containsText" text="GP2">
      <formula>NOT(ISERROR(SEARCH("GP2",AD12)))</formula>
    </cfRule>
    <cfRule type="containsText" dxfId="3283" priority="9345" operator="containsText" text="GP1">
      <formula>NOT(ISERROR(SEARCH("GP1",AD12)))</formula>
    </cfRule>
  </conditionalFormatting>
  <conditionalFormatting sqref="AD12">
    <cfRule type="containsText" dxfId="3282" priority="9342" operator="containsText" text="GP2">
      <formula>NOT(ISERROR(SEARCH("GP2",AD12)))</formula>
    </cfRule>
    <cfRule type="containsText" dxfId="3281" priority="9343" operator="containsText" text="GP1">
      <formula>NOT(ISERROR(SEARCH("GP1",AD12)))</formula>
    </cfRule>
  </conditionalFormatting>
  <conditionalFormatting sqref="AD12">
    <cfRule type="containsText" dxfId="3280" priority="9340" operator="containsText" text="GP2">
      <formula>NOT(ISERROR(SEARCH("GP2",AD12)))</formula>
    </cfRule>
    <cfRule type="containsText" dxfId="3279" priority="9341" operator="containsText" text="GP1">
      <formula>NOT(ISERROR(SEARCH("GP1",AD12)))</formula>
    </cfRule>
  </conditionalFormatting>
  <conditionalFormatting sqref="AD12">
    <cfRule type="containsText" dxfId="3278" priority="9338" operator="containsText" text="GP2">
      <formula>NOT(ISERROR(SEARCH("GP2",AD12)))</formula>
    </cfRule>
    <cfRule type="containsText" dxfId="3277" priority="9339" operator="containsText" text="GP1">
      <formula>NOT(ISERROR(SEARCH("GP1",AD12)))</formula>
    </cfRule>
  </conditionalFormatting>
  <conditionalFormatting sqref="AD12">
    <cfRule type="containsText" dxfId="3276" priority="9336" operator="containsText" text="GP2">
      <formula>NOT(ISERROR(SEARCH("GP2",AD12)))</formula>
    </cfRule>
    <cfRule type="containsText" dxfId="3275" priority="9337" operator="containsText" text="GP1">
      <formula>NOT(ISERROR(SEARCH("GP1",AD12)))</formula>
    </cfRule>
  </conditionalFormatting>
  <conditionalFormatting sqref="AD12">
    <cfRule type="containsText" dxfId="3274" priority="9334" operator="containsText" text="GP2">
      <formula>NOT(ISERROR(SEARCH("GP2",AD12)))</formula>
    </cfRule>
    <cfRule type="containsText" dxfId="3273" priority="9335" operator="containsText" text="GP1">
      <formula>NOT(ISERROR(SEARCH("GP1",AD12)))</formula>
    </cfRule>
  </conditionalFormatting>
  <conditionalFormatting sqref="AD12">
    <cfRule type="containsText" dxfId="3272" priority="9332" operator="containsText" text="GP2">
      <formula>NOT(ISERROR(SEARCH("GP2",AD12)))</formula>
    </cfRule>
    <cfRule type="containsText" dxfId="3271" priority="9333" operator="containsText" text="GP1">
      <formula>NOT(ISERROR(SEARCH("GP1",AD12)))</formula>
    </cfRule>
  </conditionalFormatting>
  <conditionalFormatting sqref="AD12">
    <cfRule type="containsText" dxfId="3270" priority="9330" operator="containsText" text="GP2">
      <formula>NOT(ISERROR(SEARCH("GP2",AD12)))</formula>
    </cfRule>
    <cfRule type="containsText" dxfId="3269" priority="9331" operator="containsText" text="GP1">
      <formula>NOT(ISERROR(SEARCH("GP1",AD12)))</formula>
    </cfRule>
  </conditionalFormatting>
  <conditionalFormatting sqref="AD12">
    <cfRule type="containsText" dxfId="3268" priority="9328" operator="containsText" text="GP2">
      <formula>NOT(ISERROR(SEARCH("GP2",AD12)))</formula>
    </cfRule>
    <cfRule type="containsText" dxfId="3267" priority="9329" operator="containsText" text="GP1">
      <formula>NOT(ISERROR(SEARCH("GP1",AD12)))</formula>
    </cfRule>
  </conditionalFormatting>
  <conditionalFormatting sqref="AD12">
    <cfRule type="containsText" dxfId="3266" priority="9326" operator="containsText" text="GP2">
      <formula>NOT(ISERROR(SEARCH("GP2",AD12)))</formula>
    </cfRule>
    <cfRule type="containsText" dxfId="3265" priority="9327" operator="containsText" text="GP1">
      <formula>NOT(ISERROR(SEARCH("GP1",AD12)))</formula>
    </cfRule>
  </conditionalFormatting>
  <conditionalFormatting sqref="AD12">
    <cfRule type="containsText" dxfId="3264" priority="9324" operator="containsText" text="GP2">
      <formula>NOT(ISERROR(SEARCH("GP2",AD12)))</formula>
    </cfRule>
    <cfRule type="containsText" dxfId="3263" priority="9325" operator="containsText" text="GP1">
      <formula>NOT(ISERROR(SEARCH("GP1",AD12)))</formula>
    </cfRule>
  </conditionalFormatting>
  <conditionalFormatting sqref="AD12">
    <cfRule type="containsText" dxfId="3262" priority="9322" operator="containsText" text="GP2">
      <formula>NOT(ISERROR(SEARCH("GP2",AD12)))</formula>
    </cfRule>
    <cfRule type="containsText" dxfId="3261" priority="9323" operator="containsText" text="GP1">
      <formula>NOT(ISERROR(SEARCH("GP1",AD12)))</formula>
    </cfRule>
  </conditionalFormatting>
  <conditionalFormatting sqref="AD12">
    <cfRule type="containsText" dxfId="3260" priority="9320" operator="containsText" text="GP2">
      <formula>NOT(ISERROR(SEARCH("GP2",AD12)))</formula>
    </cfRule>
    <cfRule type="containsText" dxfId="3259" priority="9321" operator="containsText" text="GP1">
      <formula>NOT(ISERROR(SEARCH("GP1",AD12)))</formula>
    </cfRule>
  </conditionalFormatting>
  <conditionalFormatting sqref="AD12">
    <cfRule type="containsText" dxfId="3258" priority="9318" operator="containsText" text="GP2">
      <formula>NOT(ISERROR(SEARCH("GP2",AD12)))</formula>
    </cfRule>
    <cfRule type="containsText" dxfId="3257" priority="9319" operator="containsText" text="GP1">
      <formula>NOT(ISERROR(SEARCH("GP1",AD12)))</formula>
    </cfRule>
  </conditionalFormatting>
  <conditionalFormatting sqref="AD12">
    <cfRule type="containsText" dxfId="3256" priority="9316" operator="containsText" text="GP2">
      <formula>NOT(ISERROR(SEARCH("GP2",AD12)))</formula>
    </cfRule>
    <cfRule type="containsText" dxfId="3255" priority="9317" operator="containsText" text="GP1">
      <formula>NOT(ISERROR(SEARCH("GP1",AD12)))</formula>
    </cfRule>
  </conditionalFormatting>
  <conditionalFormatting sqref="AD12">
    <cfRule type="containsText" dxfId="3254" priority="9314" operator="containsText" text="GP2">
      <formula>NOT(ISERROR(SEARCH("GP2",AD12)))</formula>
    </cfRule>
    <cfRule type="containsText" dxfId="3253" priority="9315" operator="containsText" text="GP1">
      <formula>NOT(ISERROR(SEARCH("GP1",AD12)))</formula>
    </cfRule>
  </conditionalFormatting>
  <conditionalFormatting sqref="AD12">
    <cfRule type="containsText" dxfId="3252" priority="9312" operator="containsText" text="GP2">
      <formula>NOT(ISERROR(SEARCH("GP2",AD12)))</formula>
    </cfRule>
    <cfRule type="containsText" dxfId="3251" priority="9313" operator="containsText" text="GP1">
      <formula>NOT(ISERROR(SEARCH("GP1",AD12)))</formula>
    </cfRule>
  </conditionalFormatting>
  <conditionalFormatting sqref="AD12">
    <cfRule type="containsText" dxfId="3250" priority="9310" operator="containsText" text="GP2">
      <formula>NOT(ISERROR(SEARCH("GP2",AD12)))</formula>
    </cfRule>
    <cfRule type="containsText" dxfId="3249" priority="9311" operator="containsText" text="GP1">
      <formula>NOT(ISERROR(SEARCH("GP1",AD12)))</formula>
    </cfRule>
  </conditionalFormatting>
  <conditionalFormatting sqref="AD12">
    <cfRule type="containsText" dxfId="3248" priority="9308" operator="containsText" text="GP2">
      <formula>NOT(ISERROR(SEARCH("GP2",AD12)))</formula>
    </cfRule>
    <cfRule type="containsText" dxfId="3247" priority="9309" operator="containsText" text="GP1">
      <formula>NOT(ISERROR(SEARCH("GP1",AD12)))</formula>
    </cfRule>
  </conditionalFormatting>
  <conditionalFormatting sqref="AD12">
    <cfRule type="containsText" dxfId="3246" priority="9306" operator="containsText" text="GP2">
      <formula>NOT(ISERROR(SEARCH("GP2",AD12)))</formula>
    </cfRule>
    <cfRule type="containsText" dxfId="3245" priority="9307" operator="containsText" text="GP1">
      <formula>NOT(ISERROR(SEARCH("GP1",AD12)))</formula>
    </cfRule>
  </conditionalFormatting>
  <conditionalFormatting sqref="AD12">
    <cfRule type="containsText" dxfId="3244" priority="9304" operator="containsText" text="GP2">
      <formula>NOT(ISERROR(SEARCH("GP2",AD12)))</formula>
    </cfRule>
    <cfRule type="containsText" dxfId="3243" priority="9305" operator="containsText" text="GP1">
      <formula>NOT(ISERROR(SEARCH("GP1",AD12)))</formula>
    </cfRule>
  </conditionalFormatting>
  <conditionalFormatting sqref="AD12">
    <cfRule type="containsText" dxfId="3242" priority="9302" operator="containsText" text="GP2">
      <formula>NOT(ISERROR(SEARCH("GP2",AD12)))</formula>
    </cfRule>
    <cfRule type="containsText" dxfId="3241" priority="9303" operator="containsText" text="GP1">
      <formula>NOT(ISERROR(SEARCH("GP1",AD12)))</formula>
    </cfRule>
  </conditionalFormatting>
  <conditionalFormatting sqref="AD12">
    <cfRule type="containsText" dxfId="3240" priority="9300" operator="containsText" text="GP2">
      <formula>NOT(ISERROR(SEARCH("GP2",AD12)))</formula>
    </cfRule>
    <cfRule type="containsText" dxfId="3239" priority="9301" operator="containsText" text="GP1">
      <formula>NOT(ISERROR(SEARCH("GP1",AD12)))</formula>
    </cfRule>
  </conditionalFormatting>
  <conditionalFormatting sqref="AD12">
    <cfRule type="containsText" dxfId="3238" priority="9298" operator="containsText" text="GP2">
      <formula>NOT(ISERROR(SEARCH("GP2",AD12)))</formula>
    </cfRule>
    <cfRule type="containsText" dxfId="3237" priority="9299" operator="containsText" text="GP1">
      <formula>NOT(ISERROR(SEARCH("GP1",AD12)))</formula>
    </cfRule>
  </conditionalFormatting>
  <conditionalFormatting sqref="AD12">
    <cfRule type="containsText" dxfId="3236" priority="9296" operator="containsText" text="GP2">
      <formula>NOT(ISERROR(SEARCH("GP2",AD12)))</formula>
    </cfRule>
    <cfRule type="containsText" dxfId="3235" priority="9297" operator="containsText" text="GP1">
      <formula>NOT(ISERROR(SEARCH("GP1",AD12)))</formula>
    </cfRule>
  </conditionalFormatting>
  <conditionalFormatting sqref="AD12">
    <cfRule type="containsText" dxfId="3234" priority="9294" operator="containsText" text="GP2">
      <formula>NOT(ISERROR(SEARCH("GP2",AD12)))</formula>
    </cfRule>
    <cfRule type="containsText" dxfId="3233" priority="9295" operator="containsText" text="GP1">
      <formula>NOT(ISERROR(SEARCH("GP1",AD12)))</formula>
    </cfRule>
  </conditionalFormatting>
  <conditionalFormatting sqref="AD12">
    <cfRule type="containsText" dxfId="3232" priority="9292" operator="containsText" text="GP2">
      <formula>NOT(ISERROR(SEARCH("GP2",AD12)))</formula>
    </cfRule>
    <cfRule type="containsText" dxfId="3231" priority="9293" operator="containsText" text="GP1">
      <formula>NOT(ISERROR(SEARCH("GP1",AD12)))</formula>
    </cfRule>
  </conditionalFormatting>
  <conditionalFormatting sqref="AD12">
    <cfRule type="containsText" dxfId="3230" priority="9290" operator="containsText" text="GP2">
      <formula>NOT(ISERROR(SEARCH("GP2",AD12)))</formula>
    </cfRule>
    <cfRule type="containsText" dxfId="3229" priority="9291" operator="containsText" text="GP1">
      <formula>NOT(ISERROR(SEARCH("GP1",AD12)))</formula>
    </cfRule>
  </conditionalFormatting>
  <conditionalFormatting sqref="AD12">
    <cfRule type="containsText" dxfId="3228" priority="9288" operator="containsText" text="GP2">
      <formula>NOT(ISERROR(SEARCH("GP2",AD12)))</formula>
    </cfRule>
    <cfRule type="containsText" dxfId="3227" priority="9289" operator="containsText" text="GP1">
      <formula>NOT(ISERROR(SEARCH("GP1",AD12)))</formula>
    </cfRule>
  </conditionalFormatting>
  <conditionalFormatting sqref="AD12">
    <cfRule type="containsText" dxfId="3226" priority="9286" operator="containsText" text="GP2">
      <formula>NOT(ISERROR(SEARCH("GP2",AD12)))</formula>
    </cfRule>
    <cfRule type="containsText" dxfId="3225" priority="9287" operator="containsText" text="GP1">
      <formula>NOT(ISERROR(SEARCH("GP1",AD12)))</formula>
    </cfRule>
  </conditionalFormatting>
  <conditionalFormatting sqref="AD12">
    <cfRule type="containsText" dxfId="3224" priority="9284" operator="containsText" text="GP2">
      <formula>NOT(ISERROR(SEARCH("GP2",AD12)))</formula>
    </cfRule>
    <cfRule type="containsText" dxfId="3223" priority="9285" operator="containsText" text="GP1">
      <formula>NOT(ISERROR(SEARCH("GP1",AD12)))</formula>
    </cfRule>
  </conditionalFormatting>
  <conditionalFormatting sqref="AD12">
    <cfRule type="containsText" dxfId="3222" priority="9282" operator="containsText" text="GP2">
      <formula>NOT(ISERROR(SEARCH("GP2",AD12)))</formula>
    </cfRule>
    <cfRule type="containsText" dxfId="3221" priority="9283" operator="containsText" text="GP1">
      <formula>NOT(ISERROR(SEARCH("GP1",AD12)))</formula>
    </cfRule>
  </conditionalFormatting>
  <conditionalFormatting sqref="AD12">
    <cfRule type="containsText" dxfId="3220" priority="9280" operator="containsText" text="GP2">
      <formula>NOT(ISERROR(SEARCH("GP2",AD12)))</formula>
    </cfRule>
    <cfRule type="containsText" dxfId="3219" priority="9281" operator="containsText" text="GP1">
      <formula>NOT(ISERROR(SEARCH("GP1",AD12)))</formula>
    </cfRule>
  </conditionalFormatting>
  <conditionalFormatting sqref="AD12">
    <cfRule type="containsText" dxfId="3218" priority="9278" operator="containsText" text="GP2">
      <formula>NOT(ISERROR(SEARCH("GP2",AD12)))</formula>
    </cfRule>
    <cfRule type="containsText" dxfId="3217" priority="9279" operator="containsText" text="GP1">
      <formula>NOT(ISERROR(SEARCH("GP1",AD12)))</formula>
    </cfRule>
  </conditionalFormatting>
  <conditionalFormatting sqref="AD12">
    <cfRule type="containsText" dxfId="3216" priority="9276" operator="containsText" text="GP2">
      <formula>NOT(ISERROR(SEARCH("GP2",AD12)))</formula>
    </cfRule>
    <cfRule type="containsText" dxfId="3215" priority="9277" operator="containsText" text="GP1">
      <formula>NOT(ISERROR(SEARCH("GP1",AD12)))</formula>
    </cfRule>
  </conditionalFormatting>
  <conditionalFormatting sqref="AD12">
    <cfRule type="containsText" dxfId="3214" priority="9274" operator="containsText" text="GP2">
      <formula>NOT(ISERROR(SEARCH("GP2",AD12)))</formula>
    </cfRule>
    <cfRule type="containsText" dxfId="3213" priority="9275" operator="containsText" text="GP1">
      <formula>NOT(ISERROR(SEARCH("GP1",AD12)))</formula>
    </cfRule>
  </conditionalFormatting>
  <conditionalFormatting sqref="AD12">
    <cfRule type="containsText" dxfId="3212" priority="9272" operator="containsText" text="GP2">
      <formula>NOT(ISERROR(SEARCH("GP2",AD12)))</formula>
    </cfRule>
    <cfRule type="containsText" dxfId="3211" priority="9273" operator="containsText" text="GP1">
      <formula>NOT(ISERROR(SEARCH("GP1",AD12)))</formula>
    </cfRule>
  </conditionalFormatting>
  <conditionalFormatting sqref="AD12">
    <cfRule type="containsText" dxfId="3210" priority="9270" operator="containsText" text="GP2">
      <formula>NOT(ISERROR(SEARCH("GP2",AD12)))</formula>
    </cfRule>
    <cfRule type="containsText" dxfId="3209" priority="9271" operator="containsText" text="GP1">
      <formula>NOT(ISERROR(SEARCH("GP1",AD12)))</formula>
    </cfRule>
  </conditionalFormatting>
  <conditionalFormatting sqref="AD12">
    <cfRule type="containsText" dxfId="3208" priority="9268" operator="containsText" text="GP2">
      <formula>NOT(ISERROR(SEARCH("GP2",AD12)))</formula>
    </cfRule>
    <cfRule type="containsText" dxfId="3207" priority="9269" operator="containsText" text="GP1">
      <formula>NOT(ISERROR(SEARCH("GP1",AD12)))</formula>
    </cfRule>
  </conditionalFormatting>
  <conditionalFormatting sqref="AD12">
    <cfRule type="containsText" dxfId="3206" priority="9266" operator="containsText" text="GP2">
      <formula>NOT(ISERROR(SEARCH("GP2",AD12)))</formula>
    </cfRule>
    <cfRule type="containsText" dxfId="3205" priority="9267" operator="containsText" text="GP1">
      <formula>NOT(ISERROR(SEARCH("GP1",AD12)))</formula>
    </cfRule>
  </conditionalFormatting>
  <conditionalFormatting sqref="AD12">
    <cfRule type="containsText" dxfId="3204" priority="9264" operator="containsText" text="GP2">
      <formula>NOT(ISERROR(SEARCH("GP2",AD12)))</formula>
    </cfRule>
    <cfRule type="containsText" dxfId="3203" priority="9265" operator="containsText" text="GP1">
      <formula>NOT(ISERROR(SEARCH("GP1",AD12)))</formula>
    </cfRule>
  </conditionalFormatting>
  <conditionalFormatting sqref="AD12">
    <cfRule type="containsText" dxfId="3202" priority="9262" operator="containsText" text="GP2">
      <formula>NOT(ISERROR(SEARCH("GP2",AD12)))</formula>
    </cfRule>
    <cfRule type="containsText" dxfId="3201" priority="9263" operator="containsText" text="GP1">
      <formula>NOT(ISERROR(SEARCH("GP1",AD12)))</formula>
    </cfRule>
  </conditionalFormatting>
  <conditionalFormatting sqref="AD12">
    <cfRule type="containsText" dxfId="3200" priority="9260" operator="containsText" text="GP2">
      <formula>NOT(ISERROR(SEARCH("GP2",AD12)))</formula>
    </cfRule>
    <cfRule type="containsText" dxfId="3199" priority="9261" operator="containsText" text="GP1">
      <formula>NOT(ISERROR(SEARCH("GP1",AD12)))</formula>
    </cfRule>
  </conditionalFormatting>
  <conditionalFormatting sqref="AD12">
    <cfRule type="containsText" dxfId="3198" priority="9258" operator="containsText" text="GP2">
      <formula>NOT(ISERROR(SEARCH("GP2",AD12)))</formula>
    </cfRule>
    <cfRule type="containsText" dxfId="3197" priority="9259" operator="containsText" text="GP1">
      <formula>NOT(ISERROR(SEARCH("GP1",AD12)))</formula>
    </cfRule>
  </conditionalFormatting>
  <conditionalFormatting sqref="AD12">
    <cfRule type="containsText" dxfId="3196" priority="9256" operator="containsText" text="GP2">
      <formula>NOT(ISERROR(SEARCH("GP2",AD12)))</formula>
    </cfRule>
    <cfRule type="containsText" dxfId="3195" priority="9257" operator="containsText" text="GP1">
      <formula>NOT(ISERROR(SEARCH("GP1",AD12)))</formula>
    </cfRule>
  </conditionalFormatting>
  <conditionalFormatting sqref="AD12">
    <cfRule type="containsText" dxfId="3194" priority="9254" operator="containsText" text="GP2">
      <formula>NOT(ISERROR(SEARCH("GP2",AD12)))</formula>
    </cfRule>
    <cfRule type="containsText" dxfId="3193" priority="9255" operator="containsText" text="GP1">
      <formula>NOT(ISERROR(SEARCH("GP1",AD12)))</formula>
    </cfRule>
  </conditionalFormatting>
  <conditionalFormatting sqref="AD12">
    <cfRule type="containsText" dxfId="3192" priority="9252" operator="containsText" text="GP2">
      <formula>NOT(ISERROR(SEARCH("GP2",AD12)))</formula>
    </cfRule>
    <cfRule type="containsText" dxfId="3191" priority="9253" operator="containsText" text="GP1">
      <formula>NOT(ISERROR(SEARCH("GP1",AD12)))</formula>
    </cfRule>
  </conditionalFormatting>
  <conditionalFormatting sqref="AD12">
    <cfRule type="containsText" dxfId="3190" priority="9250" operator="containsText" text="GP2">
      <formula>NOT(ISERROR(SEARCH("GP2",AD12)))</formula>
    </cfRule>
    <cfRule type="containsText" dxfId="3189" priority="9251" operator="containsText" text="GP1">
      <formula>NOT(ISERROR(SEARCH("GP1",AD12)))</formula>
    </cfRule>
  </conditionalFormatting>
  <conditionalFormatting sqref="AD12">
    <cfRule type="containsText" dxfId="3188" priority="9248" operator="containsText" text="GP2">
      <formula>NOT(ISERROR(SEARCH("GP2",AD12)))</formula>
    </cfRule>
    <cfRule type="containsText" dxfId="3187" priority="9249" operator="containsText" text="GP1">
      <formula>NOT(ISERROR(SEARCH("GP1",AD12)))</formula>
    </cfRule>
  </conditionalFormatting>
  <conditionalFormatting sqref="AD12">
    <cfRule type="containsText" dxfId="3186" priority="9246" operator="containsText" text="GP2">
      <formula>NOT(ISERROR(SEARCH("GP2",AD12)))</formula>
    </cfRule>
    <cfRule type="containsText" dxfId="3185" priority="9247" operator="containsText" text="GP1">
      <formula>NOT(ISERROR(SEARCH("GP1",AD12)))</formula>
    </cfRule>
  </conditionalFormatting>
  <conditionalFormatting sqref="AD12">
    <cfRule type="containsText" dxfId="3184" priority="9244" operator="containsText" text="GP2">
      <formula>NOT(ISERROR(SEARCH("GP2",AD12)))</formula>
    </cfRule>
    <cfRule type="containsText" dxfId="3183" priority="9245" operator="containsText" text="GP1">
      <formula>NOT(ISERROR(SEARCH("GP1",AD12)))</formula>
    </cfRule>
  </conditionalFormatting>
  <conditionalFormatting sqref="AD12">
    <cfRule type="containsText" dxfId="3182" priority="9242" operator="containsText" text="GP2">
      <formula>NOT(ISERROR(SEARCH("GP2",AD12)))</formula>
    </cfRule>
    <cfRule type="containsText" dxfId="3181" priority="9243" operator="containsText" text="GP1">
      <formula>NOT(ISERROR(SEARCH("GP1",AD12)))</formula>
    </cfRule>
  </conditionalFormatting>
  <conditionalFormatting sqref="AD12">
    <cfRule type="containsText" dxfId="3180" priority="9240" operator="containsText" text="GP2">
      <formula>NOT(ISERROR(SEARCH("GP2",AD12)))</formula>
    </cfRule>
    <cfRule type="containsText" dxfId="3179" priority="9241" operator="containsText" text="GP1">
      <formula>NOT(ISERROR(SEARCH("GP1",AD12)))</formula>
    </cfRule>
  </conditionalFormatting>
  <conditionalFormatting sqref="AD12">
    <cfRule type="containsText" dxfId="3178" priority="9238" operator="containsText" text="GP2">
      <formula>NOT(ISERROR(SEARCH("GP2",AD12)))</formula>
    </cfRule>
    <cfRule type="containsText" dxfId="3177" priority="9239" operator="containsText" text="GP1">
      <formula>NOT(ISERROR(SEARCH("GP1",AD12)))</formula>
    </cfRule>
  </conditionalFormatting>
  <conditionalFormatting sqref="AD12">
    <cfRule type="containsText" dxfId="3176" priority="9236" operator="containsText" text="GP2">
      <formula>NOT(ISERROR(SEARCH("GP2",AD12)))</formula>
    </cfRule>
    <cfRule type="containsText" dxfId="3175" priority="9237" operator="containsText" text="GP1">
      <formula>NOT(ISERROR(SEARCH("GP1",AD12)))</formula>
    </cfRule>
  </conditionalFormatting>
  <conditionalFormatting sqref="AD12">
    <cfRule type="containsText" dxfId="3174" priority="9234" operator="containsText" text="GP2">
      <formula>NOT(ISERROR(SEARCH("GP2",AD12)))</formula>
    </cfRule>
    <cfRule type="containsText" dxfId="3173" priority="9235" operator="containsText" text="GP1">
      <formula>NOT(ISERROR(SEARCH("GP1",AD12)))</formula>
    </cfRule>
  </conditionalFormatting>
  <conditionalFormatting sqref="AD12">
    <cfRule type="containsText" dxfId="3172" priority="9232" operator="containsText" text="GP2">
      <formula>NOT(ISERROR(SEARCH("GP2",AD12)))</formula>
    </cfRule>
    <cfRule type="containsText" dxfId="3171" priority="9233" operator="containsText" text="GP1">
      <formula>NOT(ISERROR(SEARCH("GP1",AD12)))</formula>
    </cfRule>
  </conditionalFormatting>
  <conditionalFormatting sqref="AD12">
    <cfRule type="containsText" dxfId="3170" priority="9230" operator="containsText" text="GP2">
      <formula>NOT(ISERROR(SEARCH("GP2",AD12)))</formula>
    </cfRule>
    <cfRule type="containsText" dxfId="3169" priority="9231" operator="containsText" text="GP1">
      <formula>NOT(ISERROR(SEARCH("GP1",AD12)))</formula>
    </cfRule>
  </conditionalFormatting>
  <conditionalFormatting sqref="AD12">
    <cfRule type="containsText" dxfId="3168" priority="9228" operator="containsText" text="GP2">
      <formula>NOT(ISERROR(SEARCH("GP2",AD12)))</formula>
    </cfRule>
    <cfRule type="containsText" dxfId="3167" priority="9229" operator="containsText" text="GP1">
      <formula>NOT(ISERROR(SEARCH("GP1",AD12)))</formula>
    </cfRule>
  </conditionalFormatting>
  <conditionalFormatting sqref="AD12">
    <cfRule type="containsText" dxfId="3166" priority="9226" operator="containsText" text="GP2">
      <formula>NOT(ISERROR(SEARCH("GP2",AD12)))</formula>
    </cfRule>
    <cfRule type="containsText" dxfId="3165" priority="9227" operator="containsText" text="GP1">
      <formula>NOT(ISERROR(SEARCH("GP1",AD12)))</formula>
    </cfRule>
  </conditionalFormatting>
  <conditionalFormatting sqref="AD12">
    <cfRule type="containsText" dxfId="3164" priority="9224" operator="containsText" text="GP2">
      <formula>NOT(ISERROR(SEARCH("GP2",AD12)))</formula>
    </cfRule>
    <cfRule type="containsText" dxfId="3163" priority="9225" operator="containsText" text="GP1">
      <formula>NOT(ISERROR(SEARCH("GP1",AD12)))</formula>
    </cfRule>
  </conditionalFormatting>
  <conditionalFormatting sqref="AD12">
    <cfRule type="containsText" dxfId="3162" priority="9222" operator="containsText" text="GP2">
      <formula>NOT(ISERROR(SEARCH("GP2",AD12)))</formula>
    </cfRule>
    <cfRule type="containsText" dxfId="3161" priority="9223" operator="containsText" text="GP1">
      <formula>NOT(ISERROR(SEARCH("GP1",AD12)))</formula>
    </cfRule>
  </conditionalFormatting>
  <conditionalFormatting sqref="AD12">
    <cfRule type="containsText" dxfId="3160" priority="9220" operator="containsText" text="GP2">
      <formula>NOT(ISERROR(SEARCH("GP2",AD12)))</formula>
    </cfRule>
    <cfRule type="containsText" dxfId="3159" priority="9221" operator="containsText" text="GP1">
      <formula>NOT(ISERROR(SEARCH("GP1",AD12)))</formula>
    </cfRule>
  </conditionalFormatting>
  <conditionalFormatting sqref="AD12">
    <cfRule type="containsText" dxfId="3158" priority="9218" operator="containsText" text="GP2">
      <formula>NOT(ISERROR(SEARCH("GP2",AD12)))</formula>
    </cfRule>
    <cfRule type="containsText" dxfId="3157" priority="9219" operator="containsText" text="GP1">
      <formula>NOT(ISERROR(SEARCH("GP1",AD12)))</formula>
    </cfRule>
  </conditionalFormatting>
  <conditionalFormatting sqref="AD12">
    <cfRule type="containsText" dxfId="3156" priority="9216" operator="containsText" text="GP2">
      <formula>NOT(ISERROR(SEARCH("GP2",AD12)))</formula>
    </cfRule>
    <cfRule type="containsText" dxfId="3155" priority="9217" operator="containsText" text="GP1">
      <formula>NOT(ISERROR(SEARCH("GP1",AD12)))</formula>
    </cfRule>
  </conditionalFormatting>
  <conditionalFormatting sqref="AD12">
    <cfRule type="containsText" dxfId="3154" priority="9214" operator="containsText" text="GP2">
      <formula>NOT(ISERROR(SEARCH("GP2",AD12)))</formula>
    </cfRule>
    <cfRule type="containsText" dxfId="3153" priority="9215" operator="containsText" text="GP1">
      <formula>NOT(ISERROR(SEARCH("GP1",AD12)))</formula>
    </cfRule>
  </conditionalFormatting>
  <conditionalFormatting sqref="AD12">
    <cfRule type="containsText" dxfId="3152" priority="9212" operator="containsText" text="GP2">
      <formula>NOT(ISERROR(SEARCH("GP2",AD12)))</formula>
    </cfRule>
    <cfRule type="containsText" dxfId="3151" priority="9213" operator="containsText" text="GP1">
      <formula>NOT(ISERROR(SEARCH("GP1",AD12)))</formula>
    </cfRule>
  </conditionalFormatting>
  <conditionalFormatting sqref="AD12">
    <cfRule type="containsText" dxfId="3150" priority="9210" operator="containsText" text="GP2">
      <formula>NOT(ISERROR(SEARCH("GP2",AD12)))</formula>
    </cfRule>
    <cfRule type="containsText" dxfId="3149" priority="9211" operator="containsText" text="GP1">
      <formula>NOT(ISERROR(SEARCH("GP1",AD12)))</formula>
    </cfRule>
  </conditionalFormatting>
  <conditionalFormatting sqref="AD12">
    <cfRule type="containsText" dxfId="3148" priority="9208" operator="containsText" text="GP2">
      <formula>NOT(ISERROR(SEARCH("GP2",AD12)))</formula>
    </cfRule>
    <cfRule type="containsText" dxfId="3147" priority="9209" operator="containsText" text="GP1">
      <formula>NOT(ISERROR(SEARCH("GP1",AD12)))</formula>
    </cfRule>
  </conditionalFormatting>
  <conditionalFormatting sqref="AD12">
    <cfRule type="containsText" dxfId="3146" priority="9206" operator="containsText" text="GP2">
      <formula>NOT(ISERROR(SEARCH("GP2",AD12)))</formula>
    </cfRule>
    <cfRule type="containsText" dxfId="3145" priority="9207" operator="containsText" text="GP1">
      <formula>NOT(ISERROR(SEARCH("GP1",AD12)))</formula>
    </cfRule>
  </conditionalFormatting>
  <conditionalFormatting sqref="AD12">
    <cfRule type="containsText" dxfId="3144" priority="9204" operator="containsText" text="GP2">
      <formula>NOT(ISERROR(SEARCH("GP2",AD12)))</formula>
    </cfRule>
    <cfRule type="containsText" dxfId="3143" priority="9205" operator="containsText" text="GP1">
      <formula>NOT(ISERROR(SEARCH("GP1",AD12)))</formula>
    </cfRule>
  </conditionalFormatting>
  <conditionalFormatting sqref="AD12">
    <cfRule type="containsText" dxfId="3142" priority="9202" operator="containsText" text="GP2">
      <formula>NOT(ISERROR(SEARCH("GP2",AD12)))</formula>
    </cfRule>
    <cfRule type="containsText" dxfId="3141" priority="9203" operator="containsText" text="GP1">
      <formula>NOT(ISERROR(SEARCH("GP1",AD12)))</formula>
    </cfRule>
  </conditionalFormatting>
  <conditionalFormatting sqref="AD12">
    <cfRule type="containsText" dxfId="3140" priority="9200" operator="containsText" text="GP2">
      <formula>NOT(ISERROR(SEARCH("GP2",AD12)))</formula>
    </cfRule>
    <cfRule type="containsText" dxfId="3139" priority="9201" operator="containsText" text="GP1">
      <formula>NOT(ISERROR(SEARCH("GP1",AD12)))</formula>
    </cfRule>
  </conditionalFormatting>
  <conditionalFormatting sqref="AD12">
    <cfRule type="containsText" dxfId="3138" priority="9198" operator="containsText" text="GP2">
      <formula>NOT(ISERROR(SEARCH("GP2",AD12)))</formula>
    </cfRule>
    <cfRule type="containsText" dxfId="3137" priority="9199" operator="containsText" text="GP1">
      <formula>NOT(ISERROR(SEARCH("GP1",AD12)))</formula>
    </cfRule>
  </conditionalFormatting>
  <conditionalFormatting sqref="AD12">
    <cfRule type="containsText" dxfId="3136" priority="9196" operator="containsText" text="GP2">
      <formula>NOT(ISERROR(SEARCH("GP2",AD12)))</formula>
    </cfRule>
    <cfRule type="containsText" dxfId="3135" priority="9197" operator="containsText" text="GP1">
      <formula>NOT(ISERROR(SEARCH("GP1",AD12)))</formula>
    </cfRule>
  </conditionalFormatting>
  <conditionalFormatting sqref="AD12">
    <cfRule type="containsText" dxfId="3134" priority="9194" operator="containsText" text="GP2">
      <formula>NOT(ISERROR(SEARCH("GP2",AD12)))</formula>
    </cfRule>
    <cfRule type="containsText" dxfId="3133" priority="9195" operator="containsText" text="GP1">
      <formula>NOT(ISERROR(SEARCH("GP1",AD12)))</formula>
    </cfRule>
  </conditionalFormatting>
  <conditionalFormatting sqref="AD12">
    <cfRule type="containsText" dxfId="3132" priority="9192" operator="containsText" text="GP2">
      <formula>NOT(ISERROR(SEARCH("GP2",AD12)))</formula>
    </cfRule>
    <cfRule type="containsText" dxfId="3131" priority="9193" operator="containsText" text="GP1">
      <formula>NOT(ISERROR(SEARCH("GP1",AD12)))</formula>
    </cfRule>
  </conditionalFormatting>
  <conditionalFormatting sqref="AD12">
    <cfRule type="containsText" dxfId="3130" priority="9190" operator="containsText" text="GP2">
      <formula>NOT(ISERROR(SEARCH("GP2",AD12)))</formula>
    </cfRule>
    <cfRule type="containsText" dxfId="3129" priority="9191" operator="containsText" text="GP1">
      <formula>NOT(ISERROR(SEARCH("GP1",AD12)))</formula>
    </cfRule>
  </conditionalFormatting>
  <conditionalFormatting sqref="AD12">
    <cfRule type="containsText" dxfId="3128" priority="9188" operator="containsText" text="GP2">
      <formula>NOT(ISERROR(SEARCH("GP2",AD12)))</formula>
    </cfRule>
    <cfRule type="containsText" dxfId="3127" priority="9189" operator="containsText" text="GP1">
      <formula>NOT(ISERROR(SEARCH("GP1",AD12)))</formula>
    </cfRule>
  </conditionalFormatting>
  <conditionalFormatting sqref="AD12">
    <cfRule type="containsText" dxfId="3126" priority="9186" operator="containsText" text="GP2">
      <formula>NOT(ISERROR(SEARCH("GP2",AD12)))</formula>
    </cfRule>
    <cfRule type="containsText" dxfId="3125" priority="9187" operator="containsText" text="GP1">
      <formula>NOT(ISERROR(SEARCH("GP1",AD12)))</formula>
    </cfRule>
  </conditionalFormatting>
  <conditionalFormatting sqref="AD12">
    <cfRule type="containsText" dxfId="3124" priority="9184" operator="containsText" text="GP2">
      <formula>NOT(ISERROR(SEARCH("GP2",AD12)))</formula>
    </cfRule>
    <cfRule type="containsText" dxfId="3123" priority="9185" operator="containsText" text="GP1">
      <formula>NOT(ISERROR(SEARCH("GP1",AD12)))</formula>
    </cfRule>
  </conditionalFormatting>
  <conditionalFormatting sqref="AD12">
    <cfRule type="containsText" dxfId="3122" priority="9182" operator="containsText" text="GP2">
      <formula>NOT(ISERROR(SEARCH("GP2",AD12)))</formula>
    </cfRule>
    <cfRule type="containsText" dxfId="3121" priority="9183" operator="containsText" text="GP1">
      <formula>NOT(ISERROR(SEARCH("GP1",AD12)))</formula>
    </cfRule>
  </conditionalFormatting>
  <conditionalFormatting sqref="AD12">
    <cfRule type="containsText" dxfId="3120" priority="9180" operator="containsText" text="GP2">
      <formula>NOT(ISERROR(SEARCH("GP2",AD12)))</formula>
    </cfRule>
    <cfRule type="containsText" dxfId="3119" priority="9181" operator="containsText" text="GP1">
      <formula>NOT(ISERROR(SEARCH("GP1",AD12)))</formula>
    </cfRule>
  </conditionalFormatting>
  <conditionalFormatting sqref="AD12">
    <cfRule type="containsText" dxfId="3118" priority="9178" operator="containsText" text="GP2">
      <formula>NOT(ISERROR(SEARCH("GP2",AD12)))</formula>
    </cfRule>
    <cfRule type="containsText" dxfId="3117" priority="9179" operator="containsText" text="GP1">
      <formula>NOT(ISERROR(SEARCH("GP1",AD12)))</formula>
    </cfRule>
  </conditionalFormatting>
  <conditionalFormatting sqref="AD12">
    <cfRule type="containsText" dxfId="3116" priority="9176" operator="containsText" text="GP2">
      <formula>NOT(ISERROR(SEARCH("GP2",AD12)))</formula>
    </cfRule>
    <cfRule type="containsText" dxfId="3115" priority="9177" operator="containsText" text="GP1">
      <formula>NOT(ISERROR(SEARCH("GP1",AD12)))</formula>
    </cfRule>
  </conditionalFormatting>
  <conditionalFormatting sqref="AD12">
    <cfRule type="containsText" dxfId="3114" priority="9174" operator="containsText" text="GP2">
      <formula>NOT(ISERROR(SEARCH("GP2",AD12)))</formula>
    </cfRule>
    <cfRule type="containsText" dxfId="3113" priority="9175" operator="containsText" text="GP1">
      <formula>NOT(ISERROR(SEARCH("GP1",AD12)))</formula>
    </cfRule>
  </conditionalFormatting>
  <conditionalFormatting sqref="AD12">
    <cfRule type="containsText" dxfId="3112" priority="9172" operator="containsText" text="GP2">
      <formula>NOT(ISERROR(SEARCH("GP2",AD12)))</formula>
    </cfRule>
    <cfRule type="containsText" dxfId="3111" priority="9173" operator="containsText" text="GP1">
      <formula>NOT(ISERROR(SEARCH("GP1",AD12)))</formula>
    </cfRule>
  </conditionalFormatting>
  <conditionalFormatting sqref="AD12">
    <cfRule type="containsText" dxfId="3110" priority="9170" operator="containsText" text="GP2">
      <formula>NOT(ISERROR(SEARCH("GP2",AD12)))</formula>
    </cfRule>
    <cfRule type="containsText" dxfId="3109" priority="9171" operator="containsText" text="GP1">
      <formula>NOT(ISERROR(SEARCH("GP1",AD12)))</formula>
    </cfRule>
  </conditionalFormatting>
  <conditionalFormatting sqref="AD12">
    <cfRule type="containsText" dxfId="3108" priority="9168" operator="containsText" text="GP2">
      <formula>NOT(ISERROR(SEARCH("GP2",AD12)))</formula>
    </cfRule>
    <cfRule type="containsText" dxfId="3107" priority="9169" operator="containsText" text="GP1">
      <formula>NOT(ISERROR(SEARCH("GP1",AD12)))</formula>
    </cfRule>
  </conditionalFormatting>
  <conditionalFormatting sqref="AD12">
    <cfRule type="containsText" dxfId="3106" priority="9166" operator="containsText" text="GP2">
      <formula>NOT(ISERROR(SEARCH("GP2",AD12)))</formula>
    </cfRule>
    <cfRule type="containsText" dxfId="3105" priority="9167" operator="containsText" text="GP1">
      <formula>NOT(ISERROR(SEARCH("GP1",AD12)))</formula>
    </cfRule>
  </conditionalFormatting>
  <conditionalFormatting sqref="AD12">
    <cfRule type="containsText" dxfId="3104" priority="9164" operator="containsText" text="GP2">
      <formula>NOT(ISERROR(SEARCH("GP2",AD12)))</formula>
    </cfRule>
    <cfRule type="containsText" dxfId="3103" priority="9165" operator="containsText" text="GP1">
      <formula>NOT(ISERROR(SEARCH("GP1",AD12)))</formula>
    </cfRule>
  </conditionalFormatting>
  <conditionalFormatting sqref="AD12">
    <cfRule type="containsText" dxfId="3102" priority="9162" operator="containsText" text="GP2">
      <formula>NOT(ISERROR(SEARCH("GP2",AD12)))</formula>
    </cfRule>
    <cfRule type="containsText" dxfId="3101" priority="9163" operator="containsText" text="GP1">
      <formula>NOT(ISERROR(SEARCH("GP1",AD12)))</formula>
    </cfRule>
  </conditionalFormatting>
  <conditionalFormatting sqref="AD12">
    <cfRule type="containsText" dxfId="3100" priority="9160" operator="containsText" text="GP2">
      <formula>NOT(ISERROR(SEARCH("GP2",AD12)))</formula>
    </cfRule>
    <cfRule type="containsText" dxfId="3099" priority="9161" operator="containsText" text="GP1">
      <formula>NOT(ISERROR(SEARCH("GP1",AD12)))</formula>
    </cfRule>
  </conditionalFormatting>
  <conditionalFormatting sqref="AD12">
    <cfRule type="containsText" dxfId="3098" priority="9158" operator="containsText" text="GP2">
      <formula>NOT(ISERROR(SEARCH("GP2",AD12)))</formula>
    </cfRule>
    <cfRule type="containsText" dxfId="3097" priority="9159" operator="containsText" text="GP1">
      <formula>NOT(ISERROR(SEARCH("GP1",AD12)))</formula>
    </cfRule>
  </conditionalFormatting>
  <conditionalFormatting sqref="AD12">
    <cfRule type="containsText" dxfId="3096" priority="9156" operator="containsText" text="GP2">
      <formula>NOT(ISERROR(SEARCH("GP2",AD12)))</formula>
    </cfRule>
    <cfRule type="containsText" dxfId="3095" priority="9157" operator="containsText" text="GP1">
      <formula>NOT(ISERROR(SEARCH("GP1",AD12)))</formula>
    </cfRule>
  </conditionalFormatting>
  <conditionalFormatting sqref="AD12">
    <cfRule type="containsText" dxfId="3094" priority="9154" operator="containsText" text="GP2">
      <formula>NOT(ISERROR(SEARCH("GP2",AD12)))</formula>
    </cfRule>
    <cfRule type="containsText" dxfId="3093" priority="9155" operator="containsText" text="GP1">
      <formula>NOT(ISERROR(SEARCH("GP1",AD12)))</formula>
    </cfRule>
  </conditionalFormatting>
  <conditionalFormatting sqref="AD12">
    <cfRule type="containsText" dxfId="3092" priority="9152" operator="containsText" text="GP2">
      <formula>NOT(ISERROR(SEARCH("GP2",AD12)))</formula>
    </cfRule>
    <cfRule type="containsText" dxfId="3091" priority="9153" operator="containsText" text="GP1">
      <formula>NOT(ISERROR(SEARCH("GP1",AD12)))</formula>
    </cfRule>
  </conditionalFormatting>
  <conditionalFormatting sqref="AD12">
    <cfRule type="containsText" dxfId="3090" priority="9150" operator="containsText" text="GP2">
      <formula>NOT(ISERROR(SEARCH("GP2",AD12)))</formula>
    </cfRule>
    <cfRule type="containsText" dxfId="3089" priority="9151" operator="containsText" text="GP1">
      <formula>NOT(ISERROR(SEARCH("GP1",AD12)))</formula>
    </cfRule>
  </conditionalFormatting>
  <conditionalFormatting sqref="AD12">
    <cfRule type="containsText" dxfId="3088" priority="9148" operator="containsText" text="GP2">
      <formula>NOT(ISERROR(SEARCH("GP2",AD12)))</formula>
    </cfRule>
    <cfRule type="containsText" dxfId="3087" priority="9149" operator="containsText" text="GP1">
      <formula>NOT(ISERROR(SEARCH("GP1",AD12)))</formula>
    </cfRule>
  </conditionalFormatting>
  <conditionalFormatting sqref="AD12">
    <cfRule type="containsText" dxfId="3086" priority="9146" operator="containsText" text="GP2">
      <formula>NOT(ISERROR(SEARCH("GP2",AD12)))</formula>
    </cfRule>
    <cfRule type="containsText" dxfId="3085" priority="9147" operator="containsText" text="GP1">
      <formula>NOT(ISERROR(SEARCH("GP1",AD12)))</formula>
    </cfRule>
  </conditionalFormatting>
  <conditionalFormatting sqref="AD12">
    <cfRule type="containsText" dxfId="3084" priority="9144" operator="containsText" text="GP2">
      <formula>NOT(ISERROR(SEARCH("GP2",AD12)))</formula>
    </cfRule>
    <cfRule type="containsText" dxfId="3083" priority="9145" operator="containsText" text="GP1">
      <formula>NOT(ISERROR(SEARCH("GP1",AD12)))</formula>
    </cfRule>
  </conditionalFormatting>
  <conditionalFormatting sqref="AD12">
    <cfRule type="containsText" dxfId="3082" priority="9142" operator="containsText" text="GP2">
      <formula>NOT(ISERROR(SEARCH("GP2",AD12)))</formula>
    </cfRule>
    <cfRule type="containsText" dxfId="3081" priority="9143" operator="containsText" text="GP1">
      <formula>NOT(ISERROR(SEARCH("GP1",AD12)))</formula>
    </cfRule>
  </conditionalFormatting>
  <conditionalFormatting sqref="AD12">
    <cfRule type="containsText" dxfId="3080" priority="9140" operator="containsText" text="GP2">
      <formula>NOT(ISERROR(SEARCH("GP2",AD12)))</formula>
    </cfRule>
    <cfRule type="containsText" dxfId="3079" priority="9141" operator="containsText" text="GP1">
      <formula>NOT(ISERROR(SEARCH("GP1",AD12)))</formula>
    </cfRule>
  </conditionalFormatting>
  <conditionalFormatting sqref="AD12">
    <cfRule type="containsText" dxfId="3078" priority="9138" operator="containsText" text="GP2">
      <formula>NOT(ISERROR(SEARCH("GP2",AD12)))</formula>
    </cfRule>
    <cfRule type="containsText" dxfId="3077" priority="9139" operator="containsText" text="GP1">
      <formula>NOT(ISERROR(SEARCH("GP1",AD12)))</formula>
    </cfRule>
  </conditionalFormatting>
  <conditionalFormatting sqref="AD12">
    <cfRule type="containsText" dxfId="3076" priority="9136" operator="containsText" text="GP2">
      <formula>NOT(ISERROR(SEARCH("GP2",AD12)))</formula>
    </cfRule>
    <cfRule type="containsText" dxfId="3075" priority="9137" operator="containsText" text="GP1">
      <formula>NOT(ISERROR(SEARCH("GP1",AD12)))</formula>
    </cfRule>
  </conditionalFormatting>
  <conditionalFormatting sqref="AD12">
    <cfRule type="containsText" dxfId="3074" priority="9134" operator="containsText" text="GP2">
      <formula>NOT(ISERROR(SEARCH("GP2",AD12)))</formula>
    </cfRule>
    <cfRule type="containsText" dxfId="3073" priority="9135" operator="containsText" text="GP1">
      <formula>NOT(ISERROR(SEARCH("GP1",AD12)))</formula>
    </cfRule>
  </conditionalFormatting>
  <conditionalFormatting sqref="AD12">
    <cfRule type="containsText" dxfId="3072" priority="9132" operator="containsText" text="GP2">
      <formula>NOT(ISERROR(SEARCH("GP2",AD12)))</formula>
    </cfRule>
    <cfRule type="containsText" dxfId="3071" priority="9133" operator="containsText" text="GP1">
      <formula>NOT(ISERROR(SEARCH("GP1",AD12)))</formula>
    </cfRule>
  </conditionalFormatting>
  <conditionalFormatting sqref="AD12">
    <cfRule type="containsText" dxfId="3070" priority="9130" operator="containsText" text="GP2">
      <formula>NOT(ISERROR(SEARCH("GP2",AD12)))</formula>
    </cfRule>
    <cfRule type="containsText" dxfId="3069" priority="9131" operator="containsText" text="GP1">
      <formula>NOT(ISERROR(SEARCH("GP1",AD12)))</formula>
    </cfRule>
  </conditionalFormatting>
  <conditionalFormatting sqref="AD12">
    <cfRule type="containsText" dxfId="3068" priority="9128" operator="containsText" text="GP2">
      <formula>NOT(ISERROR(SEARCH("GP2",AD12)))</formula>
    </cfRule>
    <cfRule type="containsText" dxfId="3067" priority="9129" operator="containsText" text="GP1">
      <formula>NOT(ISERROR(SEARCH("GP1",AD12)))</formula>
    </cfRule>
  </conditionalFormatting>
  <conditionalFormatting sqref="AD12">
    <cfRule type="containsText" dxfId="3066" priority="9126" operator="containsText" text="GP2">
      <formula>NOT(ISERROR(SEARCH("GP2",AD12)))</formula>
    </cfRule>
    <cfRule type="containsText" dxfId="3065" priority="9127" operator="containsText" text="GP1">
      <formula>NOT(ISERROR(SEARCH("GP1",AD12)))</formula>
    </cfRule>
  </conditionalFormatting>
  <conditionalFormatting sqref="AD12">
    <cfRule type="containsText" dxfId="3064" priority="9124" operator="containsText" text="GP2">
      <formula>NOT(ISERROR(SEARCH("GP2",AD12)))</formula>
    </cfRule>
    <cfRule type="containsText" dxfId="3063" priority="9125" operator="containsText" text="GP1">
      <formula>NOT(ISERROR(SEARCH("GP1",AD12)))</formula>
    </cfRule>
  </conditionalFormatting>
  <conditionalFormatting sqref="AD12">
    <cfRule type="containsText" dxfId="3062" priority="9122" operator="containsText" text="GP2">
      <formula>NOT(ISERROR(SEARCH("GP2",AD12)))</formula>
    </cfRule>
    <cfRule type="containsText" dxfId="3061" priority="9123" operator="containsText" text="GP1">
      <formula>NOT(ISERROR(SEARCH("GP1",AD12)))</formula>
    </cfRule>
  </conditionalFormatting>
  <conditionalFormatting sqref="AD12">
    <cfRule type="containsText" dxfId="3060" priority="9120" operator="containsText" text="GP2">
      <formula>NOT(ISERROR(SEARCH("GP2",AD12)))</formula>
    </cfRule>
    <cfRule type="containsText" dxfId="3059" priority="9121" operator="containsText" text="GP1">
      <formula>NOT(ISERROR(SEARCH("GP1",AD12)))</formula>
    </cfRule>
  </conditionalFormatting>
  <conditionalFormatting sqref="AD12">
    <cfRule type="containsText" dxfId="3058" priority="9118" operator="containsText" text="GP2">
      <formula>NOT(ISERROR(SEARCH("GP2",AD12)))</formula>
    </cfRule>
    <cfRule type="containsText" dxfId="3057" priority="9119" operator="containsText" text="GP1">
      <formula>NOT(ISERROR(SEARCH("GP1",AD12)))</formula>
    </cfRule>
  </conditionalFormatting>
  <conditionalFormatting sqref="AD12">
    <cfRule type="containsText" dxfId="3056" priority="9116" operator="containsText" text="GP2">
      <formula>NOT(ISERROR(SEARCH("GP2",AD12)))</formula>
    </cfRule>
    <cfRule type="containsText" dxfId="3055" priority="9117" operator="containsText" text="GP1">
      <formula>NOT(ISERROR(SEARCH("GP1",AD12)))</formula>
    </cfRule>
  </conditionalFormatting>
  <conditionalFormatting sqref="AD12">
    <cfRule type="containsText" dxfId="3054" priority="9114" operator="containsText" text="GP2">
      <formula>NOT(ISERROR(SEARCH("GP2",AD12)))</formula>
    </cfRule>
    <cfRule type="containsText" dxfId="3053" priority="9115" operator="containsText" text="GP1">
      <formula>NOT(ISERROR(SEARCH("GP1",AD12)))</formula>
    </cfRule>
  </conditionalFormatting>
  <conditionalFormatting sqref="AD12">
    <cfRule type="containsText" dxfId="3052" priority="9112" operator="containsText" text="GP2">
      <formula>NOT(ISERROR(SEARCH("GP2",AD12)))</formula>
    </cfRule>
    <cfRule type="containsText" dxfId="3051" priority="9113" operator="containsText" text="GP1">
      <formula>NOT(ISERROR(SEARCH("GP1",AD12)))</formula>
    </cfRule>
  </conditionalFormatting>
  <conditionalFormatting sqref="AD12">
    <cfRule type="containsText" dxfId="3050" priority="9110" operator="containsText" text="GP2">
      <formula>NOT(ISERROR(SEARCH("GP2",AD12)))</formula>
    </cfRule>
    <cfRule type="containsText" dxfId="3049" priority="9111" operator="containsText" text="GP1">
      <formula>NOT(ISERROR(SEARCH("GP1",AD12)))</formula>
    </cfRule>
  </conditionalFormatting>
  <conditionalFormatting sqref="AD12">
    <cfRule type="containsText" dxfId="3048" priority="9108" operator="containsText" text="GP2">
      <formula>NOT(ISERROR(SEARCH("GP2",AD12)))</formula>
    </cfRule>
    <cfRule type="containsText" dxfId="3047" priority="9109" operator="containsText" text="GP1">
      <formula>NOT(ISERROR(SEARCH("GP1",AD12)))</formula>
    </cfRule>
  </conditionalFormatting>
  <conditionalFormatting sqref="AD12">
    <cfRule type="containsText" dxfId="3046" priority="9106" operator="containsText" text="GP2">
      <formula>NOT(ISERROR(SEARCH("GP2",AD12)))</formula>
    </cfRule>
    <cfRule type="containsText" dxfId="3045" priority="9107" operator="containsText" text="GP1">
      <formula>NOT(ISERROR(SEARCH("GP1",AD12)))</formula>
    </cfRule>
  </conditionalFormatting>
  <conditionalFormatting sqref="AD12">
    <cfRule type="containsText" dxfId="3044" priority="9104" operator="containsText" text="GP2">
      <formula>NOT(ISERROR(SEARCH("GP2",AD12)))</formula>
    </cfRule>
    <cfRule type="containsText" dxfId="3043" priority="9105" operator="containsText" text="GP1">
      <formula>NOT(ISERROR(SEARCH("GP1",AD12)))</formula>
    </cfRule>
  </conditionalFormatting>
  <conditionalFormatting sqref="AD12">
    <cfRule type="containsText" dxfId="3042" priority="9102" operator="containsText" text="GP2">
      <formula>NOT(ISERROR(SEARCH("GP2",AD12)))</formula>
    </cfRule>
    <cfRule type="containsText" dxfId="3041" priority="9103" operator="containsText" text="GP1">
      <formula>NOT(ISERROR(SEARCH("GP1",AD12)))</formula>
    </cfRule>
  </conditionalFormatting>
  <conditionalFormatting sqref="AD12">
    <cfRule type="containsText" dxfId="3040" priority="9100" operator="containsText" text="GP2">
      <formula>NOT(ISERROR(SEARCH("GP2",AD12)))</formula>
    </cfRule>
    <cfRule type="containsText" dxfId="3039" priority="9101" operator="containsText" text="GP1">
      <formula>NOT(ISERROR(SEARCH("GP1",AD12)))</formula>
    </cfRule>
  </conditionalFormatting>
  <conditionalFormatting sqref="AD12">
    <cfRule type="containsText" dxfId="3038" priority="9098" operator="containsText" text="GP2">
      <formula>NOT(ISERROR(SEARCH("GP2",AD12)))</formula>
    </cfRule>
    <cfRule type="containsText" dxfId="3037" priority="9099" operator="containsText" text="GP1">
      <formula>NOT(ISERROR(SEARCH("GP1",AD12)))</formula>
    </cfRule>
  </conditionalFormatting>
  <conditionalFormatting sqref="AD12">
    <cfRule type="containsText" dxfId="3036" priority="9096" operator="containsText" text="GP2">
      <formula>NOT(ISERROR(SEARCH("GP2",AD12)))</formula>
    </cfRule>
    <cfRule type="containsText" dxfId="3035" priority="9097" operator="containsText" text="GP1">
      <formula>NOT(ISERROR(SEARCH("GP1",AD12)))</formula>
    </cfRule>
  </conditionalFormatting>
  <conditionalFormatting sqref="AD12">
    <cfRule type="containsText" dxfId="3034" priority="9094" operator="containsText" text="GP2">
      <formula>NOT(ISERROR(SEARCH("GP2",AD12)))</formula>
    </cfRule>
    <cfRule type="containsText" dxfId="3033" priority="9095" operator="containsText" text="GP1">
      <formula>NOT(ISERROR(SEARCH("GP1",AD12)))</formula>
    </cfRule>
  </conditionalFormatting>
  <conditionalFormatting sqref="AD12">
    <cfRule type="containsText" dxfId="3032" priority="9092" operator="containsText" text="GP2">
      <formula>NOT(ISERROR(SEARCH("GP2",AD12)))</formula>
    </cfRule>
    <cfRule type="containsText" dxfId="3031" priority="9093" operator="containsText" text="GP1">
      <formula>NOT(ISERROR(SEARCH("GP1",AD12)))</formula>
    </cfRule>
  </conditionalFormatting>
  <conditionalFormatting sqref="AD12">
    <cfRule type="containsText" dxfId="3030" priority="9090" operator="containsText" text="GP2">
      <formula>NOT(ISERROR(SEARCH("GP2",AD12)))</formula>
    </cfRule>
    <cfRule type="containsText" dxfId="3029" priority="9091" operator="containsText" text="GP1">
      <formula>NOT(ISERROR(SEARCH("GP1",AD12)))</formula>
    </cfRule>
  </conditionalFormatting>
  <conditionalFormatting sqref="AD12">
    <cfRule type="containsText" dxfId="3028" priority="9088" operator="containsText" text="GP2">
      <formula>NOT(ISERROR(SEARCH("GP2",AD12)))</formula>
    </cfRule>
    <cfRule type="containsText" dxfId="3027" priority="9089" operator="containsText" text="GP1">
      <formula>NOT(ISERROR(SEARCH("GP1",AD12)))</formula>
    </cfRule>
  </conditionalFormatting>
  <conditionalFormatting sqref="AD12">
    <cfRule type="containsText" dxfId="3026" priority="9086" operator="containsText" text="GP2">
      <formula>NOT(ISERROR(SEARCH("GP2",AD12)))</formula>
    </cfRule>
    <cfRule type="containsText" dxfId="3025" priority="9087" operator="containsText" text="GP1">
      <formula>NOT(ISERROR(SEARCH("GP1",AD12)))</formula>
    </cfRule>
  </conditionalFormatting>
  <conditionalFormatting sqref="AD12">
    <cfRule type="containsText" dxfId="3024" priority="9084" operator="containsText" text="GP2">
      <formula>NOT(ISERROR(SEARCH("GP2",AD12)))</formula>
    </cfRule>
    <cfRule type="containsText" dxfId="3023" priority="9085" operator="containsText" text="GP1">
      <formula>NOT(ISERROR(SEARCH("GP1",AD12)))</formula>
    </cfRule>
  </conditionalFormatting>
  <conditionalFormatting sqref="AD12">
    <cfRule type="containsText" dxfId="3022" priority="9082" operator="containsText" text="GP2">
      <formula>NOT(ISERROR(SEARCH("GP2",AD12)))</formula>
    </cfRule>
    <cfRule type="containsText" dxfId="3021" priority="9083" operator="containsText" text="GP1">
      <formula>NOT(ISERROR(SEARCH("GP1",AD12)))</formula>
    </cfRule>
  </conditionalFormatting>
  <conditionalFormatting sqref="AD12">
    <cfRule type="containsText" dxfId="3020" priority="9080" operator="containsText" text="GP2">
      <formula>NOT(ISERROR(SEARCH("GP2",AD12)))</formula>
    </cfRule>
    <cfRule type="containsText" dxfId="3019" priority="9081" operator="containsText" text="GP1">
      <formula>NOT(ISERROR(SEARCH("GP1",AD12)))</formula>
    </cfRule>
  </conditionalFormatting>
  <conditionalFormatting sqref="AD12">
    <cfRule type="containsText" dxfId="3018" priority="9078" operator="containsText" text="GP2">
      <formula>NOT(ISERROR(SEARCH("GP2",AD12)))</formula>
    </cfRule>
    <cfRule type="containsText" dxfId="3017" priority="9079" operator="containsText" text="GP1">
      <formula>NOT(ISERROR(SEARCH("GP1",AD12)))</formula>
    </cfRule>
  </conditionalFormatting>
  <conditionalFormatting sqref="AD12">
    <cfRule type="containsText" dxfId="3016" priority="9076" operator="containsText" text="GP2">
      <formula>NOT(ISERROR(SEARCH("GP2",AD12)))</formula>
    </cfRule>
    <cfRule type="containsText" dxfId="3015" priority="9077" operator="containsText" text="GP1">
      <formula>NOT(ISERROR(SEARCH("GP1",AD12)))</formula>
    </cfRule>
  </conditionalFormatting>
  <conditionalFormatting sqref="AD12">
    <cfRule type="containsText" dxfId="3014" priority="9074" operator="containsText" text="GP2">
      <formula>NOT(ISERROR(SEARCH("GP2",AD12)))</formula>
    </cfRule>
    <cfRule type="containsText" dxfId="3013" priority="9075" operator="containsText" text="GP1">
      <formula>NOT(ISERROR(SEARCH("GP1",AD12)))</formula>
    </cfRule>
  </conditionalFormatting>
  <conditionalFormatting sqref="AD12">
    <cfRule type="containsText" dxfId="3012" priority="9072" operator="containsText" text="GP2">
      <formula>NOT(ISERROR(SEARCH("GP2",AD12)))</formula>
    </cfRule>
    <cfRule type="containsText" dxfId="3011" priority="9073" operator="containsText" text="GP1">
      <formula>NOT(ISERROR(SEARCH("GP1",AD12)))</formula>
    </cfRule>
  </conditionalFormatting>
  <conditionalFormatting sqref="AD12">
    <cfRule type="containsText" dxfId="3010" priority="9070" operator="containsText" text="GP2">
      <formula>NOT(ISERROR(SEARCH("GP2",AD12)))</formula>
    </cfRule>
    <cfRule type="containsText" dxfId="3009" priority="9071" operator="containsText" text="GP1">
      <formula>NOT(ISERROR(SEARCH("GP1",AD12)))</formula>
    </cfRule>
  </conditionalFormatting>
  <conditionalFormatting sqref="AD12">
    <cfRule type="containsText" dxfId="3008" priority="9068" operator="containsText" text="GP2">
      <formula>NOT(ISERROR(SEARCH("GP2",AD12)))</formula>
    </cfRule>
    <cfRule type="containsText" dxfId="3007" priority="9069" operator="containsText" text="GP1">
      <formula>NOT(ISERROR(SEARCH("GP1",AD12)))</formula>
    </cfRule>
  </conditionalFormatting>
  <conditionalFormatting sqref="AD12">
    <cfRule type="containsText" dxfId="3006" priority="9066" operator="containsText" text="GP2">
      <formula>NOT(ISERROR(SEARCH("GP2",AD12)))</formula>
    </cfRule>
    <cfRule type="containsText" dxfId="3005" priority="9067" operator="containsText" text="GP1">
      <formula>NOT(ISERROR(SEARCH("GP1",AD12)))</formula>
    </cfRule>
  </conditionalFormatting>
  <conditionalFormatting sqref="AD12">
    <cfRule type="containsText" dxfId="3004" priority="9064" operator="containsText" text="GP2">
      <formula>NOT(ISERROR(SEARCH("GP2",AD12)))</formula>
    </cfRule>
    <cfRule type="containsText" dxfId="3003" priority="9065" operator="containsText" text="GP1">
      <formula>NOT(ISERROR(SEARCH("GP1",AD12)))</formula>
    </cfRule>
  </conditionalFormatting>
  <conditionalFormatting sqref="AD12">
    <cfRule type="containsText" dxfId="3002" priority="9062" operator="containsText" text="GP2">
      <formula>NOT(ISERROR(SEARCH("GP2",AD12)))</formula>
    </cfRule>
    <cfRule type="containsText" dxfId="3001" priority="9063" operator="containsText" text="GP1">
      <formula>NOT(ISERROR(SEARCH("GP1",AD12)))</formula>
    </cfRule>
  </conditionalFormatting>
  <conditionalFormatting sqref="AD12">
    <cfRule type="containsText" dxfId="3000" priority="9060" operator="containsText" text="GP2">
      <formula>NOT(ISERROR(SEARCH("GP2",AD12)))</formula>
    </cfRule>
    <cfRule type="containsText" dxfId="2999" priority="9061" operator="containsText" text="GP1">
      <formula>NOT(ISERROR(SEARCH("GP1",AD12)))</formula>
    </cfRule>
  </conditionalFormatting>
  <conditionalFormatting sqref="AD12">
    <cfRule type="containsText" dxfId="2998" priority="9058" operator="containsText" text="GP2">
      <formula>NOT(ISERROR(SEARCH("GP2",AD12)))</formula>
    </cfRule>
    <cfRule type="containsText" dxfId="2997" priority="9059" operator="containsText" text="GP1">
      <formula>NOT(ISERROR(SEARCH("GP1",AD12)))</formula>
    </cfRule>
  </conditionalFormatting>
  <conditionalFormatting sqref="AD12">
    <cfRule type="containsText" dxfId="2996" priority="9056" operator="containsText" text="GP2">
      <formula>NOT(ISERROR(SEARCH("GP2",AD12)))</formula>
    </cfRule>
    <cfRule type="containsText" dxfId="2995" priority="9057" operator="containsText" text="GP1">
      <formula>NOT(ISERROR(SEARCH("GP1",AD12)))</formula>
    </cfRule>
  </conditionalFormatting>
  <conditionalFormatting sqref="AD12">
    <cfRule type="containsText" dxfId="2994" priority="9054" operator="containsText" text="GP2">
      <formula>NOT(ISERROR(SEARCH("GP2",AD12)))</formula>
    </cfRule>
    <cfRule type="containsText" dxfId="2993" priority="9055" operator="containsText" text="GP1">
      <formula>NOT(ISERROR(SEARCH("GP1",AD12)))</formula>
    </cfRule>
  </conditionalFormatting>
  <conditionalFormatting sqref="AD12">
    <cfRule type="containsText" dxfId="2992" priority="9052" operator="containsText" text="GP2">
      <formula>NOT(ISERROR(SEARCH("GP2",AD12)))</formula>
    </cfRule>
    <cfRule type="containsText" dxfId="2991" priority="9053" operator="containsText" text="GP1">
      <formula>NOT(ISERROR(SEARCH("GP1",AD12)))</formula>
    </cfRule>
  </conditionalFormatting>
  <conditionalFormatting sqref="AD12">
    <cfRule type="containsText" dxfId="2990" priority="9050" operator="containsText" text="GP2">
      <formula>NOT(ISERROR(SEARCH("GP2",AD12)))</formula>
    </cfRule>
    <cfRule type="containsText" dxfId="2989" priority="9051" operator="containsText" text="GP1">
      <formula>NOT(ISERROR(SEARCH("GP1",AD12)))</formula>
    </cfRule>
  </conditionalFormatting>
  <conditionalFormatting sqref="AD12">
    <cfRule type="containsText" dxfId="2988" priority="9048" operator="containsText" text="GP2">
      <formula>NOT(ISERROR(SEARCH("GP2",AD12)))</formula>
    </cfRule>
    <cfRule type="containsText" dxfId="2987" priority="9049" operator="containsText" text="GP1">
      <formula>NOT(ISERROR(SEARCH("GP1",AD12)))</formula>
    </cfRule>
  </conditionalFormatting>
  <conditionalFormatting sqref="AD12">
    <cfRule type="containsText" dxfId="2986" priority="9046" operator="containsText" text="GP2">
      <formula>NOT(ISERROR(SEARCH("GP2",AD12)))</formula>
    </cfRule>
    <cfRule type="containsText" dxfId="2985" priority="9047" operator="containsText" text="GP1">
      <formula>NOT(ISERROR(SEARCH("GP1",AD12)))</formula>
    </cfRule>
  </conditionalFormatting>
  <conditionalFormatting sqref="AD12">
    <cfRule type="containsText" dxfId="2984" priority="9044" operator="containsText" text="GP2">
      <formula>NOT(ISERROR(SEARCH("GP2",AD12)))</formula>
    </cfRule>
    <cfRule type="containsText" dxfId="2983" priority="9045" operator="containsText" text="GP1">
      <formula>NOT(ISERROR(SEARCH("GP1",AD12)))</formula>
    </cfRule>
  </conditionalFormatting>
  <conditionalFormatting sqref="AD12">
    <cfRule type="containsText" dxfId="2982" priority="9042" operator="containsText" text="GP2">
      <formula>NOT(ISERROR(SEARCH("GP2",AD12)))</formula>
    </cfRule>
    <cfRule type="containsText" dxfId="2981" priority="9043" operator="containsText" text="GP1">
      <formula>NOT(ISERROR(SEARCH("GP1",AD12)))</formula>
    </cfRule>
  </conditionalFormatting>
  <conditionalFormatting sqref="AD12">
    <cfRule type="containsText" dxfId="2980" priority="9040" operator="containsText" text="GP2">
      <formula>NOT(ISERROR(SEARCH("GP2",AD12)))</formula>
    </cfRule>
    <cfRule type="containsText" dxfId="2979" priority="9041" operator="containsText" text="GP1">
      <formula>NOT(ISERROR(SEARCH("GP1",AD12)))</formula>
    </cfRule>
  </conditionalFormatting>
  <conditionalFormatting sqref="AD12">
    <cfRule type="containsText" dxfId="2978" priority="9038" operator="containsText" text="GP2">
      <formula>NOT(ISERROR(SEARCH("GP2",AD12)))</formula>
    </cfRule>
    <cfRule type="containsText" dxfId="2977" priority="9039" operator="containsText" text="GP1">
      <formula>NOT(ISERROR(SEARCH("GP1",AD12)))</formula>
    </cfRule>
  </conditionalFormatting>
  <conditionalFormatting sqref="AD12">
    <cfRule type="containsText" dxfId="2976" priority="9036" operator="containsText" text="GP2">
      <formula>NOT(ISERROR(SEARCH("GP2",AD12)))</formula>
    </cfRule>
    <cfRule type="containsText" dxfId="2975" priority="9037" operator="containsText" text="GP1">
      <formula>NOT(ISERROR(SEARCH("GP1",AD12)))</formula>
    </cfRule>
  </conditionalFormatting>
  <conditionalFormatting sqref="AD12">
    <cfRule type="containsText" dxfId="2974" priority="9034" operator="containsText" text="GP2">
      <formula>NOT(ISERROR(SEARCH("GP2",AD12)))</formula>
    </cfRule>
    <cfRule type="containsText" dxfId="2973" priority="9035" operator="containsText" text="GP1">
      <formula>NOT(ISERROR(SEARCH("GP1",AD12)))</formula>
    </cfRule>
  </conditionalFormatting>
  <conditionalFormatting sqref="AD12">
    <cfRule type="containsText" dxfId="2972" priority="9032" operator="containsText" text="GP2">
      <formula>NOT(ISERROR(SEARCH("GP2",AD12)))</formula>
    </cfRule>
    <cfRule type="containsText" dxfId="2971" priority="9033" operator="containsText" text="GP1">
      <formula>NOT(ISERROR(SEARCH("GP1",AD12)))</formula>
    </cfRule>
  </conditionalFormatting>
  <conditionalFormatting sqref="AD12">
    <cfRule type="containsText" dxfId="2970" priority="9030" operator="containsText" text="GP2">
      <formula>NOT(ISERROR(SEARCH("GP2",AD12)))</formula>
    </cfRule>
    <cfRule type="containsText" dxfId="2969" priority="9031" operator="containsText" text="GP1">
      <formula>NOT(ISERROR(SEARCH("GP1",AD12)))</formula>
    </cfRule>
  </conditionalFormatting>
  <conditionalFormatting sqref="AD12">
    <cfRule type="containsText" dxfId="2968" priority="9028" operator="containsText" text="GP2">
      <formula>NOT(ISERROR(SEARCH("GP2",AD12)))</formula>
    </cfRule>
    <cfRule type="containsText" dxfId="2967" priority="9029" operator="containsText" text="GP1">
      <formula>NOT(ISERROR(SEARCH("GP1",AD12)))</formula>
    </cfRule>
  </conditionalFormatting>
  <conditionalFormatting sqref="AD12">
    <cfRule type="containsText" dxfId="2966" priority="9026" operator="containsText" text="GP2">
      <formula>NOT(ISERROR(SEARCH("GP2",AD12)))</formula>
    </cfRule>
    <cfRule type="containsText" dxfId="2965" priority="9027" operator="containsText" text="GP1">
      <formula>NOT(ISERROR(SEARCH("GP1",AD12)))</formula>
    </cfRule>
  </conditionalFormatting>
  <conditionalFormatting sqref="AD12">
    <cfRule type="containsText" dxfId="2964" priority="9024" operator="containsText" text="GP2">
      <formula>NOT(ISERROR(SEARCH("GP2",AD12)))</formula>
    </cfRule>
    <cfRule type="containsText" dxfId="2963" priority="9025" operator="containsText" text="GP1">
      <formula>NOT(ISERROR(SEARCH("GP1",AD12)))</formula>
    </cfRule>
  </conditionalFormatting>
  <conditionalFormatting sqref="AD12">
    <cfRule type="containsText" dxfId="2962" priority="9022" operator="containsText" text="GP2">
      <formula>NOT(ISERROR(SEARCH("GP2",AD12)))</formula>
    </cfRule>
    <cfRule type="containsText" dxfId="2961" priority="9023" operator="containsText" text="GP1">
      <formula>NOT(ISERROR(SEARCH("GP1",AD12)))</formula>
    </cfRule>
  </conditionalFormatting>
  <conditionalFormatting sqref="AD12">
    <cfRule type="containsText" dxfId="2960" priority="9020" operator="containsText" text="GP2">
      <formula>NOT(ISERROR(SEARCH("GP2",AD12)))</formula>
    </cfRule>
    <cfRule type="containsText" dxfId="2959" priority="9021" operator="containsText" text="GP1">
      <formula>NOT(ISERROR(SEARCH("GP1",AD12)))</formula>
    </cfRule>
  </conditionalFormatting>
  <conditionalFormatting sqref="AD12">
    <cfRule type="containsText" dxfId="2958" priority="9018" operator="containsText" text="GP2">
      <formula>NOT(ISERROR(SEARCH("GP2",AD12)))</formula>
    </cfRule>
    <cfRule type="containsText" dxfId="2957" priority="9019" operator="containsText" text="GP1">
      <formula>NOT(ISERROR(SEARCH("GP1",AD12)))</formula>
    </cfRule>
  </conditionalFormatting>
  <conditionalFormatting sqref="AD12">
    <cfRule type="containsText" dxfId="2956" priority="9016" operator="containsText" text="GP2">
      <formula>NOT(ISERROR(SEARCH("GP2",AD12)))</formula>
    </cfRule>
    <cfRule type="containsText" dxfId="2955" priority="9017" operator="containsText" text="GP1">
      <formula>NOT(ISERROR(SEARCH("GP1",AD12)))</formula>
    </cfRule>
  </conditionalFormatting>
  <conditionalFormatting sqref="AD12">
    <cfRule type="containsText" dxfId="2954" priority="9014" operator="containsText" text="GP2">
      <formula>NOT(ISERROR(SEARCH("GP2",AD12)))</formula>
    </cfRule>
    <cfRule type="containsText" dxfId="2953" priority="9015" operator="containsText" text="GP1">
      <formula>NOT(ISERROR(SEARCH("GP1",AD12)))</formula>
    </cfRule>
  </conditionalFormatting>
  <conditionalFormatting sqref="AD12">
    <cfRule type="containsText" dxfId="2952" priority="9012" operator="containsText" text="GP2">
      <formula>NOT(ISERROR(SEARCH("GP2",AD12)))</formula>
    </cfRule>
    <cfRule type="containsText" dxfId="2951" priority="9013" operator="containsText" text="GP1">
      <formula>NOT(ISERROR(SEARCH("GP1",AD12)))</formula>
    </cfRule>
  </conditionalFormatting>
  <conditionalFormatting sqref="AD12">
    <cfRule type="containsText" dxfId="2950" priority="9010" operator="containsText" text="GP2">
      <formula>NOT(ISERROR(SEARCH("GP2",AD12)))</formula>
    </cfRule>
    <cfRule type="containsText" dxfId="2949" priority="9011" operator="containsText" text="GP1">
      <formula>NOT(ISERROR(SEARCH("GP1",AD12)))</formula>
    </cfRule>
  </conditionalFormatting>
  <conditionalFormatting sqref="AD12">
    <cfRule type="containsText" dxfId="2948" priority="9008" operator="containsText" text="GP2">
      <formula>NOT(ISERROR(SEARCH("GP2",AD12)))</formula>
    </cfRule>
    <cfRule type="containsText" dxfId="2947" priority="9009" operator="containsText" text="GP1">
      <formula>NOT(ISERROR(SEARCH("GP1",AD12)))</formula>
    </cfRule>
  </conditionalFormatting>
  <conditionalFormatting sqref="AD12">
    <cfRule type="containsText" dxfId="2946" priority="9006" operator="containsText" text="GP2">
      <formula>NOT(ISERROR(SEARCH("GP2",AD12)))</formula>
    </cfRule>
    <cfRule type="containsText" dxfId="2945" priority="9007" operator="containsText" text="GP1">
      <formula>NOT(ISERROR(SEARCH("GP1",AD12)))</formula>
    </cfRule>
  </conditionalFormatting>
  <conditionalFormatting sqref="AD12">
    <cfRule type="containsText" dxfId="2944" priority="9004" operator="containsText" text="GP2">
      <formula>NOT(ISERROR(SEARCH("GP2",AD12)))</formula>
    </cfRule>
    <cfRule type="containsText" dxfId="2943" priority="9005" operator="containsText" text="GP1">
      <formula>NOT(ISERROR(SEARCH("GP1",AD12)))</formula>
    </cfRule>
  </conditionalFormatting>
  <conditionalFormatting sqref="AD12">
    <cfRule type="containsText" dxfId="2942" priority="9002" operator="containsText" text="GP2">
      <formula>NOT(ISERROR(SEARCH("GP2",AD12)))</formula>
    </cfRule>
    <cfRule type="containsText" dxfId="2941" priority="9003" operator="containsText" text="GP1">
      <formula>NOT(ISERROR(SEARCH("GP1",AD12)))</formula>
    </cfRule>
  </conditionalFormatting>
  <conditionalFormatting sqref="AD12">
    <cfRule type="containsText" dxfId="2940" priority="9000" operator="containsText" text="GP2">
      <formula>NOT(ISERROR(SEARCH("GP2",AD12)))</formula>
    </cfRule>
    <cfRule type="containsText" dxfId="2939" priority="9001" operator="containsText" text="GP1">
      <formula>NOT(ISERROR(SEARCH("GP1",AD12)))</formula>
    </cfRule>
  </conditionalFormatting>
  <conditionalFormatting sqref="AD12">
    <cfRule type="containsText" dxfId="2938" priority="8998" operator="containsText" text="GP2">
      <formula>NOT(ISERROR(SEARCH("GP2",AD12)))</formula>
    </cfRule>
    <cfRule type="containsText" dxfId="2937" priority="8999" operator="containsText" text="GP1">
      <formula>NOT(ISERROR(SEARCH("GP1",AD12)))</formula>
    </cfRule>
  </conditionalFormatting>
  <conditionalFormatting sqref="AD12">
    <cfRule type="containsText" dxfId="2936" priority="8996" operator="containsText" text="GP2">
      <formula>NOT(ISERROR(SEARCH("GP2",AD12)))</formula>
    </cfRule>
    <cfRule type="containsText" dxfId="2935" priority="8997" operator="containsText" text="GP1">
      <formula>NOT(ISERROR(SEARCH("GP1",AD12)))</formula>
    </cfRule>
  </conditionalFormatting>
  <conditionalFormatting sqref="AD12">
    <cfRule type="containsText" dxfId="2934" priority="8994" operator="containsText" text="GP2">
      <formula>NOT(ISERROR(SEARCH("GP2",AD12)))</formula>
    </cfRule>
    <cfRule type="containsText" dxfId="2933" priority="8995" operator="containsText" text="GP1">
      <formula>NOT(ISERROR(SEARCH("GP1",AD12)))</formula>
    </cfRule>
  </conditionalFormatting>
  <conditionalFormatting sqref="AD12">
    <cfRule type="containsText" dxfId="2932" priority="8992" operator="containsText" text="GP2">
      <formula>NOT(ISERROR(SEARCH("GP2",AD12)))</formula>
    </cfRule>
    <cfRule type="containsText" dxfId="2931" priority="8993" operator="containsText" text="GP1">
      <formula>NOT(ISERROR(SEARCH("GP1",AD12)))</formula>
    </cfRule>
  </conditionalFormatting>
  <conditionalFormatting sqref="AD12">
    <cfRule type="containsText" dxfId="2930" priority="8990" operator="containsText" text="GP2">
      <formula>NOT(ISERROR(SEARCH("GP2",AD12)))</formula>
    </cfRule>
    <cfRule type="containsText" dxfId="2929" priority="8991" operator="containsText" text="GP1">
      <formula>NOT(ISERROR(SEARCH("GP1",AD12)))</formula>
    </cfRule>
  </conditionalFormatting>
  <conditionalFormatting sqref="AD12">
    <cfRule type="containsText" dxfId="2928" priority="8988" operator="containsText" text="GP2">
      <formula>NOT(ISERROR(SEARCH("GP2",AD12)))</formula>
    </cfRule>
    <cfRule type="containsText" dxfId="2927" priority="8989" operator="containsText" text="GP1">
      <formula>NOT(ISERROR(SEARCH("GP1",AD12)))</formula>
    </cfRule>
  </conditionalFormatting>
  <conditionalFormatting sqref="AD12">
    <cfRule type="containsText" dxfId="2926" priority="8986" operator="containsText" text="GP2">
      <formula>NOT(ISERROR(SEARCH("GP2",AD12)))</formula>
    </cfRule>
    <cfRule type="containsText" dxfId="2925" priority="8987" operator="containsText" text="GP1">
      <formula>NOT(ISERROR(SEARCH("GP1",AD12)))</formula>
    </cfRule>
  </conditionalFormatting>
  <conditionalFormatting sqref="AD12">
    <cfRule type="containsText" dxfId="2924" priority="8984" operator="containsText" text="GP2">
      <formula>NOT(ISERROR(SEARCH("GP2",AD12)))</formula>
    </cfRule>
    <cfRule type="containsText" dxfId="2923" priority="8985" operator="containsText" text="GP1">
      <formula>NOT(ISERROR(SEARCH("GP1",AD12)))</formula>
    </cfRule>
  </conditionalFormatting>
  <conditionalFormatting sqref="AD12">
    <cfRule type="containsText" dxfId="2922" priority="8982" operator="containsText" text="GP2">
      <formula>NOT(ISERROR(SEARCH("GP2",AD12)))</formula>
    </cfRule>
    <cfRule type="containsText" dxfId="2921" priority="8983" operator="containsText" text="GP1">
      <formula>NOT(ISERROR(SEARCH("GP1",AD12)))</formula>
    </cfRule>
  </conditionalFormatting>
  <conditionalFormatting sqref="AD12">
    <cfRule type="containsText" dxfId="2920" priority="8980" operator="containsText" text="GP2">
      <formula>NOT(ISERROR(SEARCH("GP2",AD12)))</formula>
    </cfRule>
    <cfRule type="containsText" dxfId="2919" priority="8981" operator="containsText" text="GP1">
      <formula>NOT(ISERROR(SEARCH("GP1",AD12)))</formula>
    </cfRule>
  </conditionalFormatting>
  <conditionalFormatting sqref="AD12">
    <cfRule type="containsText" dxfId="2918" priority="8978" operator="containsText" text="GP2">
      <formula>NOT(ISERROR(SEARCH("GP2",AD12)))</formula>
    </cfRule>
    <cfRule type="containsText" dxfId="2917" priority="8979" operator="containsText" text="GP1">
      <formula>NOT(ISERROR(SEARCH("GP1",AD12)))</formula>
    </cfRule>
  </conditionalFormatting>
  <conditionalFormatting sqref="AD12">
    <cfRule type="containsText" dxfId="2916" priority="8976" operator="containsText" text="GP2">
      <formula>NOT(ISERROR(SEARCH("GP2",AD12)))</formula>
    </cfRule>
    <cfRule type="containsText" dxfId="2915" priority="8977" operator="containsText" text="GP1">
      <formula>NOT(ISERROR(SEARCH("GP1",AD12)))</formula>
    </cfRule>
  </conditionalFormatting>
  <conditionalFormatting sqref="AD12">
    <cfRule type="containsText" dxfId="2914" priority="8974" operator="containsText" text="GP2">
      <formula>NOT(ISERROR(SEARCH("GP2",AD12)))</formula>
    </cfRule>
    <cfRule type="containsText" dxfId="2913" priority="8975" operator="containsText" text="GP1">
      <formula>NOT(ISERROR(SEARCH("GP1",AD12)))</formula>
    </cfRule>
  </conditionalFormatting>
  <conditionalFormatting sqref="AD12">
    <cfRule type="containsText" dxfId="2912" priority="8972" operator="containsText" text="GP2">
      <formula>NOT(ISERROR(SEARCH("GP2",AD12)))</formula>
    </cfRule>
    <cfRule type="containsText" dxfId="2911" priority="8973" operator="containsText" text="GP1">
      <formula>NOT(ISERROR(SEARCH("GP1",AD12)))</formula>
    </cfRule>
  </conditionalFormatting>
  <conditionalFormatting sqref="AD12">
    <cfRule type="containsText" dxfId="2910" priority="8970" operator="containsText" text="GP2">
      <formula>NOT(ISERROR(SEARCH("GP2",AD12)))</formula>
    </cfRule>
    <cfRule type="containsText" dxfId="2909" priority="8971" operator="containsText" text="GP1">
      <formula>NOT(ISERROR(SEARCH("GP1",AD12)))</formula>
    </cfRule>
  </conditionalFormatting>
  <conditionalFormatting sqref="AD12">
    <cfRule type="containsText" dxfId="2908" priority="8968" operator="containsText" text="GP2">
      <formula>NOT(ISERROR(SEARCH("GP2",AD12)))</formula>
    </cfRule>
    <cfRule type="containsText" dxfId="2907" priority="8969" operator="containsText" text="GP1">
      <formula>NOT(ISERROR(SEARCH("GP1",AD12)))</formula>
    </cfRule>
  </conditionalFormatting>
  <conditionalFormatting sqref="AD12">
    <cfRule type="containsText" dxfId="2906" priority="8966" operator="containsText" text="GP2">
      <formula>NOT(ISERROR(SEARCH("GP2",AD12)))</formula>
    </cfRule>
    <cfRule type="containsText" dxfId="2905" priority="8967" operator="containsText" text="GP1">
      <formula>NOT(ISERROR(SEARCH("GP1",AD12)))</formula>
    </cfRule>
  </conditionalFormatting>
  <conditionalFormatting sqref="AD12">
    <cfRule type="containsText" dxfId="2904" priority="8964" operator="containsText" text="GP2">
      <formula>NOT(ISERROR(SEARCH("GP2",AD12)))</formula>
    </cfRule>
    <cfRule type="containsText" dxfId="2903" priority="8965" operator="containsText" text="GP1">
      <formula>NOT(ISERROR(SEARCH("GP1",AD12)))</formula>
    </cfRule>
  </conditionalFormatting>
  <conditionalFormatting sqref="AD12">
    <cfRule type="containsText" dxfId="2902" priority="8962" operator="containsText" text="GP2">
      <formula>NOT(ISERROR(SEARCH("GP2",AD12)))</formula>
    </cfRule>
    <cfRule type="containsText" dxfId="2901" priority="8963" operator="containsText" text="GP1">
      <formula>NOT(ISERROR(SEARCH("GP1",AD12)))</formula>
    </cfRule>
  </conditionalFormatting>
  <conditionalFormatting sqref="AD12">
    <cfRule type="containsText" dxfId="2900" priority="8960" operator="containsText" text="GP2">
      <formula>NOT(ISERROR(SEARCH("GP2",AD12)))</formula>
    </cfRule>
    <cfRule type="containsText" dxfId="2899" priority="8961" operator="containsText" text="GP1">
      <formula>NOT(ISERROR(SEARCH("GP1",AD12)))</formula>
    </cfRule>
  </conditionalFormatting>
  <conditionalFormatting sqref="AD12">
    <cfRule type="containsText" dxfId="2898" priority="8958" operator="containsText" text="GP2">
      <formula>NOT(ISERROR(SEARCH("GP2",AD12)))</formula>
    </cfRule>
    <cfRule type="containsText" dxfId="2897" priority="8959" operator="containsText" text="GP1">
      <formula>NOT(ISERROR(SEARCH("GP1",AD12)))</formula>
    </cfRule>
  </conditionalFormatting>
  <conditionalFormatting sqref="AD12">
    <cfRule type="containsText" dxfId="2896" priority="8956" operator="containsText" text="GP2">
      <formula>NOT(ISERROR(SEARCH("GP2",AD12)))</formula>
    </cfRule>
    <cfRule type="containsText" dxfId="2895" priority="8957" operator="containsText" text="GP1">
      <formula>NOT(ISERROR(SEARCH("GP1",AD12)))</formula>
    </cfRule>
  </conditionalFormatting>
  <conditionalFormatting sqref="AD12">
    <cfRule type="containsText" dxfId="2894" priority="8954" operator="containsText" text="GP2">
      <formula>NOT(ISERROR(SEARCH("GP2",AD12)))</formula>
    </cfRule>
    <cfRule type="containsText" dxfId="2893" priority="8955" operator="containsText" text="GP1">
      <formula>NOT(ISERROR(SEARCH("GP1",AD12)))</formula>
    </cfRule>
  </conditionalFormatting>
  <conditionalFormatting sqref="AD12">
    <cfRule type="containsText" dxfId="2892" priority="8952" operator="containsText" text="GP2">
      <formula>NOT(ISERROR(SEARCH("GP2",AD12)))</formula>
    </cfRule>
    <cfRule type="containsText" dxfId="2891" priority="8953" operator="containsText" text="GP1">
      <formula>NOT(ISERROR(SEARCH("GP1",AD12)))</formula>
    </cfRule>
  </conditionalFormatting>
  <conditionalFormatting sqref="AD12">
    <cfRule type="containsText" dxfId="2890" priority="8950" operator="containsText" text="GP2">
      <formula>NOT(ISERROR(SEARCH("GP2",AD12)))</formula>
    </cfRule>
    <cfRule type="containsText" dxfId="2889" priority="8951" operator="containsText" text="GP1">
      <formula>NOT(ISERROR(SEARCH("GP1",AD12)))</formula>
    </cfRule>
  </conditionalFormatting>
  <conditionalFormatting sqref="AD12">
    <cfRule type="containsText" dxfId="2888" priority="8948" operator="containsText" text="GP2">
      <formula>NOT(ISERROR(SEARCH("GP2",AD12)))</formula>
    </cfRule>
    <cfRule type="containsText" dxfId="2887" priority="8949" operator="containsText" text="GP1">
      <formula>NOT(ISERROR(SEARCH("GP1",AD12)))</formula>
    </cfRule>
  </conditionalFormatting>
  <conditionalFormatting sqref="AD12">
    <cfRule type="containsText" dxfId="2886" priority="8946" operator="containsText" text="GP2">
      <formula>NOT(ISERROR(SEARCH("GP2",AD12)))</formula>
    </cfRule>
    <cfRule type="containsText" dxfId="2885" priority="8947" operator="containsText" text="GP1">
      <formula>NOT(ISERROR(SEARCH("GP1",AD12)))</formula>
    </cfRule>
  </conditionalFormatting>
  <conditionalFormatting sqref="AD12">
    <cfRule type="containsText" dxfId="2884" priority="8944" operator="containsText" text="GP2">
      <formula>NOT(ISERROR(SEARCH("GP2",AD12)))</formula>
    </cfRule>
    <cfRule type="containsText" dxfId="2883" priority="8945" operator="containsText" text="GP1">
      <formula>NOT(ISERROR(SEARCH("GP1",AD12)))</formula>
    </cfRule>
  </conditionalFormatting>
  <conditionalFormatting sqref="AD12">
    <cfRule type="containsText" dxfId="2882" priority="8942" operator="containsText" text="GP2">
      <formula>NOT(ISERROR(SEARCH("GP2",AD12)))</formula>
    </cfRule>
    <cfRule type="containsText" dxfId="2881" priority="8943" operator="containsText" text="GP1">
      <formula>NOT(ISERROR(SEARCH("GP1",AD12)))</formula>
    </cfRule>
  </conditionalFormatting>
  <conditionalFormatting sqref="AD12">
    <cfRule type="containsText" dxfId="2880" priority="8940" operator="containsText" text="GP2">
      <formula>NOT(ISERROR(SEARCH("GP2",AD12)))</formula>
    </cfRule>
    <cfRule type="containsText" dxfId="2879" priority="8941" operator="containsText" text="GP1">
      <formula>NOT(ISERROR(SEARCH("GP1",AD12)))</formula>
    </cfRule>
  </conditionalFormatting>
  <conditionalFormatting sqref="AD12">
    <cfRule type="containsText" dxfId="2878" priority="8938" operator="containsText" text="GP2">
      <formula>NOT(ISERROR(SEARCH("GP2",AD12)))</formula>
    </cfRule>
    <cfRule type="containsText" dxfId="2877" priority="8939" operator="containsText" text="GP1">
      <formula>NOT(ISERROR(SEARCH("GP1",AD12)))</formula>
    </cfRule>
  </conditionalFormatting>
  <conditionalFormatting sqref="AD12">
    <cfRule type="containsText" dxfId="2876" priority="8936" operator="containsText" text="GP2">
      <formula>NOT(ISERROR(SEARCH("GP2",AD12)))</formula>
    </cfRule>
    <cfRule type="containsText" dxfId="2875" priority="8937" operator="containsText" text="GP1">
      <formula>NOT(ISERROR(SEARCH("GP1",AD12)))</formula>
    </cfRule>
  </conditionalFormatting>
  <conditionalFormatting sqref="AD12">
    <cfRule type="containsText" dxfId="2874" priority="8934" operator="containsText" text="GP2">
      <formula>NOT(ISERROR(SEARCH("GP2",AD12)))</formula>
    </cfRule>
    <cfRule type="containsText" dxfId="2873" priority="8935" operator="containsText" text="GP1">
      <formula>NOT(ISERROR(SEARCH("GP1",AD12)))</formula>
    </cfRule>
  </conditionalFormatting>
  <conditionalFormatting sqref="AD12">
    <cfRule type="containsText" dxfId="2872" priority="8932" operator="containsText" text="GP2">
      <formula>NOT(ISERROR(SEARCH("GP2",AD12)))</formula>
    </cfRule>
    <cfRule type="containsText" dxfId="2871" priority="8933" operator="containsText" text="GP1">
      <formula>NOT(ISERROR(SEARCH("GP1",AD12)))</formula>
    </cfRule>
  </conditionalFormatting>
  <conditionalFormatting sqref="AD12">
    <cfRule type="containsText" dxfId="2870" priority="8930" operator="containsText" text="GP2">
      <formula>NOT(ISERROR(SEARCH("GP2",AD12)))</formula>
    </cfRule>
    <cfRule type="containsText" dxfId="2869" priority="8931" operator="containsText" text="GP1">
      <formula>NOT(ISERROR(SEARCH("GP1",AD12)))</formula>
    </cfRule>
  </conditionalFormatting>
  <conditionalFormatting sqref="AD12">
    <cfRule type="containsText" dxfId="2868" priority="8928" operator="containsText" text="GP2">
      <formula>NOT(ISERROR(SEARCH("GP2",AD12)))</formula>
    </cfRule>
    <cfRule type="containsText" dxfId="2867" priority="8929" operator="containsText" text="GP1">
      <formula>NOT(ISERROR(SEARCH("GP1",AD12)))</formula>
    </cfRule>
  </conditionalFormatting>
  <conditionalFormatting sqref="AD12">
    <cfRule type="containsText" dxfId="2866" priority="8926" operator="containsText" text="GP2">
      <formula>NOT(ISERROR(SEARCH("GP2",AD12)))</formula>
    </cfRule>
    <cfRule type="containsText" dxfId="2865" priority="8927" operator="containsText" text="GP1">
      <formula>NOT(ISERROR(SEARCH("GP1",AD12)))</formula>
    </cfRule>
  </conditionalFormatting>
  <conditionalFormatting sqref="AD12">
    <cfRule type="containsText" dxfId="2864" priority="8924" operator="containsText" text="GP2">
      <formula>NOT(ISERROR(SEARCH("GP2",AD12)))</formula>
    </cfRule>
    <cfRule type="containsText" dxfId="2863" priority="8925" operator="containsText" text="GP1">
      <formula>NOT(ISERROR(SEARCH("GP1",AD12)))</formula>
    </cfRule>
  </conditionalFormatting>
  <conditionalFormatting sqref="AD12">
    <cfRule type="containsText" dxfId="2862" priority="8922" operator="containsText" text="GP2">
      <formula>NOT(ISERROR(SEARCH("GP2",AD12)))</formula>
    </cfRule>
    <cfRule type="containsText" dxfId="2861" priority="8923" operator="containsText" text="GP1">
      <formula>NOT(ISERROR(SEARCH("GP1",AD12)))</formula>
    </cfRule>
  </conditionalFormatting>
  <conditionalFormatting sqref="AD12">
    <cfRule type="containsText" dxfId="2860" priority="8920" operator="containsText" text="GP2">
      <formula>NOT(ISERROR(SEARCH("GP2",AD12)))</formula>
    </cfRule>
    <cfRule type="containsText" dxfId="2859" priority="8921" operator="containsText" text="GP1">
      <formula>NOT(ISERROR(SEARCH("GP1",AD12)))</formula>
    </cfRule>
  </conditionalFormatting>
  <conditionalFormatting sqref="AD12">
    <cfRule type="containsText" dxfId="2858" priority="8918" operator="containsText" text="GP2">
      <formula>NOT(ISERROR(SEARCH("GP2",AD12)))</formula>
    </cfRule>
    <cfRule type="containsText" dxfId="2857" priority="8919" operator="containsText" text="GP1">
      <formula>NOT(ISERROR(SEARCH("GP1",AD12)))</formula>
    </cfRule>
  </conditionalFormatting>
  <conditionalFormatting sqref="AD12">
    <cfRule type="containsText" dxfId="2856" priority="8916" operator="containsText" text="GP2">
      <formula>NOT(ISERROR(SEARCH("GP2",AD12)))</formula>
    </cfRule>
    <cfRule type="containsText" dxfId="2855" priority="8917" operator="containsText" text="GP1">
      <formula>NOT(ISERROR(SEARCH("GP1",AD12)))</formula>
    </cfRule>
  </conditionalFormatting>
  <conditionalFormatting sqref="AD12">
    <cfRule type="containsText" dxfId="2854" priority="8914" operator="containsText" text="GP2">
      <formula>NOT(ISERROR(SEARCH("GP2",AD12)))</formula>
    </cfRule>
    <cfRule type="containsText" dxfId="2853" priority="8915" operator="containsText" text="GP1">
      <formula>NOT(ISERROR(SEARCH("GP1",AD12)))</formula>
    </cfRule>
  </conditionalFormatting>
  <conditionalFormatting sqref="AD12">
    <cfRule type="containsText" dxfId="2852" priority="8912" operator="containsText" text="GP2">
      <formula>NOT(ISERROR(SEARCH("GP2",AD12)))</formula>
    </cfRule>
    <cfRule type="containsText" dxfId="2851" priority="8913" operator="containsText" text="GP1">
      <formula>NOT(ISERROR(SEARCH("GP1",AD12)))</formula>
    </cfRule>
  </conditionalFormatting>
  <conditionalFormatting sqref="AD12">
    <cfRule type="containsText" dxfId="2850" priority="8910" operator="containsText" text="GP2">
      <formula>NOT(ISERROR(SEARCH("GP2",AD12)))</formula>
    </cfRule>
    <cfRule type="containsText" dxfId="2849" priority="8911" operator="containsText" text="GP1">
      <formula>NOT(ISERROR(SEARCH("GP1",AD12)))</formula>
    </cfRule>
  </conditionalFormatting>
  <conditionalFormatting sqref="AD12">
    <cfRule type="containsText" dxfId="2848" priority="8908" operator="containsText" text="GP2">
      <formula>NOT(ISERROR(SEARCH("GP2",AD12)))</formula>
    </cfRule>
    <cfRule type="containsText" dxfId="2847" priority="8909" operator="containsText" text="GP1">
      <formula>NOT(ISERROR(SEARCH("GP1",AD12)))</formula>
    </cfRule>
  </conditionalFormatting>
  <conditionalFormatting sqref="AD12">
    <cfRule type="containsText" dxfId="2846" priority="8906" operator="containsText" text="GP2">
      <formula>NOT(ISERROR(SEARCH("GP2",AD12)))</formula>
    </cfRule>
    <cfRule type="containsText" dxfId="2845" priority="8907" operator="containsText" text="GP1">
      <formula>NOT(ISERROR(SEARCH("GP1",AD12)))</formula>
    </cfRule>
  </conditionalFormatting>
  <conditionalFormatting sqref="AD12">
    <cfRule type="containsText" dxfId="2844" priority="8904" operator="containsText" text="GP2">
      <formula>NOT(ISERROR(SEARCH("GP2",AD12)))</formula>
    </cfRule>
    <cfRule type="containsText" dxfId="2843" priority="8905" operator="containsText" text="GP1">
      <formula>NOT(ISERROR(SEARCH("GP1",AD12)))</formula>
    </cfRule>
  </conditionalFormatting>
  <conditionalFormatting sqref="AD12">
    <cfRule type="containsText" dxfId="2842" priority="8902" operator="containsText" text="GP2">
      <formula>NOT(ISERROR(SEARCH("GP2",AD12)))</formula>
    </cfRule>
    <cfRule type="containsText" dxfId="2841" priority="8903" operator="containsText" text="GP1">
      <formula>NOT(ISERROR(SEARCH("GP1",AD12)))</formula>
    </cfRule>
  </conditionalFormatting>
  <conditionalFormatting sqref="AD12">
    <cfRule type="containsText" dxfId="2840" priority="8900" operator="containsText" text="GP2">
      <formula>NOT(ISERROR(SEARCH("GP2",AD12)))</formula>
    </cfRule>
    <cfRule type="containsText" dxfId="2839" priority="8901" operator="containsText" text="GP1">
      <formula>NOT(ISERROR(SEARCH("GP1",AD12)))</formula>
    </cfRule>
  </conditionalFormatting>
  <conditionalFormatting sqref="AD12">
    <cfRule type="containsText" dxfId="2838" priority="8898" operator="containsText" text="GP2">
      <formula>NOT(ISERROR(SEARCH("GP2",AD12)))</formula>
    </cfRule>
    <cfRule type="containsText" dxfId="2837" priority="8899" operator="containsText" text="GP1">
      <formula>NOT(ISERROR(SEARCH("GP1",AD12)))</formula>
    </cfRule>
  </conditionalFormatting>
  <conditionalFormatting sqref="AD12">
    <cfRule type="containsText" dxfId="2836" priority="8896" operator="containsText" text="GP2">
      <formula>NOT(ISERROR(SEARCH("GP2",AD12)))</formula>
    </cfRule>
    <cfRule type="containsText" dxfId="2835" priority="8897" operator="containsText" text="GP1">
      <formula>NOT(ISERROR(SEARCH("GP1",AD12)))</formula>
    </cfRule>
  </conditionalFormatting>
  <conditionalFormatting sqref="AD12">
    <cfRule type="containsText" dxfId="2834" priority="8894" operator="containsText" text="GP2">
      <formula>NOT(ISERROR(SEARCH("GP2",AD12)))</formula>
    </cfRule>
    <cfRule type="containsText" dxfId="2833" priority="8895" operator="containsText" text="GP1">
      <formula>NOT(ISERROR(SEARCH("GP1",AD12)))</formula>
    </cfRule>
  </conditionalFormatting>
  <conditionalFormatting sqref="AD12">
    <cfRule type="containsText" dxfId="2832" priority="8892" operator="containsText" text="GP2">
      <formula>NOT(ISERROR(SEARCH("GP2",AD12)))</formula>
    </cfRule>
    <cfRule type="containsText" dxfId="2831" priority="8893" operator="containsText" text="GP1">
      <formula>NOT(ISERROR(SEARCH("GP1",AD12)))</formula>
    </cfRule>
  </conditionalFormatting>
  <conditionalFormatting sqref="AD12">
    <cfRule type="containsText" dxfId="2830" priority="8890" operator="containsText" text="GP2">
      <formula>NOT(ISERROR(SEARCH("GP2",AD12)))</formula>
    </cfRule>
    <cfRule type="containsText" dxfId="2829" priority="8891" operator="containsText" text="GP1">
      <formula>NOT(ISERROR(SEARCH("GP1",AD12)))</formula>
    </cfRule>
  </conditionalFormatting>
  <conditionalFormatting sqref="AD12">
    <cfRule type="containsText" dxfId="2828" priority="8888" operator="containsText" text="GP2">
      <formula>NOT(ISERROR(SEARCH("GP2",AD12)))</formula>
    </cfRule>
    <cfRule type="containsText" dxfId="2827" priority="8889" operator="containsText" text="GP1">
      <formula>NOT(ISERROR(SEARCH("GP1",AD12)))</formula>
    </cfRule>
  </conditionalFormatting>
  <conditionalFormatting sqref="AD12">
    <cfRule type="containsText" dxfId="2826" priority="8886" operator="containsText" text="GP2">
      <formula>NOT(ISERROR(SEARCH("GP2",AD12)))</formula>
    </cfRule>
    <cfRule type="containsText" dxfId="2825" priority="8887" operator="containsText" text="GP1">
      <formula>NOT(ISERROR(SEARCH("GP1",AD12)))</formula>
    </cfRule>
  </conditionalFormatting>
  <conditionalFormatting sqref="AD12">
    <cfRule type="containsText" dxfId="2824" priority="8884" operator="containsText" text="GP2">
      <formula>NOT(ISERROR(SEARCH("GP2",AD12)))</formula>
    </cfRule>
    <cfRule type="containsText" dxfId="2823" priority="8885" operator="containsText" text="GP1">
      <formula>NOT(ISERROR(SEARCH("GP1",AD12)))</formula>
    </cfRule>
  </conditionalFormatting>
  <conditionalFormatting sqref="AD12">
    <cfRule type="containsText" dxfId="2822" priority="8882" operator="containsText" text="GP2">
      <formula>NOT(ISERROR(SEARCH("GP2",AD12)))</formula>
    </cfRule>
    <cfRule type="containsText" dxfId="2821" priority="8883" operator="containsText" text="GP1">
      <formula>NOT(ISERROR(SEARCH("GP1",AD12)))</formula>
    </cfRule>
  </conditionalFormatting>
  <conditionalFormatting sqref="AD12">
    <cfRule type="containsText" dxfId="2820" priority="8880" operator="containsText" text="GP2">
      <formula>NOT(ISERROR(SEARCH("GP2",AD12)))</formula>
    </cfRule>
    <cfRule type="containsText" dxfId="2819" priority="8881" operator="containsText" text="GP1">
      <formula>NOT(ISERROR(SEARCH("GP1",AD12)))</formula>
    </cfRule>
  </conditionalFormatting>
  <conditionalFormatting sqref="AD12">
    <cfRule type="containsText" dxfId="2818" priority="8878" operator="containsText" text="GP2">
      <formula>NOT(ISERROR(SEARCH("GP2",AD12)))</formula>
    </cfRule>
    <cfRule type="containsText" dxfId="2817" priority="8879" operator="containsText" text="GP1">
      <formula>NOT(ISERROR(SEARCH("GP1",AD12)))</formula>
    </cfRule>
  </conditionalFormatting>
  <conditionalFormatting sqref="AD12">
    <cfRule type="containsText" dxfId="2816" priority="8876" operator="containsText" text="GP2">
      <formula>NOT(ISERROR(SEARCH("GP2",AD12)))</formula>
    </cfRule>
    <cfRule type="containsText" dxfId="2815" priority="8877" operator="containsText" text="GP1">
      <formula>NOT(ISERROR(SEARCH("GP1",AD12)))</formula>
    </cfRule>
  </conditionalFormatting>
  <conditionalFormatting sqref="AD12">
    <cfRule type="containsText" dxfId="2814" priority="8874" operator="containsText" text="GP2">
      <formula>NOT(ISERROR(SEARCH("GP2",AD12)))</formula>
    </cfRule>
    <cfRule type="containsText" dxfId="2813" priority="8875" operator="containsText" text="GP1">
      <formula>NOT(ISERROR(SEARCH("GP1",AD12)))</formula>
    </cfRule>
  </conditionalFormatting>
  <conditionalFormatting sqref="AD12">
    <cfRule type="containsText" dxfId="2812" priority="8872" operator="containsText" text="GP2">
      <formula>NOT(ISERROR(SEARCH("GP2",AD12)))</formula>
    </cfRule>
    <cfRule type="containsText" dxfId="2811" priority="8873" operator="containsText" text="GP1">
      <formula>NOT(ISERROR(SEARCH("GP1",AD12)))</formula>
    </cfRule>
  </conditionalFormatting>
  <conditionalFormatting sqref="AD12">
    <cfRule type="containsText" dxfId="2810" priority="8870" operator="containsText" text="GP2">
      <formula>NOT(ISERROR(SEARCH("GP2",AD12)))</formula>
    </cfRule>
    <cfRule type="containsText" dxfId="2809" priority="8871" operator="containsText" text="GP1">
      <formula>NOT(ISERROR(SEARCH("GP1",AD12)))</formula>
    </cfRule>
  </conditionalFormatting>
  <conditionalFormatting sqref="AD12">
    <cfRule type="containsText" dxfId="2808" priority="8868" operator="containsText" text="GP2">
      <formula>NOT(ISERROR(SEARCH("GP2",AD12)))</formula>
    </cfRule>
    <cfRule type="containsText" dxfId="2807" priority="8869" operator="containsText" text="GP1">
      <formula>NOT(ISERROR(SEARCH("GP1",AD12)))</formula>
    </cfRule>
  </conditionalFormatting>
  <conditionalFormatting sqref="AD12">
    <cfRule type="containsText" dxfId="2806" priority="8862" operator="containsText" text="GP2">
      <formula>NOT(ISERROR(SEARCH("GP2",AD12)))</formula>
    </cfRule>
    <cfRule type="containsText" dxfId="2805" priority="8863" operator="containsText" text="GP1">
      <formula>NOT(ISERROR(SEARCH("GP1",AD12)))</formula>
    </cfRule>
  </conditionalFormatting>
  <conditionalFormatting sqref="AD12">
    <cfRule type="containsText" dxfId="2804" priority="8860" operator="containsText" text="GP2">
      <formula>NOT(ISERROR(SEARCH("GP2",AD12)))</formula>
    </cfRule>
    <cfRule type="containsText" dxfId="2803" priority="8861" operator="containsText" text="GP1">
      <formula>NOT(ISERROR(SEARCH("GP1",AD12)))</formula>
    </cfRule>
  </conditionalFormatting>
  <conditionalFormatting sqref="AD12">
    <cfRule type="containsText" dxfId="2802" priority="8858" operator="containsText" text="GP2">
      <formula>NOT(ISERROR(SEARCH("GP2",AD12)))</formula>
    </cfRule>
    <cfRule type="containsText" dxfId="2801" priority="8859" operator="containsText" text="GP1">
      <formula>NOT(ISERROR(SEARCH("GP1",AD12)))</formula>
    </cfRule>
  </conditionalFormatting>
  <conditionalFormatting sqref="AD12">
    <cfRule type="containsText" dxfId="2800" priority="8856" operator="containsText" text="GP2">
      <formula>NOT(ISERROR(SEARCH("GP2",AD12)))</formula>
    </cfRule>
    <cfRule type="containsText" dxfId="2799" priority="8857" operator="containsText" text="GP1">
      <formula>NOT(ISERROR(SEARCH("GP1",AD12)))</formula>
    </cfRule>
  </conditionalFormatting>
  <conditionalFormatting sqref="AD12">
    <cfRule type="containsText" dxfId="2798" priority="8854" operator="containsText" text="GP2">
      <formula>NOT(ISERROR(SEARCH("GP2",AD12)))</formula>
    </cfRule>
    <cfRule type="containsText" dxfId="2797" priority="8855" operator="containsText" text="GP1">
      <formula>NOT(ISERROR(SEARCH("GP1",AD12)))</formula>
    </cfRule>
  </conditionalFormatting>
  <conditionalFormatting sqref="AD12">
    <cfRule type="containsText" dxfId="2796" priority="8852" operator="containsText" text="GP2">
      <formula>NOT(ISERROR(SEARCH("GP2",AD12)))</formula>
    </cfRule>
    <cfRule type="containsText" dxfId="2795" priority="8853" operator="containsText" text="GP1">
      <formula>NOT(ISERROR(SEARCH("GP1",AD12)))</formula>
    </cfRule>
  </conditionalFormatting>
  <conditionalFormatting sqref="AD12">
    <cfRule type="containsText" dxfId="2794" priority="8866" operator="containsText" text="GP2">
      <formula>NOT(ISERROR(SEARCH("GP2",AD12)))</formula>
    </cfRule>
    <cfRule type="containsText" dxfId="2793" priority="8867" operator="containsText" text="GP1">
      <formula>NOT(ISERROR(SEARCH("GP1",AD12)))</formula>
    </cfRule>
  </conditionalFormatting>
  <conditionalFormatting sqref="AD12">
    <cfRule type="containsText" dxfId="2792" priority="8864" operator="containsText" text="GP2">
      <formula>NOT(ISERROR(SEARCH("GP2",AD12)))</formula>
    </cfRule>
    <cfRule type="containsText" dxfId="2791" priority="8865" operator="containsText" text="GP1">
      <formula>NOT(ISERROR(SEARCH("GP1",AD12)))</formula>
    </cfRule>
  </conditionalFormatting>
  <conditionalFormatting sqref="AD12">
    <cfRule type="containsText" dxfId="2790" priority="8850" operator="containsText" text="GP2">
      <formula>NOT(ISERROR(SEARCH("GP2",AD12)))</formula>
    </cfRule>
    <cfRule type="containsText" dxfId="2789" priority="8851" operator="containsText" text="GP1">
      <formula>NOT(ISERROR(SEARCH("GP1",AD12)))</formula>
    </cfRule>
  </conditionalFormatting>
  <conditionalFormatting sqref="AD12">
    <cfRule type="containsText" dxfId="2788" priority="8848" operator="containsText" text="GP2">
      <formula>NOT(ISERROR(SEARCH("GP2",AD12)))</formula>
    </cfRule>
    <cfRule type="containsText" dxfId="2787" priority="8849" operator="containsText" text="GP1">
      <formula>NOT(ISERROR(SEARCH("GP1",AD12)))</formula>
    </cfRule>
  </conditionalFormatting>
  <conditionalFormatting sqref="AD12">
    <cfRule type="containsText" dxfId="2786" priority="8846" operator="containsText" text="GP2">
      <formula>NOT(ISERROR(SEARCH("GP2",AD12)))</formula>
    </cfRule>
    <cfRule type="containsText" dxfId="2785" priority="8847" operator="containsText" text="GP1">
      <formula>NOT(ISERROR(SEARCH("GP1",AD12)))</formula>
    </cfRule>
  </conditionalFormatting>
  <conditionalFormatting sqref="AD12">
    <cfRule type="containsText" dxfId="2784" priority="8844" operator="containsText" text="GP2">
      <formula>NOT(ISERROR(SEARCH("GP2",AD12)))</formula>
    </cfRule>
    <cfRule type="containsText" dxfId="2783" priority="8845" operator="containsText" text="GP1">
      <formula>NOT(ISERROR(SEARCH("GP1",AD12)))</formula>
    </cfRule>
  </conditionalFormatting>
  <conditionalFormatting sqref="AD12">
    <cfRule type="containsText" dxfId="2782" priority="8842" operator="containsText" text="GP2">
      <formula>NOT(ISERROR(SEARCH("GP2",AD12)))</formula>
    </cfRule>
    <cfRule type="containsText" dxfId="2781" priority="8843" operator="containsText" text="GP1">
      <formula>NOT(ISERROR(SEARCH("GP1",AD12)))</formula>
    </cfRule>
  </conditionalFormatting>
  <conditionalFormatting sqref="AD12">
    <cfRule type="containsText" dxfId="2780" priority="8840" operator="containsText" text="GP2">
      <formula>NOT(ISERROR(SEARCH("GP2",AD12)))</formula>
    </cfRule>
    <cfRule type="containsText" dxfId="2779" priority="8841" operator="containsText" text="GP1">
      <formula>NOT(ISERROR(SEARCH("GP1",AD12)))</formula>
    </cfRule>
  </conditionalFormatting>
  <conditionalFormatting sqref="AD12">
    <cfRule type="containsText" dxfId="2778" priority="8838" operator="containsText" text="GP2">
      <formula>NOT(ISERROR(SEARCH("GP2",AD12)))</formula>
    </cfRule>
    <cfRule type="containsText" dxfId="2777" priority="8839" operator="containsText" text="GP1">
      <formula>NOT(ISERROR(SEARCH("GP1",AD12)))</formula>
    </cfRule>
  </conditionalFormatting>
  <conditionalFormatting sqref="AD12">
    <cfRule type="containsText" dxfId="2776" priority="8836" operator="containsText" text="GP2">
      <formula>NOT(ISERROR(SEARCH("GP2",AD12)))</formula>
    </cfRule>
    <cfRule type="containsText" dxfId="2775" priority="8837" operator="containsText" text="GP1">
      <formula>NOT(ISERROR(SEARCH("GP1",AD12)))</formula>
    </cfRule>
  </conditionalFormatting>
  <conditionalFormatting sqref="AD12">
    <cfRule type="containsText" dxfId="2774" priority="8834" operator="containsText" text="GP2">
      <formula>NOT(ISERROR(SEARCH("GP2",AD12)))</formula>
    </cfRule>
    <cfRule type="containsText" dxfId="2773" priority="8835" operator="containsText" text="GP1">
      <formula>NOT(ISERROR(SEARCH("GP1",AD12)))</formula>
    </cfRule>
  </conditionalFormatting>
  <conditionalFormatting sqref="AD12">
    <cfRule type="containsText" dxfId="2772" priority="8832" operator="containsText" text="GP2">
      <formula>NOT(ISERROR(SEARCH("GP2",AD12)))</formula>
    </cfRule>
    <cfRule type="containsText" dxfId="2771" priority="8833" operator="containsText" text="GP1">
      <formula>NOT(ISERROR(SEARCH("GP1",AD12)))</formula>
    </cfRule>
  </conditionalFormatting>
  <conditionalFormatting sqref="AD12">
    <cfRule type="containsText" dxfId="2770" priority="8830" operator="containsText" text="GP2">
      <formula>NOT(ISERROR(SEARCH("GP2",AD12)))</formula>
    </cfRule>
    <cfRule type="containsText" dxfId="2769" priority="8831" operator="containsText" text="GP1">
      <formula>NOT(ISERROR(SEARCH("GP1",AD12)))</formula>
    </cfRule>
  </conditionalFormatting>
  <conditionalFormatting sqref="AD12">
    <cfRule type="containsText" dxfId="2768" priority="8828" operator="containsText" text="GP2">
      <formula>NOT(ISERROR(SEARCH("GP2",AD12)))</formula>
    </cfRule>
    <cfRule type="containsText" dxfId="2767" priority="8829" operator="containsText" text="GP1">
      <formula>NOT(ISERROR(SEARCH("GP1",AD12)))</formula>
    </cfRule>
  </conditionalFormatting>
  <conditionalFormatting sqref="AD12">
    <cfRule type="containsText" dxfId="2766" priority="8826" operator="containsText" text="GP2">
      <formula>NOT(ISERROR(SEARCH("GP2",AD12)))</formula>
    </cfRule>
    <cfRule type="containsText" dxfId="2765" priority="8827" operator="containsText" text="GP1">
      <formula>NOT(ISERROR(SEARCH("GP1",AD12)))</formula>
    </cfRule>
  </conditionalFormatting>
  <conditionalFormatting sqref="AD12">
    <cfRule type="containsText" dxfId="2764" priority="8824" operator="containsText" text="GP2">
      <formula>NOT(ISERROR(SEARCH("GP2",AD12)))</formula>
    </cfRule>
    <cfRule type="containsText" dxfId="2763" priority="8825" operator="containsText" text="GP1">
      <formula>NOT(ISERROR(SEARCH("GP1",AD12)))</formula>
    </cfRule>
  </conditionalFormatting>
  <conditionalFormatting sqref="AD12">
    <cfRule type="containsText" dxfId="2762" priority="8822" operator="containsText" text="GP2">
      <formula>NOT(ISERROR(SEARCH("GP2",AD12)))</formula>
    </cfRule>
    <cfRule type="containsText" dxfId="2761" priority="8823" operator="containsText" text="GP1">
      <formula>NOT(ISERROR(SEARCH("GP1",AD12)))</formula>
    </cfRule>
  </conditionalFormatting>
  <conditionalFormatting sqref="AD12">
    <cfRule type="containsText" dxfId="2760" priority="8820" operator="containsText" text="GP2">
      <formula>NOT(ISERROR(SEARCH("GP2",AD12)))</formula>
    </cfRule>
    <cfRule type="containsText" dxfId="2759" priority="8821" operator="containsText" text="GP1">
      <formula>NOT(ISERROR(SEARCH("GP1",AD12)))</formula>
    </cfRule>
  </conditionalFormatting>
  <conditionalFormatting sqref="AD12">
    <cfRule type="containsText" dxfId="2758" priority="8818" operator="containsText" text="GP2">
      <formula>NOT(ISERROR(SEARCH("GP2",AD12)))</formula>
    </cfRule>
    <cfRule type="containsText" dxfId="2757" priority="8819" operator="containsText" text="GP1">
      <formula>NOT(ISERROR(SEARCH("GP1",AD12)))</formula>
    </cfRule>
  </conditionalFormatting>
  <conditionalFormatting sqref="AD12">
    <cfRule type="containsText" dxfId="2756" priority="8816" operator="containsText" text="GP2">
      <formula>NOT(ISERROR(SEARCH("GP2",AD12)))</formula>
    </cfRule>
    <cfRule type="containsText" dxfId="2755" priority="8817" operator="containsText" text="GP1">
      <formula>NOT(ISERROR(SEARCH("GP1",AD12)))</formula>
    </cfRule>
  </conditionalFormatting>
  <conditionalFormatting sqref="AD12">
    <cfRule type="containsText" dxfId="2754" priority="8814" operator="containsText" text="GP2">
      <formula>NOT(ISERROR(SEARCH("GP2",AD12)))</formula>
    </cfRule>
    <cfRule type="containsText" dxfId="2753" priority="8815" operator="containsText" text="GP1">
      <formula>NOT(ISERROR(SEARCH("GP1",AD12)))</formula>
    </cfRule>
  </conditionalFormatting>
  <conditionalFormatting sqref="AD12">
    <cfRule type="containsText" dxfId="2752" priority="8812" operator="containsText" text="GP2">
      <formula>NOT(ISERROR(SEARCH("GP2",AD12)))</formula>
    </cfRule>
    <cfRule type="containsText" dxfId="2751" priority="8813" operator="containsText" text="GP1">
      <formula>NOT(ISERROR(SEARCH("GP1",AD12)))</formula>
    </cfRule>
  </conditionalFormatting>
  <conditionalFormatting sqref="AD12">
    <cfRule type="containsText" dxfId="2750" priority="8810" operator="containsText" text="GP2">
      <formula>NOT(ISERROR(SEARCH("GP2",AD12)))</formula>
    </cfRule>
    <cfRule type="containsText" dxfId="2749" priority="8811" operator="containsText" text="GP1">
      <formula>NOT(ISERROR(SEARCH("GP1",AD12)))</formula>
    </cfRule>
  </conditionalFormatting>
  <conditionalFormatting sqref="AD12">
    <cfRule type="containsText" dxfId="2748" priority="8808" operator="containsText" text="GP2">
      <formula>NOT(ISERROR(SEARCH("GP2",AD12)))</formula>
    </cfRule>
    <cfRule type="containsText" dxfId="2747" priority="8809" operator="containsText" text="GP1">
      <formula>NOT(ISERROR(SEARCH("GP1",AD12)))</formula>
    </cfRule>
  </conditionalFormatting>
  <conditionalFormatting sqref="AD12">
    <cfRule type="containsText" dxfId="2746" priority="8806" operator="containsText" text="GP2">
      <formula>NOT(ISERROR(SEARCH("GP2",AD12)))</formula>
    </cfRule>
    <cfRule type="containsText" dxfId="2745" priority="8807" operator="containsText" text="GP1">
      <formula>NOT(ISERROR(SEARCH("GP1",AD12)))</formula>
    </cfRule>
  </conditionalFormatting>
  <conditionalFormatting sqref="AD12">
    <cfRule type="containsText" dxfId="2744" priority="8804" operator="containsText" text="GP2">
      <formula>NOT(ISERROR(SEARCH("GP2",AD12)))</formula>
    </cfRule>
    <cfRule type="containsText" dxfId="2743" priority="8805" operator="containsText" text="GP1">
      <formula>NOT(ISERROR(SEARCH("GP1",AD12)))</formula>
    </cfRule>
  </conditionalFormatting>
  <conditionalFormatting sqref="AD12">
    <cfRule type="containsText" dxfId="2742" priority="8802" operator="containsText" text="GP2">
      <formula>NOT(ISERROR(SEARCH("GP2",AD12)))</formula>
    </cfRule>
    <cfRule type="containsText" dxfId="2741" priority="8803" operator="containsText" text="GP1">
      <formula>NOT(ISERROR(SEARCH("GP1",AD12)))</formula>
    </cfRule>
  </conditionalFormatting>
  <conditionalFormatting sqref="AD12">
    <cfRule type="containsText" dxfId="2740" priority="8800" operator="containsText" text="GP2">
      <formula>NOT(ISERROR(SEARCH("GP2",AD12)))</formula>
    </cfRule>
    <cfRule type="containsText" dxfId="2739" priority="8801" operator="containsText" text="GP1">
      <formula>NOT(ISERROR(SEARCH("GP1",AD12)))</formula>
    </cfRule>
  </conditionalFormatting>
  <conditionalFormatting sqref="AD12">
    <cfRule type="containsText" dxfId="2738" priority="8798" operator="containsText" text="GP2">
      <formula>NOT(ISERROR(SEARCH("GP2",AD12)))</formula>
    </cfRule>
    <cfRule type="containsText" dxfId="2737" priority="8799" operator="containsText" text="GP1">
      <formula>NOT(ISERROR(SEARCH("GP1",AD12)))</formula>
    </cfRule>
  </conditionalFormatting>
  <conditionalFormatting sqref="AD12">
    <cfRule type="containsText" dxfId="2736" priority="8796" operator="containsText" text="GP2">
      <formula>NOT(ISERROR(SEARCH("GP2",AD12)))</formula>
    </cfRule>
    <cfRule type="containsText" dxfId="2735" priority="8797" operator="containsText" text="GP1">
      <formula>NOT(ISERROR(SEARCH("GP1",AD12)))</formula>
    </cfRule>
  </conditionalFormatting>
  <conditionalFormatting sqref="AD12">
    <cfRule type="containsText" dxfId="2734" priority="8794" operator="containsText" text="GP2">
      <formula>NOT(ISERROR(SEARCH("GP2",AD12)))</formula>
    </cfRule>
    <cfRule type="containsText" dxfId="2733" priority="8795" operator="containsText" text="GP1">
      <formula>NOT(ISERROR(SEARCH("GP1",AD12)))</formula>
    </cfRule>
  </conditionalFormatting>
  <conditionalFormatting sqref="AD12">
    <cfRule type="containsText" dxfId="2732" priority="8792" operator="containsText" text="GP2">
      <formula>NOT(ISERROR(SEARCH("GP2",AD12)))</formula>
    </cfRule>
    <cfRule type="containsText" dxfId="2731" priority="8793" operator="containsText" text="GP1">
      <formula>NOT(ISERROR(SEARCH("GP1",AD12)))</formula>
    </cfRule>
  </conditionalFormatting>
  <conditionalFormatting sqref="AD12">
    <cfRule type="containsText" dxfId="2730" priority="8790" operator="containsText" text="GP2">
      <formula>NOT(ISERROR(SEARCH("GP2",AD12)))</formula>
    </cfRule>
    <cfRule type="containsText" dxfId="2729" priority="8791" operator="containsText" text="GP1">
      <formula>NOT(ISERROR(SEARCH("GP1",AD12)))</formula>
    </cfRule>
  </conditionalFormatting>
  <conditionalFormatting sqref="AD12">
    <cfRule type="containsText" dxfId="2728" priority="8788" operator="containsText" text="GP2">
      <formula>NOT(ISERROR(SEARCH("GP2",AD12)))</formula>
    </cfRule>
    <cfRule type="containsText" dxfId="2727" priority="8789" operator="containsText" text="GP1">
      <formula>NOT(ISERROR(SEARCH("GP1",AD12)))</formula>
    </cfRule>
  </conditionalFormatting>
  <conditionalFormatting sqref="AD12">
    <cfRule type="containsText" dxfId="2726" priority="8786" operator="containsText" text="GP2">
      <formula>NOT(ISERROR(SEARCH("GP2",AD12)))</formula>
    </cfRule>
    <cfRule type="containsText" dxfId="2725" priority="8787" operator="containsText" text="GP1">
      <formula>NOT(ISERROR(SEARCH("GP1",AD12)))</formula>
    </cfRule>
  </conditionalFormatting>
  <conditionalFormatting sqref="AD12">
    <cfRule type="containsText" dxfId="2724" priority="8784" operator="containsText" text="GP2">
      <formula>NOT(ISERROR(SEARCH("GP2",AD12)))</formula>
    </cfRule>
    <cfRule type="containsText" dxfId="2723" priority="8785" operator="containsText" text="GP1">
      <formula>NOT(ISERROR(SEARCH("GP1",AD12)))</formula>
    </cfRule>
  </conditionalFormatting>
  <conditionalFormatting sqref="AD12">
    <cfRule type="containsText" dxfId="2722" priority="8782" operator="containsText" text="GP2">
      <formula>NOT(ISERROR(SEARCH("GP2",AD12)))</formula>
    </cfRule>
    <cfRule type="containsText" dxfId="2721" priority="8783" operator="containsText" text="GP1">
      <formula>NOT(ISERROR(SEARCH("GP1",AD12)))</formula>
    </cfRule>
  </conditionalFormatting>
  <conditionalFormatting sqref="AD12">
    <cfRule type="containsText" dxfId="2720" priority="8780" operator="containsText" text="GP2">
      <formula>NOT(ISERROR(SEARCH("GP2",AD12)))</formula>
    </cfRule>
    <cfRule type="containsText" dxfId="2719" priority="8781" operator="containsText" text="GP1">
      <formula>NOT(ISERROR(SEARCH("GP1",AD12)))</formula>
    </cfRule>
  </conditionalFormatting>
  <conditionalFormatting sqref="AD12">
    <cfRule type="containsText" dxfId="2718" priority="8778" operator="containsText" text="GP2">
      <formula>NOT(ISERROR(SEARCH("GP2",AD12)))</formula>
    </cfRule>
    <cfRule type="containsText" dxfId="2717" priority="8779" operator="containsText" text="GP1">
      <formula>NOT(ISERROR(SEARCH("GP1",AD12)))</formula>
    </cfRule>
  </conditionalFormatting>
  <conditionalFormatting sqref="AD12">
    <cfRule type="containsText" dxfId="2716" priority="8776" operator="containsText" text="GP2">
      <formula>NOT(ISERROR(SEARCH("GP2",AD12)))</formula>
    </cfRule>
    <cfRule type="containsText" dxfId="2715" priority="8777" operator="containsText" text="GP1">
      <formula>NOT(ISERROR(SEARCH("GP1",AD12)))</formula>
    </cfRule>
  </conditionalFormatting>
  <conditionalFormatting sqref="AD12">
    <cfRule type="containsText" dxfId="2714" priority="8774" operator="containsText" text="GP2">
      <formula>NOT(ISERROR(SEARCH("GP2",AD12)))</formula>
    </cfRule>
    <cfRule type="containsText" dxfId="2713" priority="8775" operator="containsText" text="GP1">
      <formula>NOT(ISERROR(SEARCH("GP1",AD12)))</formula>
    </cfRule>
  </conditionalFormatting>
  <conditionalFormatting sqref="AD12">
    <cfRule type="containsText" dxfId="2712" priority="8772" operator="containsText" text="GP2">
      <formula>NOT(ISERROR(SEARCH("GP2",AD12)))</formula>
    </cfRule>
    <cfRule type="containsText" dxfId="2711" priority="8773" operator="containsText" text="GP1">
      <formula>NOT(ISERROR(SEARCH("GP1",AD12)))</formula>
    </cfRule>
  </conditionalFormatting>
  <conditionalFormatting sqref="AD12">
    <cfRule type="containsText" dxfId="2710" priority="8770" operator="containsText" text="GP2">
      <formula>NOT(ISERROR(SEARCH("GP2",AD12)))</formula>
    </cfRule>
    <cfRule type="containsText" dxfId="2709" priority="8771" operator="containsText" text="GP1">
      <formula>NOT(ISERROR(SEARCH("GP1",AD12)))</formula>
    </cfRule>
  </conditionalFormatting>
  <conditionalFormatting sqref="AD12">
    <cfRule type="containsText" dxfId="2708" priority="8768" operator="containsText" text="GP2">
      <formula>NOT(ISERROR(SEARCH("GP2",AD12)))</formula>
    </cfRule>
    <cfRule type="containsText" dxfId="2707" priority="8769" operator="containsText" text="GP1">
      <formula>NOT(ISERROR(SEARCH("GP1",AD12)))</formula>
    </cfRule>
  </conditionalFormatting>
  <conditionalFormatting sqref="AD12">
    <cfRule type="containsText" dxfId="2706" priority="8766" operator="containsText" text="GP2">
      <formula>NOT(ISERROR(SEARCH("GP2",AD12)))</formula>
    </cfRule>
    <cfRule type="containsText" dxfId="2705" priority="8767" operator="containsText" text="GP1">
      <formula>NOT(ISERROR(SEARCH("GP1",AD12)))</formula>
    </cfRule>
  </conditionalFormatting>
  <conditionalFormatting sqref="AD12">
    <cfRule type="containsText" dxfId="2704" priority="8764" operator="containsText" text="GP2">
      <formula>NOT(ISERROR(SEARCH("GP2",AD12)))</formula>
    </cfRule>
    <cfRule type="containsText" dxfId="2703" priority="8765" operator="containsText" text="GP1">
      <formula>NOT(ISERROR(SEARCH("GP1",AD12)))</formula>
    </cfRule>
  </conditionalFormatting>
  <conditionalFormatting sqref="AD12">
    <cfRule type="containsText" dxfId="2702" priority="8762" operator="containsText" text="GP2">
      <formula>NOT(ISERROR(SEARCH("GP2",AD12)))</formula>
    </cfRule>
    <cfRule type="containsText" dxfId="2701" priority="8763" operator="containsText" text="GP1">
      <formula>NOT(ISERROR(SEARCH("GP1",AD12)))</formula>
    </cfRule>
  </conditionalFormatting>
  <conditionalFormatting sqref="AD12">
    <cfRule type="containsText" dxfId="2700" priority="8760" operator="containsText" text="GP2">
      <formula>NOT(ISERROR(SEARCH("GP2",AD12)))</formula>
    </cfRule>
    <cfRule type="containsText" dxfId="2699" priority="8761" operator="containsText" text="GP1">
      <formula>NOT(ISERROR(SEARCH("GP1",AD12)))</formula>
    </cfRule>
  </conditionalFormatting>
  <conditionalFormatting sqref="AD12">
    <cfRule type="containsText" dxfId="2698" priority="8758" operator="containsText" text="GP2">
      <formula>NOT(ISERROR(SEARCH("GP2",AD12)))</formula>
    </cfRule>
    <cfRule type="containsText" dxfId="2697" priority="8759" operator="containsText" text="GP1">
      <formula>NOT(ISERROR(SEARCH("GP1",AD12)))</formula>
    </cfRule>
  </conditionalFormatting>
  <conditionalFormatting sqref="AD12">
    <cfRule type="containsText" dxfId="2696" priority="8756" operator="containsText" text="GP2">
      <formula>NOT(ISERROR(SEARCH("GP2",AD12)))</formula>
    </cfRule>
    <cfRule type="containsText" dxfId="2695" priority="8757" operator="containsText" text="GP1">
      <formula>NOT(ISERROR(SEARCH("GP1",AD12)))</formula>
    </cfRule>
  </conditionalFormatting>
  <conditionalFormatting sqref="AD12">
    <cfRule type="containsText" dxfId="2694" priority="8754" operator="containsText" text="GP2">
      <formula>NOT(ISERROR(SEARCH("GP2",AD12)))</formula>
    </cfRule>
    <cfRule type="containsText" dxfId="2693" priority="8755" operator="containsText" text="GP1">
      <formula>NOT(ISERROR(SEARCH("GP1",AD12)))</formula>
    </cfRule>
  </conditionalFormatting>
  <conditionalFormatting sqref="AD12">
    <cfRule type="containsText" dxfId="2692" priority="8752" operator="containsText" text="GP2">
      <formula>NOT(ISERROR(SEARCH("GP2",AD12)))</formula>
    </cfRule>
    <cfRule type="containsText" dxfId="2691" priority="8753" operator="containsText" text="GP1">
      <formula>NOT(ISERROR(SEARCH("GP1",AD12)))</formula>
    </cfRule>
  </conditionalFormatting>
  <conditionalFormatting sqref="AD12">
    <cfRule type="containsText" dxfId="2690" priority="8750" operator="containsText" text="GP2">
      <formula>NOT(ISERROR(SEARCH("GP2",AD12)))</formula>
    </cfRule>
    <cfRule type="containsText" dxfId="2689" priority="8751" operator="containsText" text="GP1">
      <formula>NOT(ISERROR(SEARCH("GP1",AD12)))</formula>
    </cfRule>
  </conditionalFormatting>
  <conditionalFormatting sqref="AD12">
    <cfRule type="containsText" dxfId="2688" priority="8748" operator="containsText" text="GP2">
      <formula>NOT(ISERROR(SEARCH("GP2",AD12)))</formula>
    </cfRule>
    <cfRule type="containsText" dxfId="2687" priority="8749" operator="containsText" text="GP1">
      <formula>NOT(ISERROR(SEARCH("GP1",AD12)))</formula>
    </cfRule>
  </conditionalFormatting>
  <conditionalFormatting sqref="AD12">
    <cfRule type="containsText" dxfId="2686" priority="8746" operator="containsText" text="GP2">
      <formula>NOT(ISERROR(SEARCH("GP2",AD12)))</formula>
    </cfRule>
    <cfRule type="containsText" dxfId="2685" priority="8747" operator="containsText" text="GP1">
      <formula>NOT(ISERROR(SEARCH("GP1",AD12)))</formula>
    </cfRule>
  </conditionalFormatting>
  <conditionalFormatting sqref="AD12">
    <cfRule type="containsText" dxfId="2684" priority="8744" operator="containsText" text="GP2">
      <formula>NOT(ISERROR(SEARCH("GP2",AD12)))</formula>
    </cfRule>
    <cfRule type="containsText" dxfId="2683" priority="8745" operator="containsText" text="GP1">
      <formula>NOT(ISERROR(SEARCH("GP1",AD12)))</formula>
    </cfRule>
  </conditionalFormatting>
  <conditionalFormatting sqref="AD12">
    <cfRule type="containsText" dxfId="2682" priority="8742" operator="containsText" text="GP2">
      <formula>NOT(ISERROR(SEARCH("GP2",AD12)))</formula>
    </cfRule>
    <cfRule type="containsText" dxfId="2681" priority="8743" operator="containsText" text="GP1">
      <formula>NOT(ISERROR(SEARCH("GP1",AD12)))</formula>
    </cfRule>
  </conditionalFormatting>
  <conditionalFormatting sqref="AD12">
    <cfRule type="containsText" dxfId="2680" priority="8740" operator="containsText" text="GP2">
      <formula>NOT(ISERROR(SEARCH("GP2",AD12)))</formula>
    </cfRule>
    <cfRule type="containsText" dxfId="2679" priority="8741" operator="containsText" text="GP1">
      <formula>NOT(ISERROR(SEARCH("GP1",AD12)))</formula>
    </cfRule>
  </conditionalFormatting>
  <conditionalFormatting sqref="AD12">
    <cfRule type="containsText" dxfId="2678" priority="8738" operator="containsText" text="GP2">
      <formula>NOT(ISERROR(SEARCH("GP2",AD12)))</formula>
    </cfRule>
    <cfRule type="containsText" dxfId="2677" priority="8739" operator="containsText" text="GP1">
      <formula>NOT(ISERROR(SEARCH("GP1",AD12)))</formula>
    </cfRule>
  </conditionalFormatting>
  <conditionalFormatting sqref="AD12">
    <cfRule type="containsText" dxfId="2676" priority="8736" operator="containsText" text="GP2">
      <formula>NOT(ISERROR(SEARCH("GP2",AD12)))</formula>
    </cfRule>
    <cfRule type="containsText" dxfId="2675" priority="8737" operator="containsText" text="GP1">
      <formula>NOT(ISERROR(SEARCH("GP1",AD12)))</formula>
    </cfRule>
  </conditionalFormatting>
  <conditionalFormatting sqref="AD12">
    <cfRule type="containsText" dxfId="2674" priority="8734" operator="containsText" text="GP2">
      <formula>NOT(ISERROR(SEARCH("GP2",AD12)))</formula>
    </cfRule>
    <cfRule type="containsText" dxfId="2673" priority="8735" operator="containsText" text="GP1">
      <formula>NOT(ISERROR(SEARCH("GP1",AD12)))</formula>
    </cfRule>
  </conditionalFormatting>
  <conditionalFormatting sqref="AD12">
    <cfRule type="containsText" dxfId="2672" priority="8732" operator="containsText" text="GP2">
      <formula>NOT(ISERROR(SEARCH("GP2",AD12)))</formula>
    </cfRule>
    <cfRule type="containsText" dxfId="2671" priority="8733" operator="containsText" text="GP1">
      <formula>NOT(ISERROR(SEARCH("GP1",AD12)))</formula>
    </cfRule>
  </conditionalFormatting>
  <conditionalFormatting sqref="AD12">
    <cfRule type="containsText" dxfId="2670" priority="8730" operator="containsText" text="GP2">
      <formula>NOT(ISERROR(SEARCH("GP2",AD12)))</formula>
    </cfRule>
    <cfRule type="containsText" dxfId="2669" priority="8731" operator="containsText" text="GP1">
      <formula>NOT(ISERROR(SEARCH("GP1",AD12)))</formula>
    </cfRule>
  </conditionalFormatting>
  <conditionalFormatting sqref="AD12">
    <cfRule type="containsText" dxfId="2668" priority="8728" operator="containsText" text="GP2">
      <formula>NOT(ISERROR(SEARCH("GP2",AD12)))</formula>
    </cfRule>
    <cfRule type="containsText" dxfId="2667" priority="8729" operator="containsText" text="GP1">
      <formula>NOT(ISERROR(SEARCH("GP1",AD12)))</formula>
    </cfRule>
  </conditionalFormatting>
  <conditionalFormatting sqref="AD12">
    <cfRule type="containsText" dxfId="2666" priority="8726" operator="containsText" text="GP2">
      <formula>NOT(ISERROR(SEARCH("GP2",AD12)))</formula>
    </cfRule>
    <cfRule type="containsText" dxfId="2665" priority="8727" operator="containsText" text="GP1">
      <formula>NOT(ISERROR(SEARCH("GP1",AD12)))</formula>
    </cfRule>
  </conditionalFormatting>
  <conditionalFormatting sqref="AD12">
    <cfRule type="containsText" dxfId="2664" priority="8724" operator="containsText" text="GP2">
      <formula>NOT(ISERROR(SEARCH("GP2",AD12)))</formula>
    </cfRule>
    <cfRule type="containsText" dxfId="2663" priority="8725" operator="containsText" text="GP1">
      <formula>NOT(ISERROR(SEARCH("GP1",AD12)))</formula>
    </cfRule>
  </conditionalFormatting>
  <conditionalFormatting sqref="AD12">
    <cfRule type="containsText" dxfId="2662" priority="8722" operator="containsText" text="GP2">
      <formula>NOT(ISERROR(SEARCH("GP2",AD12)))</formula>
    </cfRule>
    <cfRule type="containsText" dxfId="2661" priority="8723" operator="containsText" text="GP1">
      <formula>NOT(ISERROR(SEARCH("GP1",AD12)))</formula>
    </cfRule>
  </conditionalFormatting>
  <conditionalFormatting sqref="AD12">
    <cfRule type="containsText" dxfId="2660" priority="8720" operator="containsText" text="GP2">
      <formula>NOT(ISERROR(SEARCH("GP2",AD12)))</formula>
    </cfRule>
    <cfRule type="containsText" dxfId="2659" priority="8721" operator="containsText" text="GP1">
      <formula>NOT(ISERROR(SEARCH("GP1",AD12)))</formula>
    </cfRule>
  </conditionalFormatting>
  <conditionalFormatting sqref="AD12">
    <cfRule type="containsText" dxfId="2658" priority="8718" operator="containsText" text="GP2">
      <formula>NOT(ISERROR(SEARCH("GP2",AD12)))</formula>
    </cfRule>
    <cfRule type="containsText" dxfId="2657" priority="8719" operator="containsText" text="GP1">
      <formula>NOT(ISERROR(SEARCH("GP1",AD12)))</formula>
    </cfRule>
  </conditionalFormatting>
  <conditionalFormatting sqref="AD12">
    <cfRule type="containsText" dxfId="2656" priority="8716" operator="containsText" text="GP2">
      <formula>NOT(ISERROR(SEARCH("GP2",AD12)))</formula>
    </cfRule>
    <cfRule type="containsText" dxfId="2655" priority="8717" operator="containsText" text="GP1">
      <formula>NOT(ISERROR(SEARCH("GP1",AD12)))</formula>
    </cfRule>
  </conditionalFormatting>
  <conditionalFormatting sqref="AD12">
    <cfRule type="containsText" dxfId="2654" priority="8714" operator="containsText" text="GP2">
      <formula>NOT(ISERROR(SEARCH("GP2",AD12)))</formula>
    </cfRule>
    <cfRule type="containsText" dxfId="2653" priority="8715" operator="containsText" text="GP1">
      <formula>NOT(ISERROR(SEARCH("GP1",AD12)))</formula>
    </cfRule>
  </conditionalFormatting>
  <conditionalFormatting sqref="AD12">
    <cfRule type="containsText" dxfId="2652" priority="8712" operator="containsText" text="GP2">
      <formula>NOT(ISERROR(SEARCH("GP2",AD12)))</formula>
    </cfRule>
    <cfRule type="containsText" dxfId="2651" priority="8713" operator="containsText" text="GP1">
      <formula>NOT(ISERROR(SEARCH("GP1",AD12)))</formula>
    </cfRule>
  </conditionalFormatting>
  <conditionalFormatting sqref="AD12">
    <cfRule type="containsText" dxfId="2650" priority="8710" operator="containsText" text="GP2">
      <formula>NOT(ISERROR(SEARCH("GP2",AD12)))</formula>
    </cfRule>
    <cfRule type="containsText" dxfId="2649" priority="8711" operator="containsText" text="GP1">
      <formula>NOT(ISERROR(SEARCH("GP1",AD12)))</formula>
    </cfRule>
  </conditionalFormatting>
  <conditionalFormatting sqref="AD12">
    <cfRule type="containsText" dxfId="2648" priority="8708" operator="containsText" text="GP2">
      <formula>NOT(ISERROR(SEARCH("GP2",AD12)))</formula>
    </cfRule>
    <cfRule type="containsText" dxfId="2647" priority="8709" operator="containsText" text="GP1">
      <formula>NOT(ISERROR(SEARCH("GP1",AD12)))</formula>
    </cfRule>
  </conditionalFormatting>
  <conditionalFormatting sqref="AD12">
    <cfRule type="containsText" dxfId="2646" priority="8706" operator="containsText" text="GP2">
      <formula>NOT(ISERROR(SEARCH("GP2",AD12)))</formula>
    </cfRule>
    <cfRule type="containsText" dxfId="2645" priority="8707" operator="containsText" text="GP1">
      <formula>NOT(ISERROR(SEARCH("GP1",AD12)))</formula>
    </cfRule>
  </conditionalFormatting>
  <conditionalFormatting sqref="AD12">
    <cfRule type="containsText" dxfId="2644" priority="8704" operator="containsText" text="GP2">
      <formula>NOT(ISERROR(SEARCH("GP2",AD12)))</formula>
    </cfRule>
    <cfRule type="containsText" dxfId="2643" priority="8705" operator="containsText" text="GP1">
      <formula>NOT(ISERROR(SEARCH("GP1",AD12)))</formula>
    </cfRule>
  </conditionalFormatting>
  <conditionalFormatting sqref="AD12">
    <cfRule type="containsText" dxfId="2642" priority="8702" operator="containsText" text="GP2">
      <formula>NOT(ISERROR(SEARCH("GP2",AD12)))</formula>
    </cfRule>
    <cfRule type="containsText" dxfId="2641" priority="8703" operator="containsText" text="GP1">
      <formula>NOT(ISERROR(SEARCH("GP1",AD12)))</formula>
    </cfRule>
  </conditionalFormatting>
  <conditionalFormatting sqref="AD12">
    <cfRule type="containsText" dxfId="2640" priority="8700" operator="containsText" text="GP2">
      <formula>NOT(ISERROR(SEARCH("GP2",AD12)))</formula>
    </cfRule>
    <cfRule type="containsText" dxfId="2639" priority="8701" operator="containsText" text="GP1">
      <formula>NOT(ISERROR(SEARCH("GP1",AD12)))</formula>
    </cfRule>
  </conditionalFormatting>
  <conditionalFormatting sqref="AD12">
    <cfRule type="containsText" dxfId="2638" priority="8698" operator="containsText" text="GP2">
      <formula>NOT(ISERROR(SEARCH("GP2",AD12)))</formula>
    </cfRule>
    <cfRule type="containsText" dxfId="2637" priority="8699" operator="containsText" text="GP1">
      <formula>NOT(ISERROR(SEARCH("GP1",AD12)))</formula>
    </cfRule>
  </conditionalFormatting>
  <conditionalFormatting sqref="AD12">
    <cfRule type="containsText" dxfId="2636" priority="8696" operator="containsText" text="GP2">
      <formula>NOT(ISERROR(SEARCH("GP2",AD12)))</formula>
    </cfRule>
    <cfRule type="containsText" dxfId="2635" priority="8697" operator="containsText" text="GP1">
      <formula>NOT(ISERROR(SEARCH("GP1",AD12)))</formula>
    </cfRule>
  </conditionalFormatting>
  <conditionalFormatting sqref="AD12">
    <cfRule type="containsText" dxfId="2634" priority="8694" operator="containsText" text="GP2">
      <formula>NOT(ISERROR(SEARCH("GP2",AD12)))</formula>
    </cfRule>
    <cfRule type="containsText" dxfId="2633" priority="8695" operator="containsText" text="GP1">
      <formula>NOT(ISERROR(SEARCH("GP1",AD12)))</formula>
    </cfRule>
  </conditionalFormatting>
  <conditionalFormatting sqref="AD12">
    <cfRule type="containsText" dxfId="2632" priority="8692" operator="containsText" text="GP2">
      <formula>NOT(ISERROR(SEARCH("GP2",AD12)))</formula>
    </cfRule>
    <cfRule type="containsText" dxfId="2631" priority="8693" operator="containsText" text="GP1">
      <formula>NOT(ISERROR(SEARCH("GP1",AD12)))</formula>
    </cfRule>
  </conditionalFormatting>
  <conditionalFormatting sqref="AD12">
    <cfRule type="containsText" dxfId="2630" priority="8690" operator="containsText" text="GP2">
      <formula>NOT(ISERROR(SEARCH("GP2",AD12)))</formula>
    </cfRule>
    <cfRule type="containsText" dxfId="2629" priority="8691" operator="containsText" text="GP1">
      <formula>NOT(ISERROR(SEARCH("GP1",AD12)))</formula>
    </cfRule>
  </conditionalFormatting>
  <conditionalFormatting sqref="AD12">
    <cfRule type="containsText" dxfId="2628" priority="8688" operator="containsText" text="GP2">
      <formula>NOT(ISERROR(SEARCH("GP2",AD12)))</formula>
    </cfRule>
    <cfRule type="containsText" dxfId="2627" priority="8689" operator="containsText" text="GP1">
      <formula>NOT(ISERROR(SEARCH("GP1",AD12)))</formula>
    </cfRule>
  </conditionalFormatting>
  <conditionalFormatting sqref="AD12">
    <cfRule type="containsText" dxfId="2626" priority="8686" operator="containsText" text="GP2">
      <formula>NOT(ISERROR(SEARCH("GP2",AD12)))</formula>
    </cfRule>
    <cfRule type="containsText" dxfId="2625" priority="8687" operator="containsText" text="GP1">
      <formula>NOT(ISERROR(SEARCH("GP1",AD12)))</formula>
    </cfRule>
  </conditionalFormatting>
  <conditionalFormatting sqref="AD12">
    <cfRule type="containsText" dxfId="2624" priority="8684" operator="containsText" text="GP2">
      <formula>NOT(ISERROR(SEARCH("GP2",AD12)))</formula>
    </cfRule>
    <cfRule type="containsText" dxfId="2623" priority="8685" operator="containsText" text="GP1">
      <formula>NOT(ISERROR(SEARCH("GP1",AD12)))</formula>
    </cfRule>
  </conditionalFormatting>
  <conditionalFormatting sqref="AD12">
    <cfRule type="containsText" dxfId="2622" priority="8682" operator="containsText" text="GP2">
      <formula>NOT(ISERROR(SEARCH("GP2",AD12)))</formula>
    </cfRule>
    <cfRule type="containsText" dxfId="2621" priority="8683" operator="containsText" text="GP1">
      <formula>NOT(ISERROR(SEARCH("GP1",AD12)))</formula>
    </cfRule>
  </conditionalFormatting>
  <conditionalFormatting sqref="AD12">
    <cfRule type="containsText" dxfId="2620" priority="8680" operator="containsText" text="GP2">
      <formula>NOT(ISERROR(SEARCH("GP2",AD12)))</formula>
    </cfRule>
    <cfRule type="containsText" dxfId="2619" priority="8681" operator="containsText" text="GP1">
      <formula>NOT(ISERROR(SEARCH("GP1",AD12)))</formula>
    </cfRule>
  </conditionalFormatting>
  <conditionalFormatting sqref="AD12">
    <cfRule type="containsText" dxfId="2618" priority="8678" operator="containsText" text="GP2">
      <formula>NOT(ISERROR(SEARCH("GP2",AD12)))</formula>
    </cfRule>
    <cfRule type="containsText" dxfId="2617" priority="8679" operator="containsText" text="GP1">
      <formula>NOT(ISERROR(SEARCH("GP1",AD12)))</formula>
    </cfRule>
  </conditionalFormatting>
  <conditionalFormatting sqref="AD12">
    <cfRule type="containsText" dxfId="2616" priority="8676" operator="containsText" text="GP2">
      <formula>NOT(ISERROR(SEARCH("GP2",AD12)))</formula>
    </cfRule>
    <cfRule type="containsText" dxfId="2615" priority="8677" operator="containsText" text="GP1">
      <formula>NOT(ISERROR(SEARCH("GP1",AD12)))</formula>
    </cfRule>
  </conditionalFormatting>
  <conditionalFormatting sqref="AD12">
    <cfRule type="containsText" dxfId="2614" priority="8674" operator="containsText" text="GP2">
      <formula>NOT(ISERROR(SEARCH("GP2",AD12)))</formula>
    </cfRule>
    <cfRule type="containsText" dxfId="2613" priority="8675" operator="containsText" text="GP1">
      <formula>NOT(ISERROR(SEARCH("GP1",AD12)))</formula>
    </cfRule>
  </conditionalFormatting>
  <conditionalFormatting sqref="AD12">
    <cfRule type="containsText" dxfId="2612" priority="8672" operator="containsText" text="GP2">
      <formula>NOT(ISERROR(SEARCH("GP2",AD12)))</formula>
    </cfRule>
    <cfRule type="containsText" dxfId="2611" priority="8673" operator="containsText" text="GP1">
      <formula>NOT(ISERROR(SEARCH("GP1",AD12)))</formula>
    </cfRule>
  </conditionalFormatting>
  <conditionalFormatting sqref="AD12">
    <cfRule type="containsText" dxfId="2610" priority="8670" operator="containsText" text="GP2">
      <formula>NOT(ISERROR(SEARCH("GP2",AD12)))</formula>
    </cfRule>
    <cfRule type="containsText" dxfId="2609" priority="8671" operator="containsText" text="GP1">
      <formula>NOT(ISERROR(SEARCH("GP1",AD12)))</formula>
    </cfRule>
  </conditionalFormatting>
  <conditionalFormatting sqref="AD12">
    <cfRule type="containsText" dxfId="2608" priority="8668" operator="containsText" text="GP2">
      <formula>NOT(ISERROR(SEARCH("GP2",AD12)))</formula>
    </cfRule>
    <cfRule type="containsText" dxfId="2607" priority="8669" operator="containsText" text="GP1">
      <formula>NOT(ISERROR(SEARCH("GP1",AD12)))</formula>
    </cfRule>
  </conditionalFormatting>
  <conditionalFormatting sqref="AD12">
    <cfRule type="containsText" dxfId="2606" priority="8666" operator="containsText" text="GP2">
      <formula>NOT(ISERROR(SEARCH("GP2",AD12)))</formula>
    </cfRule>
    <cfRule type="containsText" dxfId="2605" priority="8667" operator="containsText" text="GP1">
      <formula>NOT(ISERROR(SEARCH("GP1",AD12)))</formula>
    </cfRule>
  </conditionalFormatting>
  <conditionalFormatting sqref="AD12">
    <cfRule type="containsText" dxfId="2604" priority="8664" operator="containsText" text="GP2">
      <formula>NOT(ISERROR(SEARCH("GP2",AD12)))</formula>
    </cfRule>
    <cfRule type="containsText" dxfId="2603" priority="8665" operator="containsText" text="GP1">
      <formula>NOT(ISERROR(SEARCH("GP1",AD12)))</formula>
    </cfRule>
  </conditionalFormatting>
  <conditionalFormatting sqref="AD12">
    <cfRule type="containsText" dxfId="2602" priority="8662" operator="containsText" text="GP2">
      <formula>NOT(ISERROR(SEARCH("GP2",AD12)))</formula>
    </cfRule>
    <cfRule type="containsText" dxfId="2601" priority="8663" operator="containsText" text="GP1">
      <formula>NOT(ISERROR(SEARCH("GP1",AD12)))</formula>
    </cfRule>
  </conditionalFormatting>
  <conditionalFormatting sqref="AD12">
    <cfRule type="containsText" dxfId="2600" priority="8660" operator="containsText" text="GP2">
      <formula>NOT(ISERROR(SEARCH("GP2",AD12)))</formula>
    </cfRule>
    <cfRule type="containsText" dxfId="2599" priority="8661" operator="containsText" text="GP1">
      <formula>NOT(ISERROR(SEARCH("GP1",AD12)))</formula>
    </cfRule>
  </conditionalFormatting>
  <conditionalFormatting sqref="AD12">
    <cfRule type="containsText" dxfId="2598" priority="8658" operator="containsText" text="GP2">
      <formula>NOT(ISERROR(SEARCH("GP2",AD12)))</formula>
    </cfRule>
    <cfRule type="containsText" dxfId="2597" priority="8659" operator="containsText" text="GP1">
      <formula>NOT(ISERROR(SEARCH("GP1",AD12)))</formula>
    </cfRule>
  </conditionalFormatting>
  <conditionalFormatting sqref="AD12">
    <cfRule type="containsText" dxfId="2596" priority="8656" operator="containsText" text="GP2">
      <formula>NOT(ISERROR(SEARCH("GP2",AD12)))</formula>
    </cfRule>
    <cfRule type="containsText" dxfId="2595" priority="8657" operator="containsText" text="GP1">
      <formula>NOT(ISERROR(SEARCH("GP1",AD12)))</formula>
    </cfRule>
  </conditionalFormatting>
  <conditionalFormatting sqref="AD12">
    <cfRule type="containsText" dxfId="2594" priority="8654" operator="containsText" text="GP2">
      <formula>NOT(ISERROR(SEARCH("GP2",AD12)))</formula>
    </cfRule>
    <cfRule type="containsText" dxfId="2593" priority="8655" operator="containsText" text="GP1">
      <formula>NOT(ISERROR(SEARCH("GP1",AD12)))</formula>
    </cfRule>
  </conditionalFormatting>
  <conditionalFormatting sqref="AD12">
    <cfRule type="containsText" dxfId="2592" priority="8652" operator="containsText" text="GP2">
      <formula>NOT(ISERROR(SEARCH("GP2",AD12)))</formula>
    </cfRule>
    <cfRule type="containsText" dxfId="2591" priority="8653" operator="containsText" text="GP1">
      <formula>NOT(ISERROR(SEARCH("GP1",AD12)))</formula>
    </cfRule>
  </conditionalFormatting>
  <conditionalFormatting sqref="AD12">
    <cfRule type="containsText" dxfId="2590" priority="8650" operator="containsText" text="GP2">
      <formula>NOT(ISERROR(SEARCH("GP2",AD12)))</formula>
    </cfRule>
    <cfRule type="containsText" dxfId="2589" priority="8651" operator="containsText" text="GP1">
      <formula>NOT(ISERROR(SEARCH("GP1",AD12)))</formula>
    </cfRule>
  </conditionalFormatting>
  <conditionalFormatting sqref="AD12">
    <cfRule type="containsText" dxfId="2588" priority="8648" operator="containsText" text="GP2">
      <formula>NOT(ISERROR(SEARCH("GP2",AD12)))</formula>
    </cfRule>
    <cfRule type="containsText" dxfId="2587" priority="8649" operator="containsText" text="GP1">
      <formula>NOT(ISERROR(SEARCH("GP1",AD12)))</formula>
    </cfRule>
  </conditionalFormatting>
  <conditionalFormatting sqref="AD12">
    <cfRule type="containsText" dxfId="2586" priority="8646" operator="containsText" text="GP2">
      <formula>NOT(ISERROR(SEARCH("GP2",AD12)))</formula>
    </cfRule>
    <cfRule type="containsText" dxfId="2585" priority="8647" operator="containsText" text="GP1">
      <formula>NOT(ISERROR(SEARCH("GP1",AD12)))</formula>
    </cfRule>
  </conditionalFormatting>
  <conditionalFormatting sqref="AD12">
    <cfRule type="containsText" dxfId="2584" priority="8644" operator="containsText" text="GP2">
      <formula>NOT(ISERROR(SEARCH("GP2",AD12)))</formula>
    </cfRule>
    <cfRule type="containsText" dxfId="2583" priority="8645" operator="containsText" text="GP1">
      <formula>NOT(ISERROR(SEARCH("GP1",AD12)))</formula>
    </cfRule>
  </conditionalFormatting>
  <conditionalFormatting sqref="AD12">
    <cfRule type="containsText" dxfId="2582" priority="8642" operator="containsText" text="GP2">
      <formula>NOT(ISERROR(SEARCH("GP2",AD12)))</formula>
    </cfRule>
    <cfRule type="containsText" dxfId="2581" priority="8643" operator="containsText" text="GP1">
      <formula>NOT(ISERROR(SEARCH("GP1",AD12)))</formula>
    </cfRule>
  </conditionalFormatting>
  <conditionalFormatting sqref="AD12">
    <cfRule type="containsText" dxfId="2580" priority="8640" operator="containsText" text="GP2">
      <formula>NOT(ISERROR(SEARCH("GP2",AD12)))</formula>
    </cfRule>
    <cfRule type="containsText" dxfId="2579" priority="8641" operator="containsText" text="GP1">
      <formula>NOT(ISERROR(SEARCH("GP1",AD12)))</formula>
    </cfRule>
  </conditionalFormatting>
  <conditionalFormatting sqref="AD12">
    <cfRule type="containsText" dxfId="2578" priority="8638" operator="containsText" text="GP2">
      <formula>NOT(ISERROR(SEARCH("GP2",AD12)))</formula>
    </cfRule>
    <cfRule type="containsText" dxfId="2577" priority="8639" operator="containsText" text="GP1">
      <formula>NOT(ISERROR(SEARCH("GP1",AD12)))</formula>
    </cfRule>
  </conditionalFormatting>
  <conditionalFormatting sqref="AD12">
    <cfRule type="containsText" dxfId="2576" priority="8636" operator="containsText" text="GP2">
      <formula>NOT(ISERROR(SEARCH("GP2",AD12)))</formula>
    </cfRule>
    <cfRule type="containsText" dxfId="2575" priority="8637" operator="containsText" text="GP1">
      <formula>NOT(ISERROR(SEARCH("GP1",AD12)))</formula>
    </cfRule>
  </conditionalFormatting>
  <conditionalFormatting sqref="AD12">
    <cfRule type="containsText" dxfId="2574" priority="8634" operator="containsText" text="GP2">
      <formula>NOT(ISERROR(SEARCH("GP2",AD12)))</formula>
    </cfRule>
    <cfRule type="containsText" dxfId="2573" priority="8635" operator="containsText" text="GP1">
      <formula>NOT(ISERROR(SEARCH("GP1",AD12)))</formula>
    </cfRule>
  </conditionalFormatting>
  <conditionalFormatting sqref="AD12">
    <cfRule type="containsText" dxfId="2572" priority="8632" operator="containsText" text="GP2">
      <formula>NOT(ISERROR(SEARCH("GP2",AD12)))</formula>
    </cfRule>
    <cfRule type="containsText" dxfId="2571" priority="8633" operator="containsText" text="GP1">
      <formula>NOT(ISERROR(SEARCH("GP1",AD12)))</formula>
    </cfRule>
  </conditionalFormatting>
  <conditionalFormatting sqref="AD12">
    <cfRule type="containsText" dxfId="2570" priority="8630" operator="containsText" text="GP2">
      <formula>NOT(ISERROR(SEARCH("GP2",AD12)))</formula>
    </cfRule>
    <cfRule type="containsText" dxfId="2569" priority="8631" operator="containsText" text="GP1">
      <formula>NOT(ISERROR(SEARCH("GP1",AD12)))</formula>
    </cfRule>
  </conditionalFormatting>
  <conditionalFormatting sqref="AD12">
    <cfRule type="containsText" dxfId="2568" priority="8628" operator="containsText" text="GP2">
      <formula>NOT(ISERROR(SEARCH("GP2",AD12)))</formula>
    </cfRule>
    <cfRule type="containsText" dxfId="2567" priority="8629" operator="containsText" text="GP1">
      <formula>NOT(ISERROR(SEARCH("GP1",AD12)))</formula>
    </cfRule>
  </conditionalFormatting>
  <conditionalFormatting sqref="AD12">
    <cfRule type="containsText" dxfId="2566" priority="8626" operator="containsText" text="GP2">
      <formula>NOT(ISERROR(SEARCH("GP2",AD12)))</formula>
    </cfRule>
    <cfRule type="containsText" dxfId="2565" priority="8627" operator="containsText" text="GP1">
      <formula>NOT(ISERROR(SEARCH("GP1",AD12)))</formula>
    </cfRule>
  </conditionalFormatting>
  <conditionalFormatting sqref="AD12">
    <cfRule type="containsText" dxfId="2564" priority="8624" operator="containsText" text="GP2">
      <formula>NOT(ISERROR(SEARCH("GP2",AD12)))</formula>
    </cfRule>
    <cfRule type="containsText" dxfId="2563" priority="8625" operator="containsText" text="GP1">
      <formula>NOT(ISERROR(SEARCH("GP1",AD12)))</formula>
    </cfRule>
  </conditionalFormatting>
  <conditionalFormatting sqref="AD12">
    <cfRule type="containsText" dxfId="2562" priority="8622" operator="containsText" text="GP2">
      <formula>NOT(ISERROR(SEARCH("GP2",AD12)))</formula>
    </cfRule>
    <cfRule type="containsText" dxfId="2561" priority="8623" operator="containsText" text="GP1">
      <formula>NOT(ISERROR(SEARCH("GP1",AD12)))</formula>
    </cfRule>
  </conditionalFormatting>
  <conditionalFormatting sqref="AD12">
    <cfRule type="containsText" dxfId="2560" priority="8620" operator="containsText" text="GP2">
      <formula>NOT(ISERROR(SEARCH("GP2",AD12)))</formula>
    </cfRule>
    <cfRule type="containsText" dxfId="2559" priority="8621" operator="containsText" text="GP1">
      <formula>NOT(ISERROR(SEARCH("GP1",AD12)))</formula>
    </cfRule>
  </conditionalFormatting>
  <conditionalFormatting sqref="AD12">
    <cfRule type="containsText" dxfId="2558" priority="8618" operator="containsText" text="GP2">
      <formula>NOT(ISERROR(SEARCH("GP2",AD12)))</formula>
    </cfRule>
    <cfRule type="containsText" dxfId="2557" priority="8619" operator="containsText" text="GP1">
      <formula>NOT(ISERROR(SEARCH("GP1",AD12)))</formula>
    </cfRule>
  </conditionalFormatting>
  <conditionalFormatting sqref="AD12">
    <cfRule type="containsText" dxfId="2556" priority="8616" operator="containsText" text="GP2">
      <formula>NOT(ISERROR(SEARCH("GP2",AD12)))</formula>
    </cfRule>
    <cfRule type="containsText" dxfId="2555" priority="8617" operator="containsText" text="GP1">
      <formula>NOT(ISERROR(SEARCH("GP1",AD12)))</formula>
    </cfRule>
  </conditionalFormatting>
  <conditionalFormatting sqref="AD12">
    <cfRule type="containsText" dxfId="2554" priority="8614" operator="containsText" text="GP2">
      <formula>NOT(ISERROR(SEARCH("GP2",AD12)))</formula>
    </cfRule>
    <cfRule type="containsText" dxfId="2553" priority="8615" operator="containsText" text="GP1">
      <formula>NOT(ISERROR(SEARCH("GP1",AD12)))</formula>
    </cfRule>
  </conditionalFormatting>
  <conditionalFormatting sqref="AD12">
    <cfRule type="containsText" dxfId="2552" priority="8612" operator="containsText" text="GP2">
      <formula>NOT(ISERROR(SEARCH("GP2",AD12)))</formula>
    </cfRule>
    <cfRule type="containsText" dxfId="2551" priority="8613" operator="containsText" text="GP1">
      <formula>NOT(ISERROR(SEARCH("GP1",AD12)))</formula>
    </cfRule>
  </conditionalFormatting>
  <conditionalFormatting sqref="AD12">
    <cfRule type="containsText" dxfId="2550" priority="8610" operator="containsText" text="GP2">
      <formula>NOT(ISERROR(SEARCH("GP2",AD12)))</formula>
    </cfRule>
    <cfRule type="containsText" dxfId="2549" priority="8611" operator="containsText" text="GP1">
      <formula>NOT(ISERROR(SEARCH("GP1",AD12)))</formula>
    </cfRule>
  </conditionalFormatting>
  <conditionalFormatting sqref="AD12">
    <cfRule type="containsText" dxfId="2548" priority="8608" operator="containsText" text="GP2">
      <formula>NOT(ISERROR(SEARCH("GP2",AD12)))</formula>
    </cfRule>
    <cfRule type="containsText" dxfId="2547" priority="8609" operator="containsText" text="GP1">
      <formula>NOT(ISERROR(SEARCH("GP1",AD12)))</formula>
    </cfRule>
  </conditionalFormatting>
  <conditionalFormatting sqref="AD12">
    <cfRule type="containsText" dxfId="2546" priority="8606" operator="containsText" text="GP2">
      <formula>NOT(ISERROR(SEARCH("GP2",AD12)))</formula>
    </cfRule>
    <cfRule type="containsText" dxfId="2545" priority="8607" operator="containsText" text="GP1">
      <formula>NOT(ISERROR(SEARCH("GP1",AD12)))</formula>
    </cfRule>
  </conditionalFormatting>
  <conditionalFormatting sqref="AD12">
    <cfRule type="containsText" dxfId="2544" priority="8604" operator="containsText" text="GP2">
      <formula>NOT(ISERROR(SEARCH("GP2",AD12)))</formula>
    </cfRule>
    <cfRule type="containsText" dxfId="2543" priority="8605" operator="containsText" text="GP1">
      <formula>NOT(ISERROR(SEARCH("GP1",AD12)))</formula>
    </cfRule>
  </conditionalFormatting>
  <conditionalFormatting sqref="AD12">
    <cfRule type="containsText" dxfId="2542" priority="8602" operator="containsText" text="GP2">
      <formula>NOT(ISERROR(SEARCH("GP2",AD12)))</formula>
    </cfRule>
    <cfRule type="containsText" dxfId="2541" priority="8603" operator="containsText" text="GP1">
      <formula>NOT(ISERROR(SEARCH("GP1",AD12)))</formula>
    </cfRule>
  </conditionalFormatting>
  <conditionalFormatting sqref="AD12">
    <cfRule type="containsText" dxfId="2540" priority="8600" operator="containsText" text="GP2">
      <formula>NOT(ISERROR(SEARCH("GP2",AD12)))</formula>
    </cfRule>
    <cfRule type="containsText" dxfId="2539" priority="8601" operator="containsText" text="GP1">
      <formula>NOT(ISERROR(SEARCH("GP1",AD12)))</formula>
    </cfRule>
  </conditionalFormatting>
  <conditionalFormatting sqref="AD12">
    <cfRule type="containsText" dxfId="2538" priority="8598" operator="containsText" text="GP2">
      <formula>NOT(ISERROR(SEARCH("GP2",AD12)))</formula>
    </cfRule>
    <cfRule type="containsText" dxfId="2537" priority="8599" operator="containsText" text="GP1">
      <formula>NOT(ISERROR(SEARCH("GP1",AD12)))</formula>
    </cfRule>
  </conditionalFormatting>
  <conditionalFormatting sqref="AD12">
    <cfRule type="containsText" dxfId="2536" priority="8596" operator="containsText" text="GP2">
      <formula>NOT(ISERROR(SEARCH("GP2",AD12)))</formula>
    </cfRule>
    <cfRule type="containsText" dxfId="2535" priority="8597" operator="containsText" text="GP1">
      <formula>NOT(ISERROR(SEARCH("GP1",AD12)))</formula>
    </cfRule>
  </conditionalFormatting>
  <conditionalFormatting sqref="AD12">
    <cfRule type="containsText" dxfId="2534" priority="8594" operator="containsText" text="GP2">
      <formula>NOT(ISERROR(SEARCH("GP2",AD12)))</formula>
    </cfRule>
    <cfRule type="containsText" dxfId="2533" priority="8595" operator="containsText" text="GP1">
      <formula>NOT(ISERROR(SEARCH("GP1",AD12)))</formula>
    </cfRule>
  </conditionalFormatting>
  <conditionalFormatting sqref="AD12">
    <cfRule type="containsText" dxfId="2532" priority="8592" operator="containsText" text="GP2">
      <formula>NOT(ISERROR(SEARCH("GP2",AD12)))</formula>
    </cfRule>
    <cfRule type="containsText" dxfId="2531" priority="8593" operator="containsText" text="GP1">
      <formula>NOT(ISERROR(SEARCH("GP1",AD12)))</formula>
    </cfRule>
  </conditionalFormatting>
  <conditionalFormatting sqref="AD12">
    <cfRule type="containsText" dxfId="2530" priority="8590" operator="containsText" text="GP2">
      <formula>NOT(ISERROR(SEARCH("GP2",AD12)))</formula>
    </cfRule>
    <cfRule type="containsText" dxfId="2529" priority="8591" operator="containsText" text="GP1">
      <formula>NOT(ISERROR(SEARCH("GP1",AD12)))</formula>
    </cfRule>
  </conditionalFormatting>
  <conditionalFormatting sqref="AD12">
    <cfRule type="containsText" dxfId="2528" priority="8588" operator="containsText" text="GP2">
      <formula>NOT(ISERROR(SEARCH("GP2",AD12)))</formula>
    </cfRule>
    <cfRule type="containsText" dxfId="2527" priority="8589" operator="containsText" text="GP1">
      <formula>NOT(ISERROR(SEARCH("GP1",AD12)))</formula>
    </cfRule>
  </conditionalFormatting>
  <conditionalFormatting sqref="AD12">
    <cfRule type="containsText" dxfId="2526" priority="8586" operator="containsText" text="GP2">
      <formula>NOT(ISERROR(SEARCH("GP2",AD12)))</formula>
    </cfRule>
    <cfRule type="containsText" dxfId="2525" priority="8587" operator="containsText" text="GP1">
      <formula>NOT(ISERROR(SEARCH("GP1",AD12)))</formula>
    </cfRule>
  </conditionalFormatting>
  <conditionalFormatting sqref="AD12">
    <cfRule type="containsText" dxfId="2524" priority="8584" operator="containsText" text="GP2">
      <formula>NOT(ISERROR(SEARCH("GP2",AD12)))</formula>
    </cfRule>
    <cfRule type="containsText" dxfId="2523" priority="8585" operator="containsText" text="GP1">
      <formula>NOT(ISERROR(SEARCH("GP1",AD12)))</formula>
    </cfRule>
  </conditionalFormatting>
  <conditionalFormatting sqref="AD12">
    <cfRule type="containsText" dxfId="2522" priority="8582" operator="containsText" text="GP2">
      <formula>NOT(ISERROR(SEARCH("GP2",AD12)))</formula>
    </cfRule>
    <cfRule type="containsText" dxfId="2521" priority="8583" operator="containsText" text="GP1">
      <formula>NOT(ISERROR(SEARCH("GP1",AD12)))</formula>
    </cfRule>
  </conditionalFormatting>
  <conditionalFormatting sqref="AD12">
    <cfRule type="containsText" dxfId="2520" priority="8580" operator="containsText" text="GP2">
      <formula>NOT(ISERROR(SEARCH("GP2",AD12)))</formula>
    </cfRule>
    <cfRule type="containsText" dxfId="2519" priority="8581" operator="containsText" text="GP1">
      <formula>NOT(ISERROR(SEARCH("GP1",AD12)))</formula>
    </cfRule>
  </conditionalFormatting>
  <conditionalFormatting sqref="AD12">
    <cfRule type="containsText" dxfId="2518" priority="8578" operator="containsText" text="GP2">
      <formula>NOT(ISERROR(SEARCH("GP2",AD12)))</formula>
    </cfRule>
    <cfRule type="containsText" dxfId="2517" priority="8579" operator="containsText" text="GP1">
      <formula>NOT(ISERROR(SEARCH("GP1",AD12)))</formula>
    </cfRule>
  </conditionalFormatting>
  <conditionalFormatting sqref="AD12">
    <cfRule type="containsText" dxfId="2516" priority="8576" operator="containsText" text="GP2">
      <formula>NOT(ISERROR(SEARCH("GP2",AD12)))</formula>
    </cfRule>
    <cfRule type="containsText" dxfId="2515" priority="8577" operator="containsText" text="GP1">
      <formula>NOT(ISERROR(SEARCH("GP1",AD12)))</formula>
    </cfRule>
  </conditionalFormatting>
  <conditionalFormatting sqref="AD12">
    <cfRule type="containsText" dxfId="2514" priority="8574" operator="containsText" text="GP2">
      <formula>NOT(ISERROR(SEARCH("GP2",AD12)))</formula>
    </cfRule>
    <cfRule type="containsText" dxfId="2513" priority="8575" operator="containsText" text="GP1">
      <formula>NOT(ISERROR(SEARCH("GP1",AD12)))</formula>
    </cfRule>
  </conditionalFormatting>
  <conditionalFormatting sqref="AD12">
    <cfRule type="containsText" dxfId="2512" priority="8572" operator="containsText" text="GP2">
      <formula>NOT(ISERROR(SEARCH("GP2",AD12)))</formula>
    </cfRule>
    <cfRule type="containsText" dxfId="2511" priority="8573" operator="containsText" text="GP1">
      <formula>NOT(ISERROR(SEARCH("GP1",AD12)))</formula>
    </cfRule>
  </conditionalFormatting>
  <conditionalFormatting sqref="AD12">
    <cfRule type="containsText" dxfId="2510" priority="8570" operator="containsText" text="GP2">
      <formula>NOT(ISERROR(SEARCH("GP2",AD12)))</formula>
    </cfRule>
    <cfRule type="containsText" dxfId="2509" priority="8571" operator="containsText" text="GP1">
      <formula>NOT(ISERROR(SEARCH("GP1",AD12)))</formula>
    </cfRule>
  </conditionalFormatting>
  <conditionalFormatting sqref="AD12">
    <cfRule type="containsText" dxfId="2508" priority="8568" operator="containsText" text="GP2">
      <formula>NOT(ISERROR(SEARCH("GP2",AD12)))</formula>
    </cfRule>
    <cfRule type="containsText" dxfId="2507" priority="8569" operator="containsText" text="GP1">
      <formula>NOT(ISERROR(SEARCH("GP1",AD12)))</formula>
    </cfRule>
  </conditionalFormatting>
  <conditionalFormatting sqref="AD12">
    <cfRule type="containsText" dxfId="2506" priority="8566" operator="containsText" text="GP2">
      <formula>NOT(ISERROR(SEARCH("GP2",AD12)))</formula>
    </cfRule>
    <cfRule type="containsText" dxfId="2505" priority="8567" operator="containsText" text="GP1">
      <formula>NOT(ISERROR(SEARCH("GP1",AD12)))</formula>
    </cfRule>
  </conditionalFormatting>
  <conditionalFormatting sqref="AD12">
    <cfRule type="containsText" dxfId="2504" priority="8564" operator="containsText" text="GP2">
      <formula>NOT(ISERROR(SEARCH("GP2",AD12)))</formula>
    </cfRule>
    <cfRule type="containsText" dxfId="2503" priority="8565" operator="containsText" text="GP1">
      <formula>NOT(ISERROR(SEARCH("GP1",AD12)))</formula>
    </cfRule>
  </conditionalFormatting>
  <conditionalFormatting sqref="AD12">
    <cfRule type="containsText" dxfId="2502" priority="8562" operator="containsText" text="GP2">
      <formula>NOT(ISERROR(SEARCH("GP2",AD12)))</formula>
    </cfRule>
    <cfRule type="containsText" dxfId="2501" priority="8563" operator="containsText" text="GP1">
      <formula>NOT(ISERROR(SEARCH("GP1",AD12)))</formula>
    </cfRule>
  </conditionalFormatting>
  <conditionalFormatting sqref="AD12">
    <cfRule type="containsText" dxfId="2500" priority="8560" operator="containsText" text="GP2">
      <formula>NOT(ISERROR(SEARCH("GP2",AD12)))</formula>
    </cfRule>
    <cfRule type="containsText" dxfId="2499" priority="8561" operator="containsText" text="GP1">
      <formula>NOT(ISERROR(SEARCH("GP1",AD12)))</formula>
    </cfRule>
  </conditionalFormatting>
  <conditionalFormatting sqref="AD12">
    <cfRule type="containsText" dxfId="2498" priority="8558" operator="containsText" text="GP2">
      <formula>NOT(ISERROR(SEARCH("GP2",AD12)))</formula>
    </cfRule>
    <cfRule type="containsText" dxfId="2497" priority="8559" operator="containsText" text="GP1">
      <formula>NOT(ISERROR(SEARCH("GP1",AD12)))</formula>
    </cfRule>
  </conditionalFormatting>
  <conditionalFormatting sqref="AD12">
    <cfRule type="containsText" dxfId="2496" priority="8556" operator="containsText" text="GP2">
      <formula>NOT(ISERROR(SEARCH("GP2",AD12)))</formula>
    </cfRule>
    <cfRule type="containsText" dxfId="2495" priority="8557" operator="containsText" text="GP1">
      <formula>NOT(ISERROR(SEARCH("GP1",AD12)))</formula>
    </cfRule>
  </conditionalFormatting>
  <conditionalFormatting sqref="AD12">
    <cfRule type="containsText" dxfId="2494" priority="8554" operator="containsText" text="GP2">
      <formula>NOT(ISERROR(SEARCH("GP2",AD12)))</formula>
    </cfRule>
    <cfRule type="containsText" dxfId="2493" priority="8555" operator="containsText" text="GP1">
      <formula>NOT(ISERROR(SEARCH("GP1",AD12)))</formula>
    </cfRule>
  </conditionalFormatting>
  <conditionalFormatting sqref="AD12">
    <cfRule type="containsText" dxfId="2492" priority="8552" operator="containsText" text="GP2">
      <formula>NOT(ISERROR(SEARCH("GP2",AD12)))</formula>
    </cfRule>
    <cfRule type="containsText" dxfId="2491" priority="8553" operator="containsText" text="GP1">
      <formula>NOT(ISERROR(SEARCH("GP1",AD12)))</formula>
    </cfRule>
  </conditionalFormatting>
  <conditionalFormatting sqref="AD12">
    <cfRule type="containsText" dxfId="2490" priority="8550" operator="containsText" text="GP2">
      <formula>NOT(ISERROR(SEARCH("GP2",AD12)))</formula>
    </cfRule>
    <cfRule type="containsText" dxfId="2489" priority="8551" operator="containsText" text="GP1">
      <formula>NOT(ISERROR(SEARCH("GP1",AD12)))</formula>
    </cfRule>
  </conditionalFormatting>
  <conditionalFormatting sqref="AD12">
    <cfRule type="containsText" dxfId="2488" priority="8548" operator="containsText" text="GP2">
      <formula>NOT(ISERROR(SEARCH("GP2",AD12)))</formula>
    </cfRule>
    <cfRule type="containsText" dxfId="2487" priority="8549" operator="containsText" text="GP1">
      <formula>NOT(ISERROR(SEARCH("GP1",AD12)))</formula>
    </cfRule>
  </conditionalFormatting>
  <conditionalFormatting sqref="AD12">
    <cfRule type="containsText" dxfId="2486" priority="8546" operator="containsText" text="GP2">
      <formula>NOT(ISERROR(SEARCH("GP2",AD12)))</formula>
    </cfRule>
    <cfRule type="containsText" dxfId="2485" priority="8547" operator="containsText" text="GP1">
      <formula>NOT(ISERROR(SEARCH("GP1",AD12)))</formula>
    </cfRule>
  </conditionalFormatting>
  <conditionalFormatting sqref="AD12">
    <cfRule type="containsText" dxfId="2484" priority="8544" operator="containsText" text="GP2">
      <formula>NOT(ISERROR(SEARCH("GP2",AD12)))</formula>
    </cfRule>
    <cfRule type="containsText" dxfId="2483" priority="8545" operator="containsText" text="GP1">
      <formula>NOT(ISERROR(SEARCH("GP1",AD12)))</formula>
    </cfRule>
  </conditionalFormatting>
  <conditionalFormatting sqref="AD12">
    <cfRule type="containsText" dxfId="2482" priority="8542" operator="containsText" text="GP2">
      <formula>NOT(ISERROR(SEARCH("GP2",AD12)))</formula>
    </cfRule>
    <cfRule type="containsText" dxfId="2481" priority="8543" operator="containsText" text="GP1">
      <formula>NOT(ISERROR(SEARCH("GP1",AD12)))</formula>
    </cfRule>
  </conditionalFormatting>
  <conditionalFormatting sqref="AD12">
    <cfRule type="containsText" dxfId="2480" priority="8540" operator="containsText" text="GP2">
      <formula>NOT(ISERROR(SEARCH("GP2",AD12)))</formula>
    </cfRule>
    <cfRule type="containsText" dxfId="2479" priority="8541" operator="containsText" text="GP1">
      <formula>NOT(ISERROR(SEARCH("GP1",AD12)))</formula>
    </cfRule>
  </conditionalFormatting>
  <conditionalFormatting sqref="AD12">
    <cfRule type="containsText" dxfId="2478" priority="8538" operator="containsText" text="GP2">
      <formula>NOT(ISERROR(SEARCH("GP2",AD12)))</formula>
    </cfRule>
    <cfRule type="containsText" dxfId="2477" priority="8539" operator="containsText" text="GP1">
      <formula>NOT(ISERROR(SEARCH("GP1",AD12)))</formula>
    </cfRule>
  </conditionalFormatting>
  <conditionalFormatting sqref="AD12">
    <cfRule type="containsText" dxfId="2476" priority="8536" operator="containsText" text="GP2">
      <formula>NOT(ISERROR(SEARCH("GP2",AD12)))</formula>
    </cfRule>
    <cfRule type="containsText" dxfId="2475" priority="8537" operator="containsText" text="GP1">
      <formula>NOT(ISERROR(SEARCH("GP1",AD12)))</formula>
    </cfRule>
  </conditionalFormatting>
  <conditionalFormatting sqref="AD12">
    <cfRule type="containsText" dxfId="2474" priority="8534" operator="containsText" text="GP2">
      <formula>NOT(ISERROR(SEARCH("GP2",AD12)))</formula>
    </cfRule>
    <cfRule type="containsText" dxfId="2473" priority="8535" operator="containsText" text="GP1">
      <formula>NOT(ISERROR(SEARCH("GP1",AD12)))</formula>
    </cfRule>
  </conditionalFormatting>
  <conditionalFormatting sqref="AD12">
    <cfRule type="containsText" dxfId="2472" priority="8532" operator="containsText" text="GP2">
      <formula>NOT(ISERROR(SEARCH("GP2",AD12)))</formula>
    </cfRule>
    <cfRule type="containsText" dxfId="2471" priority="8533" operator="containsText" text="GP1">
      <formula>NOT(ISERROR(SEARCH("GP1",AD12)))</formula>
    </cfRule>
  </conditionalFormatting>
  <conditionalFormatting sqref="AD12">
    <cfRule type="containsText" dxfId="2470" priority="8530" operator="containsText" text="GP2">
      <formula>NOT(ISERROR(SEARCH("GP2",AD12)))</formula>
    </cfRule>
    <cfRule type="containsText" dxfId="2469" priority="8531" operator="containsText" text="GP1">
      <formula>NOT(ISERROR(SEARCH("GP1",AD12)))</formula>
    </cfRule>
  </conditionalFormatting>
  <conditionalFormatting sqref="AD12">
    <cfRule type="containsText" dxfId="2468" priority="8528" operator="containsText" text="GP2">
      <formula>NOT(ISERROR(SEARCH("GP2",AD12)))</formula>
    </cfRule>
    <cfRule type="containsText" dxfId="2467" priority="8529" operator="containsText" text="GP1">
      <formula>NOT(ISERROR(SEARCH("GP1",AD12)))</formula>
    </cfRule>
  </conditionalFormatting>
  <conditionalFormatting sqref="AD12">
    <cfRule type="containsText" dxfId="2466" priority="8526" operator="containsText" text="GP2">
      <formula>NOT(ISERROR(SEARCH("GP2",AD12)))</formula>
    </cfRule>
    <cfRule type="containsText" dxfId="2465" priority="8527" operator="containsText" text="GP1">
      <formula>NOT(ISERROR(SEARCH("GP1",AD12)))</formula>
    </cfRule>
  </conditionalFormatting>
  <conditionalFormatting sqref="AD12">
    <cfRule type="containsText" dxfId="2464" priority="8524" operator="containsText" text="GP2">
      <formula>NOT(ISERROR(SEARCH("GP2",AD12)))</formula>
    </cfRule>
    <cfRule type="containsText" dxfId="2463" priority="8525" operator="containsText" text="GP1">
      <formula>NOT(ISERROR(SEARCH("GP1",AD12)))</formula>
    </cfRule>
  </conditionalFormatting>
  <conditionalFormatting sqref="AD12">
    <cfRule type="containsText" dxfId="2462" priority="8522" operator="containsText" text="GP2">
      <formula>NOT(ISERROR(SEARCH("GP2",AD12)))</formula>
    </cfRule>
    <cfRule type="containsText" dxfId="2461" priority="8523" operator="containsText" text="GP1">
      <formula>NOT(ISERROR(SEARCH("GP1",AD12)))</formula>
    </cfRule>
  </conditionalFormatting>
  <conditionalFormatting sqref="AD12">
    <cfRule type="containsText" dxfId="2460" priority="8520" operator="containsText" text="GP2">
      <formula>NOT(ISERROR(SEARCH("GP2",AD12)))</formula>
    </cfRule>
    <cfRule type="containsText" dxfId="2459" priority="8521" operator="containsText" text="GP1">
      <formula>NOT(ISERROR(SEARCH("GP1",AD12)))</formula>
    </cfRule>
  </conditionalFormatting>
  <conditionalFormatting sqref="AD12">
    <cfRule type="containsText" dxfId="2458" priority="8518" operator="containsText" text="GP2">
      <formula>NOT(ISERROR(SEARCH("GP2",AD12)))</formula>
    </cfRule>
    <cfRule type="containsText" dxfId="2457" priority="8519" operator="containsText" text="GP1">
      <formula>NOT(ISERROR(SEARCH("GP1",AD12)))</formula>
    </cfRule>
  </conditionalFormatting>
  <conditionalFormatting sqref="AD12">
    <cfRule type="containsText" dxfId="2456" priority="8516" operator="containsText" text="GP2">
      <formula>NOT(ISERROR(SEARCH("GP2",AD12)))</formula>
    </cfRule>
    <cfRule type="containsText" dxfId="2455" priority="8517" operator="containsText" text="GP1">
      <formula>NOT(ISERROR(SEARCH("GP1",AD12)))</formula>
    </cfRule>
  </conditionalFormatting>
  <conditionalFormatting sqref="AD12">
    <cfRule type="containsText" dxfId="2454" priority="8514" operator="containsText" text="GP2">
      <formula>NOT(ISERROR(SEARCH("GP2",AD12)))</formula>
    </cfRule>
    <cfRule type="containsText" dxfId="2453" priority="8515" operator="containsText" text="GP1">
      <formula>NOT(ISERROR(SEARCH("GP1",AD12)))</formula>
    </cfRule>
  </conditionalFormatting>
  <conditionalFormatting sqref="AD12">
    <cfRule type="containsText" dxfId="2452" priority="8512" operator="containsText" text="GP2">
      <formula>NOT(ISERROR(SEARCH("GP2",AD12)))</formula>
    </cfRule>
    <cfRule type="containsText" dxfId="2451" priority="8513" operator="containsText" text="GP1">
      <formula>NOT(ISERROR(SEARCH("GP1",AD12)))</formula>
    </cfRule>
  </conditionalFormatting>
  <conditionalFormatting sqref="AD12">
    <cfRule type="containsText" dxfId="2450" priority="8510" operator="containsText" text="GP2">
      <formula>NOT(ISERROR(SEARCH("GP2",AD12)))</formula>
    </cfRule>
    <cfRule type="containsText" dxfId="2449" priority="8511" operator="containsText" text="GP1">
      <formula>NOT(ISERROR(SEARCH("GP1",AD12)))</formula>
    </cfRule>
  </conditionalFormatting>
  <conditionalFormatting sqref="AD12">
    <cfRule type="containsText" dxfId="2448" priority="8508" operator="containsText" text="GP2">
      <formula>NOT(ISERROR(SEARCH("GP2",AD12)))</formula>
    </cfRule>
    <cfRule type="containsText" dxfId="2447" priority="8509" operator="containsText" text="GP1">
      <formula>NOT(ISERROR(SEARCH("GP1",AD12)))</formula>
    </cfRule>
  </conditionalFormatting>
  <conditionalFormatting sqref="AD12">
    <cfRule type="containsText" dxfId="2446" priority="8506" operator="containsText" text="GP2">
      <formula>NOT(ISERROR(SEARCH("GP2",AD12)))</formula>
    </cfRule>
    <cfRule type="containsText" dxfId="2445" priority="8507" operator="containsText" text="GP1">
      <formula>NOT(ISERROR(SEARCH("GP1",AD12)))</formula>
    </cfRule>
  </conditionalFormatting>
  <conditionalFormatting sqref="AD12">
    <cfRule type="containsText" dxfId="2444" priority="8504" operator="containsText" text="GP2">
      <formula>NOT(ISERROR(SEARCH("GP2",AD12)))</formula>
    </cfRule>
    <cfRule type="containsText" dxfId="2443" priority="8505" operator="containsText" text="GP1">
      <formula>NOT(ISERROR(SEARCH("GP1",AD12)))</formula>
    </cfRule>
  </conditionalFormatting>
  <conditionalFormatting sqref="AD12">
    <cfRule type="containsText" dxfId="2442" priority="8502" operator="containsText" text="GP2">
      <formula>NOT(ISERROR(SEARCH("GP2",AD12)))</formula>
    </cfRule>
    <cfRule type="containsText" dxfId="2441" priority="8503" operator="containsText" text="GP1">
      <formula>NOT(ISERROR(SEARCH("GP1",AD12)))</formula>
    </cfRule>
  </conditionalFormatting>
  <conditionalFormatting sqref="AD12">
    <cfRule type="containsText" dxfId="2440" priority="8500" operator="containsText" text="GP2">
      <formula>NOT(ISERROR(SEARCH("GP2",AD12)))</formula>
    </cfRule>
    <cfRule type="containsText" dxfId="2439" priority="8501" operator="containsText" text="GP1">
      <formula>NOT(ISERROR(SEARCH("GP1",AD12)))</formula>
    </cfRule>
  </conditionalFormatting>
  <conditionalFormatting sqref="AD12">
    <cfRule type="containsText" dxfId="2438" priority="8498" operator="containsText" text="GP2">
      <formula>NOT(ISERROR(SEARCH("GP2",AD12)))</formula>
    </cfRule>
    <cfRule type="containsText" dxfId="2437" priority="8499" operator="containsText" text="GP1">
      <formula>NOT(ISERROR(SEARCH("GP1",AD12)))</formula>
    </cfRule>
  </conditionalFormatting>
  <conditionalFormatting sqref="AD12">
    <cfRule type="containsText" dxfId="2436" priority="8496" operator="containsText" text="GP2">
      <formula>NOT(ISERROR(SEARCH("GP2",AD12)))</formula>
    </cfRule>
    <cfRule type="containsText" dxfId="2435" priority="8497" operator="containsText" text="GP1">
      <formula>NOT(ISERROR(SEARCH("GP1",AD12)))</formula>
    </cfRule>
  </conditionalFormatting>
  <conditionalFormatting sqref="AD12">
    <cfRule type="containsText" dxfId="2434" priority="8494" operator="containsText" text="GP2">
      <formula>NOT(ISERROR(SEARCH("GP2",AD12)))</formula>
    </cfRule>
    <cfRule type="containsText" dxfId="2433" priority="8495" operator="containsText" text="GP1">
      <formula>NOT(ISERROR(SEARCH("GP1",AD12)))</formula>
    </cfRule>
  </conditionalFormatting>
  <conditionalFormatting sqref="AD12">
    <cfRule type="containsText" dxfId="2432" priority="8492" operator="containsText" text="GP2">
      <formula>NOT(ISERROR(SEARCH("GP2",AD12)))</formula>
    </cfRule>
    <cfRule type="containsText" dxfId="2431" priority="8493" operator="containsText" text="GP1">
      <formula>NOT(ISERROR(SEARCH("GP1",AD12)))</formula>
    </cfRule>
  </conditionalFormatting>
  <conditionalFormatting sqref="AD12">
    <cfRule type="containsText" dxfId="2430" priority="8490" operator="containsText" text="GP2">
      <formula>NOT(ISERROR(SEARCH("GP2",AD12)))</formula>
    </cfRule>
    <cfRule type="containsText" dxfId="2429" priority="8491" operator="containsText" text="GP1">
      <formula>NOT(ISERROR(SEARCH("GP1",AD12)))</formula>
    </cfRule>
  </conditionalFormatting>
  <conditionalFormatting sqref="AD12">
    <cfRule type="containsText" dxfId="2428" priority="8488" operator="containsText" text="GP2">
      <formula>NOT(ISERROR(SEARCH("GP2",AD12)))</formula>
    </cfRule>
    <cfRule type="containsText" dxfId="2427" priority="8489" operator="containsText" text="GP1">
      <formula>NOT(ISERROR(SEARCH("GP1",AD12)))</formula>
    </cfRule>
  </conditionalFormatting>
  <conditionalFormatting sqref="AD12">
    <cfRule type="containsText" dxfId="2426" priority="8486" operator="containsText" text="GP2">
      <formula>NOT(ISERROR(SEARCH("GP2",AD12)))</formula>
    </cfRule>
    <cfRule type="containsText" dxfId="2425" priority="8487" operator="containsText" text="GP1">
      <formula>NOT(ISERROR(SEARCH("GP1",AD12)))</formula>
    </cfRule>
  </conditionalFormatting>
  <conditionalFormatting sqref="AD12">
    <cfRule type="containsText" dxfId="2424" priority="8484" operator="containsText" text="GP2">
      <formula>NOT(ISERROR(SEARCH("GP2",AD12)))</formula>
    </cfRule>
    <cfRule type="containsText" dxfId="2423" priority="8485" operator="containsText" text="GP1">
      <formula>NOT(ISERROR(SEARCH("GP1",AD12)))</formula>
    </cfRule>
  </conditionalFormatting>
  <conditionalFormatting sqref="AD12">
    <cfRule type="containsText" dxfId="2422" priority="8482" operator="containsText" text="GP2">
      <formula>NOT(ISERROR(SEARCH("GP2",AD12)))</formula>
    </cfRule>
    <cfRule type="containsText" dxfId="2421" priority="8483" operator="containsText" text="GP1">
      <formula>NOT(ISERROR(SEARCH("GP1",AD12)))</formula>
    </cfRule>
  </conditionalFormatting>
  <conditionalFormatting sqref="AD12">
    <cfRule type="containsText" dxfId="2420" priority="8480" operator="containsText" text="GP2">
      <formula>NOT(ISERROR(SEARCH("GP2",AD12)))</formula>
    </cfRule>
    <cfRule type="containsText" dxfId="2419" priority="8481" operator="containsText" text="GP1">
      <formula>NOT(ISERROR(SEARCH("GP1",AD12)))</formula>
    </cfRule>
  </conditionalFormatting>
  <conditionalFormatting sqref="AD12">
    <cfRule type="containsText" dxfId="2418" priority="8478" operator="containsText" text="GP2">
      <formula>NOT(ISERROR(SEARCH("GP2",AD12)))</formula>
    </cfRule>
    <cfRule type="containsText" dxfId="2417" priority="8479" operator="containsText" text="GP1">
      <formula>NOT(ISERROR(SEARCH("GP1",AD12)))</formula>
    </cfRule>
  </conditionalFormatting>
  <conditionalFormatting sqref="AD12">
    <cfRule type="containsText" dxfId="2416" priority="8476" operator="containsText" text="GP2">
      <formula>NOT(ISERROR(SEARCH("GP2",AD12)))</formula>
    </cfRule>
    <cfRule type="containsText" dxfId="2415" priority="8477" operator="containsText" text="GP1">
      <formula>NOT(ISERROR(SEARCH("GP1",AD12)))</formula>
    </cfRule>
  </conditionalFormatting>
  <conditionalFormatting sqref="AD12">
    <cfRule type="containsText" dxfId="2414" priority="8474" operator="containsText" text="GP2">
      <formula>NOT(ISERROR(SEARCH("GP2",AD12)))</formula>
    </cfRule>
    <cfRule type="containsText" dxfId="2413" priority="8475" operator="containsText" text="GP1">
      <formula>NOT(ISERROR(SEARCH("GP1",AD12)))</formula>
    </cfRule>
  </conditionalFormatting>
  <conditionalFormatting sqref="AD12">
    <cfRule type="containsText" dxfId="2412" priority="8472" operator="containsText" text="GP2">
      <formula>NOT(ISERROR(SEARCH("GP2",AD12)))</formula>
    </cfRule>
    <cfRule type="containsText" dxfId="2411" priority="8473" operator="containsText" text="GP1">
      <formula>NOT(ISERROR(SEARCH("GP1",AD12)))</formula>
    </cfRule>
  </conditionalFormatting>
  <conditionalFormatting sqref="AD12">
    <cfRule type="containsText" dxfId="2410" priority="8470" operator="containsText" text="GP2">
      <formula>NOT(ISERROR(SEARCH("GP2",AD12)))</formula>
    </cfRule>
    <cfRule type="containsText" dxfId="2409" priority="8471" operator="containsText" text="GP1">
      <formula>NOT(ISERROR(SEARCH("GP1",AD12)))</formula>
    </cfRule>
  </conditionalFormatting>
  <conditionalFormatting sqref="AD12">
    <cfRule type="containsText" dxfId="2408" priority="8468" operator="containsText" text="GP2">
      <formula>NOT(ISERROR(SEARCH("GP2",AD12)))</formula>
    </cfRule>
    <cfRule type="containsText" dxfId="2407" priority="8469" operator="containsText" text="GP1">
      <formula>NOT(ISERROR(SEARCH("GP1",AD12)))</formula>
    </cfRule>
  </conditionalFormatting>
  <conditionalFormatting sqref="AD12">
    <cfRule type="containsText" dxfId="2406" priority="8466" operator="containsText" text="GP2">
      <formula>NOT(ISERROR(SEARCH("GP2",AD12)))</formula>
    </cfRule>
    <cfRule type="containsText" dxfId="2405" priority="8467" operator="containsText" text="GP1">
      <formula>NOT(ISERROR(SEARCH("GP1",AD12)))</formula>
    </cfRule>
  </conditionalFormatting>
  <conditionalFormatting sqref="AD12">
    <cfRule type="containsText" dxfId="2404" priority="8464" operator="containsText" text="GP2">
      <formula>NOT(ISERROR(SEARCH("GP2",AD12)))</formula>
    </cfRule>
    <cfRule type="containsText" dxfId="2403" priority="8465" operator="containsText" text="GP1">
      <formula>NOT(ISERROR(SEARCH("GP1",AD12)))</formula>
    </cfRule>
  </conditionalFormatting>
  <conditionalFormatting sqref="AD12">
    <cfRule type="containsText" dxfId="2402" priority="8462" operator="containsText" text="GP2">
      <formula>NOT(ISERROR(SEARCH("GP2",AD12)))</formula>
    </cfRule>
    <cfRule type="containsText" dxfId="2401" priority="8463" operator="containsText" text="GP1">
      <formula>NOT(ISERROR(SEARCH("GP1",AD12)))</formula>
    </cfRule>
  </conditionalFormatting>
  <conditionalFormatting sqref="AD12">
    <cfRule type="containsText" dxfId="2400" priority="8460" operator="containsText" text="GP2">
      <formula>NOT(ISERROR(SEARCH("GP2",AD12)))</formula>
    </cfRule>
    <cfRule type="containsText" dxfId="2399" priority="8461" operator="containsText" text="GP1">
      <formula>NOT(ISERROR(SEARCH("GP1",AD12)))</formula>
    </cfRule>
  </conditionalFormatting>
  <conditionalFormatting sqref="AD12">
    <cfRule type="containsText" dxfId="2398" priority="8458" operator="containsText" text="GP2">
      <formula>NOT(ISERROR(SEARCH("GP2",AD12)))</formula>
    </cfRule>
    <cfRule type="containsText" dxfId="2397" priority="8459" operator="containsText" text="GP1">
      <formula>NOT(ISERROR(SEARCH("GP1",AD12)))</formula>
    </cfRule>
  </conditionalFormatting>
  <conditionalFormatting sqref="AD12">
    <cfRule type="containsText" dxfId="2396" priority="8456" operator="containsText" text="GP2">
      <formula>NOT(ISERROR(SEARCH("GP2",AD12)))</formula>
    </cfRule>
    <cfRule type="containsText" dxfId="2395" priority="8457" operator="containsText" text="GP1">
      <formula>NOT(ISERROR(SEARCH("GP1",AD12)))</formula>
    </cfRule>
  </conditionalFormatting>
  <conditionalFormatting sqref="AD12">
    <cfRule type="containsText" dxfId="2394" priority="8454" operator="containsText" text="GP2">
      <formula>NOT(ISERROR(SEARCH("GP2",AD12)))</formula>
    </cfRule>
    <cfRule type="containsText" dxfId="2393" priority="8455" operator="containsText" text="GP1">
      <formula>NOT(ISERROR(SEARCH("GP1",AD12)))</formula>
    </cfRule>
  </conditionalFormatting>
  <conditionalFormatting sqref="AD12">
    <cfRule type="containsText" dxfId="2392" priority="8452" operator="containsText" text="GP2">
      <formula>NOT(ISERROR(SEARCH("GP2",AD12)))</formula>
    </cfRule>
    <cfRule type="containsText" dxfId="2391" priority="8453" operator="containsText" text="GP1">
      <formula>NOT(ISERROR(SEARCH("GP1",AD12)))</formula>
    </cfRule>
  </conditionalFormatting>
  <conditionalFormatting sqref="AD12">
    <cfRule type="containsText" dxfId="2390" priority="8450" operator="containsText" text="GP2">
      <formula>NOT(ISERROR(SEARCH("GP2",AD12)))</formula>
    </cfRule>
    <cfRule type="containsText" dxfId="2389" priority="8451" operator="containsText" text="GP1">
      <formula>NOT(ISERROR(SEARCH("GP1",AD12)))</formula>
    </cfRule>
  </conditionalFormatting>
  <conditionalFormatting sqref="AD12">
    <cfRule type="containsText" dxfId="2388" priority="8448" operator="containsText" text="GP2">
      <formula>NOT(ISERROR(SEARCH("GP2",AD12)))</formula>
    </cfRule>
    <cfRule type="containsText" dxfId="2387" priority="8449" operator="containsText" text="GP1">
      <formula>NOT(ISERROR(SEARCH("GP1",AD12)))</formula>
    </cfRule>
  </conditionalFormatting>
  <conditionalFormatting sqref="AD12">
    <cfRule type="containsText" dxfId="2386" priority="8446" operator="containsText" text="GP2">
      <formula>NOT(ISERROR(SEARCH("GP2",AD12)))</formula>
    </cfRule>
    <cfRule type="containsText" dxfId="2385" priority="8447" operator="containsText" text="GP1">
      <formula>NOT(ISERROR(SEARCH("GP1",AD12)))</formula>
    </cfRule>
  </conditionalFormatting>
  <conditionalFormatting sqref="AD12">
    <cfRule type="containsText" dxfId="2384" priority="8444" operator="containsText" text="GP2">
      <formula>NOT(ISERROR(SEARCH("GP2",AD12)))</formula>
    </cfRule>
    <cfRule type="containsText" dxfId="2383" priority="8445" operator="containsText" text="GP1">
      <formula>NOT(ISERROR(SEARCH("GP1",AD12)))</formula>
    </cfRule>
  </conditionalFormatting>
  <conditionalFormatting sqref="AD12">
    <cfRule type="containsText" dxfId="2382" priority="8442" operator="containsText" text="GP2">
      <formula>NOT(ISERROR(SEARCH("GP2",AD12)))</formula>
    </cfRule>
    <cfRule type="containsText" dxfId="2381" priority="8443" operator="containsText" text="GP1">
      <formula>NOT(ISERROR(SEARCH("GP1",AD12)))</formula>
    </cfRule>
  </conditionalFormatting>
  <conditionalFormatting sqref="AD12">
    <cfRule type="containsText" dxfId="2380" priority="8440" operator="containsText" text="GP2">
      <formula>NOT(ISERROR(SEARCH("GP2",AD12)))</formula>
    </cfRule>
    <cfRule type="containsText" dxfId="2379" priority="8441" operator="containsText" text="GP1">
      <formula>NOT(ISERROR(SEARCH("GP1",AD12)))</formula>
    </cfRule>
  </conditionalFormatting>
  <conditionalFormatting sqref="AD12">
    <cfRule type="containsText" dxfId="2378" priority="8438" operator="containsText" text="GP2">
      <formula>NOT(ISERROR(SEARCH("GP2",AD12)))</formula>
    </cfRule>
    <cfRule type="containsText" dxfId="2377" priority="8439" operator="containsText" text="GP1">
      <formula>NOT(ISERROR(SEARCH("GP1",AD12)))</formula>
    </cfRule>
  </conditionalFormatting>
  <conditionalFormatting sqref="AD12">
    <cfRule type="containsText" dxfId="2376" priority="8436" operator="containsText" text="GP2">
      <formula>NOT(ISERROR(SEARCH("GP2",AD12)))</formula>
    </cfRule>
    <cfRule type="containsText" dxfId="2375" priority="8437" operator="containsText" text="GP1">
      <formula>NOT(ISERROR(SEARCH("GP1",AD12)))</formula>
    </cfRule>
  </conditionalFormatting>
  <conditionalFormatting sqref="AD12">
    <cfRule type="containsText" dxfId="2374" priority="8434" operator="containsText" text="GP2">
      <formula>NOT(ISERROR(SEARCH("GP2",AD12)))</formula>
    </cfRule>
    <cfRule type="containsText" dxfId="2373" priority="8435" operator="containsText" text="GP1">
      <formula>NOT(ISERROR(SEARCH("GP1",AD12)))</formula>
    </cfRule>
  </conditionalFormatting>
  <conditionalFormatting sqref="AD12">
    <cfRule type="containsText" dxfId="2372" priority="8432" operator="containsText" text="GP2">
      <formula>NOT(ISERROR(SEARCH("GP2",AD12)))</formula>
    </cfRule>
    <cfRule type="containsText" dxfId="2371" priority="8433" operator="containsText" text="GP1">
      <formula>NOT(ISERROR(SEARCH("GP1",AD12)))</formula>
    </cfRule>
  </conditionalFormatting>
  <conditionalFormatting sqref="AD12">
    <cfRule type="containsText" dxfId="2370" priority="8430" operator="containsText" text="GP2">
      <formula>NOT(ISERROR(SEARCH("GP2",AD12)))</formula>
    </cfRule>
    <cfRule type="containsText" dxfId="2369" priority="8431" operator="containsText" text="GP1">
      <formula>NOT(ISERROR(SEARCH("GP1",AD12)))</formula>
    </cfRule>
  </conditionalFormatting>
  <conditionalFormatting sqref="AD12">
    <cfRule type="containsText" dxfId="2368" priority="8428" operator="containsText" text="GP2">
      <formula>NOT(ISERROR(SEARCH("GP2",AD12)))</formula>
    </cfRule>
    <cfRule type="containsText" dxfId="2367" priority="8429" operator="containsText" text="GP1">
      <formula>NOT(ISERROR(SEARCH("GP1",AD12)))</formula>
    </cfRule>
  </conditionalFormatting>
  <conditionalFormatting sqref="AD12">
    <cfRule type="containsText" dxfId="2366" priority="8426" operator="containsText" text="GP2">
      <formula>NOT(ISERROR(SEARCH("GP2",AD12)))</formula>
    </cfRule>
    <cfRule type="containsText" dxfId="2365" priority="8427" operator="containsText" text="GP1">
      <formula>NOT(ISERROR(SEARCH("GP1",AD12)))</formula>
    </cfRule>
  </conditionalFormatting>
  <conditionalFormatting sqref="AD12">
    <cfRule type="containsText" dxfId="2364" priority="8424" operator="containsText" text="GP2">
      <formula>NOT(ISERROR(SEARCH("GP2",AD12)))</formula>
    </cfRule>
    <cfRule type="containsText" dxfId="2363" priority="8425" operator="containsText" text="GP1">
      <formula>NOT(ISERROR(SEARCH("GP1",AD12)))</formula>
    </cfRule>
  </conditionalFormatting>
  <conditionalFormatting sqref="AD12">
    <cfRule type="containsText" dxfId="2362" priority="8422" operator="containsText" text="GP2">
      <formula>NOT(ISERROR(SEARCH("GP2",AD12)))</formula>
    </cfRule>
    <cfRule type="containsText" dxfId="2361" priority="8423" operator="containsText" text="GP1">
      <formula>NOT(ISERROR(SEARCH("GP1",AD12)))</formula>
    </cfRule>
  </conditionalFormatting>
  <conditionalFormatting sqref="AD12">
    <cfRule type="containsText" dxfId="2360" priority="8420" operator="containsText" text="GP2">
      <formula>NOT(ISERROR(SEARCH("GP2",AD12)))</formula>
    </cfRule>
    <cfRule type="containsText" dxfId="2359" priority="8421" operator="containsText" text="GP1">
      <formula>NOT(ISERROR(SEARCH("GP1",AD12)))</formula>
    </cfRule>
  </conditionalFormatting>
  <conditionalFormatting sqref="AD12">
    <cfRule type="containsText" dxfId="2358" priority="8418" operator="containsText" text="GP2">
      <formula>NOT(ISERROR(SEARCH("GP2",AD12)))</formula>
    </cfRule>
    <cfRule type="containsText" dxfId="2357" priority="8419" operator="containsText" text="GP1">
      <formula>NOT(ISERROR(SEARCH("GP1",AD12)))</formula>
    </cfRule>
  </conditionalFormatting>
  <conditionalFormatting sqref="AD12">
    <cfRule type="containsText" dxfId="2356" priority="8416" operator="containsText" text="GP2">
      <formula>NOT(ISERROR(SEARCH("GP2",AD12)))</formula>
    </cfRule>
    <cfRule type="containsText" dxfId="2355" priority="8417" operator="containsText" text="GP1">
      <formula>NOT(ISERROR(SEARCH("GP1",AD12)))</formula>
    </cfRule>
  </conditionalFormatting>
  <conditionalFormatting sqref="AD12">
    <cfRule type="containsText" dxfId="2354" priority="8414" operator="containsText" text="GP2">
      <formula>NOT(ISERROR(SEARCH("GP2",AD12)))</formula>
    </cfRule>
    <cfRule type="containsText" dxfId="2353" priority="8415" operator="containsText" text="GP1">
      <formula>NOT(ISERROR(SEARCH("GP1",AD12)))</formula>
    </cfRule>
  </conditionalFormatting>
  <conditionalFormatting sqref="AD12">
    <cfRule type="containsText" dxfId="2352" priority="8412" operator="containsText" text="GP2">
      <formula>NOT(ISERROR(SEARCH("GP2",AD12)))</formula>
    </cfRule>
    <cfRule type="containsText" dxfId="2351" priority="8413" operator="containsText" text="GP1">
      <formula>NOT(ISERROR(SEARCH("GP1",AD12)))</formula>
    </cfRule>
  </conditionalFormatting>
  <conditionalFormatting sqref="AD12">
    <cfRule type="containsText" dxfId="2350" priority="8410" operator="containsText" text="GP2">
      <formula>NOT(ISERROR(SEARCH("GP2",AD12)))</formula>
    </cfRule>
    <cfRule type="containsText" dxfId="2349" priority="8411" operator="containsText" text="GP1">
      <formula>NOT(ISERROR(SEARCH("GP1",AD12)))</formula>
    </cfRule>
  </conditionalFormatting>
  <conditionalFormatting sqref="AD12">
    <cfRule type="containsText" dxfId="2348" priority="8408" operator="containsText" text="GP2">
      <formula>NOT(ISERROR(SEARCH("GP2",AD12)))</formula>
    </cfRule>
    <cfRule type="containsText" dxfId="2347" priority="8409" operator="containsText" text="GP1">
      <formula>NOT(ISERROR(SEARCH("GP1",AD12)))</formula>
    </cfRule>
  </conditionalFormatting>
  <conditionalFormatting sqref="AD12">
    <cfRule type="containsText" dxfId="2346" priority="8406" operator="containsText" text="GP2">
      <formula>NOT(ISERROR(SEARCH("GP2",AD12)))</formula>
    </cfRule>
    <cfRule type="containsText" dxfId="2345" priority="8407" operator="containsText" text="GP1">
      <formula>NOT(ISERROR(SEARCH("GP1",AD12)))</formula>
    </cfRule>
  </conditionalFormatting>
  <conditionalFormatting sqref="AD12">
    <cfRule type="containsText" dxfId="2344" priority="8404" operator="containsText" text="GP2">
      <formula>NOT(ISERROR(SEARCH("GP2",AD12)))</formula>
    </cfRule>
    <cfRule type="containsText" dxfId="2343" priority="8405" operator="containsText" text="GP1">
      <formula>NOT(ISERROR(SEARCH("GP1",AD12)))</formula>
    </cfRule>
  </conditionalFormatting>
  <conditionalFormatting sqref="AD12">
    <cfRule type="containsText" dxfId="2342" priority="8402" operator="containsText" text="GP2">
      <formula>NOT(ISERROR(SEARCH("GP2",AD12)))</formula>
    </cfRule>
    <cfRule type="containsText" dxfId="2341" priority="8403" operator="containsText" text="GP1">
      <formula>NOT(ISERROR(SEARCH("GP1",AD12)))</formula>
    </cfRule>
  </conditionalFormatting>
  <conditionalFormatting sqref="AD12">
    <cfRule type="containsText" dxfId="2340" priority="8400" operator="containsText" text="GP2">
      <formula>NOT(ISERROR(SEARCH("GP2",AD12)))</formula>
    </cfRule>
    <cfRule type="containsText" dxfId="2339" priority="8401" operator="containsText" text="GP1">
      <formula>NOT(ISERROR(SEARCH("GP1",AD12)))</formula>
    </cfRule>
  </conditionalFormatting>
  <conditionalFormatting sqref="AD12">
    <cfRule type="containsText" dxfId="2338" priority="8398" operator="containsText" text="GP2">
      <formula>NOT(ISERROR(SEARCH("GP2",AD12)))</formula>
    </cfRule>
    <cfRule type="containsText" dxfId="2337" priority="8399" operator="containsText" text="GP1">
      <formula>NOT(ISERROR(SEARCH("GP1",AD12)))</formula>
    </cfRule>
  </conditionalFormatting>
  <conditionalFormatting sqref="AD12">
    <cfRule type="containsText" dxfId="2336" priority="8396" operator="containsText" text="GP2">
      <formula>NOT(ISERROR(SEARCH("GP2",AD12)))</formula>
    </cfRule>
    <cfRule type="containsText" dxfId="2335" priority="8397" operator="containsText" text="GP1">
      <formula>NOT(ISERROR(SEARCH("GP1",AD12)))</formula>
    </cfRule>
  </conditionalFormatting>
  <conditionalFormatting sqref="AD12">
    <cfRule type="containsText" dxfId="2334" priority="8394" operator="containsText" text="GP2">
      <formula>NOT(ISERROR(SEARCH("GP2",AD12)))</formula>
    </cfRule>
    <cfRule type="containsText" dxfId="2333" priority="8395" operator="containsText" text="GP1">
      <formula>NOT(ISERROR(SEARCH("GP1",AD12)))</formula>
    </cfRule>
  </conditionalFormatting>
  <conditionalFormatting sqref="AD12">
    <cfRule type="containsText" dxfId="2332" priority="8392" operator="containsText" text="GP2">
      <formula>NOT(ISERROR(SEARCH("GP2",AD12)))</formula>
    </cfRule>
    <cfRule type="containsText" dxfId="2331" priority="8393" operator="containsText" text="GP1">
      <formula>NOT(ISERROR(SEARCH("GP1",AD12)))</formula>
    </cfRule>
  </conditionalFormatting>
  <conditionalFormatting sqref="AD12">
    <cfRule type="containsText" dxfId="2330" priority="8390" operator="containsText" text="GP2">
      <formula>NOT(ISERROR(SEARCH("GP2",AD12)))</formula>
    </cfRule>
    <cfRule type="containsText" dxfId="2329" priority="8391" operator="containsText" text="GP1">
      <formula>NOT(ISERROR(SEARCH("GP1",AD12)))</formula>
    </cfRule>
  </conditionalFormatting>
  <conditionalFormatting sqref="AD12">
    <cfRule type="containsText" dxfId="2328" priority="8388" operator="containsText" text="GP2">
      <formula>NOT(ISERROR(SEARCH("GP2",AD12)))</formula>
    </cfRule>
    <cfRule type="containsText" dxfId="2327" priority="8389" operator="containsText" text="GP1">
      <formula>NOT(ISERROR(SEARCH("GP1",AD12)))</formula>
    </cfRule>
  </conditionalFormatting>
  <conditionalFormatting sqref="AD12">
    <cfRule type="containsText" dxfId="2326" priority="8386" operator="containsText" text="GP2">
      <formula>NOT(ISERROR(SEARCH("GP2",AD12)))</formula>
    </cfRule>
    <cfRule type="containsText" dxfId="2325" priority="8387" operator="containsText" text="GP1">
      <formula>NOT(ISERROR(SEARCH("GP1",AD12)))</formula>
    </cfRule>
  </conditionalFormatting>
  <conditionalFormatting sqref="AD12">
    <cfRule type="containsText" dxfId="2324" priority="8384" operator="containsText" text="GP2">
      <formula>NOT(ISERROR(SEARCH("GP2",AD12)))</formula>
    </cfRule>
    <cfRule type="containsText" dxfId="2323" priority="8385" operator="containsText" text="GP1">
      <formula>NOT(ISERROR(SEARCH("GP1",AD12)))</formula>
    </cfRule>
  </conditionalFormatting>
  <conditionalFormatting sqref="AD12">
    <cfRule type="containsText" dxfId="2322" priority="8382" operator="containsText" text="GP2">
      <formula>NOT(ISERROR(SEARCH("GP2",AD12)))</formula>
    </cfRule>
    <cfRule type="containsText" dxfId="2321" priority="8383" operator="containsText" text="GP1">
      <formula>NOT(ISERROR(SEARCH("GP1",AD12)))</formula>
    </cfRule>
  </conditionalFormatting>
  <conditionalFormatting sqref="AD12">
    <cfRule type="containsText" dxfId="2320" priority="8380" operator="containsText" text="GP2">
      <formula>NOT(ISERROR(SEARCH("GP2",AD12)))</formula>
    </cfRule>
    <cfRule type="containsText" dxfId="2319" priority="8381" operator="containsText" text="GP1">
      <formula>NOT(ISERROR(SEARCH("GP1",AD12)))</formula>
    </cfRule>
  </conditionalFormatting>
  <conditionalFormatting sqref="AD12">
    <cfRule type="containsText" dxfId="2318" priority="8378" operator="containsText" text="GP2">
      <formula>NOT(ISERROR(SEARCH("GP2",AD12)))</formula>
    </cfRule>
    <cfRule type="containsText" dxfId="2317" priority="8379" operator="containsText" text="GP1">
      <formula>NOT(ISERROR(SEARCH("GP1",AD12)))</formula>
    </cfRule>
  </conditionalFormatting>
  <conditionalFormatting sqref="AD12">
    <cfRule type="containsText" dxfId="2316" priority="8376" operator="containsText" text="GP2">
      <formula>NOT(ISERROR(SEARCH("GP2",AD12)))</formula>
    </cfRule>
    <cfRule type="containsText" dxfId="2315" priority="8377" operator="containsText" text="GP1">
      <formula>NOT(ISERROR(SEARCH("GP1",AD12)))</formula>
    </cfRule>
  </conditionalFormatting>
  <conditionalFormatting sqref="AD12">
    <cfRule type="containsText" dxfId="2314" priority="8374" operator="containsText" text="GP2">
      <formula>NOT(ISERROR(SEARCH("GP2",AD12)))</formula>
    </cfRule>
    <cfRule type="containsText" dxfId="2313" priority="8375" operator="containsText" text="GP1">
      <formula>NOT(ISERROR(SEARCH("GP1",AD12)))</formula>
    </cfRule>
  </conditionalFormatting>
  <conditionalFormatting sqref="AD12">
    <cfRule type="containsText" dxfId="2312" priority="8372" operator="containsText" text="GP2">
      <formula>NOT(ISERROR(SEARCH("GP2",AD12)))</formula>
    </cfRule>
    <cfRule type="containsText" dxfId="2311" priority="8373" operator="containsText" text="GP1">
      <formula>NOT(ISERROR(SEARCH("GP1",AD12)))</formula>
    </cfRule>
  </conditionalFormatting>
  <conditionalFormatting sqref="AD12">
    <cfRule type="containsText" dxfId="2310" priority="8370" operator="containsText" text="GP2">
      <formula>NOT(ISERROR(SEARCH("GP2",AD12)))</formula>
    </cfRule>
    <cfRule type="containsText" dxfId="2309" priority="8371" operator="containsText" text="GP1">
      <formula>NOT(ISERROR(SEARCH("GP1",AD12)))</formula>
    </cfRule>
  </conditionalFormatting>
  <conditionalFormatting sqref="AD12">
    <cfRule type="containsText" dxfId="2308" priority="8368" operator="containsText" text="GP2">
      <formula>NOT(ISERROR(SEARCH("GP2",AD12)))</formula>
    </cfRule>
    <cfRule type="containsText" dxfId="2307" priority="8369" operator="containsText" text="GP1">
      <formula>NOT(ISERROR(SEARCH("GP1",AD12)))</formula>
    </cfRule>
  </conditionalFormatting>
  <conditionalFormatting sqref="AD12">
    <cfRule type="containsText" dxfId="2306" priority="8366" operator="containsText" text="GP2">
      <formula>NOT(ISERROR(SEARCH("GP2",AD12)))</formula>
    </cfRule>
    <cfRule type="containsText" dxfId="2305" priority="8367" operator="containsText" text="GP1">
      <formula>NOT(ISERROR(SEARCH("GP1",AD12)))</formula>
    </cfRule>
  </conditionalFormatting>
  <conditionalFormatting sqref="AD12">
    <cfRule type="containsText" dxfId="2304" priority="8364" operator="containsText" text="GP2">
      <formula>NOT(ISERROR(SEARCH("GP2",AD12)))</formula>
    </cfRule>
    <cfRule type="containsText" dxfId="2303" priority="8365" operator="containsText" text="GP1">
      <formula>NOT(ISERROR(SEARCH("GP1",AD12)))</formula>
    </cfRule>
  </conditionalFormatting>
  <conditionalFormatting sqref="AD12">
    <cfRule type="containsText" dxfId="2302" priority="8358" operator="containsText" text="GP2">
      <formula>NOT(ISERROR(SEARCH("GP2",AD12)))</formula>
    </cfRule>
    <cfRule type="containsText" dxfId="2301" priority="8359" operator="containsText" text="GP1">
      <formula>NOT(ISERROR(SEARCH("GP1",AD12)))</formula>
    </cfRule>
  </conditionalFormatting>
  <conditionalFormatting sqref="AD12">
    <cfRule type="containsText" dxfId="2300" priority="8356" operator="containsText" text="GP2">
      <formula>NOT(ISERROR(SEARCH("GP2",AD12)))</formula>
    </cfRule>
    <cfRule type="containsText" dxfId="2299" priority="8357" operator="containsText" text="GP1">
      <formula>NOT(ISERROR(SEARCH("GP1",AD12)))</formula>
    </cfRule>
  </conditionalFormatting>
  <conditionalFormatting sqref="AD12">
    <cfRule type="containsText" dxfId="2298" priority="8354" operator="containsText" text="GP2">
      <formula>NOT(ISERROR(SEARCH("GP2",AD12)))</formula>
    </cfRule>
    <cfRule type="containsText" dxfId="2297" priority="8355" operator="containsText" text="GP1">
      <formula>NOT(ISERROR(SEARCH("GP1",AD12)))</formula>
    </cfRule>
  </conditionalFormatting>
  <conditionalFormatting sqref="AD12">
    <cfRule type="containsText" dxfId="2296" priority="8352" operator="containsText" text="GP2">
      <formula>NOT(ISERROR(SEARCH("GP2",AD12)))</formula>
    </cfRule>
    <cfRule type="containsText" dxfId="2295" priority="8353" operator="containsText" text="GP1">
      <formula>NOT(ISERROR(SEARCH("GP1",AD12)))</formula>
    </cfRule>
  </conditionalFormatting>
  <conditionalFormatting sqref="AD12">
    <cfRule type="containsText" dxfId="2294" priority="8350" operator="containsText" text="GP2">
      <formula>NOT(ISERROR(SEARCH("GP2",AD12)))</formula>
    </cfRule>
    <cfRule type="containsText" dxfId="2293" priority="8351" operator="containsText" text="GP1">
      <formula>NOT(ISERROR(SEARCH("GP1",AD12)))</formula>
    </cfRule>
  </conditionalFormatting>
  <conditionalFormatting sqref="AD12">
    <cfRule type="containsText" dxfId="2292" priority="8348" operator="containsText" text="GP2">
      <formula>NOT(ISERROR(SEARCH("GP2",AD12)))</formula>
    </cfRule>
    <cfRule type="containsText" dxfId="2291" priority="8349" operator="containsText" text="GP1">
      <formula>NOT(ISERROR(SEARCH("GP1",AD12)))</formula>
    </cfRule>
  </conditionalFormatting>
  <conditionalFormatting sqref="AD12">
    <cfRule type="containsText" dxfId="2290" priority="8362" operator="containsText" text="GP2">
      <formula>NOT(ISERROR(SEARCH("GP2",AD12)))</formula>
    </cfRule>
    <cfRule type="containsText" dxfId="2289" priority="8363" operator="containsText" text="GP1">
      <formula>NOT(ISERROR(SEARCH("GP1",AD12)))</formula>
    </cfRule>
  </conditionalFormatting>
  <conditionalFormatting sqref="AD12">
    <cfRule type="containsText" dxfId="2288" priority="8360" operator="containsText" text="GP2">
      <formula>NOT(ISERROR(SEARCH("GP2",AD12)))</formula>
    </cfRule>
    <cfRule type="containsText" dxfId="2287" priority="8361" operator="containsText" text="GP1">
      <formula>NOT(ISERROR(SEARCH("GP1",AD12)))</formula>
    </cfRule>
  </conditionalFormatting>
  <conditionalFormatting sqref="AD12">
    <cfRule type="containsText" dxfId="2286" priority="8346" operator="containsText" text="GP2">
      <formula>NOT(ISERROR(SEARCH("GP2",AD12)))</formula>
    </cfRule>
    <cfRule type="containsText" dxfId="2285" priority="8347" operator="containsText" text="GP1">
      <formula>NOT(ISERROR(SEARCH("GP1",AD12)))</formula>
    </cfRule>
  </conditionalFormatting>
  <conditionalFormatting sqref="AD12">
    <cfRule type="containsText" dxfId="2284" priority="8344" operator="containsText" text="GP2">
      <formula>NOT(ISERROR(SEARCH("GP2",AD12)))</formula>
    </cfRule>
    <cfRule type="containsText" dxfId="2283" priority="8345" operator="containsText" text="GP1">
      <formula>NOT(ISERROR(SEARCH("GP1",AD12)))</formula>
    </cfRule>
  </conditionalFormatting>
  <conditionalFormatting sqref="AD12">
    <cfRule type="containsText" dxfId="2282" priority="8342" operator="containsText" text="GP2">
      <formula>NOT(ISERROR(SEARCH("GP2",AD12)))</formula>
    </cfRule>
    <cfRule type="containsText" dxfId="2281" priority="8343" operator="containsText" text="GP1">
      <formula>NOT(ISERROR(SEARCH("GP1",AD12)))</formula>
    </cfRule>
  </conditionalFormatting>
  <conditionalFormatting sqref="AD12">
    <cfRule type="containsText" dxfId="2280" priority="8340" operator="containsText" text="GP2">
      <formula>NOT(ISERROR(SEARCH("GP2",AD12)))</formula>
    </cfRule>
    <cfRule type="containsText" dxfId="2279" priority="8341" operator="containsText" text="GP1">
      <formula>NOT(ISERROR(SEARCH("GP1",AD12)))</formula>
    </cfRule>
  </conditionalFormatting>
  <conditionalFormatting sqref="AD12">
    <cfRule type="containsText" dxfId="2278" priority="8338" operator="containsText" text="GP2">
      <formula>NOT(ISERROR(SEARCH("GP2",AD12)))</formula>
    </cfRule>
    <cfRule type="containsText" dxfId="2277" priority="8339" operator="containsText" text="GP1">
      <formula>NOT(ISERROR(SEARCH("GP1",AD12)))</formula>
    </cfRule>
  </conditionalFormatting>
  <conditionalFormatting sqref="AD12">
    <cfRule type="containsText" dxfId="2276" priority="8336" operator="containsText" text="GP2">
      <formula>NOT(ISERROR(SEARCH("GP2",AD12)))</formula>
    </cfRule>
    <cfRule type="containsText" dxfId="2275" priority="8337" operator="containsText" text="GP1">
      <formula>NOT(ISERROR(SEARCH("GP1",AD12)))</formula>
    </cfRule>
  </conditionalFormatting>
  <conditionalFormatting sqref="AD12">
    <cfRule type="containsText" dxfId="2274" priority="8334" operator="containsText" text="GP2">
      <formula>NOT(ISERROR(SEARCH("GP2",AD12)))</formula>
    </cfRule>
    <cfRule type="containsText" dxfId="2273" priority="8335" operator="containsText" text="GP1">
      <formula>NOT(ISERROR(SEARCH("GP1",AD12)))</formula>
    </cfRule>
  </conditionalFormatting>
  <conditionalFormatting sqref="AD12">
    <cfRule type="containsText" dxfId="2272" priority="8332" operator="containsText" text="GP2">
      <formula>NOT(ISERROR(SEARCH("GP2",AD12)))</formula>
    </cfRule>
    <cfRule type="containsText" dxfId="2271" priority="8333" operator="containsText" text="GP1">
      <formula>NOT(ISERROR(SEARCH("GP1",AD12)))</formula>
    </cfRule>
  </conditionalFormatting>
  <conditionalFormatting sqref="AD12">
    <cfRule type="containsText" dxfId="2270" priority="8330" operator="containsText" text="GP2">
      <formula>NOT(ISERROR(SEARCH("GP2",AD12)))</formula>
    </cfRule>
    <cfRule type="containsText" dxfId="2269" priority="8331" operator="containsText" text="GP1">
      <formula>NOT(ISERROR(SEARCH("GP1",AD12)))</formula>
    </cfRule>
  </conditionalFormatting>
  <conditionalFormatting sqref="AD12">
    <cfRule type="containsText" dxfId="2268" priority="8328" operator="containsText" text="GP2">
      <formula>NOT(ISERROR(SEARCH("GP2",AD12)))</formula>
    </cfRule>
    <cfRule type="containsText" dxfId="2267" priority="8329" operator="containsText" text="GP1">
      <formula>NOT(ISERROR(SEARCH("GP1",AD12)))</formula>
    </cfRule>
  </conditionalFormatting>
  <conditionalFormatting sqref="AD12">
    <cfRule type="containsText" dxfId="2266" priority="8326" operator="containsText" text="GP2">
      <formula>NOT(ISERROR(SEARCH("GP2",AD12)))</formula>
    </cfRule>
    <cfRule type="containsText" dxfId="2265" priority="8327" operator="containsText" text="GP1">
      <formula>NOT(ISERROR(SEARCH("GP1",AD12)))</formula>
    </cfRule>
  </conditionalFormatting>
  <conditionalFormatting sqref="AD12">
    <cfRule type="containsText" dxfId="2264" priority="8324" operator="containsText" text="GP2">
      <formula>NOT(ISERROR(SEARCH("GP2",AD12)))</formula>
    </cfRule>
    <cfRule type="containsText" dxfId="2263" priority="8325" operator="containsText" text="GP1">
      <formula>NOT(ISERROR(SEARCH("GP1",AD12)))</formula>
    </cfRule>
  </conditionalFormatting>
  <conditionalFormatting sqref="AD12">
    <cfRule type="containsText" dxfId="2262" priority="8322" operator="containsText" text="GP2">
      <formula>NOT(ISERROR(SEARCH("GP2",AD12)))</formula>
    </cfRule>
    <cfRule type="containsText" dxfId="2261" priority="8323" operator="containsText" text="GP1">
      <formula>NOT(ISERROR(SEARCH("GP1",AD12)))</formula>
    </cfRule>
  </conditionalFormatting>
  <conditionalFormatting sqref="AD12">
    <cfRule type="containsText" dxfId="2260" priority="8320" operator="containsText" text="GP2">
      <formula>NOT(ISERROR(SEARCH("GP2",AD12)))</formula>
    </cfRule>
    <cfRule type="containsText" dxfId="2259" priority="8321" operator="containsText" text="GP1">
      <formula>NOT(ISERROR(SEARCH("GP1",AD12)))</formula>
    </cfRule>
  </conditionalFormatting>
  <conditionalFormatting sqref="AD12">
    <cfRule type="containsText" dxfId="2258" priority="8318" operator="containsText" text="GP2">
      <formula>NOT(ISERROR(SEARCH("GP2",AD12)))</formula>
    </cfRule>
    <cfRule type="containsText" dxfId="2257" priority="8319" operator="containsText" text="GP1">
      <formula>NOT(ISERROR(SEARCH("GP1",AD12)))</formula>
    </cfRule>
  </conditionalFormatting>
  <conditionalFormatting sqref="AD12">
    <cfRule type="containsText" dxfId="2256" priority="8316" operator="containsText" text="GP2">
      <formula>NOT(ISERROR(SEARCH("GP2",AD12)))</formula>
    </cfRule>
    <cfRule type="containsText" dxfId="2255" priority="8317" operator="containsText" text="GP1">
      <formula>NOT(ISERROR(SEARCH("GP1",AD12)))</formula>
    </cfRule>
  </conditionalFormatting>
  <conditionalFormatting sqref="AD12">
    <cfRule type="containsText" dxfId="2254" priority="8314" operator="containsText" text="GP2">
      <formula>NOT(ISERROR(SEARCH("GP2",AD12)))</formula>
    </cfRule>
    <cfRule type="containsText" dxfId="2253" priority="8315" operator="containsText" text="GP1">
      <formula>NOT(ISERROR(SEARCH("GP1",AD12)))</formula>
    </cfRule>
  </conditionalFormatting>
  <conditionalFormatting sqref="AD12">
    <cfRule type="containsText" dxfId="2252" priority="8312" operator="containsText" text="GP2">
      <formula>NOT(ISERROR(SEARCH("GP2",AD12)))</formula>
    </cfRule>
    <cfRule type="containsText" dxfId="2251" priority="8313" operator="containsText" text="GP1">
      <formula>NOT(ISERROR(SEARCH("GP1",AD12)))</formula>
    </cfRule>
  </conditionalFormatting>
  <conditionalFormatting sqref="AD12">
    <cfRule type="containsText" dxfId="2250" priority="8310" operator="containsText" text="GP2">
      <formula>NOT(ISERROR(SEARCH("GP2",AD12)))</formula>
    </cfRule>
    <cfRule type="containsText" dxfId="2249" priority="8311" operator="containsText" text="GP1">
      <formula>NOT(ISERROR(SEARCH("GP1",AD12)))</formula>
    </cfRule>
  </conditionalFormatting>
  <conditionalFormatting sqref="AD12">
    <cfRule type="containsText" dxfId="2248" priority="8308" operator="containsText" text="GP2">
      <formula>NOT(ISERROR(SEARCH("GP2",AD12)))</formula>
    </cfRule>
    <cfRule type="containsText" dxfId="2247" priority="8309" operator="containsText" text="GP1">
      <formula>NOT(ISERROR(SEARCH("GP1",AD12)))</formula>
    </cfRule>
  </conditionalFormatting>
  <conditionalFormatting sqref="AD12">
    <cfRule type="containsText" dxfId="2246" priority="8306" operator="containsText" text="GP2">
      <formula>NOT(ISERROR(SEARCH("GP2",AD12)))</formula>
    </cfRule>
    <cfRule type="containsText" dxfId="2245" priority="8307" operator="containsText" text="GP1">
      <formula>NOT(ISERROR(SEARCH("GP1",AD12)))</formula>
    </cfRule>
  </conditionalFormatting>
  <conditionalFormatting sqref="AD12">
    <cfRule type="containsText" dxfId="2244" priority="8304" operator="containsText" text="GP2">
      <formula>NOT(ISERROR(SEARCH("GP2",AD12)))</formula>
    </cfRule>
    <cfRule type="containsText" dxfId="2243" priority="8305" operator="containsText" text="GP1">
      <formula>NOT(ISERROR(SEARCH("GP1",AD12)))</formula>
    </cfRule>
  </conditionalFormatting>
  <conditionalFormatting sqref="AD12">
    <cfRule type="containsText" dxfId="2242" priority="8302" operator="containsText" text="GP2">
      <formula>NOT(ISERROR(SEARCH("GP2",AD12)))</formula>
    </cfRule>
    <cfRule type="containsText" dxfId="2241" priority="8303" operator="containsText" text="GP1">
      <formula>NOT(ISERROR(SEARCH("GP1",AD12)))</formula>
    </cfRule>
  </conditionalFormatting>
  <conditionalFormatting sqref="AD12">
    <cfRule type="containsText" dxfId="2240" priority="8300" operator="containsText" text="GP2">
      <formula>NOT(ISERROR(SEARCH("GP2",AD12)))</formula>
    </cfRule>
    <cfRule type="containsText" dxfId="2239" priority="8301" operator="containsText" text="GP1">
      <formula>NOT(ISERROR(SEARCH("GP1",AD12)))</formula>
    </cfRule>
  </conditionalFormatting>
  <conditionalFormatting sqref="AD12">
    <cfRule type="containsText" dxfId="2238" priority="8298" operator="containsText" text="GP2">
      <formula>NOT(ISERROR(SEARCH("GP2",AD12)))</formula>
    </cfRule>
    <cfRule type="containsText" dxfId="2237" priority="8299" operator="containsText" text="GP1">
      <formula>NOT(ISERROR(SEARCH("GP1",AD12)))</formula>
    </cfRule>
  </conditionalFormatting>
  <conditionalFormatting sqref="AD12">
    <cfRule type="containsText" dxfId="2236" priority="8296" operator="containsText" text="GP2">
      <formula>NOT(ISERROR(SEARCH("GP2",AD12)))</formula>
    </cfRule>
    <cfRule type="containsText" dxfId="2235" priority="8297" operator="containsText" text="GP1">
      <formula>NOT(ISERROR(SEARCH("GP1",AD12)))</formula>
    </cfRule>
  </conditionalFormatting>
  <conditionalFormatting sqref="AD12">
    <cfRule type="containsText" dxfId="2234" priority="8294" operator="containsText" text="GP2">
      <formula>NOT(ISERROR(SEARCH("GP2",AD12)))</formula>
    </cfRule>
    <cfRule type="containsText" dxfId="2233" priority="8295" operator="containsText" text="GP1">
      <formula>NOT(ISERROR(SEARCH("GP1",AD12)))</formula>
    </cfRule>
  </conditionalFormatting>
  <conditionalFormatting sqref="AD12">
    <cfRule type="containsText" dxfId="2232" priority="8292" operator="containsText" text="GP2">
      <formula>NOT(ISERROR(SEARCH("GP2",AD12)))</formula>
    </cfRule>
    <cfRule type="containsText" dxfId="2231" priority="8293" operator="containsText" text="GP1">
      <formula>NOT(ISERROR(SEARCH("GP1",AD12)))</formula>
    </cfRule>
  </conditionalFormatting>
  <conditionalFormatting sqref="AD12">
    <cfRule type="containsText" dxfId="2230" priority="8290" operator="containsText" text="GP2">
      <formula>NOT(ISERROR(SEARCH("GP2",AD12)))</formula>
    </cfRule>
    <cfRule type="containsText" dxfId="2229" priority="8291" operator="containsText" text="GP1">
      <formula>NOT(ISERROR(SEARCH("GP1",AD12)))</formula>
    </cfRule>
  </conditionalFormatting>
  <conditionalFormatting sqref="AD12">
    <cfRule type="containsText" dxfId="2228" priority="8288" operator="containsText" text="GP2">
      <formula>NOT(ISERROR(SEARCH("GP2",AD12)))</formula>
    </cfRule>
    <cfRule type="containsText" dxfId="2227" priority="8289" operator="containsText" text="GP1">
      <formula>NOT(ISERROR(SEARCH("GP1",AD12)))</formula>
    </cfRule>
  </conditionalFormatting>
  <conditionalFormatting sqref="AD12">
    <cfRule type="containsText" dxfId="2226" priority="8286" operator="containsText" text="GP2">
      <formula>NOT(ISERROR(SEARCH("GP2",AD12)))</formula>
    </cfRule>
    <cfRule type="containsText" dxfId="2225" priority="8287" operator="containsText" text="GP1">
      <formula>NOT(ISERROR(SEARCH("GP1",AD12)))</formula>
    </cfRule>
  </conditionalFormatting>
  <conditionalFormatting sqref="AD12">
    <cfRule type="containsText" dxfId="2224" priority="8284" operator="containsText" text="GP2">
      <formula>NOT(ISERROR(SEARCH("GP2",AD12)))</formula>
    </cfRule>
    <cfRule type="containsText" dxfId="2223" priority="8285" operator="containsText" text="GP1">
      <formula>NOT(ISERROR(SEARCH("GP1",AD12)))</formula>
    </cfRule>
  </conditionalFormatting>
  <conditionalFormatting sqref="AD12">
    <cfRule type="containsText" dxfId="2222" priority="8282" operator="containsText" text="GP2">
      <formula>NOT(ISERROR(SEARCH("GP2",AD12)))</formula>
    </cfRule>
    <cfRule type="containsText" dxfId="2221" priority="8283" operator="containsText" text="GP1">
      <formula>NOT(ISERROR(SEARCH("GP1",AD12)))</formula>
    </cfRule>
  </conditionalFormatting>
  <conditionalFormatting sqref="AD12">
    <cfRule type="containsText" dxfId="2220" priority="8280" operator="containsText" text="GP2">
      <formula>NOT(ISERROR(SEARCH("GP2",AD12)))</formula>
    </cfRule>
    <cfRule type="containsText" dxfId="2219" priority="8281" operator="containsText" text="GP1">
      <formula>NOT(ISERROR(SEARCH("GP1",AD12)))</formula>
    </cfRule>
  </conditionalFormatting>
  <conditionalFormatting sqref="AD12">
    <cfRule type="containsText" dxfId="2218" priority="8278" operator="containsText" text="GP2">
      <formula>NOT(ISERROR(SEARCH("GP2",AD12)))</formula>
    </cfRule>
    <cfRule type="containsText" dxfId="2217" priority="8279" operator="containsText" text="GP1">
      <formula>NOT(ISERROR(SEARCH("GP1",AD12)))</formula>
    </cfRule>
  </conditionalFormatting>
  <conditionalFormatting sqref="AD12">
    <cfRule type="containsText" dxfId="2216" priority="8276" operator="containsText" text="GP2">
      <formula>NOT(ISERROR(SEARCH("GP2",AD12)))</formula>
    </cfRule>
    <cfRule type="containsText" dxfId="2215" priority="8277" operator="containsText" text="GP1">
      <formula>NOT(ISERROR(SEARCH("GP1",AD12)))</formula>
    </cfRule>
  </conditionalFormatting>
  <conditionalFormatting sqref="AD12">
    <cfRule type="containsText" dxfId="2214" priority="8274" operator="containsText" text="GP2">
      <formula>NOT(ISERROR(SEARCH("GP2",AD12)))</formula>
    </cfRule>
    <cfRule type="containsText" dxfId="2213" priority="8275" operator="containsText" text="GP1">
      <formula>NOT(ISERROR(SEARCH("GP1",AD12)))</formula>
    </cfRule>
  </conditionalFormatting>
  <conditionalFormatting sqref="AD12">
    <cfRule type="containsText" dxfId="2212" priority="8272" operator="containsText" text="GP2">
      <formula>NOT(ISERROR(SEARCH("GP2",AD12)))</formula>
    </cfRule>
    <cfRule type="containsText" dxfId="2211" priority="8273" operator="containsText" text="GP1">
      <formula>NOT(ISERROR(SEARCH("GP1",AD12)))</formula>
    </cfRule>
  </conditionalFormatting>
  <conditionalFormatting sqref="AD12">
    <cfRule type="containsText" dxfId="2210" priority="8270" operator="containsText" text="GP2">
      <formula>NOT(ISERROR(SEARCH("GP2",AD12)))</formula>
    </cfRule>
    <cfRule type="containsText" dxfId="2209" priority="8271" operator="containsText" text="GP1">
      <formula>NOT(ISERROR(SEARCH("GP1",AD12)))</formula>
    </cfRule>
  </conditionalFormatting>
  <conditionalFormatting sqref="AD12">
    <cfRule type="containsText" dxfId="2208" priority="8268" operator="containsText" text="GP2">
      <formula>NOT(ISERROR(SEARCH("GP2",AD12)))</formula>
    </cfRule>
    <cfRule type="containsText" dxfId="2207" priority="8269" operator="containsText" text="GP1">
      <formula>NOT(ISERROR(SEARCH("GP1",AD12)))</formula>
    </cfRule>
  </conditionalFormatting>
  <conditionalFormatting sqref="AD12">
    <cfRule type="containsText" dxfId="2206" priority="8266" operator="containsText" text="GP2">
      <formula>NOT(ISERROR(SEARCH("GP2",AD12)))</formula>
    </cfRule>
    <cfRule type="containsText" dxfId="2205" priority="8267" operator="containsText" text="GP1">
      <formula>NOT(ISERROR(SEARCH("GP1",AD12)))</formula>
    </cfRule>
  </conditionalFormatting>
  <conditionalFormatting sqref="AD12">
    <cfRule type="containsText" dxfId="2204" priority="8264" operator="containsText" text="GP2">
      <formula>NOT(ISERROR(SEARCH("GP2",AD12)))</formula>
    </cfRule>
    <cfRule type="containsText" dxfId="2203" priority="8265" operator="containsText" text="GP1">
      <formula>NOT(ISERROR(SEARCH("GP1",AD12)))</formula>
    </cfRule>
  </conditionalFormatting>
  <conditionalFormatting sqref="AD12">
    <cfRule type="containsText" dxfId="2202" priority="8262" operator="containsText" text="GP2">
      <formula>NOT(ISERROR(SEARCH("GP2",AD12)))</formula>
    </cfRule>
    <cfRule type="containsText" dxfId="2201" priority="8263" operator="containsText" text="GP1">
      <formula>NOT(ISERROR(SEARCH("GP1",AD12)))</formula>
    </cfRule>
  </conditionalFormatting>
  <conditionalFormatting sqref="AD12">
    <cfRule type="containsText" dxfId="2200" priority="8260" operator="containsText" text="GP2">
      <formula>NOT(ISERROR(SEARCH("GP2",AD12)))</formula>
    </cfRule>
    <cfRule type="containsText" dxfId="2199" priority="8261" operator="containsText" text="GP1">
      <formula>NOT(ISERROR(SEARCH("GP1",AD12)))</formula>
    </cfRule>
  </conditionalFormatting>
  <conditionalFormatting sqref="AD12">
    <cfRule type="containsText" dxfId="2198" priority="8258" operator="containsText" text="GP2">
      <formula>NOT(ISERROR(SEARCH("GP2",AD12)))</formula>
    </cfRule>
    <cfRule type="containsText" dxfId="2197" priority="8259" operator="containsText" text="GP1">
      <formula>NOT(ISERROR(SEARCH("GP1",AD12)))</formula>
    </cfRule>
  </conditionalFormatting>
  <conditionalFormatting sqref="AD12">
    <cfRule type="containsText" dxfId="2196" priority="8256" operator="containsText" text="GP2">
      <formula>NOT(ISERROR(SEARCH("GP2",AD12)))</formula>
    </cfRule>
    <cfRule type="containsText" dxfId="2195" priority="8257" operator="containsText" text="GP1">
      <formula>NOT(ISERROR(SEARCH("GP1",AD12)))</formula>
    </cfRule>
  </conditionalFormatting>
  <conditionalFormatting sqref="AD12">
    <cfRule type="containsText" dxfId="2194" priority="8254" operator="containsText" text="GP2">
      <formula>NOT(ISERROR(SEARCH("GP2",AD12)))</formula>
    </cfRule>
    <cfRule type="containsText" dxfId="2193" priority="8255" operator="containsText" text="GP1">
      <formula>NOT(ISERROR(SEARCH("GP1",AD12)))</formula>
    </cfRule>
  </conditionalFormatting>
  <conditionalFormatting sqref="AD12">
    <cfRule type="containsText" dxfId="2192" priority="8252" operator="containsText" text="GP2">
      <formula>NOT(ISERROR(SEARCH("GP2",AD12)))</formula>
    </cfRule>
    <cfRule type="containsText" dxfId="2191" priority="8253" operator="containsText" text="GP1">
      <formula>NOT(ISERROR(SEARCH("GP1",AD12)))</formula>
    </cfRule>
  </conditionalFormatting>
  <conditionalFormatting sqref="AD12">
    <cfRule type="containsText" dxfId="2190" priority="8250" operator="containsText" text="GP2">
      <formula>NOT(ISERROR(SEARCH("GP2",AD12)))</formula>
    </cfRule>
    <cfRule type="containsText" dxfId="2189" priority="8251" operator="containsText" text="GP1">
      <formula>NOT(ISERROR(SEARCH("GP1",AD12)))</formula>
    </cfRule>
  </conditionalFormatting>
  <conditionalFormatting sqref="AD12">
    <cfRule type="containsText" dxfId="2188" priority="8248" operator="containsText" text="GP2">
      <formula>NOT(ISERROR(SEARCH("GP2",AD12)))</formula>
    </cfRule>
    <cfRule type="containsText" dxfId="2187" priority="8249" operator="containsText" text="GP1">
      <formula>NOT(ISERROR(SEARCH("GP1",AD12)))</formula>
    </cfRule>
  </conditionalFormatting>
  <conditionalFormatting sqref="AD12">
    <cfRule type="containsText" dxfId="2186" priority="8246" operator="containsText" text="GP2">
      <formula>NOT(ISERROR(SEARCH("GP2",AD12)))</formula>
    </cfRule>
    <cfRule type="containsText" dxfId="2185" priority="8247" operator="containsText" text="GP1">
      <formula>NOT(ISERROR(SEARCH("GP1",AD12)))</formula>
    </cfRule>
  </conditionalFormatting>
  <conditionalFormatting sqref="AD12">
    <cfRule type="containsText" dxfId="2184" priority="8244" operator="containsText" text="GP2">
      <formula>NOT(ISERROR(SEARCH("GP2",AD12)))</formula>
    </cfRule>
    <cfRule type="containsText" dxfId="2183" priority="8245" operator="containsText" text="GP1">
      <formula>NOT(ISERROR(SEARCH("GP1",AD12)))</formula>
    </cfRule>
  </conditionalFormatting>
  <conditionalFormatting sqref="AD12">
    <cfRule type="containsText" dxfId="2182" priority="8242" operator="containsText" text="GP2">
      <formula>NOT(ISERROR(SEARCH("GP2",AD12)))</formula>
    </cfRule>
    <cfRule type="containsText" dxfId="2181" priority="8243" operator="containsText" text="GP1">
      <formula>NOT(ISERROR(SEARCH("GP1",AD12)))</formula>
    </cfRule>
  </conditionalFormatting>
  <conditionalFormatting sqref="AD12">
    <cfRule type="containsText" dxfId="2180" priority="8240" operator="containsText" text="GP2">
      <formula>NOT(ISERROR(SEARCH("GP2",AD12)))</formula>
    </cfRule>
    <cfRule type="containsText" dxfId="2179" priority="8241" operator="containsText" text="GP1">
      <formula>NOT(ISERROR(SEARCH("GP1",AD12)))</formula>
    </cfRule>
  </conditionalFormatting>
  <conditionalFormatting sqref="AD12">
    <cfRule type="containsText" dxfId="2178" priority="8238" operator="containsText" text="GP2">
      <formula>NOT(ISERROR(SEARCH("GP2",AD12)))</formula>
    </cfRule>
    <cfRule type="containsText" dxfId="2177" priority="8239" operator="containsText" text="GP1">
      <formula>NOT(ISERROR(SEARCH("GP1",AD12)))</formula>
    </cfRule>
  </conditionalFormatting>
  <conditionalFormatting sqref="AD12">
    <cfRule type="containsText" dxfId="2176" priority="8236" operator="containsText" text="GP2">
      <formula>NOT(ISERROR(SEARCH("GP2",AD12)))</formula>
    </cfRule>
    <cfRule type="containsText" dxfId="2175" priority="8237" operator="containsText" text="GP1">
      <formula>NOT(ISERROR(SEARCH("GP1",AD12)))</formula>
    </cfRule>
  </conditionalFormatting>
  <conditionalFormatting sqref="AD12">
    <cfRule type="containsText" dxfId="2174" priority="8234" operator="containsText" text="GP2">
      <formula>NOT(ISERROR(SEARCH("GP2",AD12)))</formula>
    </cfRule>
    <cfRule type="containsText" dxfId="2173" priority="8235" operator="containsText" text="GP1">
      <formula>NOT(ISERROR(SEARCH("GP1",AD12)))</formula>
    </cfRule>
  </conditionalFormatting>
  <conditionalFormatting sqref="AD12">
    <cfRule type="containsText" dxfId="2172" priority="8232" operator="containsText" text="GP2">
      <formula>NOT(ISERROR(SEARCH("GP2",AD12)))</formula>
    </cfRule>
    <cfRule type="containsText" dxfId="2171" priority="8233" operator="containsText" text="GP1">
      <formula>NOT(ISERROR(SEARCH("GP1",AD12)))</formula>
    </cfRule>
  </conditionalFormatting>
  <conditionalFormatting sqref="AD12">
    <cfRule type="containsText" dxfId="2170" priority="8230" operator="containsText" text="GP2">
      <formula>NOT(ISERROR(SEARCH("GP2",AD12)))</formula>
    </cfRule>
    <cfRule type="containsText" dxfId="2169" priority="8231" operator="containsText" text="GP1">
      <formula>NOT(ISERROR(SEARCH("GP1",AD12)))</formula>
    </cfRule>
  </conditionalFormatting>
  <conditionalFormatting sqref="AD12">
    <cfRule type="containsText" dxfId="2168" priority="8228" operator="containsText" text="GP2">
      <formula>NOT(ISERROR(SEARCH("GP2",AD12)))</formula>
    </cfRule>
    <cfRule type="containsText" dxfId="2167" priority="8229" operator="containsText" text="GP1">
      <formula>NOT(ISERROR(SEARCH("GP1",AD12)))</formula>
    </cfRule>
  </conditionalFormatting>
  <conditionalFormatting sqref="AD12">
    <cfRule type="containsText" dxfId="2166" priority="8226" operator="containsText" text="GP2">
      <formula>NOT(ISERROR(SEARCH("GP2",AD12)))</formula>
    </cfRule>
    <cfRule type="containsText" dxfId="2165" priority="8227" operator="containsText" text="GP1">
      <formula>NOT(ISERROR(SEARCH("GP1",AD12)))</formula>
    </cfRule>
  </conditionalFormatting>
  <conditionalFormatting sqref="AD12">
    <cfRule type="containsText" dxfId="2164" priority="8224" operator="containsText" text="GP2">
      <formula>NOT(ISERROR(SEARCH("GP2",AD12)))</formula>
    </cfRule>
    <cfRule type="containsText" dxfId="2163" priority="8225" operator="containsText" text="GP1">
      <formula>NOT(ISERROR(SEARCH("GP1",AD12)))</formula>
    </cfRule>
  </conditionalFormatting>
  <conditionalFormatting sqref="AD12">
    <cfRule type="containsText" dxfId="2162" priority="8222" operator="containsText" text="GP2">
      <formula>NOT(ISERROR(SEARCH("GP2",AD12)))</formula>
    </cfRule>
    <cfRule type="containsText" dxfId="2161" priority="8223" operator="containsText" text="GP1">
      <formula>NOT(ISERROR(SEARCH("GP1",AD12)))</formula>
    </cfRule>
  </conditionalFormatting>
  <conditionalFormatting sqref="AD12">
    <cfRule type="containsText" dxfId="2160" priority="8220" operator="containsText" text="GP2">
      <formula>NOT(ISERROR(SEARCH("GP2",AD12)))</formula>
    </cfRule>
    <cfRule type="containsText" dxfId="2159" priority="8221" operator="containsText" text="GP1">
      <formula>NOT(ISERROR(SEARCH("GP1",AD12)))</formula>
    </cfRule>
  </conditionalFormatting>
  <conditionalFormatting sqref="AD12">
    <cfRule type="containsText" dxfId="2158" priority="8218" operator="containsText" text="GP2">
      <formula>NOT(ISERROR(SEARCH("GP2",AD12)))</formula>
    </cfRule>
    <cfRule type="containsText" dxfId="2157" priority="8219" operator="containsText" text="GP1">
      <formula>NOT(ISERROR(SEARCH("GP1",AD12)))</formula>
    </cfRule>
  </conditionalFormatting>
  <conditionalFormatting sqref="AD12">
    <cfRule type="containsText" dxfId="2156" priority="8216" operator="containsText" text="GP2">
      <formula>NOT(ISERROR(SEARCH("GP2",AD12)))</formula>
    </cfRule>
    <cfRule type="containsText" dxfId="2155" priority="8217" operator="containsText" text="GP1">
      <formula>NOT(ISERROR(SEARCH("GP1",AD12)))</formula>
    </cfRule>
  </conditionalFormatting>
  <conditionalFormatting sqref="AD12">
    <cfRule type="containsText" dxfId="2154" priority="8214" operator="containsText" text="GP2">
      <formula>NOT(ISERROR(SEARCH("GP2",AD12)))</formula>
    </cfRule>
    <cfRule type="containsText" dxfId="2153" priority="8215" operator="containsText" text="GP1">
      <formula>NOT(ISERROR(SEARCH("GP1",AD12)))</formula>
    </cfRule>
  </conditionalFormatting>
  <conditionalFormatting sqref="AD12">
    <cfRule type="containsText" dxfId="2152" priority="8212" operator="containsText" text="GP2">
      <formula>NOT(ISERROR(SEARCH("GP2",AD12)))</formula>
    </cfRule>
    <cfRule type="containsText" dxfId="2151" priority="8213" operator="containsText" text="GP1">
      <formula>NOT(ISERROR(SEARCH("GP1",AD12)))</formula>
    </cfRule>
  </conditionalFormatting>
  <conditionalFormatting sqref="AD12">
    <cfRule type="containsText" dxfId="2150" priority="8210" operator="containsText" text="GP2">
      <formula>NOT(ISERROR(SEARCH("GP2",AD12)))</formula>
    </cfRule>
    <cfRule type="containsText" dxfId="2149" priority="8211" operator="containsText" text="GP1">
      <formula>NOT(ISERROR(SEARCH("GP1",AD12)))</formula>
    </cfRule>
  </conditionalFormatting>
  <conditionalFormatting sqref="AD12">
    <cfRule type="containsText" dxfId="2148" priority="8208" operator="containsText" text="GP2">
      <formula>NOT(ISERROR(SEARCH("GP2",AD12)))</formula>
    </cfRule>
    <cfRule type="containsText" dxfId="2147" priority="8209" operator="containsText" text="GP1">
      <formula>NOT(ISERROR(SEARCH("GP1",AD12)))</formula>
    </cfRule>
  </conditionalFormatting>
  <conditionalFormatting sqref="AD12">
    <cfRule type="containsText" dxfId="2146" priority="8206" operator="containsText" text="GP2">
      <formula>NOT(ISERROR(SEARCH("GP2",AD12)))</formula>
    </cfRule>
    <cfRule type="containsText" dxfId="2145" priority="8207" operator="containsText" text="GP1">
      <formula>NOT(ISERROR(SEARCH("GP1",AD12)))</formula>
    </cfRule>
  </conditionalFormatting>
  <conditionalFormatting sqref="AD12">
    <cfRule type="containsText" dxfId="2144" priority="8204" operator="containsText" text="GP2">
      <formula>NOT(ISERROR(SEARCH("GP2",AD12)))</formula>
    </cfRule>
    <cfRule type="containsText" dxfId="2143" priority="8205" operator="containsText" text="GP1">
      <formula>NOT(ISERROR(SEARCH("GP1",AD12)))</formula>
    </cfRule>
  </conditionalFormatting>
  <conditionalFormatting sqref="AD12">
    <cfRule type="containsText" dxfId="2142" priority="8202" operator="containsText" text="GP2">
      <formula>NOT(ISERROR(SEARCH("GP2",AD12)))</formula>
    </cfRule>
    <cfRule type="containsText" dxfId="2141" priority="8203" operator="containsText" text="GP1">
      <formula>NOT(ISERROR(SEARCH("GP1",AD12)))</formula>
    </cfRule>
  </conditionalFormatting>
  <conditionalFormatting sqref="AD12">
    <cfRule type="containsText" dxfId="2140" priority="8200" operator="containsText" text="GP2">
      <formula>NOT(ISERROR(SEARCH("GP2",AD12)))</formula>
    </cfRule>
    <cfRule type="containsText" dxfId="2139" priority="8201" operator="containsText" text="GP1">
      <formula>NOT(ISERROR(SEARCH("GP1",AD12)))</formula>
    </cfRule>
  </conditionalFormatting>
  <conditionalFormatting sqref="AD12">
    <cfRule type="containsText" dxfId="2138" priority="8198" operator="containsText" text="GP2">
      <formula>NOT(ISERROR(SEARCH("GP2",AD12)))</formula>
    </cfRule>
    <cfRule type="containsText" dxfId="2137" priority="8199" operator="containsText" text="GP1">
      <formula>NOT(ISERROR(SEARCH("GP1",AD12)))</formula>
    </cfRule>
  </conditionalFormatting>
  <conditionalFormatting sqref="AD12">
    <cfRule type="containsText" dxfId="2136" priority="8196" operator="containsText" text="GP2">
      <formula>NOT(ISERROR(SEARCH("GP2",AD12)))</formula>
    </cfRule>
    <cfRule type="containsText" dxfId="2135" priority="8197" operator="containsText" text="GP1">
      <formula>NOT(ISERROR(SEARCH("GP1",AD12)))</formula>
    </cfRule>
  </conditionalFormatting>
  <conditionalFormatting sqref="AD12">
    <cfRule type="containsText" dxfId="2134" priority="8194" operator="containsText" text="GP2">
      <formula>NOT(ISERROR(SEARCH("GP2",AD12)))</formula>
    </cfRule>
    <cfRule type="containsText" dxfId="2133" priority="8195" operator="containsText" text="GP1">
      <formula>NOT(ISERROR(SEARCH("GP1",AD12)))</formula>
    </cfRule>
  </conditionalFormatting>
  <conditionalFormatting sqref="AD12">
    <cfRule type="containsText" dxfId="2132" priority="8192" operator="containsText" text="GP2">
      <formula>NOT(ISERROR(SEARCH("GP2",AD12)))</formula>
    </cfRule>
    <cfRule type="containsText" dxfId="2131" priority="8193" operator="containsText" text="GP1">
      <formula>NOT(ISERROR(SEARCH("GP1",AD12)))</formula>
    </cfRule>
  </conditionalFormatting>
  <conditionalFormatting sqref="AD12">
    <cfRule type="containsText" dxfId="2130" priority="8190" operator="containsText" text="GP2">
      <formula>NOT(ISERROR(SEARCH("GP2",AD12)))</formula>
    </cfRule>
    <cfRule type="containsText" dxfId="2129" priority="8191" operator="containsText" text="GP1">
      <formula>NOT(ISERROR(SEARCH("GP1",AD12)))</formula>
    </cfRule>
  </conditionalFormatting>
  <conditionalFormatting sqref="AD12">
    <cfRule type="containsText" dxfId="2128" priority="8188" operator="containsText" text="GP2">
      <formula>NOT(ISERROR(SEARCH("GP2",AD12)))</formula>
    </cfRule>
    <cfRule type="containsText" dxfId="2127" priority="8189" operator="containsText" text="GP1">
      <formula>NOT(ISERROR(SEARCH("GP1",AD12)))</formula>
    </cfRule>
  </conditionalFormatting>
  <conditionalFormatting sqref="AD12">
    <cfRule type="containsText" dxfId="2126" priority="8186" operator="containsText" text="GP2">
      <formula>NOT(ISERROR(SEARCH("GP2",AD12)))</formula>
    </cfRule>
    <cfRule type="containsText" dxfId="2125" priority="8187" operator="containsText" text="GP1">
      <formula>NOT(ISERROR(SEARCH("GP1",AD12)))</formula>
    </cfRule>
  </conditionalFormatting>
  <conditionalFormatting sqref="AD12">
    <cfRule type="containsText" dxfId="2124" priority="8184" operator="containsText" text="GP2">
      <formula>NOT(ISERROR(SEARCH("GP2",AD12)))</formula>
    </cfRule>
    <cfRule type="containsText" dxfId="2123" priority="8185" operator="containsText" text="GP1">
      <formula>NOT(ISERROR(SEARCH("GP1",AD12)))</formula>
    </cfRule>
  </conditionalFormatting>
  <conditionalFormatting sqref="AD12">
    <cfRule type="containsText" dxfId="2122" priority="8182" operator="containsText" text="GP2">
      <formula>NOT(ISERROR(SEARCH("GP2",AD12)))</formula>
    </cfRule>
    <cfRule type="containsText" dxfId="2121" priority="8183" operator="containsText" text="GP1">
      <formula>NOT(ISERROR(SEARCH("GP1",AD12)))</formula>
    </cfRule>
  </conditionalFormatting>
  <conditionalFormatting sqref="AD12">
    <cfRule type="containsText" dxfId="2120" priority="8180" operator="containsText" text="GP2">
      <formula>NOT(ISERROR(SEARCH("GP2",AD12)))</formula>
    </cfRule>
    <cfRule type="containsText" dxfId="2119" priority="8181" operator="containsText" text="GP1">
      <formula>NOT(ISERROR(SEARCH("GP1",AD12)))</formula>
    </cfRule>
  </conditionalFormatting>
  <conditionalFormatting sqref="AD12">
    <cfRule type="containsText" dxfId="2118" priority="8178" operator="containsText" text="GP2">
      <formula>NOT(ISERROR(SEARCH("GP2",AD12)))</formula>
    </cfRule>
    <cfRule type="containsText" dxfId="2117" priority="8179" operator="containsText" text="GP1">
      <formula>NOT(ISERROR(SEARCH("GP1",AD12)))</formula>
    </cfRule>
  </conditionalFormatting>
  <conditionalFormatting sqref="AD12">
    <cfRule type="containsText" dxfId="2116" priority="8176" operator="containsText" text="GP2">
      <formula>NOT(ISERROR(SEARCH("GP2",AD12)))</formula>
    </cfRule>
    <cfRule type="containsText" dxfId="2115" priority="8177" operator="containsText" text="GP1">
      <formula>NOT(ISERROR(SEARCH("GP1",AD12)))</formula>
    </cfRule>
  </conditionalFormatting>
  <conditionalFormatting sqref="AD12">
    <cfRule type="containsText" dxfId="2114" priority="8174" operator="containsText" text="GP2">
      <formula>NOT(ISERROR(SEARCH("GP2",AD12)))</formula>
    </cfRule>
    <cfRule type="containsText" dxfId="2113" priority="8175" operator="containsText" text="GP1">
      <formula>NOT(ISERROR(SEARCH("GP1",AD12)))</formula>
    </cfRule>
  </conditionalFormatting>
  <conditionalFormatting sqref="AD12">
    <cfRule type="containsText" dxfId="2112" priority="8172" operator="containsText" text="GP2">
      <formula>NOT(ISERROR(SEARCH("GP2",AD12)))</formula>
    </cfRule>
    <cfRule type="containsText" dxfId="2111" priority="8173" operator="containsText" text="GP1">
      <formula>NOT(ISERROR(SEARCH("GP1",AD12)))</formula>
    </cfRule>
  </conditionalFormatting>
  <conditionalFormatting sqref="AD12">
    <cfRule type="containsText" dxfId="2110" priority="8170" operator="containsText" text="GP2">
      <formula>NOT(ISERROR(SEARCH("GP2",AD12)))</formula>
    </cfRule>
    <cfRule type="containsText" dxfId="2109" priority="8171" operator="containsText" text="GP1">
      <formula>NOT(ISERROR(SEARCH("GP1",AD12)))</formula>
    </cfRule>
  </conditionalFormatting>
  <conditionalFormatting sqref="AD12">
    <cfRule type="containsText" dxfId="2108" priority="8168" operator="containsText" text="GP2">
      <formula>NOT(ISERROR(SEARCH("GP2",AD12)))</formula>
    </cfRule>
    <cfRule type="containsText" dxfId="2107" priority="8169" operator="containsText" text="GP1">
      <formula>NOT(ISERROR(SEARCH("GP1",AD12)))</formula>
    </cfRule>
  </conditionalFormatting>
  <conditionalFormatting sqref="AD12">
    <cfRule type="containsText" dxfId="2106" priority="8166" operator="containsText" text="GP2">
      <formula>NOT(ISERROR(SEARCH("GP2",AD12)))</formula>
    </cfRule>
    <cfRule type="containsText" dxfId="2105" priority="8167" operator="containsText" text="GP1">
      <formula>NOT(ISERROR(SEARCH("GP1",AD12)))</formula>
    </cfRule>
  </conditionalFormatting>
  <conditionalFormatting sqref="AD12">
    <cfRule type="containsText" dxfId="2104" priority="8164" operator="containsText" text="GP2">
      <formula>NOT(ISERROR(SEARCH("GP2",AD12)))</formula>
    </cfRule>
    <cfRule type="containsText" dxfId="2103" priority="8165" operator="containsText" text="GP1">
      <formula>NOT(ISERROR(SEARCH("GP1",AD12)))</formula>
    </cfRule>
  </conditionalFormatting>
  <conditionalFormatting sqref="AD12">
    <cfRule type="containsText" dxfId="2102" priority="8162" operator="containsText" text="GP2">
      <formula>NOT(ISERROR(SEARCH("GP2",AD12)))</formula>
    </cfRule>
    <cfRule type="containsText" dxfId="2101" priority="8163" operator="containsText" text="GP1">
      <formula>NOT(ISERROR(SEARCH("GP1",AD12)))</formula>
    </cfRule>
  </conditionalFormatting>
  <conditionalFormatting sqref="AD12">
    <cfRule type="containsText" dxfId="2100" priority="8160" operator="containsText" text="GP2">
      <formula>NOT(ISERROR(SEARCH("GP2",AD12)))</formula>
    </cfRule>
    <cfRule type="containsText" dxfId="2099" priority="8161" operator="containsText" text="GP1">
      <formula>NOT(ISERROR(SEARCH("GP1",AD12)))</formula>
    </cfRule>
  </conditionalFormatting>
  <conditionalFormatting sqref="AD12">
    <cfRule type="containsText" dxfId="2098" priority="8158" operator="containsText" text="GP2">
      <formula>NOT(ISERROR(SEARCH("GP2",AD12)))</formula>
    </cfRule>
    <cfRule type="containsText" dxfId="2097" priority="8159" operator="containsText" text="GP1">
      <formula>NOT(ISERROR(SEARCH("GP1",AD12)))</formula>
    </cfRule>
  </conditionalFormatting>
  <conditionalFormatting sqref="AD12">
    <cfRule type="containsText" dxfId="2096" priority="8156" operator="containsText" text="GP2">
      <formula>NOT(ISERROR(SEARCH("GP2",AD12)))</formula>
    </cfRule>
    <cfRule type="containsText" dxfId="2095" priority="8157" operator="containsText" text="GP1">
      <formula>NOT(ISERROR(SEARCH("GP1",AD12)))</formula>
    </cfRule>
  </conditionalFormatting>
  <conditionalFormatting sqref="AD12">
    <cfRule type="containsText" dxfId="2094" priority="8154" operator="containsText" text="GP2">
      <formula>NOT(ISERROR(SEARCH("GP2",AD12)))</formula>
    </cfRule>
    <cfRule type="containsText" dxfId="2093" priority="8155" operator="containsText" text="GP1">
      <formula>NOT(ISERROR(SEARCH("GP1",AD12)))</formula>
    </cfRule>
  </conditionalFormatting>
  <conditionalFormatting sqref="AD12">
    <cfRule type="containsText" dxfId="2092" priority="8152" operator="containsText" text="GP2">
      <formula>NOT(ISERROR(SEARCH("GP2",AD12)))</formula>
    </cfRule>
    <cfRule type="containsText" dxfId="2091" priority="8153" operator="containsText" text="GP1">
      <formula>NOT(ISERROR(SEARCH("GP1",AD12)))</formula>
    </cfRule>
  </conditionalFormatting>
  <conditionalFormatting sqref="AD12">
    <cfRule type="containsText" dxfId="2090" priority="8150" operator="containsText" text="GP2">
      <formula>NOT(ISERROR(SEARCH("GP2",AD12)))</formula>
    </cfRule>
    <cfRule type="containsText" dxfId="2089" priority="8151" operator="containsText" text="GP1">
      <formula>NOT(ISERROR(SEARCH("GP1",AD12)))</formula>
    </cfRule>
  </conditionalFormatting>
  <conditionalFormatting sqref="AD12">
    <cfRule type="containsText" dxfId="2088" priority="8148" operator="containsText" text="GP2">
      <formula>NOT(ISERROR(SEARCH("GP2",AD12)))</formula>
    </cfRule>
    <cfRule type="containsText" dxfId="2087" priority="8149" operator="containsText" text="GP1">
      <formula>NOT(ISERROR(SEARCH("GP1",AD12)))</formula>
    </cfRule>
  </conditionalFormatting>
  <conditionalFormatting sqref="AD12">
    <cfRule type="containsText" dxfId="2086" priority="8146" operator="containsText" text="GP2">
      <formula>NOT(ISERROR(SEARCH("GP2",AD12)))</formula>
    </cfRule>
    <cfRule type="containsText" dxfId="2085" priority="8147" operator="containsText" text="GP1">
      <formula>NOT(ISERROR(SEARCH("GP1",AD12)))</formula>
    </cfRule>
  </conditionalFormatting>
  <conditionalFormatting sqref="AD12">
    <cfRule type="containsText" dxfId="2084" priority="8144" operator="containsText" text="GP2">
      <formula>NOT(ISERROR(SEARCH("GP2",AD12)))</formula>
    </cfRule>
    <cfRule type="containsText" dxfId="2083" priority="8145" operator="containsText" text="GP1">
      <formula>NOT(ISERROR(SEARCH("GP1",AD12)))</formula>
    </cfRule>
  </conditionalFormatting>
  <conditionalFormatting sqref="AD12">
    <cfRule type="containsText" dxfId="2082" priority="8142" operator="containsText" text="GP2">
      <formula>NOT(ISERROR(SEARCH("GP2",AD12)))</formula>
    </cfRule>
    <cfRule type="containsText" dxfId="2081" priority="8143" operator="containsText" text="GP1">
      <formula>NOT(ISERROR(SEARCH("GP1",AD12)))</formula>
    </cfRule>
  </conditionalFormatting>
  <conditionalFormatting sqref="AD12">
    <cfRule type="containsText" dxfId="2080" priority="8140" operator="containsText" text="GP2">
      <formula>NOT(ISERROR(SEARCH("GP2",AD12)))</formula>
    </cfRule>
    <cfRule type="containsText" dxfId="2079" priority="8141" operator="containsText" text="GP1">
      <formula>NOT(ISERROR(SEARCH("GP1",AD12)))</formula>
    </cfRule>
  </conditionalFormatting>
  <conditionalFormatting sqref="AD12">
    <cfRule type="containsText" dxfId="2078" priority="8138" operator="containsText" text="GP2">
      <formula>NOT(ISERROR(SEARCH("GP2",AD12)))</formula>
    </cfRule>
    <cfRule type="containsText" dxfId="2077" priority="8139" operator="containsText" text="GP1">
      <formula>NOT(ISERROR(SEARCH("GP1",AD12)))</formula>
    </cfRule>
  </conditionalFormatting>
  <conditionalFormatting sqref="AD12">
    <cfRule type="containsText" dxfId="2076" priority="8136" operator="containsText" text="GP2">
      <formula>NOT(ISERROR(SEARCH("GP2",AD12)))</formula>
    </cfRule>
    <cfRule type="containsText" dxfId="2075" priority="8137" operator="containsText" text="GP1">
      <formula>NOT(ISERROR(SEARCH("GP1",AD12)))</formula>
    </cfRule>
  </conditionalFormatting>
  <conditionalFormatting sqref="AD12">
    <cfRule type="containsText" dxfId="2074" priority="8134" operator="containsText" text="GP2">
      <formula>NOT(ISERROR(SEARCH("GP2",AD12)))</formula>
    </cfRule>
    <cfRule type="containsText" dxfId="2073" priority="8135" operator="containsText" text="GP1">
      <formula>NOT(ISERROR(SEARCH("GP1",AD12)))</formula>
    </cfRule>
  </conditionalFormatting>
  <conditionalFormatting sqref="AD12">
    <cfRule type="containsText" dxfId="2072" priority="8132" operator="containsText" text="GP2">
      <formula>NOT(ISERROR(SEARCH("GP2",AD12)))</formula>
    </cfRule>
    <cfRule type="containsText" dxfId="2071" priority="8133" operator="containsText" text="GP1">
      <formula>NOT(ISERROR(SEARCH("GP1",AD12)))</formula>
    </cfRule>
  </conditionalFormatting>
  <conditionalFormatting sqref="AD12">
    <cfRule type="containsText" dxfId="2070" priority="8130" operator="containsText" text="GP2">
      <formula>NOT(ISERROR(SEARCH("GP2",AD12)))</formula>
    </cfRule>
    <cfRule type="containsText" dxfId="2069" priority="8131" operator="containsText" text="GP1">
      <formula>NOT(ISERROR(SEARCH("GP1",AD12)))</formula>
    </cfRule>
  </conditionalFormatting>
  <conditionalFormatting sqref="AD12">
    <cfRule type="containsText" dxfId="2068" priority="8128" operator="containsText" text="GP2">
      <formula>NOT(ISERROR(SEARCH("GP2",AD12)))</formula>
    </cfRule>
    <cfRule type="containsText" dxfId="2067" priority="8129" operator="containsText" text="GP1">
      <formula>NOT(ISERROR(SEARCH("GP1",AD12)))</formula>
    </cfRule>
  </conditionalFormatting>
  <conditionalFormatting sqref="AD12">
    <cfRule type="containsText" dxfId="2066" priority="8126" operator="containsText" text="GP2">
      <formula>NOT(ISERROR(SEARCH("GP2",AD12)))</formula>
    </cfRule>
    <cfRule type="containsText" dxfId="2065" priority="8127" operator="containsText" text="GP1">
      <formula>NOT(ISERROR(SEARCH("GP1",AD12)))</formula>
    </cfRule>
  </conditionalFormatting>
  <conditionalFormatting sqref="AD12">
    <cfRule type="containsText" dxfId="2064" priority="8124" operator="containsText" text="GP2">
      <formula>NOT(ISERROR(SEARCH("GP2",AD12)))</formula>
    </cfRule>
    <cfRule type="containsText" dxfId="2063" priority="8125" operator="containsText" text="GP1">
      <formula>NOT(ISERROR(SEARCH("GP1",AD12)))</formula>
    </cfRule>
  </conditionalFormatting>
  <conditionalFormatting sqref="AD12">
    <cfRule type="containsText" dxfId="2062" priority="8122" operator="containsText" text="GP2">
      <formula>NOT(ISERROR(SEARCH("GP2",AD12)))</formula>
    </cfRule>
    <cfRule type="containsText" dxfId="2061" priority="8123" operator="containsText" text="GP1">
      <formula>NOT(ISERROR(SEARCH("GP1",AD12)))</formula>
    </cfRule>
  </conditionalFormatting>
  <conditionalFormatting sqref="AD12">
    <cfRule type="containsText" dxfId="2060" priority="8120" operator="containsText" text="GP2">
      <formula>NOT(ISERROR(SEARCH("GP2",AD12)))</formula>
    </cfRule>
    <cfRule type="containsText" dxfId="2059" priority="8121" operator="containsText" text="GP1">
      <formula>NOT(ISERROR(SEARCH("GP1",AD12)))</formula>
    </cfRule>
  </conditionalFormatting>
  <conditionalFormatting sqref="AD12">
    <cfRule type="containsText" dxfId="2058" priority="8118" operator="containsText" text="GP2">
      <formula>NOT(ISERROR(SEARCH("GP2",AD12)))</formula>
    </cfRule>
    <cfRule type="containsText" dxfId="2057" priority="8119" operator="containsText" text="GP1">
      <formula>NOT(ISERROR(SEARCH("GP1",AD12)))</formula>
    </cfRule>
  </conditionalFormatting>
  <conditionalFormatting sqref="AD12">
    <cfRule type="containsText" dxfId="2056" priority="8116" operator="containsText" text="GP2">
      <formula>NOT(ISERROR(SEARCH("GP2",AD12)))</formula>
    </cfRule>
    <cfRule type="containsText" dxfId="2055" priority="8117" operator="containsText" text="GP1">
      <formula>NOT(ISERROR(SEARCH("GP1",AD12)))</formula>
    </cfRule>
  </conditionalFormatting>
  <conditionalFormatting sqref="AD12">
    <cfRule type="containsText" dxfId="2054" priority="8114" operator="containsText" text="GP2">
      <formula>NOT(ISERROR(SEARCH("GP2",AD12)))</formula>
    </cfRule>
    <cfRule type="containsText" dxfId="2053" priority="8115" operator="containsText" text="GP1">
      <formula>NOT(ISERROR(SEARCH("GP1",AD12)))</formula>
    </cfRule>
  </conditionalFormatting>
  <conditionalFormatting sqref="AD12">
    <cfRule type="containsText" dxfId="2052" priority="8112" operator="containsText" text="GP2">
      <formula>NOT(ISERROR(SEARCH("GP2",AD12)))</formula>
    </cfRule>
    <cfRule type="containsText" dxfId="2051" priority="8113" operator="containsText" text="GP1">
      <formula>NOT(ISERROR(SEARCH("GP1",AD12)))</formula>
    </cfRule>
  </conditionalFormatting>
  <conditionalFormatting sqref="AD12">
    <cfRule type="containsText" dxfId="2050" priority="8110" operator="containsText" text="GP2">
      <formula>NOT(ISERROR(SEARCH("GP2",AD12)))</formula>
    </cfRule>
    <cfRule type="containsText" dxfId="2049" priority="8111" operator="containsText" text="GP1">
      <formula>NOT(ISERROR(SEARCH("GP1",AD12)))</formula>
    </cfRule>
  </conditionalFormatting>
  <conditionalFormatting sqref="AD12">
    <cfRule type="containsText" dxfId="2048" priority="8108" operator="containsText" text="GP2">
      <formula>NOT(ISERROR(SEARCH("GP2",AD12)))</formula>
    </cfRule>
    <cfRule type="containsText" dxfId="2047" priority="8109" operator="containsText" text="GP1">
      <formula>NOT(ISERROR(SEARCH("GP1",AD12)))</formula>
    </cfRule>
  </conditionalFormatting>
  <conditionalFormatting sqref="AD12">
    <cfRule type="containsText" dxfId="2046" priority="8106" operator="containsText" text="GP2">
      <formula>NOT(ISERROR(SEARCH("GP2",AD12)))</formula>
    </cfRule>
    <cfRule type="containsText" dxfId="2045" priority="8107" operator="containsText" text="GP1">
      <formula>NOT(ISERROR(SEARCH("GP1",AD12)))</formula>
    </cfRule>
  </conditionalFormatting>
  <conditionalFormatting sqref="AD12">
    <cfRule type="containsText" dxfId="2044" priority="8104" operator="containsText" text="GP2">
      <formula>NOT(ISERROR(SEARCH("GP2",AD12)))</formula>
    </cfRule>
    <cfRule type="containsText" dxfId="2043" priority="8105" operator="containsText" text="GP1">
      <formula>NOT(ISERROR(SEARCH("GP1",AD12)))</formula>
    </cfRule>
  </conditionalFormatting>
  <conditionalFormatting sqref="AD12">
    <cfRule type="containsText" dxfId="2042" priority="8102" operator="containsText" text="GP2">
      <formula>NOT(ISERROR(SEARCH("GP2",AD12)))</formula>
    </cfRule>
    <cfRule type="containsText" dxfId="2041" priority="8103" operator="containsText" text="GP1">
      <formula>NOT(ISERROR(SEARCH("GP1",AD12)))</formula>
    </cfRule>
  </conditionalFormatting>
  <conditionalFormatting sqref="AD12">
    <cfRule type="containsText" dxfId="2040" priority="8100" operator="containsText" text="GP2">
      <formula>NOT(ISERROR(SEARCH("GP2",AD12)))</formula>
    </cfRule>
    <cfRule type="containsText" dxfId="2039" priority="8101" operator="containsText" text="GP1">
      <formula>NOT(ISERROR(SEARCH("GP1",AD12)))</formula>
    </cfRule>
  </conditionalFormatting>
  <conditionalFormatting sqref="AD12">
    <cfRule type="containsText" dxfId="2038" priority="8098" operator="containsText" text="GP2">
      <formula>NOT(ISERROR(SEARCH("GP2",AD12)))</formula>
    </cfRule>
    <cfRule type="containsText" dxfId="2037" priority="8099" operator="containsText" text="GP1">
      <formula>NOT(ISERROR(SEARCH("GP1",AD12)))</formula>
    </cfRule>
  </conditionalFormatting>
  <conditionalFormatting sqref="AD12">
    <cfRule type="containsText" dxfId="2036" priority="8096" operator="containsText" text="GP2">
      <formula>NOT(ISERROR(SEARCH("GP2",AD12)))</formula>
    </cfRule>
    <cfRule type="containsText" dxfId="2035" priority="8097" operator="containsText" text="GP1">
      <formula>NOT(ISERROR(SEARCH("GP1",AD12)))</formula>
    </cfRule>
  </conditionalFormatting>
  <conditionalFormatting sqref="AD12">
    <cfRule type="containsText" dxfId="2034" priority="8094" operator="containsText" text="GP2">
      <formula>NOT(ISERROR(SEARCH("GP2",AD12)))</formula>
    </cfRule>
    <cfRule type="containsText" dxfId="2033" priority="8095" operator="containsText" text="GP1">
      <formula>NOT(ISERROR(SEARCH("GP1",AD12)))</formula>
    </cfRule>
  </conditionalFormatting>
  <conditionalFormatting sqref="AD12">
    <cfRule type="containsText" dxfId="2032" priority="8092" operator="containsText" text="GP2">
      <formula>NOT(ISERROR(SEARCH("GP2",AD12)))</formula>
    </cfRule>
    <cfRule type="containsText" dxfId="2031" priority="8093" operator="containsText" text="GP1">
      <formula>NOT(ISERROR(SEARCH("GP1",AD12)))</formula>
    </cfRule>
  </conditionalFormatting>
  <conditionalFormatting sqref="AD12">
    <cfRule type="containsText" dxfId="2030" priority="8090" operator="containsText" text="GP2">
      <formula>NOT(ISERROR(SEARCH("GP2",AD12)))</formula>
    </cfRule>
    <cfRule type="containsText" dxfId="2029" priority="8091" operator="containsText" text="GP1">
      <formula>NOT(ISERROR(SEARCH("GP1",AD12)))</formula>
    </cfRule>
  </conditionalFormatting>
  <conditionalFormatting sqref="AD12">
    <cfRule type="containsText" dxfId="2028" priority="8088" operator="containsText" text="GP2">
      <formula>NOT(ISERROR(SEARCH("GP2",AD12)))</formula>
    </cfRule>
    <cfRule type="containsText" dxfId="2027" priority="8089" operator="containsText" text="GP1">
      <formula>NOT(ISERROR(SEARCH("GP1",AD12)))</formula>
    </cfRule>
  </conditionalFormatting>
  <conditionalFormatting sqref="AD12">
    <cfRule type="containsText" dxfId="2026" priority="8086" operator="containsText" text="GP2">
      <formula>NOT(ISERROR(SEARCH("GP2",AD12)))</formula>
    </cfRule>
    <cfRule type="containsText" dxfId="2025" priority="8087" operator="containsText" text="GP1">
      <formula>NOT(ISERROR(SEARCH("GP1",AD12)))</formula>
    </cfRule>
  </conditionalFormatting>
  <conditionalFormatting sqref="AD12">
    <cfRule type="containsText" dxfId="2024" priority="8084" operator="containsText" text="GP2">
      <formula>NOT(ISERROR(SEARCH("GP2",AD12)))</formula>
    </cfRule>
    <cfRule type="containsText" dxfId="2023" priority="8085" operator="containsText" text="GP1">
      <formula>NOT(ISERROR(SEARCH("GP1",AD12)))</formula>
    </cfRule>
  </conditionalFormatting>
  <conditionalFormatting sqref="AD12">
    <cfRule type="containsText" dxfId="2022" priority="8082" operator="containsText" text="GP2">
      <formula>NOT(ISERROR(SEARCH("GP2",AD12)))</formula>
    </cfRule>
    <cfRule type="containsText" dxfId="2021" priority="8083" operator="containsText" text="GP1">
      <formula>NOT(ISERROR(SEARCH("GP1",AD12)))</formula>
    </cfRule>
  </conditionalFormatting>
  <conditionalFormatting sqref="AD12">
    <cfRule type="containsText" dxfId="2020" priority="8080" operator="containsText" text="GP2">
      <formula>NOT(ISERROR(SEARCH("GP2",AD12)))</formula>
    </cfRule>
    <cfRule type="containsText" dxfId="2019" priority="8081" operator="containsText" text="GP1">
      <formula>NOT(ISERROR(SEARCH("GP1",AD12)))</formula>
    </cfRule>
  </conditionalFormatting>
  <conditionalFormatting sqref="AD12">
    <cfRule type="containsText" dxfId="2018" priority="8078" operator="containsText" text="GP2">
      <formula>NOT(ISERROR(SEARCH("GP2",AD12)))</formula>
    </cfRule>
    <cfRule type="containsText" dxfId="2017" priority="8079" operator="containsText" text="GP1">
      <formula>NOT(ISERROR(SEARCH("GP1",AD12)))</formula>
    </cfRule>
  </conditionalFormatting>
  <conditionalFormatting sqref="AD12">
    <cfRule type="containsText" dxfId="2016" priority="8076" operator="containsText" text="GP2">
      <formula>NOT(ISERROR(SEARCH("GP2",AD12)))</formula>
    </cfRule>
    <cfRule type="containsText" dxfId="2015" priority="8077" operator="containsText" text="GP1">
      <formula>NOT(ISERROR(SEARCH("GP1",AD12)))</formula>
    </cfRule>
  </conditionalFormatting>
  <conditionalFormatting sqref="AD12">
    <cfRule type="containsText" dxfId="2014" priority="8074" operator="containsText" text="GP2">
      <formula>NOT(ISERROR(SEARCH("GP2",AD12)))</formula>
    </cfRule>
    <cfRule type="containsText" dxfId="2013" priority="8075" operator="containsText" text="GP1">
      <formula>NOT(ISERROR(SEARCH("GP1",AD12)))</formula>
    </cfRule>
  </conditionalFormatting>
  <conditionalFormatting sqref="AD12">
    <cfRule type="containsText" dxfId="2012" priority="8072" operator="containsText" text="GP2">
      <formula>NOT(ISERROR(SEARCH("GP2",AD12)))</formula>
    </cfRule>
    <cfRule type="containsText" dxfId="2011" priority="8073" operator="containsText" text="GP1">
      <formula>NOT(ISERROR(SEARCH("GP1",AD12)))</formula>
    </cfRule>
  </conditionalFormatting>
  <conditionalFormatting sqref="AD12">
    <cfRule type="containsText" dxfId="2010" priority="8070" operator="containsText" text="GP2">
      <formula>NOT(ISERROR(SEARCH("GP2",AD12)))</formula>
    </cfRule>
    <cfRule type="containsText" dxfId="2009" priority="8071" operator="containsText" text="GP1">
      <formula>NOT(ISERROR(SEARCH("GP1",AD12)))</formula>
    </cfRule>
  </conditionalFormatting>
  <conditionalFormatting sqref="AD12">
    <cfRule type="containsText" dxfId="2008" priority="8068" operator="containsText" text="GP2">
      <formula>NOT(ISERROR(SEARCH("GP2",AD12)))</formula>
    </cfRule>
    <cfRule type="containsText" dxfId="2007" priority="8069" operator="containsText" text="GP1">
      <formula>NOT(ISERROR(SEARCH("GP1",AD12)))</formula>
    </cfRule>
  </conditionalFormatting>
  <conditionalFormatting sqref="AD12">
    <cfRule type="containsText" dxfId="2006" priority="8066" operator="containsText" text="GP2">
      <formula>NOT(ISERROR(SEARCH("GP2",AD12)))</formula>
    </cfRule>
    <cfRule type="containsText" dxfId="2005" priority="8067" operator="containsText" text="GP1">
      <formula>NOT(ISERROR(SEARCH("GP1",AD12)))</formula>
    </cfRule>
  </conditionalFormatting>
  <conditionalFormatting sqref="AD12">
    <cfRule type="containsText" dxfId="2004" priority="8064" operator="containsText" text="GP2">
      <formula>NOT(ISERROR(SEARCH("GP2",AD12)))</formula>
    </cfRule>
    <cfRule type="containsText" dxfId="2003" priority="8065" operator="containsText" text="GP1">
      <formula>NOT(ISERROR(SEARCH("GP1",AD12)))</formula>
    </cfRule>
  </conditionalFormatting>
  <conditionalFormatting sqref="AD12">
    <cfRule type="containsText" dxfId="2002" priority="8062" operator="containsText" text="GP2">
      <formula>NOT(ISERROR(SEARCH("GP2",AD12)))</formula>
    </cfRule>
    <cfRule type="containsText" dxfId="2001" priority="8063" operator="containsText" text="GP1">
      <formula>NOT(ISERROR(SEARCH("GP1",AD12)))</formula>
    </cfRule>
  </conditionalFormatting>
  <conditionalFormatting sqref="AD12">
    <cfRule type="containsText" dxfId="2000" priority="8060" operator="containsText" text="GP2">
      <formula>NOT(ISERROR(SEARCH("GP2",AD12)))</formula>
    </cfRule>
    <cfRule type="containsText" dxfId="1999" priority="8061" operator="containsText" text="GP1">
      <formula>NOT(ISERROR(SEARCH("GP1",AD12)))</formula>
    </cfRule>
  </conditionalFormatting>
  <conditionalFormatting sqref="AD12">
    <cfRule type="containsText" dxfId="1998" priority="8058" operator="containsText" text="GP2">
      <formula>NOT(ISERROR(SEARCH("GP2",AD12)))</formula>
    </cfRule>
    <cfRule type="containsText" dxfId="1997" priority="8059" operator="containsText" text="GP1">
      <formula>NOT(ISERROR(SEARCH("GP1",AD12)))</formula>
    </cfRule>
  </conditionalFormatting>
  <conditionalFormatting sqref="AD12">
    <cfRule type="containsText" dxfId="1996" priority="8056" operator="containsText" text="GP2">
      <formula>NOT(ISERROR(SEARCH("GP2",AD12)))</formula>
    </cfRule>
    <cfRule type="containsText" dxfId="1995" priority="8057" operator="containsText" text="GP1">
      <formula>NOT(ISERROR(SEARCH("GP1",AD12)))</formula>
    </cfRule>
  </conditionalFormatting>
  <conditionalFormatting sqref="AD12">
    <cfRule type="containsText" dxfId="1994" priority="8054" operator="containsText" text="GP2">
      <formula>NOT(ISERROR(SEARCH("GP2",AD12)))</formula>
    </cfRule>
    <cfRule type="containsText" dxfId="1993" priority="8055" operator="containsText" text="GP1">
      <formula>NOT(ISERROR(SEARCH("GP1",AD12)))</formula>
    </cfRule>
  </conditionalFormatting>
  <conditionalFormatting sqref="AD12">
    <cfRule type="containsText" dxfId="1992" priority="8052" operator="containsText" text="GP2">
      <formula>NOT(ISERROR(SEARCH("GP2",AD12)))</formula>
    </cfRule>
    <cfRule type="containsText" dxfId="1991" priority="8053" operator="containsText" text="GP1">
      <formula>NOT(ISERROR(SEARCH("GP1",AD12)))</formula>
    </cfRule>
  </conditionalFormatting>
  <conditionalFormatting sqref="AD12">
    <cfRule type="containsText" dxfId="1990" priority="8050" operator="containsText" text="GP2">
      <formula>NOT(ISERROR(SEARCH("GP2",AD12)))</formula>
    </cfRule>
    <cfRule type="containsText" dxfId="1989" priority="8051" operator="containsText" text="GP1">
      <formula>NOT(ISERROR(SEARCH("GP1",AD12)))</formula>
    </cfRule>
  </conditionalFormatting>
  <conditionalFormatting sqref="AD12">
    <cfRule type="containsText" dxfId="1988" priority="8048" operator="containsText" text="GP2">
      <formula>NOT(ISERROR(SEARCH("GP2",AD12)))</formula>
    </cfRule>
    <cfRule type="containsText" dxfId="1987" priority="8049" operator="containsText" text="GP1">
      <formula>NOT(ISERROR(SEARCH("GP1",AD12)))</formula>
    </cfRule>
  </conditionalFormatting>
  <conditionalFormatting sqref="AD12">
    <cfRule type="containsText" dxfId="1986" priority="8046" operator="containsText" text="GP2">
      <formula>NOT(ISERROR(SEARCH("GP2",AD12)))</formula>
    </cfRule>
    <cfRule type="containsText" dxfId="1985" priority="8047" operator="containsText" text="GP1">
      <formula>NOT(ISERROR(SEARCH("GP1",AD12)))</formula>
    </cfRule>
  </conditionalFormatting>
  <conditionalFormatting sqref="AD12">
    <cfRule type="containsText" dxfId="1984" priority="8044" operator="containsText" text="GP2">
      <formula>NOT(ISERROR(SEARCH("GP2",AD12)))</formula>
    </cfRule>
    <cfRule type="containsText" dxfId="1983" priority="8045" operator="containsText" text="GP1">
      <formula>NOT(ISERROR(SEARCH("GP1",AD12)))</formula>
    </cfRule>
  </conditionalFormatting>
  <conditionalFormatting sqref="AD12">
    <cfRule type="containsText" dxfId="1982" priority="8042" operator="containsText" text="GP2">
      <formula>NOT(ISERROR(SEARCH("GP2",AD12)))</formula>
    </cfRule>
    <cfRule type="containsText" dxfId="1981" priority="8043" operator="containsText" text="GP1">
      <formula>NOT(ISERROR(SEARCH("GP1",AD12)))</formula>
    </cfRule>
  </conditionalFormatting>
  <conditionalFormatting sqref="AD12">
    <cfRule type="containsText" dxfId="1980" priority="8040" operator="containsText" text="GP2">
      <formula>NOT(ISERROR(SEARCH("GP2",AD12)))</formula>
    </cfRule>
    <cfRule type="containsText" dxfId="1979" priority="8041" operator="containsText" text="GP1">
      <formula>NOT(ISERROR(SEARCH("GP1",AD12)))</formula>
    </cfRule>
  </conditionalFormatting>
  <conditionalFormatting sqref="AD12">
    <cfRule type="containsText" dxfId="1978" priority="8038" operator="containsText" text="GP2">
      <formula>NOT(ISERROR(SEARCH("GP2",AD12)))</formula>
    </cfRule>
    <cfRule type="containsText" dxfId="1977" priority="8039" operator="containsText" text="GP1">
      <formula>NOT(ISERROR(SEARCH("GP1",AD12)))</formula>
    </cfRule>
  </conditionalFormatting>
  <conditionalFormatting sqref="AD12">
    <cfRule type="containsText" dxfId="1976" priority="8036" operator="containsText" text="GP2">
      <formula>NOT(ISERROR(SEARCH("GP2",AD12)))</formula>
    </cfRule>
    <cfRule type="containsText" dxfId="1975" priority="8037" operator="containsText" text="GP1">
      <formula>NOT(ISERROR(SEARCH("GP1",AD12)))</formula>
    </cfRule>
  </conditionalFormatting>
  <conditionalFormatting sqref="AD12">
    <cfRule type="containsText" dxfId="1974" priority="8034" operator="containsText" text="GP2">
      <formula>NOT(ISERROR(SEARCH("GP2",AD12)))</formula>
    </cfRule>
    <cfRule type="containsText" dxfId="1973" priority="8035" operator="containsText" text="GP1">
      <formula>NOT(ISERROR(SEARCH("GP1",AD12)))</formula>
    </cfRule>
  </conditionalFormatting>
  <conditionalFormatting sqref="AD12">
    <cfRule type="containsText" dxfId="1972" priority="8032" operator="containsText" text="GP2">
      <formula>NOT(ISERROR(SEARCH("GP2",AD12)))</formula>
    </cfRule>
    <cfRule type="containsText" dxfId="1971" priority="8033" operator="containsText" text="GP1">
      <formula>NOT(ISERROR(SEARCH("GP1",AD12)))</formula>
    </cfRule>
  </conditionalFormatting>
  <conditionalFormatting sqref="AD12">
    <cfRule type="containsText" dxfId="1970" priority="8030" operator="containsText" text="GP2">
      <formula>NOT(ISERROR(SEARCH("GP2",AD12)))</formula>
    </cfRule>
    <cfRule type="containsText" dxfId="1969" priority="8031" operator="containsText" text="GP1">
      <formula>NOT(ISERROR(SEARCH("GP1",AD12)))</formula>
    </cfRule>
  </conditionalFormatting>
  <conditionalFormatting sqref="AD12">
    <cfRule type="containsText" dxfId="1968" priority="8028" operator="containsText" text="GP2">
      <formula>NOT(ISERROR(SEARCH("GP2",AD12)))</formula>
    </cfRule>
    <cfRule type="containsText" dxfId="1967" priority="8029" operator="containsText" text="GP1">
      <formula>NOT(ISERROR(SEARCH("GP1",AD12)))</formula>
    </cfRule>
  </conditionalFormatting>
  <conditionalFormatting sqref="AD12">
    <cfRule type="containsText" dxfId="1966" priority="8026" operator="containsText" text="GP2">
      <formula>NOT(ISERROR(SEARCH("GP2",AD12)))</formula>
    </cfRule>
    <cfRule type="containsText" dxfId="1965" priority="8027" operator="containsText" text="GP1">
      <formula>NOT(ISERROR(SEARCH("GP1",AD12)))</formula>
    </cfRule>
  </conditionalFormatting>
  <conditionalFormatting sqref="AD12">
    <cfRule type="containsText" dxfId="1964" priority="8024" operator="containsText" text="GP2">
      <formula>NOT(ISERROR(SEARCH("GP2",AD12)))</formula>
    </cfRule>
    <cfRule type="containsText" dxfId="1963" priority="8025" operator="containsText" text="GP1">
      <formula>NOT(ISERROR(SEARCH("GP1",AD12)))</formula>
    </cfRule>
  </conditionalFormatting>
  <conditionalFormatting sqref="AD12">
    <cfRule type="containsText" dxfId="1962" priority="8022" operator="containsText" text="GP2">
      <formula>NOT(ISERROR(SEARCH("GP2",AD12)))</formula>
    </cfRule>
    <cfRule type="containsText" dxfId="1961" priority="8023" operator="containsText" text="GP1">
      <formula>NOT(ISERROR(SEARCH("GP1",AD12)))</formula>
    </cfRule>
  </conditionalFormatting>
  <conditionalFormatting sqref="AD12">
    <cfRule type="containsText" dxfId="1960" priority="8020" operator="containsText" text="GP2">
      <formula>NOT(ISERROR(SEARCH("GP2",AD12)))</formula>
    </cfRule>
    <cfRule type="containsText" dxfId="1959" priority="8021" operator="containsText" text="GP1">
      <formula>NOT(ISERROR(SEARCH("GP1",AD12)))</formula>
    </cfRule>
  </conditionalFormatting>
  <conditionalFormatting sqref="AD12">
    <cfRule type="containsText" dxfId="1958" priority="8018" operator="containsText" text="GP2">
      <formula>NOT(ISERROR(SEARCH("GP2",AD12)))</formula>
    </cfRule>
    <cfRule type="containsText" dxfId="1957" priority="8019" operator="containsText" text="GP1">
      <formula>NOT(ISERROR(SEARCH("GP1",AD12)))</formula>
    </cfRule>
  </conditionalFormatting>
  <conditionalFormatting sqref="AD12">
    <cfRule type="containsText" dxfId="1956" priority="8016" operator="containsText" text="GP2">
      <formula>NOT(ISERROR(SEARCH("GP2",AD12)))</formula>
    </cfRule>
    <cfRule type="containsText" dxfId="1955" priority="8017" operator="containsText" text="GP1">
      <formula>NOT(ISERROR(SEARCH("GP1",AD12)))</formula>
    </cfRule>
  </conditionalFormatting>
  <conditionalFormatting sqref="AD12">
    <cfRule type="containsText" dxfId="1954" priority="8014" operator="containsText" text="GP2">
      <formula>NOT(ISERROR(SEARCH("GP2",AD12)))</formula>
    </cfRule>
    <cfRule type="containsText" dxfId="1953" priority="8015" operator="containsText" text="GP1">
      <formula>NOT(ISERROR(SEARCH("GP1",AD12)))</formula>
    </cfRule>
  </conditionalFormatting>
  <conditionalFormatting sqref="AD12">
    <cfRule type="containsText" dxfId="1952" priority="8012" operator="containsText" text="GP2">
      <formula>NOT(ISERROR(SEARCH("GP2",AD12)))</formula>
    </cfRule>
    <cfRule type="containsText" dxfId="1951" priority="8013" operator="containsText" text="GP1">
      <formula>NOT(ISERROR(SEARCH("GP1",AD12)))</formula>
    </cfRule>
  </conditionalFormatting>
  <conditionalFormatting sqref="AD12">
    <cfRule type="containsText" dxfId="1950" priority="8010" operator="containsText" text="GP2">
      <formula>NOT(ISERROR(SEARCH("GP2",AD12)))</formula>
    </cfRule>
    <cfRule type="containsText" dxfId="1949" priority="8011" operator="containsText" text="GP1">
      <formula>NOT(ISERROR(SEARCH("GP1",AD12)))</formula>
    </cfRule>
  </conditionalFormatting>
  <conditionalFormatting sqref="AD12">
    <cfRule type="containsText" dxfId="1948" priority="8008" operator="containsText" text="GP2">
      <formula>NOT(ISERROR(SEARCH("GP2",AD12)))</formula>
    </cfRule>
    <cfRule type="containsText" dxfId="1947" priority="8009" operator="containsText" text="GP1">
      <formula>NOT(ISERROR(SEARCH("GP1",AD12)))</formula>
    </cfRule>
  </conditionalFormatting>
  <conditionalFormatting sqref="AD12">
    <cfRule type="containsText" dxfId="1946" priority="8006" operator="containsText" text="GP2">
      <formula>NOT(ISERROR(SEARCH("GP2",AD12)))</formula>
    </cfRule>
    <cfRule type="containsText" dxfId="1945" priority="8007" operator="containsText" text="GP1">
      <formula>NOT(ISERROR(SEARCH("GP1",AD12)))</formula>
    </cfRule>
  </conditionalFormatting>
  <conditionalFormatting sqref="AD12">
    <cfRule type="containsText" dxfId="1944" priority="8004" operator="containsText" text="GP2">
      <formula>NOT(ISERROR(SEARCH("GP2",AD12)))</formula>
    </cfRule>
    <cfRule type="containsText" dxfId="1943" priority="8005" operator="containsText" text="GP1">
      <formula>NOT(ISERROR(SEARCH("GP1",AD12)))</formula>
    </cfRule>
  </conditionalFormatting>
  <conditionalFormatting sqref="AD12">
    <cfRule type="containsText" dxfId="1942" priority="8002" operator="containsText" text="GP2">
      <formula>NOT(ISERROR(SEARCH("GP2",AD12)))</formula>
    </cfRule>
    <cfRule type="containsText" dxfId="1941" priority="8003" operator="containsText" text="GP1">
      <formula>NOT(ISERROR(SEARCH("GP1",AD12)))</formula>
    </cfRule>
  </conditionalFormatting>
  <conditionalFormatting sqref="AD12">
    <cfRule type="containsText" dxfId="1940" priority="8000" operator="containsText" text="GP2">
      <formula>NOT(ISERROR(SEARCH("GP2",AD12)))</formula>
    </cfRule>
    <cfRule type="containsText" dxfId="1939" priority="8001" operator="containsText" text="GP1">
      <formula>NOT(ISERROR(SEARCH("GP1",AD12)))</formula>
    </cfRule>
  </conditionalFormatting>
  <conditionalFormatting sqref="AD12">
    <cfRule type="containsText" dxfId="1938" priority="7998" operator="containsText" text="GP2">
      <formula>NOT(ISERROR(SEARCH("GP2",AD12)))</formula>
    </cfRule>
    <cfRule type="containsText" dxfId="1937" priority="7999" operator="containsText" text="GP1">
      <formula>NOT(ISERROR(SEARCH("GP1",AD12)))</formula>
    </cfRule>
  </conditionalFormatting>
  <conditionalFormatting sqref="AD12">
    <cfRule type="containsText" dxfId="1936" priority="7996" operator="containsText" text="GP2">
      <formula>NOT(ISERROR(SEARCH("GP2",AD12)))</formula>
    </cfRule>
    <cfRule type="containsText" dxfId="1935" priority="7997" operator="containsText" text="GP1">
      <formula>NOT(ISERROR(SEARCH("GP1",AD12)))</formula>
    </cfRule>
  </conditionalFormatting>
  <conditionalFormatting sqref="AD12">
    <cfRule type="containsText" dxfId="1934" priority="7994" operator="containsText" text="GP2">
      <formula>NOT(ISERROR(SEARCH("GP2",AD12)))</formula>
    </cfRule>
    <cfRule type="containsText" dxfId="1933" priority="7995" operator="containsText" text="GP1">
      <formula>NOT(ISERROR(SEARCH("GP1",AD12)))</formula>
    </cfRule>
  </conditionalFormatting>
  <conditionalFormatting sqref="AD12">
    <cfRule type="containsText" dxfId="1932" priority="7992" operator="containsText" text="GP2">
      <formula>NOT(ISERROR(SEARCH("GP2",AD12)))</formula>
    </cfRule>
    <cfRule type="containsText" dxfId="1931" priority="7993" operator="containsText" text="GP1">
      <formula>NOT(ISERROR(SEARCH("GP1",AD12)))</formula>
    </cfRule>
  </conditionalFormatting>
  <conditionalFormatting sqref="AD12">
    <cfRule type="containsText" dxfId="1930" priority="7990" operator="containsText" text="GP2">
      <formula>NOT(ISERROR(SEARCH("GP2",AD12)))</formula>
    </cfRule>
    <cfRule type="containsText" dxfId="1929" priority="7991" operator="containsText" text="GP1">
      <formula>NOT(ISERROR(SEARCH("GP1",AD12)))</formula>
    </cfRule>
  </conditionalFormatting>
  <conditionalFormatting sqref="AD12">
    <cfRule type="containsText" dxfId="1928" priority="7988" operator="containsText" text="GP2">
      <formula>NOT(ISERROR(SEARCH("GP2",AD12)))</formula>
    </cfRule>
    <cfRule type="containsText" dxfId="1927" priority="7989" operator="containsText" text="GP1">
      <formula>NOT(ISERROR(SEARCH("GP1",AD12)))</formula>
    </cfRule>
  </conditionalFormatting>
  <conditionalFormatting sqref="AD12">
    <cfRule type="containsText" dxfId="1926" priority="7986" operator="containsText" text="GP2">
      <formula>NOT(ISERROR(SEARCH("GP2",AD12)))</formula>
    </cfRule>
    <cfRule type="containsText" dxfId="1925" priority="7987" operator="containsText" text="GP1">
      <formula>NOT(ISERROR(SEARCH("GP1",AD12)))</formula>
    </cfRule>
  </conditionalFormatting>
  <conditionalFormatting sqref="AD12">
    <cfRule type="containsText" dxfId="1924" priority="7984" operator="containsText" text="GP2">
      <formula>NOT(ISERROR(SEARCH("GP2",AD12)))</formula>
    </cfRule>
    <cfRule type="containsText" dxfId="1923" priority="7985" operator="containsText" text="GP1">
      <formula>NOT(ISERROR(SEARCH("GP1",AD12)))</formula>
    </cfRule>
  </conditionalFormatting>
  <conditionalFormatting sqref="AD12">
    <cfRule type="containsText" dxfId="1922" priority="7982" operator="containsText" text="GP2">
      <formula>NOT(ISERROR(SEARCH("GP2",AD12)))</formula>
    </cfRule>
    <cfRule type="containsText" dxfId="1921" priority="7983" operator="containsText" text="GP1">
      <formula>NOT(ISERROR(SEARCH("GP1",AD12)))</formula>
    </cfRule>
  </conditionalFormatting>
  <conditionalFormatting sqref="AD12">
    <cfRule type="containsText" dxfId="1920" priority="7980" operator="containsText" text="GP2">
      <formula>NOT(ISERROR(SEARCH("GP2",AD12)))</formula>
    </cfRule>
    <cfRule type="containsText" dxfId="1919" priority="7981" operator="containsText" text="GP1">
      <formula>NOT(ISERROR(SEARCH("GP1",AD12)))</formula>
    </cfRule>
  </conditionalFormatting>
  <conditionalFormatting sqref="AD12">
    <cfRule type="containsText" dxfId="1918" priority="7978" operator="containsText" text="GP2">
      <formula>NOT(ISERROR(SEARCH("GP2",AD12)))</formula>
    </cfRule>
    <cfRule type="containsText" dxfId="1917" priority="7979" operator="containsText" text="GP1">
      <formula>NOT(ISERROR(SEARCH("GP1",AD12)))</formula>
    </cfRule>
  </conditionalFormatting>
  <conditionalFormatting sqref="AD12">
    <cfRule type="containsText" dxfId="1916" priority="7976" operator="containsText" text="GP2">
      <formula>NOT(ISERROR(SEARCH("GP2",AD12)))</formula>
    </cfRule>
    <cfRule type="containsText" dxfId="1915" priority="7977" operator="containsText" text="GP1">
      <formula>NOT(ISERROR(SEARCH("GP1",AD12)))</formula>
    </cfRule>
  </conditionalFormatting>
  <conditionalFormatting sqref="AD12">
    <cfRule type="containsText" dxfId="1914" priority="7974" operator="containsText" text="GP2">
      <formula>NOT(ISERROR(SEARCH("GP2",AD12)))</formula>
    </cfRule>
    <cfRule type="containsText" dxfId="1913" priority="7975" operator="containsText" text="GP1">
      <formula>NOT(ISERROR(SEARCH("GP1",AD12)))</formula>
    </cfRule>
  </conditionalFormatting>
  <conditionalFormatting sqref="AD12">
    <cfRule type="containsText" dxfId="1912" priority="7972" operator="containsText" text="GP2">
      <formula>NOT(ISERROR(SEARCH("GP2",AD12)))</formula>
    </cfRule>
    <cfRule type="containsText" dxfId="1911" priority="7973" operator="containsText" text="GP1">
      <formula>NOT(ISERROR(SEARCH("GP1",AD12)))</formula>
    </cfRule>
  </conditionalFormatting>
  <conditionalFormatting sqref="AD12">
    <cfRule type="containsText" dxfId="1910" priority="7970" operator="containsText" text="GP2">
      <formula>NOT(ISERROR(SEARCH("GP2",AD12)))</formula>
    </cfRule>
    <cfRule type="containsText" dxfId="1909" priority="7971" operator="containsText" text="GP1">
      <formula>NOT(ISERROR(SEARCH("GP1",AD12)))</formula>
    </cfRule>
  </conditionalFormatting>
  <conditionalFormatting sqref="AD12">
    <cfRule type="containsText" dxfId="1908" priority="7968" operator="containsText" text="GP2">
      <formula>NOT(ISERROR(SEARCH("GP2",AD12)))</formula>
    </cfRule>
    <cfRule type="containsText" dxfId="1907" priority="7969" operator="containsText" text="GP1">
      <formula>NOT(ISERROR(SEARCH("GP1",AD12)))</formula>
    </cfRule>
  </conditionalFormatting>
  <conditionalFormatting sqref="AD12">
    <cfRule type="containsText" dxfId="1906" priority="7966" operator="containsText" text="GP2">
      <formula>NOT(ISERROR(SEARCH("GP2",AD12)))</formula>
    </cfRule>
    <cfRule type="containsText" dxfId="1905" priority="7967" operator="containsText" text="GP1">
      <formula>NOT(ISERROR(SEARCH("GP1",AD12)))</formula>
    </cfRule>
  </conditionalFormatting>
  <conditionalFormatting sqref="AD12">
    <cfRule type="containsText" dxfId="1904" priority="7964" operator="containsText" text="GP2">
      <formula>NOT(ISERROR(SEARCH("GP2",AD12)))</formula>
    </cfRule>
    <cfRule type="containsText" dxfId="1903" priority="7965" operator="containsText" text="GP1">
      <formula>NOT(ISERROR(SEARCH("GP1",AD12)))</formula>
    </cfRule>
  </conditionalFormatting>
  <conditionalFormatting sqref="AD12">
    <cfRule type="containsText" dxfId="1902" priority="7962" operator="containsText" text="GP2">
      <formula>NOT(ISERROR(SEARCH("GP2",AD12)))</formula>
    </cfRule>
    <cfRule type="containsText" dxfId="1901" priority="7963" operator="containsText" text="GP1">
      <formula>NOT(ISERROR(SEARCH("GP1",AD12)))</formula>
    </cfRule>
  </conditionalFormatting>
  <conditionalFormatting sqref="AD12">
    <cfRule type="containsText" dxfId="1900" priority="7960" operator="containsText" text="GP2">
      <formula>NOT(ISERROR(SEARCH("GP2",AD12)))</formula>
    </cfRule>
    <cfRule type="containsText" dxfId="1899" priority="7961" operator="containsText" text="GP1">
      <formula>NOT(ISERROR(SEARCH("GP1",AD12)))</formula>
    </cfRule>
  </conditionalFormatting>
  <conditionalFormatting sqref="AD12">
    <cfRule type="containsText" dxfId="1898" priority="7958" operator="containsText" text="GP2">
      <formula>NOT(ISERROR(SEARCH("GP2",AD12)))</formula>
    </cfRule>
    <cfRule type="containsText" dxfId="1897" priority="7959" operator="containsText" text="GP1">
      <formula>NOT(ISERROR(SEARCH("GP1",AD12)))</formula>
    </cfRule>
  </conditionalFormatting>
  <conditionalFormatting sqref="AD12">
    <cfRule type="containsText" dxfId="1896" priority="7956" operator="containsText" text="GP2">
      <formula>NOT(ISERROR(SEARCH("GP2",AD12)))</formula>
    </cfRule>
    <cfRule type="containsText" dxfId="1895" priority="7957" operator="containsText" text="GP1">
      <formula>NOT(ISERROR(SEARCH("GP1",AD12)))</formula>
    </cfRule>
  </conditionalFormatting>
  <conditionalFormatting sqref="AD12">
    <cfRule type="containsText" dxfId="1894" priority="7954" operator="containsText" text="GP2">
      <formula>NOT(ISERROR(SEARCH("GP2",AD12)))</formula>
    </cfRule>
    <cfRule type="containsText" dxfId="1893" priority="7955" operator="containsText" text="GP1">
      <formula>NOT(ISERROR(SEARCH("GP1",AD12)))</formula>
    </cfRule>
  </conditionalFormatting>
  <conditionalFormatting sqref="AD12">
    <cfRule type="containsText" dxfId="1892" priority="7952" operator="containsText" text="GP2">
      <formula>NOT(ISERROR(SEARCH("GP2",AD12)))</formula>
    </cfRule>
    <cfRule type="containsText" dxfId="1891" priority="7953" operator="containsText" text="GP1">
      <formula>NOT(ISERROR(SEARCH("GP1",AD12)))</formula>
    </cfRule>
  </conditionalFormatting>
  <conditionalFormatting sqref="AD12">
    <cfRule type="containsText" dxfId="1890" priority="7950" operator="containsText" text="GP2">
      <formula>NOT(ISERROR(SEARCH("GP2",AD12)))</formula>
    </cfRule>
    <cfRule type="containsText" dxfId="1889" priority="7951" operator="containsText" text="GP1">
      <formula>NOT(ISERROR(SEARCH("GP1",AD12)))</formula>
    </cfRule>
  </conditionalFormatting>
  <conditionalFormatting sqref="AD12">
    <cfRule type="containsText" dxfId="1888" priority="7948" operator="containsText" text="GP2">
      <formula>NOT(ISERROR(SEARCH("GP2",AD12)))</formula>
    </cfRule>
    <cfRule type="containsText" dxfId="1887" priority="7949" operator="containsText" text="GP1">
      <formula>NOT(ISERROR(SEARCH("GP1",AD12)))</formula>
    </cfRule>
  </conditionalFormatting>
  <conditionalFormatting sqref="AD12">
    <cfRule type="containsText" dxfId="1886" priority="7946" operator="containsText" text="GP2">
      <formula>NOT(ISERROR(SEARCH("GP2",AD12)))</formula>
    </cfRule>
    <cfRule type="containsText" dxfId="1885" priority="7947" operator="containsText" text="GP1">
      <formula>NOT(ISERROR(SEARCH("GP1",AD12)))</formula>
    </cfRule>
  </conditionalFormatting>
  <conditionalFormatting sqref="AD12">
    <cfRule type="containsText" dxfId="1884" priority="7944" operator="containsText" text="GP2">
      <formula>NOT(ISERROR(SEARCH("GP2",AD12)))</formula>
    </cfRule>
    <cfRule type="containsText" dxfId="1883" priority="7945" operator="containsText" text="GP1">
      <formula>NOT(ISERROR(SEARCH("GP1",AD12)))</formula>
    </cfRule>
  </conditionalFormatting>
  <conditionalFormatting sqref="AD12">
    <cfRule type="containsText" dxfId="1882" priority="7942" operator="containsText" text="GP2">
      <formula>NOT(ISERROR(SEARCH("GP2",AD12)))</formula>
    </cfRule>
    <cfRule type="containsText" dxfId="1881" priority="7943" operator="containsText" text="GP1">
      <formula>NOT(ISERROR(SEARCH("GP1",AD12)))</formula>
    </cfRule>
  </conditionalFormatting>
  <conditionalFormatting sqref="AD12">
    <cfRule type="containsText" dxfId="1880" priority="7940" operator="containsText" text="GP2">
      <formula>NOT(ISERROR(SEARCH("GP2",AD12)))</formula>
    </cfRule>
    <cfRule type="containsText" dxfId="1879" priority="7941" operator="containsText" text="GP1">
      <formula>NOT(ISERROR(SEARCH("GP1",AD12)))</formula>
    </cfRule>
  </conditionalFormatting>
  <conditionalFormatting sqref="AD12">
    <cfRule type="containsText" dxfId="1878" priority="7938" operator="containsText" text="GP2">
      <formula>NOT(ISERROR(SEARCH("GP2",AD12)))</formula>
    </cfRule>
    <cfRule type="containsText" dxfId="1877" priority="7939" operator="containsText" text="GP1">
      <formula>NOT(ISERROR(SEARCH("GP1",AD12)))</formula>
    </cfRule>
  </conditionalFormatting>
  <conditionalFormatting sqref="AD12">
    <cfRule type="containsText" dxfId="1876" priority="7936" operator="containsText" text="GP2">
      <formula>NOT(ISERROR(SEARCH("GP2",AD12)))</formula>
    </cfRule>
    <cfRule type="containsText" dxfId="1875" priority="7937" operator="containsText" text="GP1">
      <formula>NOT(ISERROR(SEARCH("GP1",AD12)))</formula>
    </cfRule>
  </conditionalFormatting>
  <conditionalFormatting sqref="AD12">
    <cfRule type="containsText" dxfId="1874" priority="7934" operator="containsText" text="GP2">
      <formula>NOT(ISERROR(SEARCH("GP2",AD12)))</formula>
    </cfRule>
    <cfRule type="containsText" dxfId="1873" priority="7935" operator="containsText" text="GP1">
      <formula>NOT(ISERROR(SEARCH("GP1",AD12)))</formula>
    </cfRule>
  </conditionalFormatting>
  <conditionalFormatting sqref="AD12">
    <cfRule type="containsText" dxfId="1872" priority="7932" operator="containsText" text="GP2">
      <formula>NOT(ISERROR(SEARCH("GP2",AD12)))</formula>
    </cfRule>
    <cfRule type="containsText" dxfId="1871" priority="7933" operator="containsText" text="GP1">
      <formula>NOT(ISERROR(SEARCH("GP1",AD12)))</formula>
    </cfRule>
  </conditionalFormatting>
  <conditionalFormatting sqref="AD12">
    <cfRule type="containsText" dxfId="1870" priority="7930" operator="containsText" text="GP2">
      <formula>NOT(ISERROR(SEARCH("GP2",AD12)))</formula>
    </cfRule>
    <cfRule type="containsText" dxfId="1869" priority="7931" operator="containsText" text="GP1">
      <formula>NOT(ISERROR(SEARCH("GP1",AD12)))</formula>
    </cfRule>
  </conditionalFormatting>
  <conditionalFormatting sqref="AD12">
    <cfRule type="containsText" dxfId="1868" priority="7928" operator="containsText" text="GP2">
      <formula>NOT(ISERROR(SEARCH("GP2",AD12)))</formula>
    </cfRule>
    <cfRule type="containsText" dxfId="1867" priority="7929" operator="containsText" text="GP1">
      <formula>NOT(ISERROR(SEARCH("GP1",AD12)))</formula>
    </cfRule>
  </conditionalFormatting>
  <conditionalFormatting sqref="AD12">
    <cfRule type="containsText" dxfId="1866" priority="7926" operator="containsText" text="GP2">
      <formula>NOT(ISERROR(SEARCH("GP2",AD12)))</formula>
    </cfRule>
    <cfRule type="containsText" dxfId="1865" priority="7927" operator="containsText" text="GP1">
      <formula>NOT(ISERROR(SEARCH("GP1",AD12)))</formula>
    </cfRule>
  </conditionalFormatting>
  <conditionalFormatting sqref="AD12">
    <cfRule type="containsText" dxfId="1864" priority="7924" operator="containsText" text="GP2">
      <formula>NOT(ISERROR(SEARCH("GP2",AD12)))</formula>
    </cfRule>
    <cfRule type="containsText" dxfId="1863" priority="7925" operator="containsText" text="GP1">
      <formula>NOT(ISERROR(SEARCH("GP1",AD12)))</formula>
    </cfRule>
  </conditionalFormatting>
  <conditionalFormatting sqref="AD12">
    <cfRule type="containsText" dxfId="1862" priority="7922" operator="containsText" text="GP2">
      <formula>NOT(ISERROR(SEARCH("GP2",AD12)))</formula>
    </cfRule>
    <cfRule type="containsText" dxfId="1861" priority="7923" operator="containsText" text="GP1">
      <formula>NOT(ISERROR(SEARCH("GP1",AD12)))</formula>
    </cfRule>
  </conditionalFormatting>
  <conditionalFormatting sqref="AD12">
    <cfRule type="containsText" dxfId="1860" priority="7920" operator="containsText" text="GP2">
      <formula>NOT(ISERROR(SEARCH("GP2",AD12)))</formula>
    </cfRule>
    <cfRule type="containsText" dxfId="1859" priority="7921" operator="containsText" text="GP1">
      <formula>NOT(ISERROR(SEARCH("GP1",AD12)))</formula>
    </cfRule>
  </conditionalFormatting>
  <conditionalFormatting sqref="AD12">
    <cfRule type="containsText" dxfId="1858" priority="7918" operator="containsText" text="GP2">
      <formula>NOT(ISERROR(SEARCH("GP2",AD12)))</formula>
    </cfRule>
    <cfRule type="containsText" dxfId="1857" priority="7919" operator="containsText" text="GP1">
      <formula>NOT(ISERROR(SEARCH("GP1",AD12)))</formula>
    </cfRule>
  </conditionalFormatting>
  <conditionalFormatting sqref="AD12">
    <cfRule type="containsText" dxfId="1856" priority="7916" operator="containsText" text="GP2">
      <formula>NOT(ISERROR(SEARCH("GP2",AD12)))</formula>
    </cfRule>
    <cfRule type="containsText" dxfId="1855" priority="7917" operator="containsText" text="GP1">
      <formula>NOT(ISERROR(SEARCH("GP1",AD12)))</formula>
    </cfRule>
  </conditionalFormatting>
  <conditionalFormatting sqref="AD12">
    <cfRule type="containsText" dxfId="1854" priority="7914" operator="containsText" text="GP2">
      <formula>NOT(ISERROR(SEARCH("GP2",AD12)))</formula>
    </cfRule>
    <cfRule type="containsText" dxfId="1853" priority="7915" operator="containsText" text="GP1">
      <formula>NOT(ISERROR(SEARCH("GP1",AD12)))</formula>
    </cfRule>
  </conditionalFormatting>
  <conditionalFormatting sqref="AD12">
    <cfRule type="containsText" dxfId="1852" priority="7912" operator="containsText" text="GP2">
      <formula>NOT(ISERROR(SEARCH("GP2",AD12)))</formula>
    </cfRule>
    <cfRule type="containsText" dxfId="1851" priority="7913" operator="containsText" text="GP1">
      <formula>NOT(ISERROR(SEARCH("GP1",AD12)))</formula>
    </cfRule>
  </conditionalFormatting>
  <conditionalFormatting sqref="AD12">
    <cfRule type="containsText" dxfId="1850" priority="7910" operator="containsText" text="GP2">
      <formula>NOT(ISERROR(SEARCH("GP2",AD12)))</formula>
    </cfRule>
    <cfRule type="containsText" dxfId="1849" priority="7911" operator="containsText" text="GP1">
      <formula>NOT(ISERROR(SEARCH("GP1",AD12)))</formula>
    </cfRule>
  </conditionalFormatting>
  <conditionalFormatting sqref="AD12">
    <cfRule type="containsText" dxfId="1848" priority="7908" operator="containsText" text="GP2">
      <formula>NOT(ISERROR(SEARCH("GP2",AD12)))</formula>
    </cfRule>
    <cfRule type="containsText" dxfId="1847" priority="7909" operator="containsText" text="GP1">
      <formula>NOT(ISERROR(SEARCH("GP1",AD12)))</formula>
    </cfRule>
  </conditionalFormatting>
  <conditionalFormatting sqref="AD12">
    <cfRule type="containsText" dxfId="1846" priority="7906" operator="containsText" text="GP2">
      <formula>NOT(ISERROR(SEARCH("GP2",AD12)))</formula>
    </cfRule>
    <cfRule type="containsText" dxfId="1845" priority="7907" operator="containsText" text="GP1">
      <formula>NOT(ISERROR(SEARCH("GP1",AD12)))</formula>
    </cfRule>
  </conditionalFormatting>
  <conditionalFormatting sqref="AD12">
    <cfRule type="containsText" dxfId="1844" priority="7904" operator="containsText" text="GP2">
      <formula>NOT(ISERROR(SEARCH("GP2",AD12)))</formula>
    </cfRule>
    <cfRule type="containsText" dxfId="1843" priority="7905" operator="containsText" text="GP1">
      <formula>NOT(ISERROR(SEARCH("GP1",AD12)))</formula>
    </cfRule>
  </conditionalFormatting>
  <conditionalFormatting sqref="AD12">
    <cfRule type="containsText" dxfId="1842" priority="7902" operator="containsText" text="GP2">
      <formula>NOT(ISERROR(SEARCH("GP2",AD12)))</formula>
    </cfRule>
    <cfRule type="containsText" dxfId="1841" priority="7903" operator="containsText" text="GP1">
      <formula>NOT(ISERROR(SEARCH("GP1",AD12)))</formula>
    </cfRule>
  </conditionalFormatting>
  <conditionalFormatting sqref="AD12">
    <cfRule type="containsText" dxfId="1840" priority="7900" operator="containsText" text="GP2">
      <formula>NOT(ISERROR(SEARCH("GP2",AD12)))</formula>
    </cfRule>
    <cfRule type="containsText" dxfId="1839" priority="7901" operator="containsText" text="GP1">
      <formula>NOT(ISERROR(SEARCH("GP1",AD12)))</formula>
    </cfRule>
  </conditionalFormatting>
  <conditionalFormatting sqref="AD12">
    <cfRule type="containsText" dxfId="1838" priority="7898" operator="containsText" text="GP2">
      <formula>NOT(ISERROR(SEARCH("GP2",AD12)))</formula>
    </cfRule>
    <cfRule type="containsText" dxfId="1837" priority="7899" operator="containsText" text="GP1">
      <formula>NOT(ISERROR(SEARCH("GP1",AD12)))</formula>
    </cfRule>
  </conditionalFormatting>
  <conditionalFormatting sqref="AD12">
    <cfRule type="containsText" dxfId="1836" priority="7896" operator="containsText" text="GP2">
      <formula>NOT(ISERROR(SEARCH("GP2",AD12)))</formula>
    </cfRule>
    <cfRule type="containsText" dxfId="1835" priority="7897" operator="containsText" text="GP1">
      <formula>NOT(ISERROR(SEARCH("GP1",AD12)))</formula>
    </cfRule>
  </conditionalFormatting>
  <conditionalFormatting sqref="AD12">
    <cfRule type="containsText" dxfId="1834" priority="7894" operator="containsText" text="GP2">
      <formula>NOT(ISERROR(SEARCH("GP2",AD12)))</formula>
    </cfRule>
    <cfRule type="containsText" dxfId="1833" priority="7895" operator="containsText" text="GP1">
      <formula>NOT(ISERROR(SEARCH("GP1",AD12)))</formula>
    </cfRule>
  </conditionalFormatting>
  <conditionalFormatting sqref="AD12">
    <cfRule type="containsText" dxfId="1832" priority="7892" operator="containsText" text="GP2">
      <formula>NOT(ISERROR(SEARCH("GP2",AD12)))</formula>
    </cfRule>
    <cfRule type="containsText" dxfId="1831" priority="7893" operator="containsText" text="GP1">
      <formula>NOT(ISERROR(SEARCH("GP1",AD12)))</formula>
    </cfRule>
  </conditionalFormatting>
  <conditionalFormatting sqref="AD12">
    <cfRule type="containsText" dxfId="1830" priority="7890" operator="containsText" text="GP2">
      <formula>NOT(ISERROR(SEARCH("GP2",AD12)))</formula>
    </cfRule>
    <cfRule type="containsText" dxfId="1829" priority="7891" operator="containsText" text="GP1">
      <formula>NOT(ISERROR(SEARCH("GP1",AD12)))</formula>
    </cfRule>
  </conditionalFormatting>
  <conditionalFormatting sqref="AD12">
    <cfRule type="containsText" dxfId="1828" priority="7888" operator="containsText" text="GP2">
      <formula>NOT(ISERROR(SEARCH("GP2",AD12)))</formula>
    </cfRule>
    <cfRule type="containsText" dxfId="1827" priority="7889" operator="containsText" text="GP1">
      <formula>NOT(ISERROR(SEARCH("GP1",AD12)))</formula>
    </cfRule>
  </conditionalFormatting>
  <conditionalFormatting sqref="AD12">
    <cfRule type="containsText" dxfId="1826" priority="7886" operator="containsText" text="GP2">
      <formula>NOT(ISERROR(SEARCH("GP2",AD12)))</formula>
    </cfRule>
    <cfRule type="containsText" dxfId="1825" priority="7887" operator="containsText" text="GP1">
      <formula>NOT(ISERROR(SEARCH("GP1",AD12)))</formula>
    </cfRule>
  </conditionalFormatting>
  <conditionalFormatting sqref="AD12">
    <cfRule type="containsText" dxfId="1824" priority="7884" operator="containsText" text="GP2">
      <formula>NOT(ISERROR(SEARCH("GP2",AD12)))</formula>
    </cfRule>
    <cfRule type="containsText" dxfId="1823" priority="7885" operator="containsText" text="GP1">
      <formula>NOT(ISERROR(SEARCH("GP1",AD12)))</formula>
    </cfRule>
  </conditionalFormatting>
  <conditionalFormatting sqref="AD12">
    <cfRule type="containsText" dxfId="1822" priority="7882" operator="containsText" text="GP2">
      <formula>NOT(ISERROR(SEARCH("GP2",AD12)))</formula>
    </cfRule>
    <cfRule type="containsText" dxfId="1821" priority="7883" operator="containsText" text="GP1">
      <formula>NOT(ISERROR(SEARCH("GP1",AD12)))</formula>
    </cfRule>
  </conditionalFormatting>
  <conditionalFormatting sqref="AD12">
    <cfRule type="containsText" dxfId="1820" priority="7880" operator="containsText" text="GP2">
      <formula>NOT(ISERROR(SEARCH("GP2",AD12)))</formula>
    </cfRule>
    <cfRule type="containsText" dxfId="1819" priority="7881" operator="containsText" text="GP1">
      <formula>NOT(ISERROR(SEARCH("GP1",AD12)))</formula>
    </cfRule>
  </conditionalFormatting>
  <conditionalFormatting sqref="AD12">
    <cfRule type="containsText" dxfId="1818" priority="7878" operator="containsText" text="GP2">
      <formula>NOT(ISERROR(SEARCH("GP2",AD12)))</formula>
    </cfRule>
    <cfRule type="containsText" dxfId="1817" priority="7879" operator="containsText" text="GP1">
      <formula>NOT(ISERROR(SEARCH("GP1",AD12)))</formula>
    </cfRule>
  </conditionalFormatting>
  <conditionalFormatting sqref="AD12">
    <cfRule type="containsText" dxfId="1816" priority="7876" operator="containsText" text="GP2">
      <formula>NOT(ISERROR(SEARCH("GP2",AD12)))</formula>
    </cfRule>
    <cfRule type="containsText" dxfId="1815" priority="7877" operator="containsText" text="GP1">
      <formula>NOT(ISERROR(SEARCH("GP1",AD12)))</formula>
    </cfRule>
  </conditionalFormatting>
  <conditionalFormatting sqref="AD12">
    <cfRule type="containsText" dxfId="1814" priority="7874" operator="containsText" text="GP2">
      <formula>NOT(ISERROR(SEARCH("GP2",AD12)))</formula>
    </cfRule>
    <cfRule type="containsText" dxfId="1813" priority="7875" operator="containsText" text="GP1">
      <formula>NOT(ISERROR(SEARCH("GP1",AD12)))</formula>
    </cfRule>
  </conditionalFormatting>
  <conditionalFormatting sqref="AD12">
    <cfRule type="containsText" dxfId="1812" priority="7872" operator="containsText" text="GP2">
      <formula>NOT(ISERROR(SEARCH("GP2",AD12)))</formula>
    </cfRule>
    <cfRule type="containsText" dxfId="1811" priority="7873" operator="containsText" text="GP1">
      <formula>NOT(ISERROR(SEARCH("GP1",AD12)))</formula>
    </cfRule>
  </conditionalFormatting>
  <conditionalFormatting sqref="AD12">
    <cfRule type="containsText" dxfId="1810" priority="7870" operator="containsText" text="GP2">
      <formula>NOT(ISERROR(SEARCH("GP2",AD12)))</formula>
    </cfRule>
    <cfRule type="containsText" dxfId="1809" priority="7871" operator="containsText" text="GP1">
      <formula>NOT(ISERROR(SEARCH("GP1",AD12)))</formula>
    </cfRule>
  </conditionalFormatting>
  <conditionalFormatting sqref="AD12">
    <cfRule type="containsText" dxfId="1808" priority="7868" operator="containsText" text="GP2">
      <formula>NOT(ISERROR(SEARCH("GP2",AD12)))</formula>
    </cfRule>
    <cfRule type="containsText" dxfId="1807" priority="7869" operator="containsText" text="GP1">
      <formula>NOT(ISERROR(SEARCH("GP1",AD12)))</formula>
    </cfRule>
  </conditionalFormatting>
  <conditionalFormatting sqref="AD12">
    <cfRule type="containsText" dxfId="1806" priority="7866" operator="containsText" text="GP2">
      <formula>NOT(ISERROR(SEARCH("GP2",AD12)))</formula>
    </cfRule>
    <cfRule type="containsText" dxfId="1805" priority="7867" operator="containsText" text="GP1">
      <formula>NOT(ISERROR(SEARCH("GP1",AD12)))</formula>
    </cfRule>
  </conditionalFormatting>
  <conditionalFormatting sqref="AD12">
    <cfRule type="containsText" dxfId="1804" priority="7864" operator="containsText" text="GP2">
      <formula>NOT(ISERROR(SEARCH("GP2",AD12)))</formula>
    </cfRule>
    <cfRule type="containsText" dxfId="1803" priority="7865" operator="containsText" text="GP1">
      <formula>NOT(ISERROR(SEARCH("GP1",AD12)))</formula>
    </cfRule>
  </conditionalFormatting>
  <conditionalFormatting sqref="AD12">
    <cfRule type="containsText" dxfId="1802" priority="7862" operator="containsText" text="GP2">
      <formula>NOT(ISERROR(SEARCH("GP2",AD12)))</formula>
    </cfRule>
    <cfRule type="containsText" dxfId="1801" priority="7863" operator="containsText" text="GP1">
      <formula>NOT(ISERROR(SEARCH("GP1",AD12)))</formula>
    </cfRule>
  </conditionalFormatting>
  <conditionalFormatting sqref="AD12">
    <cfRule type="containsText" dxfId="1800" priority="7860" operator="containsText" text="GP2">
      <formula>NOT(ISERROR(SEARCH("GP2",AD12)))</formula>
    </cfRule>
    <cfRule type="containsText" dxfId="1799" priority="7861" operator="containsText" text="GP1">
      <formula>NOT(ISERROR(SEARCH("GP1",AD12)))</formula>
    </cfRule>
  </conditionalFormatting>
  <conditionalFormatting sqref="H13">
    <cfRule type="containsBlanks" dxfId="1798" priority="7859">
      <formula>LEN(TRIM(H13))=0</formula>
    </cfRule>
  </conditionalFormatting>
  <conditionalFormatting sqref="H13">
    <cfRule type="containsBlanks" dxfId="1797" priority="7858">
      <formula>LEN(TRIM(H13))=0</formula>
    </cfRule>
  </conditionalFormatting>
  <conditionalFormatting sqref="H13">
    <cfRule type="containsBlanks" dxfId="1796" priority="7857">
      <formula>LEN(TRIM(H13))=0</formula>
    </cfRule>
  </conditionalFormatting>
  <conditionalFormatting sqref="H13">
    <cfRule type="containsBlanks" dxfId="1795" priority="7856">
      <formula>LEN(TRIM(H13))=0</formula>
    </cfRule>
  </conditionalFormatting>
  <conditionalFormatting sqref="H13">
    <cfRule type="containsBlanks" dxfId="1794" priority="7855">
      <formula>LEN(TRIM(H13))=0</formula>
    </cfRule>
  </conditionalFormatting>
  <conditionalFormatting sqref="E6">
    <cfRule type="containsBlanks" dxfId="1793" priority="7853">
      <formula>LEN(TRIM(E6))=0</formula>
    </cfRule>
  </conditionalFormatting>
  <conditionalFormatting sqref="E6">
    <cfRule type="containsBlanks" dxfId="1792" priority="7852">
      <formula>LEN(TRIM(E6))=0</formula>
    </cfRule>
  </conditionalFormatting>
  <conditionalFormatting sqref="N14">
    <cfRule type="containsBlanks" dxfId="1791" priority="7816">
      <formula>LEN(TRIM(N14))=0</formula>
    </cfRule>
  </conditionalFormatting>
  <conditionalFormatting sqref="N14">
    <cfRule type="containsBlanks" dxfId="1790" priority="7815">
      <formula>LEN(TRIM(N14))=0</formula>
    </cfRule>
  </conditionalFormatting>
  <conditionalFormatting sqref="N14">
    <cfRule type="containsBlanks" dxfId="1789" priority="7814">
      <formula>LEN(TRIM(N14))=0</formula>
    </cfRule>
  </conditionalFormatting>
  <conditionalFormatting sqref="N14">
    <cfRule type="containsBlanks" dxfId="1788" priority="7813">
      <formula>LEN(TRIM(N14))=0</formula>
    </cfRule>
  </conditionalFormatting>
  <conditionalFormatting sqref="N14">
    <cfRule type="containsBlanks" dxfId="1787" priority="7812">
      <formula>LEN(TRIM(N14))=0</formula>
    </cfRule>
  </conditionalFormatting>
  <conditionalFormatting sqref="N14">
    <cfRule type="containsBlanks" dxfId="1786" priority="7811">
      <formula>LEN(TRIM(N14))=0</formula>
    </cfRule>
  </conditionalFormatting>
  <conditionalFormatting sqref="N14">
    <cfRule type="containsBlanks" dxfId="1785" priority="7810">
      <formula>LEN(TRIM(N14))=0</formula>
    </cfRule>
  </conditionalFormatting>
  <conditionalFormatting sqref="N14">
    <cfRule type="containsBlanks" dxfId="1784" priority="7809">
      <formula>LEN(TRIM(N14))=0</formula>
    </cfRule>
  </conditionalFormatting>
  <conditionalFormatting sqref="E7">
    <cfRule type="containsBlanks" dxfId="1783" priority="1732">
      <formula>LEN(TRIM(E7))=0</formula>
    </cfRule>
  </conditionalFormatting>
  <conditionalFormatting sqref="E7">
    <cfRule type="containsBlanks" dxfId="1782" priority="1731">
      <formula>LEN(TRIM(E7))=0</formula>
    </cfRule>
  </conditionalFormatting>
  <conditionalFormatting sqref="E8">
    <cfRule type="containsBlanks" dxfId="1781" priority="1730">
      <formula>LEN(TRIM(E8))=0</formula>
    </cfRule>
  </conditionalFormatting>
  <conditionalFormatting sqref="E8">
    <cfRule type="containsBlanks" dxfId="1780" priority="1729">
      <formula>LEN(TRIM(E8))=0</formula>
    </cfRule>
  </conditionalFormatting>
  <conditionalFormatting sqref="E9">
    <cfRule type="containsBlanks" dxfId="1779" priority="1728">
      <formula>LEN(TRIM(E9))=0</formula>
    </cfRule>
  </conditionalFormatting>
  <conditionalFormatting sqref="E9">
    <cfRule type="containsBlanks" dxfId="1778" priority="1727">
      <formula>LEN(TRIM(E9))=0</formula>
    </cfRule>
  </conditionalFormatting>
  <conditionalFormatting sqref="E10">
    <cfRule type="containsBlanks" dxfId="1777" priority="1726">
      <formula>LEN(TRIM(E10))=0</formula>
    </cfRule>
  </conditionalFormatting>
  <conditionalFormatting sqref="E10">
    <cfRule type="containsBlanks" dxfId="1776" priority="1725">
      <formula>LEN(TRIM(E10))=0</formula>
    </cfRule>
  </conditionalFormatting>
  <conditionalFormatting sqref="E11">
    <cfRule type="containsBlanks" dxfId="1775" priority="1724">
      <formula>LEN(TRIM(E11))=0</formula>
    </cfRule>
  </conditionalFormatting>
  <conditionalFormatting sqref="E11">
    <cfRule type="containsBlanks" dxfId="1774" priority="1723">
      <formula>LEN(TRIM(E11))=0</formula>
    </cfRule>
  </conditionalFormatting>
  <conditionalFormatting sqref="E12">
    <cfRule type="containsBlanks" dxfId="1773" priority="1722">
      <formula>LEN(TRIM(E12))=0</formula>
    </cfRule>
  </conditionalFormatting>
  <conditionalFormatting sqref="E12">
    <cfRule type="containsBlanks" dxfId="1772" priority="1721">
      <formula>LEN(TRIM(E12))=0</formula>
    </cfRule>
  </conditionalFormatting>
  <conditionalFormatting sqref="E13">
    <cfRule type="containsBlanks" dxfId="1771" priority="1720">
      <formula>LEN(TRIM(E13))=0</formula>
    </cfRule>
  </conditionalFormatting>
  <conditionalFormatting sqref="E13">
    <cfRule type="containsBlanks" dxfId="1770" priority="1719">
      <formula>LEN(TRIM(E13))=0</formula>
    </cfRule>
  </conditionalFormatting>
  <conditionalFormatting sqref="E14">
    <cfRule type="containsBlanks" dxfId="1769" priority="1718">
      <formula>LEN(TRIM(E14))=0</formula>
    </cfRule>
  </conditionalFormatting>
  <conditionalFormatting sqref="E14">
    <cfRule type="containsBlanks" dxfId="1768" priority="1717">
      <formula>LEN(TRIM(E14))=0</formula>
    </cfRule>
  </conditionalFormatting>
  <conditionalFormatting sqref="E15:E16">
    <cfRule type="containsBlanks" dxfId="1767" priority="1714">
      <formula>LEN(TRIM(E15))=0</formula>
    </cfRule>
  </conditionalFormatting>
  <conditionalFormatting sqref="E15:E16">
    <cfRule type="containsBlanks" dxfId="1766" priority="1713">
      <formula>LEN(TRIM(E15))=0</formula>
    </cfRule>
  </conditionalFormatting>
  <conditionalFormatting sqref="E5">
    <cfRule type="containsBlanks" dxfId="1765" priority="1670">
      <formula>LEN(TRIM(E5))=0</formula>
    </cfRule>
  </conditionalFormatting>
  <conditionalFormatting sqref="AD9">
    <cfRule type="containsText" dxfId="1764" priority="1664" operator="containsText" text="GP2">
      <formula>NOT(ISERROR(SEARCH("GP2",AD9)))</formula>
    </cfRule>
    <cfRule type="containsText" dxfId="1763" priority="1665" operator="containsText" text="GP1">
      <formula>NOT(ISERROR(SEARCH("GP1",AD9)))</formula>
    </cfRule>
  </conditionalFormatting>
  <conditionalFormatting sqref="AD9">
    <cfRule type="containsText" dxfId="1762" priority="1662" operator="containsText" text="GP2">
      <formula>NOT(ISERROR(SEARCH("GP2",AD9)))</formula>
    </cfRule>
    <cfRule type="containsText" dxfId="1761" priority="1663" operator="containsText" text="GP1">
      <formula>NOT(ISERROR(SEARCH("GP1",AD9)))</formula>
    </cfRule>
  </conditionalFormatting>
  <conditionalFormatting sqref="AD9">
    <cfRule type="containsText" dxfId="1760" priority="1660" operator="containsText" text="GP2">
      <formula>NOT(ISERROR(SEARCH("GP2",AD9)))</formula>
    </cfRule>
    <cfRule type="containsText" dxfId="1759" priority="1661" operator="containsText" text="GP1">
      <formula>NOT(ISERROR(SEARCH("GP1",AD9)))</formula>
    </cfRule>
  </conditionalFormatting>
  <conditionalFormatting sqref="AD9">
    <cfRule type="containsText" dxfId="1758" priority="1658" operator="containsText" text="GP2">
      <formula>NOT(ISERROR(SEARCH("GP2",AD9)))</formula>
    </cfRule>
    <cfRule type="containsText" dxfId="1757" priority="1659" operator="containsText" text="GP1">
      <formula>NOT(ISERROR(SEARCH("GP1",AD9)))</formula>
    </cfRule>
  </conditionalFormatting>
  <conditionalFormatting sqref="AD9">
    <cfRule type="containsText" dxfId="1756" priority="1656" operator="containsText" text="GP2">
      <formula>NOT(ISERROR(SEARCH("GP2",AD9)))</formula>
    </cfRule>
    <cfRule type="containsText" dxfId="1755" priority="1657" operator="containsText" text="GP1">
      <formula>NOT(ISERROR(SEARCH("GP1",AD9)))</formula>
    </cfRule>
  </conditionalFormatting>
  <conditionalFormatting sqref="AD9">
    <cfRule type="containsText" dxfId="1754" priority="1654" operator="containsText" text="GP2">
      <formula>NOT(ISERROR(SEARCH("GP2",AD9)))</formula>
    </cfRule>
    <cfRule type="containsText" dxfId="1753" priority="1655" operator="containsText" text="GP1">
      <formula>NOT(ISERROR(SEARCH("GP1",AD9)))</formula>
    </cfRule>
  </conditionalFormatting>
  <conditionalFormatting sqref="AD9">
    <cfRule type="containsText" dxfId="1752" priority="1668" operator="containsText" text="GP2">
      <formula>NOT(ISERROR(SEARCH("GP2",AD9)))</formula>
    </cfRule>
    <cfRule type="containsText" dxfId="1751" priority="1669" operator="containsText" text="GP1">
      <formula>NOT(ISERROR(SEARCH("GP1",AD9)))</formula>
    </cfRule>
  </conditionalFormatting>
  <conditionalFormatting sqref="AD9">
    <cfRule type="containsText" dxfId="1750" priority="1666" operator="containsText" text="GP2">
      <formula>NOT(ISERROR(SEARCH("GP2",AD9)))</formula>
    </cfRule>
    <cfRule type="containsText" dxfId="1749" priority="1667" operator="containsText" text="GP1">
      <formula>NOT(ISERROR(SEARCH("GP1",AD9)))</formula>
    </cfRule>
  </conditionalFormatting>
  <conditionalFormatting sqref="AD9">
    <cfRule type="containsText" dxfId="1748" priority="1652" operator="containsText" text="GP2">
      <formula>NOT(ISERROR(SEARCH("GP2",AD9)))</formula>
    </cfRule>
    <cfRule type="containsText" dxfId="1747" priority="1653" operator="containsText" text="GP1">
      <formula>NOT(ISERROR(SEARCH("GP1",AD9)))</formula>
    </cfRule>
  </conditionalFormatting>
  <conditionalFormatting sqref="AD9">
    <cfRule type="containsText" dxfId="1746" priority="1650" operator="containsText" text="GP2">
      <formula>NOT(ISERROR(SEARCH("GP2",AD9)))</formula>
    </cfRule>
    <cfRule type="containsText" dxfId="1745" priority="1651" operator="containsText" text="GP1">
      <formula>NOT(ISERROR(SEARCH("GP1",AD9)))</formula>
    </cfRule>
  </conditionalFormatting>
  <conditionalFormatting sqref="AD9">
    <cfRule type="containsText" dxfId="1744" priority="1648" operator="containsText" text="GP2">
      <formula>NOT(ISERROR(SEARCH("GP2",AD9)))</formula>
    </cfRule>
    <cfRule type="containsText" dxfId="1743" priority="1649" operator="containsText" text="GP1">
      <formula>NOT(ISERROR(SEARCH("GP1",AD9)))</formula>
    </cfRule>
  </conditionalFormatting>
  <conditionalFormatting sqref="AD9">
    <cfRule type="containsText" dxfId="1742" priority="1646" operator="containsText" text="GP2">
      <formula>NOT(ISERROR(SEARCH("GP2",AD9)))</formula>
    </cfRule>
    <cfRule type="containsText" dxfId="1741" priority="1647" operator="containsText" text="GP1">
      <formula>NOT(ISERROR(SEARCH("GP1",AD9)))</formula>
    </cfRule>
  </conditionalFormatting>
  <conditionalFormatting sqref="AD9">
    <cfRule type="containsText" dxfId="1740" priority="1644" operator="containsText" text="GP2">
      <formula>NOT(ISERROR(SEARCH("GP2",AD9)))</formula>
    </cfRule>
    <cfRule type="containsText" dxfId="1739" priority="1645" operator="containsText" text="GP1">
      <formula>NOT(ISERROR(SEARCH("GP1",AD9)))</formula>
    </cfRule>
  </conditionalFormatting>
  <conditionalFormatting sqref="AD9">
    <cfRule type="containsText" dxfId="1738" priority="1642" operator="containsText" text="GP2">
      <formula>NOT(ISERROR(SEARCH("GP2",AD9)))</formula>
    </cfRule>
    <cfRule type="containsText" dxfId="1737" priority="1643" operator="containsText" text="GP1">
      <formula>NOT(ISERROR(SEARCH("GP1",AD9)))</formula>
    </cfRule>
  </conditionalFormatting>
  <conditionalFormatting sqref="AD9">
    <cfRule type="containsText" dxfId="1736" priority="1640" operator="containsText" text="GP2">
      <formula>NOT(ISERROR(SEARCH("GP2",AD9)))</formula>
    </cfRule>
    <cfRule type="containsText" dxfId="1735" priority="1641" operator="containsText" text="GP1">
      <formula>NOT(ISERROR(SEARCH("GP1",AD9)))</formula>
    </cfRule>
  </conditionalFormatting>
  <conditionalFormatting sqref="AD9">
    <cfRule type="containsText" dxfId="1734" priority="1638" operator="containsText" text="GP2">
      <formula>NOT(ISERROR(SEARCH("GP2",AD9)))</formula>
    </cfRule>
    <cfRule type="containsText" dxfId="1733" priority="1639" operator="containsText" text="GP1">
      <formula>NOT(ISERROR(SEARCH("GP1",AD9)))</formula>
    </cfRule>
  </conditionalFormatting>
  <conditionalFormatting sqref="AD9">
    <cfRule type="containsText" dxfId="1732" priority="1636" operator="containsText" text="GP2">
      <formula>NOT(ISERROR(SEARCH("GP2",AD9)))</formula>
    </cfRule>
    <cfRule type="containsText" dxfId="1731" priority="1637" operator="containsText" text="GP1">
      <formula>NOT(ISERROR(SEARCH("GP1",AD9)))</formula>
    </cfRule>
  </conditionalFormatting>
  <conditionalFormatting sqref="AD9">
    <cfRule type="containsText" dxfId="1730" priority="1634" operator="containsText" text="GP2">
      <formula>NOT(ISERROR(SEARCH("GP2",AD9)))</formula>
    </cfRule>
    <cfRule type="containsText" dxfId="1729" priority="1635" operator="containsText" text="GP1">
      <formula>NOT(ISERROR(SEARCH("GP1",AD9)))</formula>
    </cfRule>
  </conditionalFormatting>
  <conditionalFormatting sqref="AD9">
    <cfRule type="containsText" dxfId="1728" priority="1632" operator="containsText" text="GP2">
      <formula>NOT(ISERROR(SEARCH("GP2",AD9)))</formula>
    </cfRule>
    <cfRule type="containsText" dxfId="1727" priority="1633" operator="containsText" text="GP1">
      <formula>NOT(ISERROR(SEARCH("GP1",AD9)))</formula>
    </cfRule>
  </conditionalFormatting>
  <conditionalFormatting sqref="AD9">
    <cfRule type="containsText" dxfId="1726" priority="1630" operator="containsText" text="GP2">
      <formula>NOT(ISERROR(SEARCH("GP2",AD9)))</formula>
    </cfRule>
    <cfRule type="containsText" dxfId="1725" priority="1631" operator="containsText" text="GP1">
      <formula>NOT(ISERROR(SEARCH("GP1",AD9)))</formula>
    </cfRule>
  </conditionalFormatting>
  <conditionalFormatting sqref="AD9">
    <cfRule type="containsText" dxfId="1724" priority="1628" operator="containsText" text="GP2">
      <formula>NOT(ISERROR(SEARCH("GP2",AD9)))</formula>
    </cfRule>
    <cfRule type="containsText" dxfId="1723" priority="1629" operator="containsText" text="GP1">
      <formula>NOT(ISERROR(SEARCH("GP1",AD9)))</formula>
    </cfRule>
  </conditionalFormatting>
  <conditionalFormatting sqref="AD9">
    <cfRule type="containsText" dxfId="1722" priority="1626" operator="containsText" text="GP2">
      <formula>NOT(ISERROR(SEARCH("GP2",AD9)))</formula>
    </cfRule>
    <cfRule type="containsText" dxfId="1721" priority="1627" operator="containsText" text="GP1">
      <formula>NOT(ISERROR(SEARCH("GP1",AD9)))</formula>
    </cfRule>
  </conditionalFormatting>
  <conditionalFormatting sqref="AD9">
    <cfRule type="containsText" dxfId="1720" priority="1624" operator="containsText" text="GP2">
      <formula>NOT(ISERROR(SEARCH("GP2",AD9)))</formula>
    </cfRule>
    <cfRule type="containsText" dxfId="1719" priority="1625" operator="containsText" text="GP1">
      <formula>NOT(ISERROR(SEARCH("GP1",AD9)))</formula>
    </cfRule>
  </conditionalFormatting>
  <conditionalFormatting sqref="AD9">
    <cfRule type="containsText" dxfId="1718" priority="1622" operator="containsText" text="GP2">
      <formula>NOT(ISERROR(SEARCH("GP2",AD9)))</formula>
    </cfRule>
    <cfRule type="containsText" dxfId="1717" priority="1623" operator="containsText" text="GP1">
      <formula>NOT(ISERROR(SEARCH("GP1",AD9)))</formula>
    </cfRule>
  </conditionalFormatting>
  <conditionalFormatting sqref="AD9">
    <cfRule type="containsText" dxfId="1716" priority="1620" operator="containsText" text="GP2">
      <formula>NOT(ISERROR(SEARCH("GP2",AD9)))</formula>
    </cfRule>
    <cfRule type="containsText" dxfId="1715" priority="1621" operator="containsText" text="GP1">
      <formula>NOT(ISERROR(SEARCH("GP1",AD9)))</formula>
    </cfRule>
  </conditionalFormatting>
  <conditionalFormatting sqref="AD9">
    <cfRule type="containsText" dxfId="1714" priority="1618" operator="containsText" text="GP2">
      <formula>NOT(ISERROR(SEARCH("GP2",AD9)))</formula>
    </cfRule>
    <cfRule type="containsText" dxfId="1713" priority="1619" operator="containsText" text="GP1">
      <formula>NOT(ISERROR(SEARCH("GP1",AD9)))</formula>
    </cfRule>
  </conditionalFormatting>
  <conditionalFormatting sqref="AD9">
    <cfRule type="containsText" dxfId="1712" priority="1616" operator="containsText" text="GP2">
      <formula>NOT(ISERROR(SEARCH("GP2",AD9)))</formula>
    </cfRule>
    <cfRule type="containsText" dxfId="1711" priority="1617" operator="containsText" text="GP1">
      <formula>NOT(ISERROR(SEARCH("GP1",AD9)))</formula>
    </cfRule>
  </conditionalFormatting>
  <conditionalFormatting sqref="AD9">
    <cfRule type="containsText" dxfId="1710" priority="1614" operator="containsText" text="GP2">
      <formula>NOT(ISERROR(SEARCH("GP2",AD9)))</formula>
    </cfRule>
    <cfRule type="containsText" dxfId="1709" priority="1615" operator="containsText" text="GP1">
      <formula>NOT(ISERROR(SEARCH("GP1",AD9)))</formula>
    </cfRule>
  </conditionalFormatting>
  <conditionalFormatting sqref="AD9">
    <cfRule type="containsText" dxfId="1708" priority="1612" operator="containsText" text="GP2">
      <formula>NOT(ISERROR(SEARCH("GP2",AD9)))</formula>
    </cfRule>
    <cfRule type="containsText" dxfId="1707" priority="1613" operator="containsText" text="GP1">
      <formula>NOT(ISERROR(SEARCH("GP1",AD9)))</formula>
    </cfRule>
  </conditionalFormatting>
  <conditionalFormatting sqref="AD9">
    <cfRule type="containsText" dxfId="1706" priority="1610" operator="containsText" text="GP2">
      <formula>NOT(ISERROR(SEARCH("GP2",AD9)))</formula>
    </cfRule>
    <cfRule type="containsText" dxfId="1705" priority="1611" operator="containsText" text="GP1">
      <formula>NOT(ISERROR(SEARCH("GP1",AD9)))</formula>
    </cfRule>
  </conditionalFormatting>
  <conditionalFormatting sqref="AD9">
    <cfRule type="containsText" dxfId="1704" priority="1608" operator="containsText" text="GP2">
      <formula>NOT(ISERROR(SEARCH("GP2",AD9)))</formula>
    </cfRule>
    <cfRule type="containsText" dxfId="1703" priority="1609" operator="containsText" text="GP1">
      <formula>NOT(ISERROR(SEARCH("GP1",AD9)))</formula>
    </cfRule>
  </conditionalFormatting>
  <conditionalFormatting sqref="AD9">
    <cfRule type="containsText" dxfId="1702" priority="1606" operator="containsText" text="GP2">
      <formula>NOT(ISERROR(SEARCH("GP2",AD9)))</formula>
    </cfRule>
    <cfRule type="containsText" dxfId="1701" priority="1607" operator="containsText" text="GP1">
      <formula>NOT(ISERROR(SEARCH("GP1",AD9)))</formula>
    </cfRule>
  </conditionalFormatting>
  <conditionalFormatting sqref="AD9">
    <cfRule type="containsText" dxfId="1700" priority="1604" operator="containsText" text="GP2">
      <formula>NOT(ISERROR(SEARCH("GP2",AD9)))</formula>
    </cfRule>
    <cfRule type="containsText" dxfId="1699" priority="1605" operator="containsText" text="GP1">
      <formula>NOT(ISERROR(SEARCH("GP1",AD9)))</formula>
    </cfRule>
  </conditionalFormatting>
  <conditionalFormatting sqref="AD9">
    <cfRule type="containsText" dxfId="1698" priority="1602" operator="containsText" text="GP2">
      <formula>NOT(ISERROR(SEARCH("GP2",AD9)))</formula>
    </cfRule>
    <cfRule type="containsText" dxfId="1697" priority="1603" operator="containsText" text="GP1">
      <formula>NOT(ISERROR(SEARCH("GP1",AD9)))</formula>
    </cfRule>
  </conditionalFormatting>
  <conditionalFormatting sqref="AD9">
    <cfRule type="containsText" dxfId="1696" priority="1600" operator="containsText" text="GP2">
      <formula>NOT(ISERROR(SEARCH("GP2",AD9)))</formula>
    </cfRule>
    <cfRule type="containsText" dxfId="1695" priority="1601" operator="containsText" text="GP1">
      <formula>NOT(ISERROR(SEARCH("GP1",AD9)))</formula>
    </cfRule>
  </conditionalFormatting>
  <conditionalFormatting sqref="AD9">
    <cfRule type="containsText" dxfId="1694" priority="1598" operator="containsText" text="GP2">
      <formula>NOT(ISERROR(SEARCH("GP2",AD9)))</formula>
    </cfRule>
    <cfRule type="containsText" dxfId="1693" priority="1599" operator="containsText" text="GP1">
      <formula>NOT(ISERROR(SEARCH("GP1",AD9)))</formula>
    </cfRule>
  </conditionalFormatting>
  <conditionalFormatting sqref="AD9">
    <cfRule type="containsText" dxfId="1692" priority="1596" operator="containsText" text="GP2">
      <formula>NOT(ISERROR(SEARCH("GP2",AD9)))</formula>
    </cfRule>
    <cfRule type="containsText" dxfId="1691" priority="1597" operator="containsText" text="GP1">
      <formula>NOT(ISERROR(SEARCH("GP1",AD9)))</formula>
    </cfRule>
  </conditionalFormatting>
  <conditionalFormatting sqref="AD9">
    <cfRule type="containsText" dxfId="1690" priority="1594" operator="containsText" text="GP2">
      <formula>NOT(ISERROR(SEARCH("GP2",AD9)))</formula>
    </cfRule>
    <cfRule type="containsText" dxfId="1689" priority="1595" operator="containsText" text="GP1">
      <formula>NOT(ISERROR(SEARCH("GP1",AD9)))</formula>
    </cfRule>
  </conditionalFormatting>
  <conditionalFormatting sqref="AD9">
    <cfRule type="containsText" dxfId="1688" priority="1592" operator="containsText" text="GP2">
      <formula>NOT(ISERROR(SEARCH("GP2",AD9)))</formula>
    </cfRule>
    <cfRule type="containsText" dxfId="1687" priority="1593" operator="containsText" text="GP1">
      <formula>NOT(ISERROR(SEARCH("GP1",AD9)))</formula>
    </cfRule>
  </conditionalFormatting>
  <conditionalFormatting sqref="AD9">
    <cfRule type="containsText" dxfId="1686" priority="1590" operator="containsText" text="GP2">
      <formula>NOT(ISERROR(SEARCH("GP2",AD9)))</formula>
    </cfRule>
    <cfRule type="containsText" dxfId="1685" priority="1591" operator="containsText" text="GP1">
      <formula>NOT(ISERROR(SEARCH("GP1",AD9)))</formula>
    </cfRule>
  </conditionalFormatting>
  <conditionalFormatting sqref="AD9">
    <cfRule type="containsText" dxfId="1684" priority="1588" operator="containsText" text="GP2">
      <formula>NOT(ISERROR(SEARCH("GP2",AD9)))</formula>
    </cfRule>
    <cfRule type="containsText" dxfId="1683" priority="1589" operator="containsText" text="GP1">
      <formula>NOT(ISERROR(SEARCH("GP1",AD9)))</formula>
    </cfRule>
  </conditionalFormatting>
  <conditionalFormatting sqref="AD9">
    <cfRule type="containsText" dxfId="1682" priority="1586" operator="containsText" text="GP2">
      <formula>NOT(ISERROR(SEARCH("GP2",AD9)))</formula>
    </cfRule>
    <cfRule type="containsText" dxfId="1681" priority="1587" operator="containsText" text="GP1">
      <formula>NOT(ISERROR(SEARCH("GP1",AD9)))</formula>
    </cfRule>
  </conditionalFormatting>
  <conditionalFormatting sqref="AD9">
    <cfRule type="containsText" dxfId="1680" priority="1584" operator="containsText" text="GP2">
      <formula>NOT(ISERROR(SEARCH("GP2",AD9)))</formula>
    </cfRule>
    <cfRule type="containsText" dxfId="1679" priority="1585" operator="containsText" text="GP1">
      <formula>NOT(ISERROR(SEARCH("GP1",AD9)))</formula>
    </cfRule>
  </conditionalFormatting>
  <conditionalFormatting sqref="AD9">
    <cfRule type="containsText" dxfId="1678" priority="1582" operator="containsText" text="GP2">
      <formula>NOT(ISERROR(SEARCH("GP2",AD9)))</formula>
    </cfRule>
    <cfRule type="containsText" dxfId="1677" priority="1583" operator="containsText" text="GP1">
      <formula>NOT(ISERROR(SEARCH("GP1",AD9)))</formula>
    </cfRule>
  </conditionalFormatting>
  <conditionalFormatting sqref="AD9">
    <cfRule type="containsText" dxfId="1676" priority="1580" operator="containsText" text="GP2">
      <formula>NOT(ISERROR(SEARCH("GP2",AD9)))</formula>
    </cfRule>
    <cfRule type="containsText" dxfId="1675" priority="1581" operator="containsText" text="GP1">
      <formula>NOT(ISERROR(SEARCH("GP1",AD9)))</formula>
    </cfRule>
  </conditionalFormatting>
  <conditionalFormatting sqref="AD9">
    <cfRule type="containsText" dxfId="1674" priority="1578" operator="containsText" text="GP2">
      <formula>NOT(ISERROR(SEARCH("GP2",AD9)))</formula>
    </cfRule>
    <cfRule type="containsText" dxfId="1673" priority="1579" operator="containsText" text="GP1">
      <formula>NOT(ISERROR(SEARCH("GP1",AD9)))</formula>
    </cfRule>
  </conditionalFormatting>
  <conditionalFormatting sqref="AD9">
    <cfRule type="containsText" dxfId="1672" priority="1576" operator="containsText" text="GP2">
      <formula>NOT(ISERROR(SEARCH("GP2",AD9)))</formula>
    </cfRule>
    <cfRule type="containsText" dxfId="1671" priority="1577" operator="containsText" text="GP1">
      <formula>NOT(ISERROR(SEARCH("GP1",AD9)))</formula>
    </cfRule>
  </conditionalFormatting>
  <conditionalFormatting sqref="AD9">
    <cfRule type="containsText" dxfId="1670" priority="1574" operator="containsText" text="GP2">
      <formula>NOT(ISERROR(SEARCH("GP2",AD9)))</formula>
    </cfRule>
    <cfRule type="containsText" dxfId="1669" priority="1575" operator="containsText" text="GP1">
      <formula>NOT(ISERROR(SEARCH("GP1",AD9)))</formula>
    </cfRule>
  </conditionalFormatting>
  <conditionalFormatting sqref="AD9">
    <cfRule type="containsText" dxfId="1668" priority="1572" operator="containsText" text="GP2">
      <formula>NOT(ISERROR(SEARCH("GP2",AD9)))</formula>
    </cfRule>
    <cfRule type="containsText" dxfId="1667" priority="1573" operator="containsText" text="GP1">
      <formula>NOT(ISERROR(SEARCH("GP1",AD9)))</formula>
    </cfRule>
  </conditionalFormatting>
  <conditionalFormatting sqref="AD9">
    <cfRule type="containsText" dxfId="1666" priority="1570" operator="containsText" text="GP2">
      <formula>NOT(ISERROR(SEARCH("GP2",AD9)))</formula>
    </cfRule>
    <cfRule type="containsText" dxfId="1665" priority="1571" operator="containsText" text="GP1">
      <formula>NOT(ISERROR(SEARCH("GP1",AD9)))</formula>
    </cfRule>
  </conditionalFormatting>
  <conditionalFormatting sqref="AD9">
    <cfRule type="containsText" dxfId="1664" priority="1568" operator="containsText" text="GP2">
      <formula>NOT(ISERROR(SEARCH("GP2",AD9)))</formula>
    </cfRule>
    <cfRule type="containsText" dxfId="1663" priority="1569" operator="containsText" text="GP1">
      <formula>NOT(ISERROR(SEARCH("GP1",AD9)))</formula>
    </cfRule>
  </conditionalFormatting>
  <conditionalFormatting sqref="AD9">
    <cfRule type="containsText" dxfId="1662" priority="1566" operator="containsText" text="GP2">
      <formula>NOT(ISERROR(SEARCH("GP2",AD9)))</formula>
    </cfRule>
    <cfRule type="containsText" dxfId="1661" priority="1567" operator="containsText" text="GP1">
      <formula>NOT(ISERROR(SEARCH("GP1",AD9)))</formula>
    </cfRule>
  </conditionalFormatting>
  <conditionalFormatting sqref="AD9">
    <cfRule type="containsText" dxfId="1660" priority="1564" operator="containsText" text="GP2">
      <formula>NOT(ISERROR(SEARCH("GP2",AD9)))</formula>
    </cfRule>
    <cfRule type="containsText" dxfId="1659" priority="1565" operator="containsText" text="GP1">
      <formula>NOT(ISERROR(SEARCH("GP1",AD9)))</formula>
    </cfRule>
  </conditionalFormatting>
  <conditionalFormatting sqref="AD9">
    <cfRule type="containsText" dxfId="1658" priority="1562" operator="containsText" text="GP2">
      <formula>NOT(ISERROR(SEARCH("GP2",AD9)))</formula>
    </cfRule>
    <cfRule type="containsText" dxfId="1657" priority="1563" operator="containsText" text="GP1">
      <formula>NOT(ISERROR(SEARCH("GP1",AD9)))</formula>
    </cfRule>
  </conditionalFormatting>
  <conditionalFormatting sqref="AD9">
    <cfRule type="containsText" dxfId="1656" priority="1560" operator="containsText" text="GP2">
      <formula>NOT(ISERROR(SEARCH("GP2",AD9)))</formula>
    </cfRule>
    <cfRule type="containsText" dxfId="1655" priority="1561" operator="containsText" text="GP1">
      <formula>NOT(ISERROR(SEARCH("GP1",AD9)))</formula>
    </cfRule>
  </conditionalFormatting>
  <conditionalFormatting sqref="AD9">
    <cfRule type="containsText" dxfId="1654" priority="1558" operator="containsText" text="GP2">
      <formula>NOT(ISERROR(SEARCH("GP2",AD9)))</formula>
    </cfRule>
    <cfRule type="containsText" dxfId="1653" priority="1559" operator="containsText" text="GP1">
      <formula>NOT(ISERROR(SEARCH("GP1",AD9)))</formula>
    </cfRule>
  </conditionalFormatting>
  <conditionalFormatting sqref="AD9">
    <cfRule type="containsText" dxfId="1652" priority="1556" operator="containsText" text="GP2">
      <formula>NOT(ISERROR(SEARCH("GP2",AD9)))</formula>
    </cfRule>
    <cfRule type="containsText" dxfId="1651" priority="1557" operator="containsText" text="GP1">
      <formula>NOT(ISERROR(SEARCH("GP1",AD9)))</formula>
    </cfRule>
  </conditionalFormatting>
  <conditionalFormatting sqref="AD9">
    <cfRule type="containsText" dxfId="1650" priority="1554" operator="containsText" text="GP2">
      <formula>NOT(ISERROR(SEARCH("GP2",AD9)))</formula>
    </cfRule>
    <cfRule type="containsText" dxfId="1649" priority="1555" operator="containsText" text="GP1">
      <formula>NOT(ISERROR(SEARCH("GP1",AD9)))</formula>
    </cfRule>
  </conditionalFormatting>
  <conditionalFormatting sqref="AD9">
    <cfRule type="containsText" dxfId="1648" priority="1552" operator="containsText" text="GP2">
      <formula>NOT(ISERROR(SEARCH("GP2",AD9)))</formula>
    </cfRule>
    <cfRule type="containsText" dxfId="1647" priority="1553" operator="containsText" text="GP1">
      <formula>NOT(ISERROR(SEARCH("GP1",AD9)))</formula>
    </cfRule>
  </conditionalFormatting>
  <conditionalFormatting sqref="AD9">
    <cfRule type="containsText" dxfId="1646" priority="1550" operator="containsText" text="GP2">
      <formula>NOT(ISERROR(SEARCH("GP2",AD9)))</formula>
    </cfRule>
    <cfRule type="containsText" dxfId="1645" priority="1551" operator="containsText" text="GP1">
      <formula>NOT(ISERROR(SEARCH("GP1",AD9)))</formula>
    </cfRule>
  </conditionalFormatting>
  <conditionalFormatting sqref="AD9">
    <cfRule type="containsText" dxfId="1644" priority="1548" operator="containsText" text="GP2">
      <formula>NOT(ISERROR(SEARCH("GP2",AD9)))</formula>
    </cfRule>
    <cfRule type="containsText" dxfId="1643" priority="1549" operator="containsText" text="GP1">
      <formula>NOT(ISERROR(SEARCH("GP1",AD9)))</formula>
    </cfRule>
  </conditionalFormatting>
  <conditionalFormatting sqref="AD9">
    <cfRule type="containsText" dxfId="1642" priority="1546" operator="containsText" text="GP2">
      <formula>NOT(ISERROR(SEARCH("GP2",AD9)))</formula>
    </cfRule>
    <cfRule type="containsText" dxfId="1641" priority="1547" operator="containsText" text="GP1">
      <formula>NOT(ISERROR(SEARCH("GP1",AD9)))</formula>
    </cfRule>
  </conditionalFormatting>
  <conditionalFormatting sqref="AD9">
    <cfRule type="containsText" dxfId="1640" priority="1544" operator="containsText" text="GP2">
      <formula>NOT(ISERROR(SEARCH("GP2",AD9)))</formula>
    </cfRule>
    <cfRule type="containsText" dxfId="1639" priority="1545" operator="containsText" text="GP1">
      <formula>NOT(ISERROR(SEARCH("GP1",AD9)))</formula>
    </cfRule>
  </conditionalFormatting>
  <conditionalFormatting sqref="AD9">
    <cfRule type="containsText" dxfId="1638" priority="1542" operator="containsText" text="GP2">
      <formula>NOT(ISERROR(SEARCH("GP2",AD9)))</formula>
    </cfRule>
    <cfRule type="containsText" dxfId="1637" priority="1543" operator="containsText" text="GP1">
      <formula>NOT(ISERROR(SEARCH("GP1",AD9)))</formula>
    </cfRule>
  </conditionalFormatting>
  <conditionalFormatting sqref="AD9">
    <cfRule type="containsText" dxfId="1636" priority="1540" operator="containsText" text="GP2">
      <formula>NOT(ISERROR(SEARCH("GP2",AD9)))</formula>
    </cfRule>
    <cfRule type="containsText" dxfId="1635" priority="1541" operator="containsText" text="GP1">
      <formula>NOT(ISERROR(SEARCH("GP1",AD9)))</formula>
    </cfRule>
  </conditionalFormatting>
  <conditionalFormatting sqref="AD9">
    <cfRule type="containsText" dxfId="1634" priority="1538" operator="containsText" text="GP2">
      <formula>NOT(ISERROR(SEARCH("GP2",AD9)))</formula>
    </cfRule>
    <cfRule type="containsText" dxfId="1633" priority="1539" operator="containsText" text="GP1">
      <formula>NOT(ISERROR(SEARCH("GP1",AD9)))</formula>
    </cfRule>
  </conditionalFormatting>
  <conditionalFormatting sqref="AD9">
    <cfRule type="containsText" dxfId="1632" priority="1536" operator="containsText" text="GP2">
      <formula>NOT(ISERROR(SEARCH("GP2",AD9)))</formula>
    </cfRule>
    <cfRule type="containsText" dxfId="1631" priority="1537" operator="containsText" text="GP1">
      <formula>NOT(ISERROR(SEARCH("GP1",AD9)))</formula>
    </cfRule>
  </conditionalFormatting>
  <conditionalFormatting sqref="AD9">
    <cfRule type="containsText" dxfId="1630" priority="1534" operator="containsText" text="GP2">
      <formula>NOT(ISERROR(SEARCH("GP2",AD9)))</formula>
    </cfRule>
    <cfRule type="containsText" dxfId="1629" priority="1535" operator="containsText" text="GP1">
      <formula>NOT(ISERROR(SEARCH("GP1",AD9)))</formula>
    </cfRule>
  </conditionalFormatting>
  <conditionalFormatting sqref="AD9">
    <cfRule type="containsText" dxfId="1628" priority="1532" operator="containsText" text="GP2">
      <formula>NOT(ISERROR(SEARCH("GP2",AD9)))</formula>
    </cfRule>
    <cfRule type="containsText" dxfId="1627" priority="1533" operator="containsText" text="GP1">
      <formula>NOT(ISERROR(SEARCH("GP1",AD9)))</formula>
    </cfRule>
  </conditionalFormatting>
  <conditionalFormatting sqref="AD9">
    <cfRule type="containsText" dxfId="1626" priority="1530" operator="containsText" text="GP2">
      <formula>NOT(ISERROR(SEARCH("GP2",AD9)))</formula>
    </cfRule>
    <cfRule type="containsText" dxfId="1625" priority="1531" operator="containsText" text="GP1">
      <formula>NOT(ISERROR(SEARCH("GP1",AD9)))</formula>
    </cfRule>
  </conditionalFormatting>
  <conditionalFormatting sqref="AD9">
    <cfRule type="containsText" dxfId="1624" priority="1528" operator="containsText" text="GP2">
      <formula>NOT(ISERROR(SEARCH("GP2",AD9)))</formula>
    </cfRule>
    <cfRule type="containsText" dxfId="1623" priority="1529" operator="containsText" text="GP1">
      <formula>NOT(ISERROR(SEARCH("GP1",AD9)))</formula>
    </cfRule>
  </conditionalFormatting>
  <conditionalFormatting sqref="AD9">
    <cfRule type="containsText" dxfId="1622" priority="1526" operator="containsText" text="GP2">
      <formula>NOT(ISERROR(SEARCH("GP2",AD9)))</formula>
    </cfRule>
    <cfRule type="containsText" dxfId="1621" priority="1527" operator="containsText" text="GP1">
      <formula>NOT(ISERROR(SEARCH("GP1",AD9)))</formula>
    </cfRule>
  </conditionalFormatting>
  <conditionalFormatting sqref="AD9">
    <cfRule type="containsText" dxfId="1620" priority="1524" operator="containsText" text="GP2">
      <formula>NOT(ISERROR(SEARCH("GP2",AD9)))</formula>
    </cfRule>
    <cfRule type="containsText" dxfId="1619" priority="1525" operator="containsText" text="GP1">
      <formula>NOT(ISERROR(SEARCH("GP1",AD9)))</formula>
    </cfRule>
  </conditionalFormatting>
  <conditionalFormatting sqref="AD9">
    <cfRule type="containsText" dxfId="1618" priority="1522" operator="containsText" text="GP2">
      <formula>NOT(ISERROR(SEARCH("GP2",AD9)))</formula>
    </cfRule>
    <cfRule type="containsText" dxfId="1617" priority="1523" operator="containsText" text="GP1">
      <formula>NOT(ISERROR(SEARCH("GP1",AD9)))</formula>
    </cfRule>
  </conditionalFormatting>
  <conditionalFormatting sqref="AD9">
    <cfRule type="containsText" dxfId="1616" priority="1520" operator="containsText" text="GP2">
      <formula>NOT(ISERROR(SEARCH("GP2",AD9)))</formula>
    </cfRule>
    <cfRule type="containsText" dxfId="1615" priority="1521" operator="containsText" text="GP1">
      <formula>NOT(ISERROR(SEARCH("GP1",AD9)))</formula>
    </cfRule>
  </conditionalFormatting>
  <conditionalFormatting sqref="AD9">
    <cfRule type="containsText" dxfId="1614" priority="1518" operator="containsText" text="GP2">
      <formula>NOT(ISERROR(SEARCH("GP2",AD9)))</formula>
    </cfRule>
    <cfRule type="containsText" dxfId="1613" priority="1519" operator="containsText" text="GP1">
      <formula>NOT(ISERROR(SEARCH("GP1",AD9)))</formula>
    </cfRule>
  </conditionalFormatting>
  <conditionalFormatting sqref="AD9">
    <cfRule type="containsText" dxfId="1612" priority="1516" operator="containsText" text="GP2">
      <formula>NOT(ISERROR(SEARCH("GP2",AD9)))</formula>
    </cfRule>
    <cfRule type="containsText" dxfId="1611" priority="1517" operator="containsText" text="GP1">
      <formula>NOT(ISERROR(SEARCH("GP1",AD9)))</formula>
    </cfRule>
  </conditionalFormatting>
  <conditionalFormatting sqref="AD9">
    <cfRule type="containsText" dxfId="1610" priority="1514" operator="containsText" text="GP2">
      <formula>NOT(ISERROR(SEARCH("GP2",AD9)))</formula>
    </cfRule>
    <cfRule type="containsText" dxfId="1609" priority="1515" operator="containsText" text="GP1">
      <formula>NOT(ISERROR(SEARCH("GP1",AD9)))</formula>
    </cfRule>
  </conditionalFormatting>
  <conditionalFormatting sqref="AD9">
    <cfRule type="containsText" dxfId="1608" priority="1512" operator="containsText" text="GP2">
      <formula>NOT(ISERROR(SEARCH("GP2",AD9)))</formula>
    </cfRule>
    <cfRule type="containsText" dxfId="1607" priority="1513" operator="containsText" text="GP1">
      <formula>NOT(ISERROR(SEARCH("GP1",AD9)))</formula>
    </cfRule>
  </conditionalFormatting>
  <conditionalFormatting sqref="AD9">
    <cfRule type="containsText" dxfId="1606" priority="1510" operator="containsText" text="GP2">
      <formula>NOT(ISERROR(SEARCH("GP2",AD9)))</formula>
    </cfRule>
    <cfRule type="containsText" dxfId="1605" priority="1511" operator="containsText" text="GP1">
      <formula>NOT(ISERROR(SEARCH("GP1",AD9)))</formula>
    </cfRule>
  </conditionalFormatting>
  <conditionalFormatting sqref="AD9">
    <cfRule type="containsText" dxfId="1604" priority="1508" operator="containsText" text="GP2">
      <formula>NOT(ISERROR(SEARCH("GP2",AD9)))</formula>
    </cfRule>
    <cfRule type="containsText" dxfId="1603" priority="1509" operator="containsText" text="GP1">
      <formula>NOT(ISERROR(SEARCH("GP1",AD9)))</formula>
    </cfRule>
  </conditionalFormatting>
  <conditionalFormatting sqref="AD9">
    <cfRule type="containsText" dxfId="1602" priority="1506" operator="containsText" text="GP2">
      <formula>NOT(ISERROR(SEARCH("GP2",AD9)))</formula>
    </cfRule>
    <cfRule type="containsText" dxfId="1601" priority="1507" operator="containsText" text="GP1">
      <formula>NOT(ISERROR(SEARCH("GP1",AD9)))</formula>
    </cfRule>
  </conditionalFormatting>
  <conditionalFormatting sqref="AD9">
    <cfRule type="containsText" dxfId="1600" priority="1504" operator="containsText" text="GP2">
      <formula>NOT(ISERROR(SEARCH("GP2",AD9)))</formula>
    </cfRule>
    <cfRule type="containsText" dxfId="1599" priority="1505" operator="containsText" text="GP1">
      <formula>NOT(ISERROR(SEARCH("GP1",AD9)))</formula>
    </cfRule>
  </conditionalFormatting>
  <conditionalFormatting sqref="AD9">
    <cfRule type="containsText" dxfId="1598" priority="1502" operator="containsText" text="GP2">
      <formula>NOT(ISERROR(SEARCH("GP2",AD9)))</formula>
    </cfRule>
    <cfRule type="containsText" dxfId="1597" priority="1503" operator="containsText" text="GP1">
      <formula>NOT(ISERROR(SEARCH("GP1",AD9)))</formula>
    </cfRule>
  </conditionalFormatting>
  <conditionalFormatting sqref="AD9">
    <cfRule type="containsText" dxfId="1596" priority="1500" operator="containsText" text="GP2">
      <formula>NOT(ISERROR(SEARCH("GP2",AD9)))</formula>
    </cfRule>
    <cfRule type="containsText" dxfId="1595" priority="1501" operator="containsText" text="GP1">
      <formula>NOT(ISERROR(SEARCH("GP1",AD9)))</formula>
    </cfRule>
  </conditionalFormatting>
  <conditionalFormatting sqref="AD9">
    <cfRule type="containsText" dxfId="1594" priority="1498" operator="containsText" text="GP2">
      <formula>NOT(ISERROR(SEARCH("GP2",AD9)))</formula>
    </cfRule>
    <cfRule type="containsText" dxfId="1593" priority="1499" operator="containsText" text="GP1">
      <formula>NOT(ISERROR(SEARCH("GP1",AD9)))</formula>
    </cfRule>
  </conditionalFormatting>
  <conditionalFormatting sqref="AD9">
    <cfRule type="containsText" dxfId="1592" priority="1496" operator="containsText" text="GP2">
      <formula>NOT(ISERROR(SEARCH("GP2",AD9)))</formula>
    </cfRule>
    <cfRule type="containsText" dxfId="1591" priority="1497" operator="containsText" text="GP1">
      <formula>NOT(ISERROR(SEARCH("GP1",AD9)))</formula>
    </cfRule>
  </conditionalFormatting>
  <conditionalFormatting sqref="AD9">
    <cfRule type="containsText" dxfId="1590" priority="1494" operator="containsText" text="GP2">
      <formula>NOT(ISERROR(SEARCH("GP2",AD9)))</formula>
    </cfRule>
    <cfRule type="containsText" dxfId="1589" priority="1495" operator="containsText" text="GP1">
      <formula>NOT(ISERROR(SEARCH("GP1",AD9)))</formula>
    </cfRule>
  </conditionalFormatting>
  <conditionalFormatting sqref="AD9">
    <cfRule type="containsText" dxfId="1588" priority="1492" operator="containsText" text="GP2">
      <formula>NOT(ISERROR(SEARCH("GP2",AD9)))</formula>
    </cfRule>
    <cfRule type="containsText" dxfId="1587" priority="1493" operator="containsText" text="GP1">
      <formula>NOT(ISERROR(SEARCH("GP1",AD9)))</formula>
    </cfRule>
  </conditionalFormatting>
  <conditionalFormatting sqref="AD9">
    <cfRule type="containsText" dxfId="1586" priority="1490" operator="containsText" text="GP2">
      <formula>NOT(ISERROR(SEARCH("GP2",AD9)))</formula>
    </cfRule>
    <cfRule type="containsText" dxfId="1585" priority="1491" operator="containsText" text="GP1">
      <formula>NOT(ISERROR(SEARCH("GP1",AD9)))</formula>
    </cfRule>
  </conditionalFormatting>
  <conditionalFormatting sqref="AD9">
    <cfRule type="containsText" dxfId="1584" priority="1488" operator="containsText" text="GP2">
      <formula>NOT(ISERROR(SEARCH("GP2",AD9)))</formula>
    </cfRule>
    <cfRule type="containsText" dxfId="1583" priority="1489" operator="containsText" text="GP1">
      <formula>NOT(ISERROR(SEARCH("GP1",AD9)))</formula>
    </cfRule>
  </conditionalFormatting>
  <conditionalFormatting sqref="AD9">
    <cfRule type="containsText" dxfId="1582" priority="1486" operator="containsText" text="GP2">
      <formula>NOT(ISERROR(SEARCH("GP2",AD9)))</formula>
    </cfRule>
    <cfRule type="containsText" dxfId="1581" priority="1487" operator="containsText" text="GP1">
      <formula>NOT(ISERROR(SEARCH("GP1",AD9)))</formula>
    </cfRule>
  </conditionalFormatting>
  <conditionalFormatting sqref="AD9">
    <cfRule type="containsText" dxfId="1580" priority="1484" operator="containsText" text="GP2">
      <formula>NOT(ISERROR(SEARCH("GP2",AD9)))</formula>
    </cfRule>
    <cfRule type="containsText" dxfId="1579" priority="1485" operator="containsText" text="GP1">
      <formula>NOT(ISERROR(SEARCH("GP1",AD9)))</formula>
    </cfRule>
  </conditionalFormatting>
  <conditionalFormatting sqref="AD9">
    <cfRule type="containsText" dxfId="1578" priority="1482" operator="containsText" text="GP2">
      <formula>NOT(ISERROR(SEARCH("GP2",AD9)))</formula>
    </cfRule>
    <cfRule type="containsText" dxfId="1577" priority="1483" operator="containsText" text="GP1">
      <formula>NOT(ISERROR(SEARCH("GP1",AD9)))</formula>
    </cfRule>
  </conditionalFormatting>
  <conditionalFormatting sqref="AD9">
    <cfRule type="containsText" dxfId="1576" priority="1480" operator="containsText" text="GP2">
      <formula>NOT(ISERROR(SEARCH("GP2",AD9)))</formula>
    </cfRule>
    <cfRule type="containsText" dxfId="1575" priority="1481" operator="containsText" text="GP1">
      <formula>NOT(ISERROR(SEARCH("GP1",AD9)))</formula>
    </cfRule>
  </conditionalFormatting>
  <conditionalFormatting sqref="AD9">
    <cfRule type="containsText" dxfId="1574" priority="1478" operator="containsText" text="GP2">
      <formula>NOT(ISERROR(SEARCH("GP2",AD9)))</formula>
    </cfRule>
    <cfRule type="containsText" dxfId="1573" priority="1479" operator="containsText" text="GP1">
      <formula>NOT(ISERROR(SEARCH("GP1",AD9)))</formula>
    </cfRule>
  </conditionalFormatting>
  <conditionalFormatting sqref="AD9">
    <cfRule type="containsText" dxfId="1572" priority="1476" operator="containsText" text="GP2">
      <formula>NOT(ISERROR(SEARCH("GP2",AD9)))</formula>
    </cfRule>
    <cfRule type="containsText" dxfId="1571" priority="1477" operator="containsText" text="GP1">
      <formula>NOT(ISERROR(SEARCH("GP1",AD9)))</formula>
    </cfRule>
  </conditionalFormatting>
  <conditionalFormatting sqref="AD9">
    <cfRule type="containsText" dxfId="1570" priority="1474" operator="containsText" text="GP2">
      <formula>NOT(ISERROR(SEARCH("GP2",AD9)))</formula>
    </cfRule>
    <cfRule type="containsText" dxfId="1569" priority="1475" operator="containsText" text="GP1">
      <formula>NOT(ISERROR(SEARCH("GP1",AD9)))</formula>
    </cfRule>
  </conditionalFormatting>
  <conditionalFormatting sqref="AD9">
    <cfRule type="containsText" dxfId="1568" priority="1472" operator="containsText" text="GP2">
      <formula>NOT(ISERROR(SEARCH("GP2",AD9)))</formula>
    </cfRule>
    <cfRule type="containsText" dxfId="1567" priority="1473" operator="containsText" text="GP1">
      <formula>NOT(ISERROR(SEARCH("GP1",AD9)))</formula>
    </cfRule>
  </conditionalFormatting>
  <conditionalFormatting sqref="AD9">
    <cfRule type="containsText" dxfId="1566" priority="1470" operator="containsText" text="GP2">
      <formula>NOT(ISERROR(SEARCH("GP2",AD9)))</formula>
    </cfRule>
    <cfRule type="containsText" dxfId="1565" priority="1471" operator="containsText" text="GP1">
      <formula>NOT(ISERROR(SEARCH("GP1",AD9)))</formula>
    </cfRule>
  </conditionalFormatting>
  <conditionalFormatting sqref="AD9">
    <cfRule type="containsText" dxfId="1564" priority="1468" operator="containsText" text="GP2">
      <formula>NOT(ISERROR(SEARCH("GP2",AD9)))</formula>
    </cfRule>
    <cfRule type="containsText" dxfId="1563" priority="1469" operator="containsText" text="GP1">
      <formula>NOT(ISERROR(SEARCH("GP1",AD9)))</formula>
    </cfRule>
  </conditionalFormatting>
  <conditionalFormatting sqref="AD9">
    <cfRule type="containsText" dxfId="1562" priority="1466" operator="containsText" text="GP2">
      <formula>NOT(ISERROR(SEARCH("GP2",AD9)))</formula>
    </cfRule>
    <cfRule type="containsText" dxfId="1561" priority="1467" operator="containsText" text="GP1">
      <formula>NOT(ISERROR(SEARCH("GP1",AD9)))</formula>
    </cfRule>
  </conditionalFormatting>
  <conditionalFormatting sqref="AD9">
    <cfRule type="containsText" dxfId="1560" priority="1464" operator="containsText" text="GP2">
      <formula>NOT(ISERROR(SEARCH("GP2",AD9)))</formula>
    </cfRule>
    <cfRule type="containsText" dxfId="1559" priority="1465" operator="containsText" text="GP1">
      <formula>NOT(ISERROR(SEARCH("GP1",AD9)))</formula>
    </cfRule>
  </conditionalFormatting>
  <conditionalFormatting sqref="AD9">
    <cfRule type="containsText" dxfId="1558" priority="1462" operator="containsText" text="GP2">
      <formula>NOT(ISERROR(SEARCH("GP2",AD9)))</formula>
    </cfRule>
    <cfRule type="containsText" dxfId="1557" priority="1463" operator="containsText" text="GP1">
      <formula>NOT(ISERROR(SEARCH("GP1",AD9)))</formula>
    </cfRule>
  </conditionalFormatting>
  <conditionalFormatting sqref="AD9">
    <cfRule type="containsText" dxfId="1556" priority="1460" operator="containsText" text="GP2">
      <formula>NOT(ISERROR(SEARCH("GP2",AD9)))</formula>
    </cfRule>
    <cfRule type="containsText" dxfId="1555" priority="1461" operator="containsText" text="GP1">
      <formula>NOT(ISERROR(SEARCH("GP1",AD9)))</formula>
    </cfRule>
  </conditionalFormatting>
  <conditionalFormatting sqref="AD9">
    <cfRule type="containsText" dxfId="1554" priority="1458" operator="containsText" text="GP2">
      <formula>NOT(ISERROR(SEARCH("GP2",AD9)))</formula>
    </cfRule>
    <cfRule type="containsText" dxfId="1553" priority="1459" operator="containsText" text="GP1">
      <formula>NOT(ISERROR(SEARCH("GP1",AD9)))</formula>
    </cfRule>
  </conditionalFormatting>
  <conditionalFormatting sqref="AD9">
    <cfRule type="containsText" dxfId="1552" priority="1456" operator="containsText" text="GP2">
      <formula>NOT(ISERROR(SEARCH("GP2",AD9)))</formula>
    </cfRule>
    <cfRule type="containsText" dxfId="1551" priority="1457" operator="containsText" text="GP1">
      <formula>NOT(ISERROR(SEARCH("GP1",AD9)))</formula>
    </cfRule>
  </conditionalFormatting>
  <conditionalFormatting sqref="AD9">
    <cfRule type="containsText" dxfId="1550" priority="1454" operator="containsText" text="GP2">
      <formula>NOT(ISERROR(SEARCH("GP2",AD9)))</formula>
    </cfRule>
    <cfRule type="containsText" dxfId="1549" priority="1455" operator="containsText" text="GP1">
      <formula>NOT(ISERROR(SEARCH("GP1",AD9)))</formula>
    </cfRule>
  </conditionalFormatting>
  <conditionalFormatting sqref="AD9">
    <cfRule type="containsText" dxfId="1548" priority="1452" operator="containsText" text="GP2">
      <formula>NOT(ISERROR(SEARCH("GP2",AD9)))</formula>
    </cfRule>
    <cfRule type="containsText" dxfId="1547" priority="1453" operator="containsText" text="GP1">
      <formula>NOT(ISERROR(SEARCH("GP1",AD9)))</formula>
    </cfRule>
  </conditionalFormatting>
  <conditionalFormatting sqref="AD9">
    <cfRule type="containsText" dxfId="1546" priority="1450" operator="containsText" text="GP2">
      <formula>NOT(ISERROR(SEARCH("GP2",AD9)))</formula>
    </cfRule>
    <cfRule type="containsText" dxfId="1545" priority="1451" operator="containsText" text="GP1">
      <formula>NOT(ISERROR(SEARCH("GP1",AD9)))</formula>
    </cfRule>
  </conditionalFormatting>
  <conditionalFormatting sqref="AD9">
    <cfRule type="containsText" dxfId="1544" priority="1448" operator="containsText" text="GP2">
      <formula>NOT(ISERROR(SEARCH("GP2",AD9)))</formula>
    </cfRule>
    <cfRule type="containsText" dxfId="1543" priority="1449" operator="containsText" text="GP1">
      <formula>NOT(ISERROR(SEARCH("GP1",AD9)))</formula>
    </cfRule>
  </conditionalFormatting>
  <conditionalFormatting sqref="AD9">
    <cfRule type="containsText" dxfId="1542" priority="1446" operator="containsText" text="GP2">
      <formula>NOT(ISERROR(SEARCH("GP2",AD9)))</formula>
    </cfRule>
    <cfRule type="containsText" dxfId="1541" priority="1447" operator="containsText" text="GP1">
      <formula>NOT(ISERROR(SEARCH("GP1",AD9)))</formula>
    </cfRule>
  </conditionalFormatting>
  <conditionalFormatting sqref="AD9">
    <cfRule type="containsText" dxfId="1540" priority="1444" operator="containsText" text="GP2">
      <formula>NOT(ISERROR(SEARCH("GP2",AD9)))</formula>
    </cfRule>
    <cfRule type="containsText" dxfId="1539" priority="1445" operator="containsText" text="GP1">
      <formula>NOT(ISERROR(SEARCH("GP1",AD9)))</formula>
    </cfRule>
  </conditionalFormatting>
  <conditionalFormatting sqref="AD9">
    <cfRule type="containsText" dxfId="1538" priority="1442" operator="containsText" text="GP2">
      <formula>NOT(ISERROR(SEARCH("GP2",AD9)))</formula>
    </cfRule>
    <cfRule type="containsText" dxfId="1537" priority="1443" operator="containsText" text="GP1">
      <formula>NOT(ISERROR(SEARCH("GP1",AD9)))</formula>
    </cfRule>
  </conditionalFormatting>
  <conditionalFormatting sqref="AD9">
    <cfRule type="containsText" dxfId="1536" priority="1440" operator="containsText" text="GP2">
      <formula>NOT(ISERROR(SEARCH("GP2",AD9)))</formula>
    </cfRule>
    <cfRule type="containsText" dxfId="1535" priority="1441" operator="containsText" text="GP1">
      <formula>NOT(ISERROR(SEARCH("GP1",AD9)))</formula>
    </cfRule>
  </conditionalFormatting>
  <conditionalFormatting sqref="AD9">
    <cfRule type="containsText" dxfId="1534" priority="1438" operator="containsText" text="GP2">
      <formula>NOT(ISERROR(SEARCH("GP2",AD9)))</formula>
    </cfRule>
    <cfRule type="containsText" dxfId="1533" priority="1439" operator="containsText" text="GP1">
      <formula>NOT(ISERROR(SEARCH("GP1",AD9)))</formula>
    </cfRule>
  </conditionalFormatting>
  <conditionalFormatting sqref="AD9">
    <cfRule type="containsText" dxfId="1532" priority="1436" operator="containsText" text="GP2">
      <formula>NOT(ISERROR(SEARCH("GP2",AD9)))</formula>
    </cfRule>
    <cfRule type="containsText" dxfId="1531" priority="1437" operator="containsText" text="GP1">
      <formula>NOT(ISERROR(SEARCH("GP1",AD9)))</formula>
    </cfRule>
  </conditionalFormatting>
  <conditionalFormatting sqref="AD9">
    <cfRule type="containsText" dxfId="1530" priority="1434" operator="containsText" text="GP2">
      <formula>NOT(ISERROR(SEARCH("GP2",AD9)))</formula>
    </cfRule>
    <cfRule type="containsText" dxfId="1529" priority="1435" operator="containsText" text="GP1">
      <formula>NOT(ISERROR(SEARCH("GP1",AD9)))</formula>
    </cfRule>
  </conditionalFormatting>
  <conditionalFormatting sqref="AD9">
    <cfRule type="containsText" dxfId="1528" priority="1432" operator="containsText" text="GP2">
      <formula>NOT(ISERROR(SEARCH("GP2",AD9)))</formula>
    </cfRule>
    <cfRule type="containsText" dxfId="1527" priority="1433" operator="containsText" text="GP1">
      <formula>NOT(ISERROR(SEARCH("GP1",AD9)))</formula>
    </cfRule>
  </conditionalFormatting>
  <conditionalFormatting sqref="AD9">
    <cfRule type="containsText" dxfId="1526" priority="1430" operator="containsText" text="GP2">
      <formula>NOT(ISERROR(SEARCH("GP2",AD9)))</formula>
    </cfRule>
    <cfRule type="containsText" dxfId="1525" priority="1431" operator="containsText" text="GP1">
      <formula>NOT(ISERROR(SEARCH("GP1",AD9)))</formula>
    </cfRule>
  </conditionalFormatting>
  <conditionalFormatting sqref="AD9">
    <cfRule type="containsText" dxfId="1524" priority="1428" operator="containsText" text="GP2">
      <formula>NOT(ISERROR(SEARCH("GP2",AD9)))</formula>
    </cfRule>
    <cfRule type="containsText" dxfId="1523" priority="1429" operator="containsText" text="GP1">
      <formula>NOT(ISERROR(SEARCH("GP1",AD9)))</formula>
    </cfRule>
  </conditionalFormatting>
  <conditionalFormatting sqref="AD9">
    <cfRule type="containsText" dxfId="1522" priority="1426" operator="containsText" text="GP2">
      <formula>NOT(ISERROR(SEARCH("GP2",AD9)))</formula>
    </cfRule>
    <cfRule type="containsText" dxfId="1521" priority="1427" operator="containsText" text="GP1">
      <formula>NOT(ISERROR(SEARCH("GP1",AD9)))</formula>
    </cfRule>
  </conditionalFormatting>
  <conditionalFormatting sqref="AD9">
    <cfRule type="containsText" dxfId="1520" priority="1424" operator="containsText" text="GP2">
      <formula>NOT(ISERROR(SEARCH("GP2",AD9)))</formula>
    </cfRule>
    <cfRule type="containsText" dxfId="1519" priority="1425" operator="containsText" text="GP1">
      <formula>NOT(ISERROR(SEARCH("GP1",AD9)))</formula>
    </cfRule>
  </conditionalFormatting>
  <conditionalFormatting sqref="AD9">
    <cfRule type="containsText" dxfId="1518" priority="1422" operator="containsText" text="GP2">
      <formula>NOT(ISERROR(SEARCH("GP2",AD9)))</formula>
    </cfRule>
    <cfRule type="containsText" dxfId="1517" priority="1423" operator="containsText" text="GP1">
      <formula>NOT(ISERROR(SEARCH("GP1",AD9)))</formula>
    </cfRule>
  </conditionalFormatting>
  <conditionalFormatting sqref="AD9">
    <cfRule type="containsText" dxfId="1516" priority="1420" operator="containsText" text="GP2">
      <formula>NOT(ISERROR(SEARCH("GP2",AD9)))</formula>
    </cfRule>
    <cfRule type="containsText" dxfId="1515" priority="1421" operator="containsText" text="GP1">
      <formula>NOT(ISERROR(SEARCH("GP1",AD9)))</formula>
    </cfRule>
  </conditionalFormatting>
  <conditionalFormatting sqref="AD9">
    <cfRule type="containsText" dxfId="1514" priority="1418" operator="containsText" text="GP2">
      <formula>NOT(ISERROR(SEARCH("GP2",AD9)))</formula>
    </cfRule>
    <cfRule type="containsText" dxfId="1513" priority="1419" operator="containsText" text="GP1">
      <formula>NOT(ISERROR(SEARCH("GP1",AD9)))</formula>
    </cfRule>
  </conditionalFormatting>
  <conditionalFormatting sqref="AD9">
    <cfRule type="containsText" dxfId="1512" priority="1416" operator="containsText" text="GP2">
      <formula>NOT(ISERROR(SEARCH("GP2",AD9)))</formula>
    </cfRule>
    <cfRule type="containsText" dxfId="1511" priority="1417" operator="containsText" text="GP1">
      <formula>NOT(ISERROR(SEARCH("GP1",AD9)))</formula>
    </cfRule>
  </conditionalFormatting>
  <conditionalFormatting sqref="AD9">
    <cfRule type="containsText" dxfId="1510" priority="1414" operator="containsText" text="GP2">
      <formula>NOT(ISERROR(SEARCH("GP2",AD9)))</formula>
    </cfRule>
    <cfRule type="containsText" dxfId="1509" priority="1415" operator="containsText" text="GP1">
      <formula>NOT(ISERROR(SEARCH("GP1",AD9)))</formula>
    </cfRule>
  </conditionalFormatting>
  <conditionalFormatting sqref="AD9">
    <cfRule type="containsText" dxfId="1508" priority="1412" operator="containsText" text="GP2">
      <formula>NOT(ISERROR(SEARCH("GP2",AD9)))</formula>
    </cfRule>
    <cfRule type="containsText" dxfId="1507" priority="1413" operator="containsText" text="GP1">
      <formula>NOT(ISERROR(SEARCH("GP1",AD9)))</formula>
    </cfRule>
  </conditionalFormatting>
  <conditionalFormatting sqref="AD9">
    <cfRule type="containsText" dxfId="1506" priority="1410" operator="containsText" text="GP2">
      <formula>NOT(ISERROR(SEARCH("GP2",AD9)))</formula>
    </cfRule>
    <cfRule type="containsText" dxfId="1505" priority="1411" operator="containsText" text="GP1">
      <formula>NOT(ISERROR(SEARCH("GP1",AD9)))</formula>
    </cfRule>
  </conditionalFormatting>
  <conditionalFormatting sqref="AD9">
    <cfRule type="containsText" dxfId="1504" priority="1408" operator="containsText" text="GP2">
      <formula>NOT(ISERROR(SEARCH("GP2",AD9)))</formula>
    </cfRule>
    <cfRule type="containsText" dxfId="1503" priority="1409" operator="containsText" text="GP1">
      <formula>NOT(ISERROR(SEARCH("GP1",AD9)))</formula>
    </cfRule>
  </conditionalFormatting>
  <conditionalFormatting sqref="AD9">
    <cfRule type="containsText" dxfId="1502" priority="1406" operator="containsText" text="GP2">
      <formula>NOT(ISERROR(SEARCH("GP2",AD9)))</formula>
    </cfRule>
    <cfRule type="containsText" dxfId="1501" priority="1407" operator="containsText" text="GP1">
      <formula>NOT(ISERROR(SEARCH("GP1",AD9)))</formula>
    </cfRule>
  </conditionalFormatting>
  <conditionalFormatting sqref="AD9">
    <cfRule type="containsText" dxfId="1500" priority="1404" operator="containsText" text="GP2">
      <formula>NOT(ISERROR(SEARCH("GP2",AD9)))</formula>
    </cfRule>
    <cfRule type="containsText" dxfId="1499" priority="1405" operator="containsText" text="GP1">
      <formula>NOT(ISERROR(SEARCH("GP1",AD9)))</formula>
    </cfRule>
  </conditionalFormatting>
  <conditionalFormatting sqref="AD9">
    <cfRule type="containsText" dxfId="1498" priority="1402" operator="containsText" text="GP2">
      <formula>NOT(ISERROR(SEARCH("GP2",AD9)))</formula>
    </cfRule>
    <cfRule type="containsText" dxfId="1497" priority="1403" operator="containsText" text="GP1">
      <formula>NOT(ISERROR(SEARCH("GP1",AD9)))</formula>
    </cfRule>
  </conditionalFormatting>
  <conditionalFormatting sqref="AD9">
    <cfRule type="containsText" dxfId="1496" priority="1400" operator="containsText" text="GP2">
      <formula>NOT(ISERROR(SEARCH("GP2",AD9)))</formula>
    </cfRule>
    <cfRule type="containsText" dxfId="1495" priority="1401" operator="containsText" text="GP1">
      <formula>NOT(ISERROR(SEARCH("GP1",AD9)))</formula>
    </cfRule>
  </conditionalFormatting>
  <conditionalFormatting sqref="AD9">
    <cfRule type="containsText" dxfId="1494" priority="1398" operator="containsText" text="GP2">
      <formula>NOT(ISERROR(SEARCH("GP2",AD9)))</formula>
    </cfRule>
    <cfRule type="containsText" dxfId="1493" priority="1399" operator="containsText" text="GP1">
      <formula>NOT(ISERROR(SEARCH("GP1",AD9)))</formula>
    </cfRule>
  </conditionalFormatting>
  <conditionalFormatting sqref="AD9">
    <cfRule type="containsText" dxfId="1492" priority="1396" operator="containsText" text="GP2">
      <formula>NOT(ISERROR(SEARCH("GP2",AD9)))</formula>
    </cfRule>
    <cfRule type="containsText" dxfId="1491" priority="1397" operator="containsText" text="GP1">
      <formula>NOT(ISERROR(SEARCH("GP1",AD9)))</formula>
    </cfRule>
  </conditionalFormatting>
  <conditionalFormatting sqref="AD9">
    <cfRule type="containsText" dxfId="1490" priority="1394" operator="containsText" text="GP2">
      <formula>NOT(ISERROR(SEARCH("GP2",AD9)))</formula>
    </cfRule>
    <cfRule type="containsText" dxfId="1489" priority="1395" operator="containsText" text="GP1">
      <formula>NOT(ISERROR(SEARCH("GP1",AD9)))</formula>
    </cfRule>
  </conditionalFormatting>
  <conditionalFormatting sqref="AD9">
    <cfRule type="containsText" dxfId="1488" priority="1392" operator="containsText" text="GP2">
      <formula>NOT(ISERROR(SEARCH("GP2",AD9)))</formula>
    </cfRule>
    <cfRule type="containsText" dxfId="1487" priority="1393" operator="containsText" text="GP1">
      <formula>NOT(ISERROR(SEARCH("GP1",AD9)))</formula>
    </cfRule>
  </conditionalFormatting>
  <conditionalFormatting sqref="AD9">
    <cfRule type="containsText" dxfId="1486" priority="1390" operator="containsText" text="GP2">
      <formula>NOT(ISERROR(SEARCH("GP2",AD9)))</formula>
    </cfRule>
    <cfRule type="containsText" dxfId="1485" priority="1391" operator="containsText" text="GP1">
      <formula>NOT(ISERROR(SEARCH("GP1",AD9)))</formula>
    </cfRule>
  </conditionalFormatting>
  <conditionalFormatting sqref="AD9">
    <cfRule type="containsText" dxfId="1484" priority="1388" operator="containsText" text="GP2">
      <formula>NOT(ISERROR(SEARCH("GP2",AD9)))</formula>
    </cfRule>
    <cfRule type="containsText" dxfId="1483" priority="1389" operator="containsText" text="GP1">
      <formula>NOT(ISERROR(SEARCH("GP1",AD9)))</formula>
    </cfRule>
  </conditionalFormatting>
  <conditionalFormatting sqref="AD9">
    <cfRule type="containsText" dxfId="1482" priority="1386" operator="containsText" text="GP2">
      <formula>NOT(ISERROR(SEARCH("GP2",AD9)))</formula>
    </cfRule>
    <cfRule type="containsText" dxfId="1481" priority="1387" operator="containsText" text="GP1">
      <formula>NOT(ISERROR(SEARCH("GP1",AD9)))</formula>
    </cfRule>
  </conditionalFormatting>
  <conditionalFormatting sqref="AD9">
    <cfRule type="containsText" dxfId="1480" priority="1384" operator="containsText" text="GP2">
      <formula>NOT(ISERROR(SEARCH("GP2",AD9)))</formula>
    </cfRule>
    <cfRule type="containsText" dxfId="1479" priority="1385" operator="containsText" text="GP1">
      <formula>NOT(ISERROR(SEARCH("GP1",AD9)))</formula>
    </cfRule>
  </conditionalFormatting>
  <conditionalFormatting sqref="AD9">
    <cfRule type="containsText" dxfId="1478" priority="1382" operator="containsText" text="GP2">
      <formula>NOT(ISERROR(SEARCH("GP2",AD9)))</formula>
    </cfRule>
    <cfRule type="containsText" dxfId="1477" priority="1383" operator="containsText" text="GP1">
      <formula>NOT(ISERROR(SEARCH("GP1",AD9)))</formula>
    </cfRule>
  </conditionalFormatting>
  <conditionalFormatting sqref="AD9">
    <cfRule type="containsText" dxfId="1476" priority="1380" operator="containsText" text="GP2">
      <formula>NOT(ISERROR(SEARCH("GP2",AD9)))</formula>
    </cfRule>
    <cfRule type="containsText" dxfId="1475" priority="1381" operator="containsText" text="GP1">
      <formula>NOT(ISERROR(SEARCH("GP1",AD9)))</formula>
    </cfRule>
  </conditionalFormatting>
  <conditionalFormatting sqref="AD9">
    <cfRule type="containsText" dxfId="1474" priority="1378" operator="containsText" text="GP2">
      <formula>NOT(ISERROR(SEARCH("GP2",AD9)))</formula>
    </cfRule>
    <cfRule type="containsText" dxfId="1473" priority="1379" operator="containsText" text="GP1">
      <formula>NOT(ISERROR(SEARCH("GP1",AD9)))</formula>
    </cfRule>
  </conditionalFormatting>
  <conditionalFormatting sqref="AD9">
    <cfRule type="containsText" dxfId="1472" priority="1376" operator="containsText" text="GP2">
      <formula>NOT(ISERROR(SEARCH("GP2",AD9)))</formula>
    </cfRule>
    <cfRule type="containsText" dxfId="1471" priority="1377" operator="containsText" text="GP1">
      <formula>NOT(ISERROR(SEARCH("GP1",AD9)))</formula>
    </cfRule>
  </conditionalFormatting>
  <conditionalFormatting sqref="AD9">
    <cfRule type="containsText" dxfId="1470" priority="1374" operator="containsText" text="GP2">
      <formula>NOT(ISERROR(SEARCH("GP2",AD9)))</formula>
    </cfRule>
    <cfRule type="containsText" dxfId="1469" priority="1375" operator="containsText" text="GP1">
      <formula>NOT(ISERROR(SEARCH("GP1",AD9)))</formula>
    </cfRule>
  </conditionalFormatting>
  <conditionalFormatting sqref="AD9">
    <cfRule type="containsText" dxfId="1468" priority="1372" operator="containsText" text="GP2">
      <formula>NOT(ISERROR(SEARCH("GP2",AD9)))</formula>
    </cfRule>
    <cfRule type="containsText" dxfId="1467" priority="1373" operator="containsText" text="GP1">
      <formula>NOT(ISERROR(SEARCH("GP1",AD9)))</formula>
    </cfRule>
  </conditionalFormatting>
  <conditionalFormatting sqref="AD9">
    <cfRule type="containsText" dxfId="1466" priority="1370" operator="containsText" text="GP2">
      <formula>NOT(ISERROR(SEARCH("GP2",AD9)))</formula>
    </cfRule>
    <cfRule type="containsText" dxfId="1465" priority="1371" operator="containsText" text="GP1">
      <formula>NOT(ISERROR(SEARCH("GP1",AD9)))</formula>
    </cfRule>
  </conditionalFormatting>
  <conditionalFormatting sqref="AD9">
    <cfRule type="containsText" dxfId="1464" priority="1368" operator="containsText" text="GP2">
      <formula>NOT(ISERROR(SEARCH("GP2",AD9)))</formula>
    </cfRule>
    <cfRule type="containsText" dxfId="1463" priority="1369" operator="containsText" text="GP1">
      <formula>NOT(ISERROR(SEARCH("GP1",AD9)))</formula>
    </cfRule>
  </conditionalFormatting>
  <conditionalFormatting sqref="AD9">
    <cfRule type="containsText" dxfId="1462" priority="1366" operator="containsText" text="GP2">
      <formula>NOT(ISERROR(SEARCH("GP2",AD9)))</formula>
    </cfRule>
    <cfRule type="containsText" dxfId="1461" priority="1367" operator="containsText" text="GP1">
      <formula>NOT(ISERROR(SEARCH("GP1",AD9)))</formula>
    </cfRule>
  </conditionalFormatting>
  <conditionalFormatting sqref="AD9">
    <cfRule type="containsText" dxfId="1460" priority="1364" operator="containsText" text="GP2">
      <formula>NOT(ISERROR(SEARCH("GP2",AD9)))</formula>
    </cfRule>
    <cfRule type="containsText" dxfId="1459" priority="1365" operator="containsText" text="GP1">
      <formula>NOT(ISERROR(SEARCH("GP1",AD9)))</formula>
    </cfRule>
  </conditionalFormatting>
  <conditionalFormatting sqref="AD9">
    <cfRule type="containsText" dxfId="1458" priority="1362" operator="containsText" text="GP2">
      <formula>NOT(ISERROR(SEARCH("GP2",AD9)))</formula>
    </cfRule>
    <cfRule type="containsText" dxfId="1457" priority="1363" operator="containsText" text="GP1">
      <formula>NOT(ISERROR(SEARCH("GP1",AD9)))</formula>
    </cfRule>
  </conditionalFormatting>
  <conditionalFormatting sqref="AD9">
    <cfRule type="containsText" dxfId="1456" priority="1360" operator="containsText" text="GP2">
      <formula>NOT(ISERROR(SEARCH("GP2",AD9)))</formula>
    </cfRule>
    <cfRule type="containsText" dxfId="1455" priority="1361" operator="containsText" text="GP1">
      <formula>NOT(ISERROR(SEARCH("GP1",AD9)))</formula>
    </cfRule>
  </conditionalFormatting>
  <conditionalFormatting sqref="AD9">
    <cfRule type="containsText" dxfId="1454" priority="1358" operator="containsText" text="GP2">
      <formula>NOT(ISERROR(SEARCH("GP2",AD9)))</formula>
    </cfRule>
    <cfRule type="containsText" dxfId="1453" priority="1359" operator="containsText" text="GP1">
      <formula>NOT(ISERROR(SEARCH("GP1",AD9)))</formula>
    </cfRule>
  </conditionalFormatting>
  <conditionalFormatting sqref="AD9">
    <cfRule type="containsText" dxfId="1452" priority="1356" operator="containsText" text="GP2">
      <formula>NOT(ISERROR(SEARCH("GP2",AD9)))</formula>
    </cfRule>
    <cfRule type="containsText" dxfId="1451" priority="1357" operator="containsText" text="GP1">
      <formula>NOT(ISERROR(SEARCH("GP1",AD9)))</formula>
    </cfRule>
  </conditionalFormatting>
  <conditionalFormatting sqref="AD9">
    <cfRule type="containsText" dxfId="1450" priority="1354" operator="containsText" text="GP2">
      <formula>NOT(ISERROR(SEARCH("GP2",AD9)))</formula>
    </cfRule>
    <cfRule type="containsText" dxfId="1449" priority="1355" operator="containsText" text="GP1">
      <formula>NOT(ISERROR(SEARCH("GP1",AD9)))</formula>
    </cfRule>
  </conditionalFormatting>
  <conditionalFormatting sqref="AD9">
    <cfRule type="containsText" dxfId="1448" priority="1352" operator="containsText" text="GP2">
      <formula>NOT(ISERROR(SEARCH("GP2",AD9)))</formula>
    </cfRule>
    <cfRule type="containsText" dxfId="1447" priority="1353" operator="containsText" text="GP1">
      <formula>NOT(ISERROR(SEARCH("GP1",AD9)))</formula>
    </cfRule>
  </conditionalFormatting>
  <conditionalFormatting sqref="AD9">
    <cfRule type="containsText" dxfId="1446" priority="1350" operator="containsText" text="GP2">
      <formula>NOT(ISERROR(SEARCH("GP2",AD9)))</formula>
    </cfRule>
    <cfRule type="containsText" dxfId="1445" priority="1351" operator="containsText" text="GP1">
      <formula>NOT(ISERROR(SEARCH("GP1",AD9)))</formula>
    </cfRule>
  </conditionalFormatting>
  <conditionalFormatting sqref="AD9">
    <cfRule type="containsText" dxfId="1444" priority="1348" operator="containsText" text="GP2">
      <formula>NOT(ISERROR(SEARCH("GP2",AD9)))</formula>
    </cfRule>
    <cfRule type="containsText" dxfId="1443" priority="1349" operator="containsText" text="GP1">
      <formula>NOT(ISERROR(SEARCH("GP1",AD9)))</formula>
    </cfRule>
  </conditionalFormatting>
  <conditionalFormatting sqref="AD9">
    <cfRule type="containsText" dxfId="1442" priority="1346" operator="containsText" text="GP2">
      <formula>NOT(ISERROR(SEARCH("GP2",AD9)))</formula>
    </cfRule>
    <cfRule type="containsText" dxfId="1441" priority="1347" operator="containsText" text="GP1">
      <formula>NOT(ISERROR(SEARCH("GP1",AD9)))</formula>
    </cfRule>
  </conditionalFormatting>
  <conditionalFormatting sqref="AD9">
    <cfRule type="containsText" dxfId="1440" priority="1344" operator="containsText" text="GP2">
      <formula>NOT(ISERROR(SEARCH("GP2",AD9)))</formula>
    </cfRule>
    <cfRule type="containsText" dxfId="1439" priority="1345" operator="containsText" text="GP1">
      <formula>NOT(ISERROR(SEARCH("GP1",AD9)))</formula>
    </cfRule>
  </conditionalFormatting>
  <conditionalFormatting sqref="AD9">
    <cfRule type="containsText" dxfId="1438" priority="1342" operator="containsText" text="GP2">
      <formula>NOT(ISERROR(SEARCH("GP2",AD9)))</formula>
    </cfRule>
    <cfRule type="containsText" dxfId="1437" priority="1343" operator="containsText" text="GP1">
      <formula>NOT(ISERROR(SEARCH("GP1",AD9)))</formula>
    </cfRule>
  </conditionalFormatting>
  <conditionalFormatting sqref="AD9">
    <cfRule type="containsText" dxfId="1436" priority="1340" operator="containsText" text="GP2">
      <formula>NOT(ISERROR(SEARCH("GP2",AD9)))</formula>
    </cfRule>
    <cfRule type="containsText" dxfId="1435" priority="1341" operator="containsText" text="GP1">
      <formula>NOT(ISERROR(SEARCH("GP1",AD9)))</formula>
    </cfRule>
  </conditionalFormatting>
  <conditionalFormatting sqref="AD9">
    <cfRule type="containsText" dxfId="1434" priority="1338" operator="containsText" text="GP2">
      <formula>NOT(ISERROR(SEARCH("GP2",AD9)))</formula>
    </cfRule>
    <cfRule type="containsText" dxfId="1433" priority="1339" operator="containsText" text="GP1">
      <formula>NOT(ISERROR(SEARCH("GP1",AD9)))</formula>
    </cfRule>
  </conditionalFormatting>
  <conditionalFormatting sqref="AD9">
    <cfRule type="containsText" dxfId="1432" priority="1336" operator="containsText" text="GP2">
      <formula>NOT(ISERROR(SEARCH("GP2",AD9)))</formula>
    </cfRule>
    <cfRule type="containsText" dxfId="1431" priority="1337" operator="containsText" text="GP1">
      <formula>NOT(ISERROR(SEARCH("GP1",AD9)))</formula>
    </cfRule>
  </conditionalFormatting>
  <conditionalFormatting sqref="AD9">
    <cfRule type="containsText" dxfId="1430" priority="1334" operator="containsText" text="GP2">
      <formula>NOT(ISERROR(SEARCH("GP2",AD9)))</formula>
    </cfRule>
    <cfRule type="containsText" dxfId="1429" priority="1335" operator="containsText" text="GP1">
      <formula>NOT(ISERROR(SEARCH("GP1",AD9)))</formula>
    </cfRule>
  </conditionalFormatting>
  <conditionalFormatting sqref="AD9">
    <cfRule type="containsText" dxfId="1428" priority="1332" operator="containsText" text="GP2">
      <formula>NOT(ISERROR(SEARCH("GP2",AD9)))</formula>
    </cfRule>
    <cfRule type="containsText" dxfId="1427" priority="1333" operator="containsText" text="GP1">
      <formula>NOT(ISERROR(SEARCH("GP1",AD9)))</formula>
    </cfRule>
  </conditionalFormatting>
  <conditionalFormatting sqref="AD9">
    <cfRule type="containsText" dxfId="1426" priority="1330" operator="containsText" text="GP2">
      <formula>NOT(ISERROR(SEARCH("GP2",AD9)))</formula>
    </cfRule>
    <cfRule type="containsText" dxfId="1425" priority="1331" operator="containsText" text="GP1">
      <formula>NOT(ISERROR(SEARCH("GP1",AD9)))</formula>
    </cfRule>
  </conditionalFormatting>
  <conditionalFormatting sqref="AD9">
    <cfRule type="containsText" dxfId="1424" priority="1328" operator="containsText" text="GP2">
      <formula>NOT(ISERROR(SEARCH("GP2",AD9)))</formula>
    </cfRule>
    <cfRule type="containsText" dxfId="1423" priority="1329" operator="containsText" text="GP1">
      <formula>NOT(ISERROR(SEARCH("GP1",AD9)))</formula>
    </cfRule>
  </conditionalFormatting>
  <conditionalFormatting sqref="AD9">
    <cfRule type="containsText" dxfId="1422" priority="1326" operator="containsText" text="GP2">
      <formula>NOT(ISERROR(SEARCH("GP2",AD9)))</formula>
    </cfRule>
    <cfRule type="containsText" dxfId="1421" priority="1327" operator="containsText" text="GP1">
      <formula>NOT(ISERROR(SEARCH("GP1",AD9)))</formula>
    </cfRule>
  </conditionalFormatting>
  <conditionalFormatting sqref="AD9">
    <cfRule type="containsText" dxfId="1420" priority="1324" operator="containsText" text="GP2">
      <formula>NOT(ISERROR(SEARCH("GP2",AD9)))</formula>
    </cfRule>
    <cfRule type="containsText" dxfId="1419" priority="1325" operator="containsText" text="GP1">
      <formula>NOT(ISERROR(SEARCH("GP1",AD9)))</formula>
    </cfRule>
  </conditionalFormatting>
  <conditionalFormatting sqref="AD9">
    <cfRule type="containsText" dxfId="1418" priority="1322" operator="containsText" text="GP2">
      <formula>NOT(ISERROR(SEARCH("GP2",AD9)))</formula>
    </cfRule>
    <cfRule type="containsText" dxfId="1417" priority="1323" operator="containsText" text="GP1">
      <formula>NOT(ISERROR(SEARCH("GP1",AD9)))</formula>
    </cfRule>
  </conditionalFormatting>
  <conditionalFormatting sqref="AD9">
    <cfRule type="containsText" dxfId="1416" priority="1320" operator="containsText" text="GP2">
      <formula>NOT(ISERROR(SEARCH("GP2",AD9)))</formula>
    </cfRule>
    <cfRule type="containsText" dxfId="1415" priority="1321" operator="containsText" text="GP1">
      <formula>NOT(ISERROR(SEARCH("GP1",AD9)))</formula>
    </cfRule>
  </conditionalFormatting>
  <conditionalFormatting sqref="AD9">
    <cfRule type="containsText" dxfId="1414" priority="1318" operator="containsText" text="GP2">
      <formula>NOT(ISERROR(SEARCH("GP2",AD9)))</formula>
    </cfRule>
    <cfRule type="containsText" dxfId="1413" priority="1319" operator="containsText" text="GP1">
      <formula>NOT(ISERROR(SEARCH("GP1",AD9)))</formula>
    </cfRule>
  </conditionalFormatting>
  <conditionalFormatting sqref="AD9">
    <cfRule type="containsText" dxfId="1412" priority="1316" operator="containsText" text="GP2">
      <formula>NOT(ISERROR(SEARCH("GP2",AD9)))</formula>
    </cfRule>
    <cfRule type="containsText" dxfId="1411" priority="1317" operator="containsText" text="GP1">
      <formula>NOT(ISERROR(SEARCH("GP1",AD9)))</formula>
    </cfRule>
  </conditionalFormatting>
  <conditionalFormatting sqref="AD9">
    <cfRule type="containsText" dxfId="1410" priority="1314" operator="containsText" text="GP2">
      <formula>NOT(ISERROR(SEARCH("GP2",AD9)))</formula>
    </cfRule>
    <cfRule type="containsText" dxfId="1409" priority="1315" operator="containsText" text="GP1">
      <formula>NOT(ISERROR(SEARCH("GP1",AD9)))</formula>
    </cfRule>
  </conditionalFormatting>
  <conditionalFormatting sqref="AD9">
    <cfRule type="containsText" dxfId="1408" priority="1312" operator="containsText" text="GP2">
      <formula>NOT(ISERROR(SEARCH("GP2",AD9)))</formula>
    </cfRule>
    <cfRule type="containsText" dxfId="1407" priority="1313" operator="containsText" text="GP1">
      <formula>NOT(ISERROR(SEARCH("GP1",AD9)))</formula>
    </cfRule>
  </conditionalFormatting>
  <conditionalFormatting sqref="AD9">
    <cfRule type="containsText" dxfId="1406" priority="1310" operator="containsText" text="GP2">
      <formula>NOT(ISERROR(SEARCH("GP2",AD9)))</formula>
    </cfRule>
    <cfRule type="containsText" dxfId="1405" priority="1311" operator="containsText" text="GP1">
      <formula>NOT(ISERROR(SEARCH("GP1",AD9)))</formula>
    </cfRule>
  </conditionalFormatting>
  <conditionalFormatting sqref="AD9">
    <cfRule type="containsText" dxfId="1404" priority="1308" operator="containsText" text="GP2">
      <formula>NOT(ISERROR(SEARCH("GP2",AD9)))</formula>
    </cfRule>
    <cfRule type="containsText" dxfId="1403" priority="1309" operator="containsText" text="GP1">
      <formula>NOT(ISERROR(SEARCH("GP1",AD9)))</formula>
    </cfRule>
  </conditionalFormatting>
  <conditionalFormatting sqref="AD9">
    <cfRule type="containsText" dxfId="1402" priority="1306" operator="containsText" text="GP2">
      <formula>NOT(ISERROR(SEARCH("GP2",AD9)))</formula>
    </cfRule>
    <cfRule type="containsText" dxfId="1401" priority="1307" operator="containsText" text="GP1">
      <formula>NOT(ISERROR(SEARCH("GP1",AD9)))</formula>
    </cfRule>
  </conditionalFormatting>
  <conditionalFormatting sqref="AD9">
    <cfRule type="containsText" dxfId="1400" priority="1304" operator="containsText" text="GP2">
      <formula>NOT(ISERROR(SEARCH("GP2",AD9)))</formula>
    </cfRule>
    <cfRule type="containsText" dxfId="1399" priority="1305" operator="containsText" text="GP1">
      <formula>NOT(ISERROR(SEARCH("GP1",AD9)))</formula>
    </cfRule>
  </conditionalFormatting>
  <conditionalFormatting sqref="AD9">
    <cfRule type="containsText" dxfId="1398" priority="1302" operator="containsText" text="GP2">
      <formula>NOT(ISERROR(SEARCH("GP2",AD9)))</formula>
    </cfRule>
    <cfRule type="containsText" dxfId="1397" priority="1303" operator="containsText" text="GP1">
      <formula>NOT(ISERROR(SEARCH("GP1",AD9)))</formula>
    </cfRule>
  </conditionalFormatting>
  <conditionalFormatting sqref="AD9">
    <cfRule type="containsText" dxfId="1396" priority="1300" operator="containsText" text="GP2">
      <formula>NOT(ISERROR(SEARCH("GP2",AD9)))</formula>
    </cfRule>
    <cfRule type="containsText" dxfId="1395" priority="1301" operator="containsText" text="GP1">
      <formula>NOT(ISERROR(SEARCH("GP1",AD9)))</formula>
    </cfRule>
  </conditionalFormatting>
  <conditionalFormatting sqref="AD9">
    <cfRule type="containsText" dxfId="1394" priority="1298" operator="containsText" text="GP2">
      <formula>NOT(ISERROR(SEARCH("GP2",AD9)))</formula>
    </cfRule>
    <cfRule type="containsText" dxfId="1393" priority="1299" operator="containsText" text="GP1">
      <formula>NOT(ISERROR(SEARCH("GP1",AD9)))</formula>
    </cfRule>
  </conditionalFormatting>
  <conditionalFormatting sqref="AD9">
    <cfRule type="containsText" dxfId="1392" priority="1296" operator="containsText" text="GP2">
      <formula>NOT(ISERROR(SEARCH("GP2",AD9)))</formula>
    </cfRule>
    <cfRule type="containsText" dxfId="1391" priority="1297" operator="containsText" text="GP1">
      <formula>NOT(ISERROR(SEARCH("GP1",AD9)))</formula>
    </cfRule>
  </conditionalFormatting>
  <conditionalFormatting sqref="AD9">
    <cfRule type="containsText" dxfId="1390" priority="1294" operator="containsText" text="GP2">
      <formula>NOT(ISERROR(SEARCH("GP2",AD9)))</formula>
    </cfRule>
    <cfRule type="containsText" dxfId="1389" priority="1295" operator="containsText" text="GP1">
      <formula>NOT(ISERROR(SEARCH("GP1",AD9)))</formula>
    </cfRule>
  </conditionalFormatting>
  <conditionalFormatting sqref="AD9">
    <cfRule type="containsText" dxfId="1388" priority="1292" operator="containsText" text="GP2">
      <formula>NOT(ISERROR(SEARCH("GP2",AD9)))</formula>
    </cfRule>
    <cfRule type="containsText" dxfId="1387" priority="1293" operator="containsText" text="GP1">
      <formula>NOT(ISERROR(SEARCH("GP1",AD9)))</formula>
    </cfRule>
  </conditionalFormatting>
  <conditionalFormatting sqref="AD9">
    <cfRule type="containsText" dxfId="1386" priority="1290" operator="containsText" text="GP2">
      <formula>NOT(ISERROR(SEARCH("GP2",AD9)))</formula>
    </cfRule>
    <cfRule type="containsText" dxfId="1385" priority="1291" operator="containsText" text="GP1">
      <formula>NOT(ISERROR(SEARCH("GP1",AD9)))</formula>
    </cfRule>
  </conditionalFormatting>
  <conditionalFormatting sqref="AD9">
    <cfRule type="containsText" dxfId="1384" priority="1288" operator="containsText" text="GP2">
      <formula>NOT(ISERROR(SEARCH("GP2",AD9)))</formula>
    </cfRule>
    <cfRule type="containsText" dxfId="1383" priority="1289" operator="containsText" text="GP1">
      <formula>NOT(ISERROR(SEARCH("GP1",AD9)))</formula>
    </cfRule>
  </conditionalFormatting>
  <conditionalFormatting sqref="AD9">
    <cfRule type="containsText" dxfId="1382" priority="1286" operator="containsText" text="GP2">
      <formula>NOT(ISERROR(SEARCH("GP2",AD9)))</formula>
    </cfRule>
    <cfRule type="containsText" dxfId="1381" priority="1287" operator="containsText" text="GP1">
      <formula>NOT(ISERROR(SEARCH("GP1",AD9)))</formula>
    </cfRule>
  </conditionalFormatting>
  <conditionalFormatting sqref="AD9">
    <cfRule type="containsText" dxfId="1380" priority="1284" operator="containsText" text="GP2">
      <formula>NOT(ISERROR(SEARCH("GP2",AD9)))</formula>
    </cfRule>
    <cfRule type="containsText" dxfId="1379" priority="1285" operator="containsText" text="GP1">
      <formula>NOT(ISERROR(SEARCH("GP1",AD9)))</formula>
    </cfRule>
  </conditionalFormatting>
  <conditionalFormatting sqref="AD9">
    <cfRule type="containsText" dxfId="1378" priority="1282" operator="containsText" text="GP2">
      <formula>NOT(ISERROR(SEARCH("GP2",AD9)))</formula>
    </cfRule>
    <cfRule type="containsText" dxfId="1377" priority="1283" operator="containsText" text="GP1">
      <formula>NOT(ISERROR(SEARCH("GP1",AD9)))</formula>
    </cfRule>
  </conditionalFormatting>
  <conditionalFormatting sqref="AD9">
    <cfRule type="containsText" dxfId="1376" priority="1280" operator="containsText" text="GP2">
      <formula>NOT(ISERROR(SEARCH("GP2",AD9)))</formula>
    </cfRule>
    <cfRule type="containsText" dxfId="1375" priority="1281" operator="containsText" text="GP1">
      <formula>NOT(ISERROR(SEARCH("GP1",AD9)))</formula>
    </cfRule>
  </conditionalFormatting>
  <conditionalFormatting sqref="AD9">
    <cfRule type="containsText" dxfId="1374" priority="1278" operator="containsText" text="GP2">
      <formula>NOT(ISERROR(SEARCH("GP2",AD9)))</formula>
    </cfRule>
    <cfRule type="containsText" dxfId="1373" priority="1279" operator="containsText" text="GP1">
      <formula>NOT(ISERROR(SEARCH("GP1",AD9)))</formula>
    </cfRule>
  </conditionalFormatting>
  <conditionalFormatting sqref="AD9">
    <cfRule type="containsText" dxfId="1372" priority="1276" operator="containsText" text="GP2">
      <formula>NOT(ISERROR(SEARCH("GP2",AD9)))</formula>
    </cfRule>
    <cfRule type="containsText" dxfId="1371" priority="1277" operator="containsText" text="GP1">
      <formula>NOT(ISERROR(SEARCH("GP1",AD9)))</formula>
    </cfRule>
  </conditionalFormatting>
  <conditionalFormatting sqref="AD9">
    <cfRule type="containsText" dxfId="1370" priority="1274" operator="containsText" text="GP2">
      <formula>NOT(ISERROR(SEARCH("GP2",AD9)))</formula>
    </cfRule>
    <cfRule type="containsText" dxfId="1369" priority="1275" operator="containsText" text="GP1">
      <formula>NOT(ISERROR(SEARCH("GP1",AD9)))</formula>
    </cfRule>
  </conditionalFormatting>
  <conditionalFormatting sqref="AD9">
    <cfRule type="containsText" dxfId="1368" priority="1272" operator="containsText" text="GP2">
      <formula>NOT(ISERROR(SEARCH("GP2",AD9)))</formula>
    </cfRule>
    <cfRule type="containsText" dxfId="1367" priority="1273" operator="containsText" text="GP1">
      <formula>NOT(ISERROR(SEARCH("GP1",AD9)))</formula>
    </cfRule>
  </conditionalFormatting>
  <conditionalFormatting sqref="AD9">
    <cfRule type="containsText" dxfId="1366" priority="1270" operator="containsText" text="GP2">
      <formula>NOT(ISERROR(SEARCH("GP2",AD9)))</formula>
    </cfRule>
    <cfRule type="containsText" dxfId="1365" priority="1271" operator="containsText" text="GP1">
      <formula>NOT(ISERROR(SEARCH("GP1",AD9)))</formula>
    </cfRule>
  </conditionalFormatting>
  <conditionalFormatting sqref="AD9">
    <cfRule type="containsText" dxfId="1364" priority="1268" operator="containsText" text="GP2">
      <formula>NOT(ISERROR(SEARCH("GP2",AD9)))</formula>
    </cfRule>
    <cfRule type="containsText" dxfId="1363" priority="1269" operator="containsText" text="GP1">
      <formula>NOT(ISERROR(SEARCH("GP1",AD9)))</formula>
    </cfRule>
  </conditionalFormatting>
  <conditionalFormatting sqref="AD9">
    <cfRule type="containsText" dxfId="1362" priority="1266" operator="containsText" text="GP2">
      <formula>NOT(ISERROR(SEARCH("GP2",AD9)))</formula>
    </cfRule>
    <cfRule type="containsText" dxfId="1361" priority="1267" operator="containsText" text="GP1">
      <formula>NOT(ISERROR(SEARCH("GP1",AD9)))</formula>
    </cfRule>
  </conditionalFormatting>
  <conditionalFormatting sqref="AD9">
    <cfRule type="containsText" dxfId="1360" priority="1264" operator="containsText" text="GP2">
      <formula>NOT(ISERROR(SEARCH("GP2",AD9)))</formula>
    </cfRule>
    <cfRule type="containsText" dxfId="1359" priority="1265" operator="containsText" text="GP1">
      <formula>NOT(ISERROR(SEARCH("GP1",AD9)))</formula>
    </cfRule>
  </conditionalFormatting>
  <conditionalFormatting sqref="AD9">
    <cfRule type="containsText" dxfId="1358" priority="1262" operator="containsText" text="GP2">
      <formula>NOT(ISERROR(SEARCH("GP2",AD9)))</formula>
    </cfRule>
    <cfRule type="containsText" dxfId="1357" priority="1263" operator="containsText" text="GP1">
      <formula>NOT(ISERROR(SEARCH("GP1",AD9)))</formula>
    </cfRule>
  </conditionalFormatting>
  <conditionalFormatting sqref="AD9">
    <cfRule type="containsText" dxfId="1356" priority="1260" operator="containsText" text="GP2">
      <formula>NOT(ISERROR(SEARCH("GP2",AD9)))</formula>
    </cfRule>
    <cfRule type="containsText" dxfId="1355" priority="1261" operator="containsText" text="GP1">
      <formula>NOT(ISERROR(SEARCH("GP1",AD9)))</formula>
    </cfRule>
  </conditionalFormatting>
  <conditionalFormatting sqref="AD9">
    <cfRule type="containsText" dxfId="1354" priority="1258" operator="containsText" text="GP2">
      <formula>NOT(ISERROR(SEARCH("GP2",AD9)))</formula>
    </cfRule>
    <cfRule type="containsText" dxfId="1353" priority="1259" operator="containsText" text="GP1">
      <formula>NOT(ISERROR(SEARCH("GP1",AD9)))</formula>
    </cfRule>
  </conditionalFormatting>
  <conditionalFormatting sqref="AD9">
    <cfRule type="containsText" dxfId="1352" priority="1256" operator="containsText" text="GP2">
      <formula>NOT(ISERROR(SEARCH("GP2",AD9)))</formula>
    </cfRule>
    <cfRule type="containsText" dxfId="1351" priority="1257" operator="containsText" text="GP1">
      <formula>NOT(ISERROR(SEARCH("GP1",AD9)))</formula>
    </cfRule>
  </conditionalFormatting>
  <conditionalFormatting sqref="AD9">
    <cfRule type="containsText" dxfId="1350" priority="1254" operator="containsText" text="GP2">
      <formula>NOT(ISERROR(SEARCH("GP2",AD9)))</formula>
    </cfRule>
    <cfRule type="containsText" dxfId="1349" priority="1255" operator="containsText" text="GP1">
      <formula>NOT(ISERROR(SEARCH("GP1",AD9)))</formula>
    </cfRule>
  </conditionalFormatting>
  <conditionalFormatting sqref="AD9">
    <cfRule type="containsText" dxfId="1348" priority="1252" operator="containsText" text="GP2">
      <formula>NOT(ISERROR(SEARCH("GP2",AD9)))</formula>
    </cfRule>
    <cfRule type="containsText" dxfId="1347" priority="1253" operator="containsText" text="GP1">
      <formula>NOT(ISERROR(SEARCH("GP1",AD9)))</formula>
    </cfRule>
  </conditionalFormatting>
  <conditionalFormatting sqref="AD9">
    <cfRule type="containsText" dxfId="1346" priority="1250" operator="containsText" text="GP2">
      <formula>NOT(ISERROR(SEARCH("GP2",AD9)))</formula>
    </cfRule>
    <cfRule type="containsText" dxfId="1345" priority="1251" operator="containsText" text="GP1">
      <formula>NOT(ISERROR(SEARCH("GP1",AD9)))</formula>
    </cfRule>
  </conditionalFormatting>
  <conditionalFormatting sqref="AD9">
    <cfRule type="containsText" dxfId="1344" priority="1248" operator="containsText" text="GP2">
      <formula>NOT(ISERROR(SEARCH("GP2",AD9)))</formula>
    </cfRule>
    <cfRule type="containsText" dxfId="1343" priority="1249" operator="containsText" text="GP1">
      <formula>NOT(ISERROR(SEARCH("GP1",AD9)))</formula>
    </cfRule>
  </conditionalFormatting>
  <conditionalFormatting sqref="AD9">
    <cfRule type="containsText" dxfId="1342" priority="1246" operator="containsText" text="GP2">
      <formula>NOT(ISERROR(SEARCH("GP2",AD9)))</formula>
    </cfRule>
    <cfRule type="containsText" dxfId="1341" priority="1247" operator="containsText" text="GP1">
      <formula>NOT(ISERROR(SEARCH("GP1",AD9)))</formula>
    </cfRule>
  </conditionalFormatting>
  <conditionalFormatting sqref="AD9">
    <cfRule type="containsText" dxfId="1340" priority="1244" operator="containsText" text="GP2">
      <formula>NOT(ISERROR(SEARCH("GP2",AD9)))</formula>
    </cfRule>
    <cfRule type="containsText" dxfId="1339" priority="1245" operator="containsText" text="GP1">
      <formula>NOT(ISERROR(SEARCH("GP1",AD9)))</formula>
    </cfRule>
  </conditionalFormatting>
  <conditionalFormatting sqref="AD9">
    <cfRule type="containsText" dxfId="1338" priority="1242" operator="containsText" text="GP2">
      <formula>NOT(ISERROR(SEARCH("GP2",AD9)))</formula>
    </cfRule>
    <cfRule type="containsText" dxfId="1337" priority="1243" operator="containsText" text="GP1">
      <formula>NOT(ISERROR(SEARCH("GP1",AD9)))</formula>
    </cfRule>
  </conditionalFormatting>
  <conditionalFormatting sqref="AD9">
    <cfRule type="containsText" dxfId="1336" priority="1240" operator="containsText" text="GP2">
      <formula>NOT(ISERROR(SEARCH("GP2",AD9)))</formula>
    </cfRule>
    <cfRule type="containsText" dxfId="1335" priority="1241" operator="containsText" text="GP1">
      <formula>NOT(ISERROR(SEARCH("GP1",AD9)))</formula>
    </cfRule>
  </conditionalFormatting>
  <conditionalFormatting sqref="AD9">
    <cfRule type="containsText" dxfId="1334" priority="1238" operator="containsText" text="GP2">
      <formula>NOT(ISERROR(SEARCH("GP2",AD9)))</formula>
    </cfRule>
    <cfRule type="containsText" dxfId="1333" priority="1239" operator="containsText" text="GP1">
      <formula>NOT(ISERROR(SEARCH("GP1",AD9)))</formula>
    </cfRule>
  </conditionalFormatting>
  <conditionalFormatting sqref="AD9">
    <cfRule type="containsText" dxfId="1332" priority="1236" operator="containsText" text="GP2">
      <formula>NOT(ISERROR(SEARCH("GP2",AD9)))</formula>
    </cfRule>
    <cfRule type="containsText" dxfId="1331" priority="1237" operator="containsText" text="GP1">
      <formula>NOT(ISERROR(SEARCH("GP1",AD9)))</formula>
    </cfRule>
  </conditionalFormatting>
  <conditionalFormatting sqref="AD9">
    <cfRule type="containsText" dxfId="1330" priority="1234" operator="containsText" text="GP2">
      <formula>NOT(ISERROR(SEARCH("GP2",AD9)))</formula>
    </cfRule>
    <cfRule type="containsText" dxfId="1329" priority="1235" operator="containsText" text="GP1">
      <formula>NOT(ISERROR(SEARCH("GP1",AD9)))</formula>
    </cfRule>
  </conditionalFormatting>
  <conditionalFormatting sqref="AD9">
    <cfRule type="containsText" dxfId="1328" priority="1232" operator="containsText" text="GP2">
      <formula>NOT(ISERROR(SEARCH("GP2",AD9)))</formula>
    </cfRule>
    <cfRule type="containsText" dxfId="1327" priority="1233" operator="containsText" text="GP1">
      <formula>NOT(ISERROR(SEARCH("GP1",AD9)))</formula>
    </cfRule>
  </conditionalFormatting>
  <conditionalFormatting sqref="AD9">
    <cfRule type="containsText" dxfId="1326" priority="1230" operator="containsText" text="GP2">
      <formula>NOT(ISERROR(SEARCH("GP2",AD9)))</formula>
    </cfRule>
    <cfRule type="containsText" dxfId="1325" priority="1231" operator="containsText" text="GP1">
      <formula>NOT(ISERROR(SEARCH("GP1",AD9)))</formula>
    </cfRule>
  </conditionalFormatting>
  <conditionalFormatting sqref="AD9">
    <cfRule type="containsText" dxfId="1324" priority="1228" operator="containsText" text="GP2">
      <formula>NOT(ISERROR(SEARCH("GP2",AD9)))</formula>
    </cfRule>
    <cfRule type="containsText" dxfId="1323" priority="1229" operator="containsText" text="GP1">
      <formula>NOT(ISERROR(SEARCH("GP1",AD9)))</formula>
    </cfRule>
  </conditionalFormatting>
  <conditionalFormatting sqref="AD9">
    <cfRule type="containsText" dxfId="1322" priority="1226" operator="containsText" text="GP2">
      <formula>NOT(ISERROR(SEARCH("GP2",AD9)))</formula>
    </cfRule>
    <cfRule type="containsText" dxfId="1321" priority="1227" operator="containsText" text="GP1">
      <formula>NOT(ISERROR(SEARCH("GP1",AD9)))</formula>
    </cfRule>
  </conditionalFormatting>
  <conditionalFormatting sqref="AD9">
    <cfRule type="containsText" dxfId="1320" priority="1224" operator="containsText" text="GP2">
      <formula>NOT(ISERROR(SEARCH("GP2",AD9)))</formula>
    </cfRule>
    <cfRule type="containsText" dxfId="1319" priority="1225" operator="containsText" text="GP1">
      <formula>NOT(ISERROR(SEARCH("GP1",AD9)))</formula>
    </cfRule>
  </conditionalFormatting>
  <conditionalFormatting sqref="AD9">
    <cfRule type="containsText" dxfId="1318" priority="1222" operator="containsText" text="GP2">
      <formula>NOT(ISERROR(SEARCH("GP2",AD9)))</formula>
    </cfRule>
    <cfRule type="containsText" dxfId="1317" priority="1223" operator="containsText" text="GP1">
      <formula>NOT(ISERROR(SEARCH("GP1",AD9)))</formula>
    </cfRule>
  </conditionalFormatting>
  <conditionalFormatting sqref="AD9">
    <cfRule type="containsText" dxfId="1316" priority="1220" operator="containsText" text="GP2">
      <formula>NOT(ISERROR(SEARCH("GP2",AD9)))</formula>
    </cfRule>
    <cfRule type="containsText" dxfId="1315" priority="1221" operator="containsText" text="GP1">
      <formula>NOT(ISERROR(SEARCH("GP1",AD9)))</formula>
    </cfRule>
  </conditionalFormatting>
  <conditionalFormatting sqref="AD9">
    <cfRule type="containsText" dxfId="1314" priority="1218" operator="containsText" text="GP2">
      <formula>NOT(ISERROR(SEARCH("GP2",AD9)))</formula>
    </cfRule>
    <cfRule type="containsText" dxfId="1313" priority="1219" operator="containsText" text="GP1">
      <formula>NOT(ISERROR(SEARCH("GP1",AD9)))</formula>
    </cfRule>
  </conditionalFormatting>
  <conditionalFormatting sqref="AD9">
    <cfRule type="containsText" dxfId="1312" priority="1216" operator="containsText" text="GP2">
      <formula>NOT(ISERROR(SEARCH("GP2",AD9)))</formula>
    </cfRule>
    <cfRule type="containsText" dxfId="1311" priority="1217" operator="containsText" text="GP1">
      <formula>NOT(ISERROR(SEARCH("GP1",AD9)))</formula>
    </cfRule>
  </conditionalFormatting>
  <conditionalFormatting sqref="AD9">
    <cfRule type="containsText" dxfId="1310" priority="1214" operator="containsText" text="GP2">
      <formula>NOT(ISERROR(SEARCH("GP2",AD9)))</formula>
    </cfRule>
    <cfRule type="containsText" dxfId="1309" priority="1215" operator="containsText" text="GP1">
      <formula>NOT(ISERROR(SEARCH("GP1",AD9)))</formula>
    </cfRule>
  </conditionalFormatting>
  <conditionalFormatting sqref="AD9">
    <cfRule type="containsText" dxfId="1308" priority="1212" operator="containsText" text="GP2">
      <formula>NOT(ISERROR(SEARCH("GP2",AD9)))</formula>
    </cfRule>
    <cfRule type="containsText" dxfId="1307" priority="1213" operator="containsText" text="GP1">
      <formula>NOT(ISERROR(SEARCH("GP1",AD9)))</formula>
    </cfRule>
  </conditionalFormatting>
  <conditionalFormatting sqref="AD9">
    <cfRule type="containsText" dxfId="1306" priority="1210" operator="containsText" text="GP2">
      <formula>NOT(ISERROR(SEARCH("GP2",AD9)))</formula>
    </cfRule>
    <cfRule type="containsText" dxfId="1305" priority="1211" operator="containsText" text="GP1">
      <formula>NOT(ISERROR(SEARCH("GP1",AD9)))</formula>
    </cfRule>
  </conditionalFormatting>
  <conditionalFormatting sqref="AD9">
    <cfRule type="containsText" dxfId="1304" priority="1208" operator="containsText" text="GP2">
      <formula>NOT(ISERROR(SEARCH("GP2",AD9)))</formula>
    </cfRule>
    <cfRule type="containsText" dxfId="1303" priority="1209" operator="containsText" text="GP1">
      <formula>NOT(ISERROR(SEARCH("GP1",AD9)))</formula>
    </cfRule>
  </conditionalFormatting>
  <conditionalFormatting sqref="AD9">
    <cfRule type="containsText" dxfId="1302" priority="1206" operator="containsText" text="GP2">
      <formula>NOT(ISERROR(SEARCH("GP2",AD9)))</formula>
    </cfRule>
    <cfRule type="containsText" dxfId="1301" priority="1207" operator="containsText" text="GP1">
      <formula>NOT(ISERROR(SEARCH("GP1",AD9)))</formula>
    </cfRule>
  </conditionalFormatting>
  <conditionalFormatting sqref="AD9">
    <cfRule type="containsText" dxfId="1300" priority="1204" operator="containsText" text="GP2">
      <formula>NOT(ISERROR(SEARCH("GP2",AD9)))</formula>
    </cfRule>
    <cfRule type="containsText" dxfId="1299" priority="1205" operator="containsText" text="GP1">
      <formula>NOT(ISERROR(SEARCH("GP1",AD9)))</formula>
    </cfRule>
  </conditionalFormatting>
  <conditionalFormatting sqref="AD9">
    <cfRule type="containsText" dxfId="1298" priority="1202" operator="containsText" text="GP2">
      <formula>NOT(ISERROR(SEARCH("GP2",AD9)))</formula>
    </cfRule>
    <cfRule type="containsText" dxfId="1297" priority="1203" operator="containsText" text="GP1">
      <formula>NOT(ISERROR(SEARCH("GP1",AD9)))</formula>
    </cfRule>
  </conditionalFormatting>
  <conditionalFormatting sqref="AD9">
    <cfRule type="containsText" dxfId="1296" priority="1200" operator="containsText" text="GP2">
      <formula>NOT(ISERROR(SEARCH("GP2",AD9)))</formula>
    </cfRule>
    <cfRule type="containsText" dxfId="1295" priority="1201" operator="containsText" text="GP1">
      <formula>NOT(ISERROR(SEARCH("GP1",AD9)))</formula>
    </cfRule>
  </conditionalFormatting>
  <conditionalFormatting sqref="AD9">
    <cfRule type="containsText" dxfId="1294" priority="1198" operator="containsText" text="GP2">
      <formula>NOT(ISERROR(SEARCH("GP2",AD9)))</formula>
    </cfRule>
    <cfRule type="containsText" dxfId="1293" priority="1199" operator="containsText" text="GP1">
      <formula>NOT(ISERROR(SEARCH("GP1",AD9)))</formula>
    </cfRule>
  </conditionalFormatting>
  <conditionalFormatting sqref="AD9">
    <cfRule type="containsText" dxfId="1292" priority="1196" operator="containsText" text="GP2">
      <formula>NOT(ISERROR(SEARCH("GP2",AD9)))</formula>
    </cfRule>
    <cfRule type="containsText" dxfId="1291" priority="1197" operator="containsText" text="GP1">
      <formula>NOT(ISERROR(SEARCH("GP1",AD9)))</formula>
    </cfRule>
  </conditionalFormatting>
  <conditionalFormatting sqref="AD9">
    <cfRule type="containsText" dxfId="1290" priority="1194" operator="containsText" text="GP2">
      <formula>NOT(ISERROR(SEARCH("GP2",AD9)))</formula>
    </cfRule>
    <cfRule type="containsText" dxfId="1289" priority="1195" operator="containsText" text="GP1">
      <formula>NOT(ISERROR(SEARCH("GP1",AD9)))</formula>
    </cfRule>
  </conditionalFormatting>
  <conditionalFormatting sqref="AD9">
    <cfRule type="containsText" dxfId="1288" priority="1192" operator="containsText" text="GP2">
      <formula>NOT(ISERROR(SEARCH("GP2",AD9)))</formula>
    </cfRule>
    <cfRule type="containsText" dxfId="1287" priority="1193" operator="containsText" text="GP1">
      <formula>NOT(ISERROR(SEARCH("GP1",AD9)))</formula>
    </cfRule>
  </conditionalFormatting>
  <conditionalFormatting sqref="AD9">
    <cfRule type="containsText" dxfId="1286" priority="1190" operator="containsText" text="GP2">
      <formula>NOT(ISERROR(SEARCH("GP2",AD9)))</formula>
    </cfRule>
    <cfRule type="containsText" dxfId="1285" priority="1191" operator="containsText" text="GP1">
      <formula>NOT(ISERROR(SEARCH("GP1",AD9)))</formula>
    </cfRule>
  </conditionalFormatting>
  <conditionalFormatting sqref="AD9">
    <cfRule type="containsText" dxfId="1284" priority="1188" operator="containsText" text="GP2">
      <formula>NOT(ISERROR(SEARCH("GP2",AD9)))</formula>
    </cfRule>
    <cfRule type="containsText" dxfId="1283" priority="1189" operator="containsText" text="GP1">
      <formula>NOT(ISERROR(SEARCH("GP1",AD9)))</formula>
    </cfRule>
  </conditionalFormatting>
  <conditionalFormatting sqref="AD9">
    <cfRule type="containsText" dxfId="1282" priority="1186" operator="containsText" text="GP2">
      <formula>NOT(ISERROR(SEARCH("GP2",AD9)))</formula>
    </cfRule>
    <cfRule type="containsText" dxfId="1281" priority="1187" operator="containsText" text="GP1">
      <formula>NOT(ISERROR(SEARCH("GP1",AD9)))</formula>
    </cfRule>
  </conditionalFormatting>
  <conditionalFormatting sqref="AD9">
    <cfRule type="containsText" dxfId="1280" priority="1184" operator="containsText" text="GP2">
      <formula>NOT(ISERROR(SEARCH("GP2",AD9)))</formula>
    </cfRule>
    <cfRule type="containsText" dxfId="1279" priority="1185" operator="containsText" text="GP1">
      <formula>NOT(ISERROR(SEARCH("GP1",AD9)))</formula>
    </cfRule>
  </conditionalFormatting>
  <conditionalFormatting sqref="AD9">
    <cfRule type="containsText" dxfId="1278" priority="1182" operator="containsText" text="GP2">
      <formula>NOT(ISERROR(SEARCH("GP2",AD9)))</formula>
    </cfRule>
    <cfRule type="containsText" dxfId="1277" priority="1183" operator="containsText" text="GP1">
      <formula>NOT(ISERROR(SEARCH("GP1",AD9)))</formula>
    </cfRule>
  </conditionalFormatting>
  <conditionalFormatting sqref="AD9">
    <cfRule type="containsText" dxfId="1276" priority="1180" operator="containsText" text="GP2">
      <formula>NOT(ISERROR(SEARCH("GP2",AD9)))</formula>
    </cfRule>
    <cfRule type="containsText" dxfId="1275" priority="1181" operator="containsText" text="GP1">
      <formula>NOT(ISERROR(SEARCH("GP1",AD9)))</formula>
    </cfRule>
  </conditionalFormatting>
  <conditionalFormatting sqref="AD9">
    <cfRule type="containsText" dxfId="1274" priority="1178" operator="containsText" text="GP2">
      <formula>NOT(ISERROR(SEARCH("GP2",AD9)))</formula>
    </cfRule>
    <cfRule type="containsText" dxfId="1273" priority="1179" operator="containsText" text="GP1">
      <formula>NOT(ISERROR(SEARCH("GP1",AD9)))</formula>
    </cfRule>
  </conditionalFormatting>
  <conditionalFormatting sqref="AD9">
    <cfRule type="containsText" dxfId="1272" priority="1176" operator="containsText" text="GP2">
      <formula>NOT(ISERROR(SEARCH("GP2",AD9)))</formula>
    </cfRule>
    <cfRule type="containsText" dxfId="1271" priority="1177" operator="containsText" text="GP1">
      <formula>NOT(ISERROR(SEARCH("GP1",AD9)))</formula>
    </cfRule>
  </conditionalFormatting>
  <conditionalFormatting sqref="AD9">
    <cfRule type="containsText" dxfId="1270" priority="1174" operator="containsText" text="GP2">
      <formula>NOT(ISERROR(SEARCH("GP2",AD9)))</formula>
    </cfRule>
    <cfRule type="containsText" dxfId="1269" priority="1175" operator="containsText" text="GP1">
      <formula>NOT(ISERROR(SEARCH("GP1",AD9)))</formula>
    </cfRule>
  </conditionalFormatting>
  <conditionalFormatting sqref="AD9">
    <cfRule type="containsText" dxfId="1268" priority="1172" operator="containsText" text="GP2">
      <formula>NOT(ISERROR(SEARCH("GP2",AD9)))</formula>
    </cfRule>
    <cfRule type="containsText" dxfId="1267" priority="1173" operator="containsText" text="GP1">
      <formula>NOT(ISERROR(SEARCH("GP1",AD9)))</formula>
    </cfRule>
  </conditionalFormatting>
  <conditionalFormatting sqref="AD9">
    <cfRule type="containsText" dxfId="1266" priority="1170" operator="containsText" text="GP2">
      <formula>NOT(ISERROR(SEARCH("GP2",AD9)))</formula>
    </cfRule>
    <cfRule type="containsText" dxfId="1265" priority="1171" operator="containsText" text="GP1">
      <formula>NOT(ISERROR(SEARCH("GP1",AD9)))</formula>
    </cfRule>
  </conditionalFormatting>
  <conditionalFormatting sqref="AD9">
    <cfRule type="containsText" dxfId="1264" priority="1168" operator="containsText" text="GP2">
      <formula>NOT(ISERROR(SEARCH("GP2",AD9)))</formula>
    </cfRule>
    <cfRule type="containsText" dxfId="1263" priority="1169" operator="containsText" text="GP1">
      <formula>NOT(ISERROR(SEARCH("GP1",AD9)))</formula>
    </cfRule>
  </conditionalFormatting>
  <conditionalFormatting sqref="AD9">
    <cfRule type="containsText" dxfId="1262" priority="1166" operator="containsText" text="GP2">
      <formula>NOT(ISERROR(SEARCH("GP2",AD9)))</formula>
    </cfRule>
    <cfRule type="containsText" dxfId="1261" priority="1167" operator="containsText" text="GP1">
      <formula>NOT(ISERROR(SEARCH("GP1",AD9)))</formula>
    </cfRule>
  </conditionalFormatting>
  <conditionalFormatting sqref="AD9">
    <cfRule type="containsText" dxfId="1260" priority="1160" operator="containsText" text="GP2">
      <formula>NOT(ISERROR(SEARCH("GP2",AD9)))</formula>
    </cfRule>
    <cfRule type="containsText" dxfId="1259" priority="1161" operator="containsText" text="GP1">
      <formula>NOT(ISERROR(SEARCH("GP1",AD9)))</formula>
    </cfRule>
  </conditionalFormatting>
  <conditionalFormatting sqref="AD9">
    <cfRule type="containsText" dxfId="1258" priority="1158" operator="containsText" text="GP2">
      <formula>NOT(ISERROR(SEARCH("GP2",AD9)))</formula>
    </cfRule>
    <cfRule type="containsText" dxfId="1257" priority="1159" operator="containsText" text="GP1">
      <formula>NOT(ISERROR(SEARCH("GP1",AD9)))</formula>
    </cfRule>
  </conditionalFormatting>
  <conditionalFormatting sqref="AD9">
    <cfRule type="containsText" dxfId="1256" priority="1156" operator="containsText" text="GP2">
      <formula>NOT(ISERROR(SEARCH("GP2",AD9)))</formula>
    </cfRule>
    <cfRule type="containsText" dxfId="1255" priority="1157" operator="containsText" text="GP1">
      <formula>NOT(ISERROR(SEARCH("GP1",AD9)))</formula>
    </cfRule>
  </conditionalFormatting>
  <conditionalFormatting sqref="AD9">
    <cfRule type="containsText" dxfId="1254" priority="1154" operator="containsText" text="GP2">
      <formula>NOT(ISERROR(SEARCH("GP2",AD9)))</formula>
    </cfRule>
    <cfRule type="containsText" dxfId="1253" priority="1155" operator="containsText" text="GP1">
      <formula>NOT(ISERROR(SEARCH("GP1",AD9)))</formula>
    </cfRule>
  </conditionalFormatting>
  <conditionalFormatting sqref="AD9">
    <cfRule type="containsText" dxfId="1252" priority="1152" operator="containsText" text="GP2">
      <formula>NOT(ISERROR(SEARCH("GP2",AD9)))</formula>
    </cfRule>
    <cfRule type="containsText" dxfId="1251" priority="1153" operator="containsText" text="GP1">
      <formula>NOT(ISERROR(SEARCH("GP1",AD9)))</formula>
    </cfRule>
  </conditionalFormatting>
  <conditionalFormatting sqref="AD9">
    <cfRule type="containsText" dxfId="1250" priority="1150" operator="containsText" text="GP2">
      <formula>NOT(ISERROR(SEARCH("GP2",AD9)))</formula>
    </cfRule>
    <cfRule type="containsText" dxfId="1249" priority="1151" operator="containsText" text="GP1">
      <formula>NOT(ISERROR(SEARCH("GP1",AD9)))</formula>
    </cfRule>
  </conditionalFormatting>
  <conditionalFormatting sqref="AD9">
    <cfRule type="containsText" dxfId="1248" priority="1164" operator="containsText" text="GP2">
      <formula>NOT(ISERROR(SEARCH("GP2",AD9)))</formula>
    </cfRule>
    <cfRule type="containsText" dxfId="1247" priority="1165" operator="containsText" text="GP1">
      <formula>NOT(ISERROR(SEARCH("GP1",AD9)))</formula>
    </cfRule>
  </conditionalFormatting>
  <conditionalFormatting sqref="AD9">
    <cfRule type="containsText" dxfId="1246" priority="1162" operator="containsText" text="GP2">
      <formula>NOT(ISERROR(SEARCH("GP2",AD9)))</formula>
    </cfRule>
    <cfRule type="containsText" dxfId="1245" priority="1163" operator="containsText" text="GP1">
      <formula>NOT(ISERROR(SEARCH("GP1",AD9)))</formula>
    </cfRule>
  </conditionalFormatting>
  <conditionalFormatting sqref="AD9">
    <cfRule type="containsText" dxfId="1244" priority="1148" operator="containsText" text="GP2">
      <formula>NOT(ISERROR(SEARCH("GP2",AD9)))</formula>
    </cfRule>
    <cfRule type="containsText" dxfId="1243" priority="1149" operator="containsText" text="GP1">
      <formula>NOT(ISERROR(SEARCH("GP1",AD9)))</formula>
    </cfRule>
  </conditionalFormatting>
  <conditionalFormatting sqref="AD9">
    <cfRule type="containsText" dxfId="1242" priority="1146" operator="containsText" text="GP2">
      <formula>NOT(ISERROR(SEARCH("GP2",AD9)))</formula>
    </cfRule>
    <cfRule type="containsText" dxfId="1241" priority="1147" operator="containsText" text="GP1">
      <formula>NOT(ISERROR(SEARCH("GP1",AD9)))</formula>
    </cfRule>
  </conditionalFormatting>
  <conditionalFormatting sqref="AD9">
    <cfRule type="containsText" dxfId="1240" priority="1144" operator="containsText" text="GP2">
      <formula>NOT(ISERROR(SEARCH("GP2",AD9)))</formula>
    </cfRule>
    <cfRule type="containsText" dxfId="1239" priority="1145" operator="containsText" text="GP1">
      <formula>NOT(ISERROR(SEARCH("GP1",AD9)))</formula>
    </cfRule>
  </conditionalFormatting>
  <conditionalFormatting sqref="AD9">
    <cfRule type="containsText" dxfId="1238" priority="1142" operator="containsText" text="GP2">
      <formula>NOT(ISERROR(SEARCH("GP2",AD9)))</formula>
    </cfRule>
    <cfRule type="containsText" dxfId="1237" priority="1143" operator="containsText" text="GP1">
      <formula>NOT(ISERROR(SEARCH("GP1",AD9)))</formula>
    </cfRule>
  </conditionalFormatting>
  <conditionalFormatting sqref="AD9">
    <cfRule type="containsText" dxfId="1236" priority="1140" operator="containsText" text="GP2">
      <formula>NOT(ISERROR(SEARCH("GP2",AD9)))</formula>
    </cfRule>
    <cfRule type="containsText" dxfId="1235" priority="1141" operator="containsText" text="GP1">
      <formula>NOT(ISERROR(SEARCH("GP1",AD9)))</formula>
    </cfRule>
  </conditionalFormatting>
  <conditionalFormatting sqref="AD9">
    <cfRule type="containsText" dxfId="1234" priority="1138" operator="containsText" text="GP2">
      <formula>NOT(ISERROR(SEARCH("GP2",AD9)))</formula>
    </cfRule>
    <cfRule type="containsText" dxfId="1233" priority="1139" operator="containsText" text="GP1">
      <formula>NOT(ISERROR(SEARCH("GP1",AD9)))</formula>
    </cfRule>
  </conditionalFormatting>
  <conditionalFormatting sqref="AD9">
    <cfRule type="containsText" dxfId="1232" priority="1136" operator="containsText" text="GP2">
      <formula>NOT(ISERROR(SEARCH("GP2",AD9)))</formula>
    </cfRule>
    <cfRule type="containsText" dxfId="1231" priority="1137" operator="containsText" text="GP1">
      <formula>NOT(ISERROR(SEARCH("GP1",AD9)))</formula>
    </cfRule>
  </conditionalFormatting>
  <conditionalFormatting sqref="AD9">
    <cfRule type="containsText" dxfId="1230" priority="1134" operator="containsText" text="GP2">
      <formula>NOT(ISERROR(SEARCH("GP2",AD9)))</formula>
    </cfRule>
    <cfRule type="containsText" dxfId="1229" priority="1135" operator="containsText" text="GP1">
      <formula>NOT(ISERROR(SEARCH("GP1",AD9)))</formula>
    </cfRule>
  </conditionalFormatting>
  <conditionalFormatting sqref="AD9">
    <cfRule type="containsText" dxfId="1228" priority="1132" operator="containsText" text="GP2">
      <formula>NOT(ISERROR(SEARCH("GP2",AD9)))</formula>
    </cfRule>
    <cfRule type="containsText" dxfId="1227" priority="1133" operator="containsText" text="GP1">
      <formula>NOT(ISERROR(SEARCH("GP1",AD9)))</formula>
    </cfRule>
  </conditionalFormatting>
  <conditionalFormatting sqref="AD9">
    <cfRule type="containsText" dxfId="1226" priority="1130" operator="containsText" text="GP2">
      <formula>NOT(ISERROR(SEARCH("GP2",AD9)))</formula>
    </cfRule>
    <cfRule type="containsText" dxfId="1225" priority="1131" operator="containsText" text="GP1">
      <formula>NOT(ISERROR(SEARCH("GP1",AD9)))</formula>
    </cfRule>
  </conditionalFormatting>
  <conditionalFormatting sqref="AD9">
    <cfRule type="containsText" dxfId="1224" priority="1128" operator="containsText" text="GP2">
      <formula>NOT(ISERROR(SEARCH("GP2",AD9)))</formula>
    </cfRule>
    <cfRule type="containsText" dxfId="1223" priority="1129" operator="containsText" text="GP1">
      <formula>NOT(ISERROR(SEARCH("GP1",AD9)))</formula>
    </cfRule>
  </conditionalFormatting>
  <conditionalFormatting sqref="AD9">
    <cfRule type="containsText" dxfId="1222" priority="1126" operator="containsText" text="GP2">
      <formula>NOT(ISERROR(SEARCH("GP2",AD9)))</formula>
    </cfRule>
    <cfRule type="containsText" dxfId="1221" priority="1127" operator="containsText" text="GP1">
      <formula>NOT(ISERROR(SEARCH("GP1",AD9)))</formula>
    </cfRule>
  </conditionalFormatting>
  <conditionalFormatting sqref="AD9">
    <cfRule type="containsText" dxfId="1220" priority="1124" operator="containsText" text="GP2">
      <formula>NOT(ISERROR(SEARCH("GP2",AD9)))</formula>
    </cfRule>
    <cfRule type="containsText" dxfId="1219" priority="1125" operator="containsText" text="GP1">
      <formula>NOT(ISERROR(SEARCH("GP1",AD9)))</formula>
    </cfRule>
  </conditionalFormatting>
  <conditionalFormatting sqref="AD9">
    <cfRule type="containsText" dxfId="1218" priority="1122" operator="containsText" text="GP2">
      <formula>NOT(ISERROR(SEARCH("GP2",AD9)))</formula>
    </cfRule>
    <cfRule type="containsText" dxfId="1217" priority="1123" operator="containsText" text="GP1">
      <formula>NOT(ISERROR(SEARCH("GP1",AD9)))</formula>
    </cfRule>
  </conditionalFormatting>
  <conditionalFormatting sqref="AD9">
    <cfRule type="containsText" dxfId="1216" priority="1120" operator="containsText" text="GP2">
      <formula>NOT(ISERROR(SEARCH("GP2",AD9)))</formula>
    </cfRule>
    <cfRule type="containsText" dxfId="1215" priority="1121" operator="containsText" text="GP1">
      <formula>NOT(ISERROR(SEARCH("GP1",AD9)))</formula>
    </cfRule>
  </conditionalFormatting>
  <conditionalFormatting sqref="AD9">
    <cfRule type="containsText" dxfId="1214" priority="1118" operator="containsText" text="GP2">
      <formula>NOT(ISERROR(SEARCH("GP2",AD9)))</formula>
    </cfRule>
    <cfRule type="containsText" dxfId="1213" priority="1119" operator="containsText" text="GP1">
      <formula>NOT(ISERROR(SEARCH("GP1",AD9)))</formula>
    </cfRule>
  </conditionalFormatting>
  <conditionalFormatting sqref="AD9">
    <cfRule type="containsText" dxfId="1212" priority="1116" operator="containsText" text="GP2">
      <formula>NOT(ISERROR(SEARCH("GP2",AD9)))</formula>
    </cfRule>
    <cfRule type="containsText" dxfId="1211" priority="1117" operator="containsText" text="GP1">
      <formula>NOT(ISERROR(SEARCH("GP1",AD9)))</formula>
    </cfRule>
  </conditionalFormatting>
  <conditionalFormatting sqref="AD9">
    <cfRule type="containsText" dxfId="1210" priority="1114" operator="containsText" text="GP2">
      <formula>NOT(ISERROR(SEARCH("GP2",AD9)))</formula>
    </cfRule>
    <cfRule type="containsText" dxfId="1209" priority="1115" operator="containsText" text="GP1">
      <formula>NOT(ISERROR(SEARCH("GP1",AD9)))</formula>
    </cfRule>
  </conditionalFormatting>
  <conditionalFormatting sqref="AD9">
    <cfRule type="containsText" dxfId="1208" priority="1112" operator="containsText" text="GP2">
      <formula>NOT(ISERROR(SEARCH("GP2",AD9)))</formula>
    </cfRule>
    <cfRule type="containsText" dxfId="1207" priority="1113" operator="containsText" text="GP1">
      <formula>NOT(ISERROR(SEARCH("GP1",AD9)))</formula>
    </cfRule>
  </conditionalFormatting>
  <conditionalFormatting sqref="AD9">
    <cfRule type="containsText" dxfId="1206" priority="1110" operator="containsText" text="GP2">
      <formula>NOT(ISERROR(SEARCH("GP2",AD9)))</formula>
    </cfRule>
    <cfRule type="containsText" dxfId="1205" priority="1111" operator="containsText" text="GP1">
      <formula>NOT(ISERROR(SEARCH("GP1",AD9)))</formula>
    </cfRule>
  </conditionalFormatting>
  <conditionalFormatting sqref="AD9">
    <cfRule type="containsText" dxfId="1204" priority="1108" operator="containsText" text="GP2">
      <formula>NOT(ISERROR(SEARCH("GP2",AD9)))</formula>
    </cfRule>
    <cfRule type="containsText" dxfId="1203" priority="1109" operator="containsText" text="GP1">
      <formula>NOT(ISERROR(SEARCH("GP1",AD9)))</formula>
    </cfRule>
  </conditionalFormatting>
  <conditionalFormatting sqref="AD9">
    <cfRule type="containsText" dxfId="1202" priority="1106" operator="containsText" text="GP2">
      <formula>NOT(ISERROR(SEARCH("GP2",AD9)))</formula>
    </cfRule>
    <cfRule type="containsText" dxfId="1201" priority="1107" operator="containsText" text="GP1">
      <formula>NOT(ISERROR(SEARCH("GP1",AD9)))</formula>
    </cfRule>
  </conditionalFormatting>
  <conditionalFormatting sqref="AD9">
    <cfRule type="containsText" dxfId="1200" priority="1104" operator="containsText" text="GP2">
      <formula>NOT(ISERROR(SEARCH("GP2",AD9)))</formula>
    </cfRule>
    <cfRule type="containsText" dxfId="1199" priority="1105" operator="containsText" text="GP1">
      <formula>NOT(ISERROR(SEARCH("GP1",AD9)))</formula>
    </cfRule>
  </conditionalFormatting>
  <conditionalFormatting sqref="AD9">
    <cfRule type="containsText" dxfId="1198" priority="1102" operator="containsText" text="GP2">
      <formula>NOT(ISERROR(SEARCH("GP2",AD9)))</formula>
    </cfRule>
    <cfRule type="containsText" dxfId="1197" priority="1103" operator="containsText" text="GP1">
      <formula>NOT(ISERROR(SEARCH("GP1",AD9)))</formula>
    </cfRule>
  </conditionalFormatting>
  <conditionalFormatting sqref="AD9">
    <cfRule type="containsText" dxfId="1196" priority="1100" operator="containsText" text="GP2">
      <formula>NOT(ISERROR(SEARCH("GP2",AD9)))</formula>
    </cfRule>
    <cfRule type="containsText" dxfId="1195" priority="1101" operator="containsText" text="GP1">
      <formula>NOT(ISERROR(SEARCH("GP1",AD9)))</formula>
    </cfRule>
  </conditionalFormatting>
  <conditionalFormatting sqref="AD9">
    <cfRule type="containsText" dxfId="1194" priority="1098" operator="containsText" text="GP2">
      <formula>NOT(ISERROR(SEARCH("GP2",AD9)))</formula>
    </cfRule>
    <cfRule type="containsText" dxfId="1193" priority="1099" operator="containsText" text="GP1">
      <formula>NOT(ISERROR(SEARCH("GP1",AD9)))</formula>
    </cfRule>
  </conditionalFormatting>
  <conditionalFormatting sqref="AD9">
    <cfRule type="containsText" dxfId="1192" priority="1096" operator="containsText" text="GP2">
      <formula>NOT(ISERROR(SEARCH("GP2",AD9)))</formula>
    </cfRule>
    <cfRule type="containsText" dxfId="1191" priority="1097" operator="containsText" text="GP1">
      <formula>NOT(ISERROR(SEARCH("GP1",AD9)))</formula>
    </cfRule>
  </conditionalFormatting>
  <conditionalFormatting sqref="AD9">
    <cfRule type="containsText" dxfId="1190" priority="1094" operator="containsText" text="GP2">
      <formula>NOT(ISERROR(SEARCH("GP2",AD9)))</formula>
    </cfRule>
    <cfRule type="containsText" dxfId="1189" priority="1095" operator="containsText" text="GP1">
      <formula>NOT(ISERROR(SEARCH("GP1",AD9)))</formula>
    </cfRule>
  </conditionalFormatting>
  <conditionalFormatting sqref="AD9">
    <cfRule type="containsText" dxfId="1188" priority="1092" operator="containsText" text="GP2">
      <formula>NOT(ISERROR(SEARCH("GP2",AD9)))</formula>
    </cfRule>
    <cfRule type="containsText" dxfId="1187" priority="1093" operator="containsText" text="GP1">
      <formula>NOT(ISERROR(SEARCH("GP1",AD9)))</formula>
    </cfRule>
  </conditionalFormatting>
  <conditionalFormatting sqref="AD9">
    <cfRule type="containsText" dxfId="1186" priority="1090" operator="containsText" text="GP2">
      <formula>NOT(ISERROR(SEARCH("GP2",AD9)))</formula>
    </cfRule>
    <cfRule type="containsText" dxfId="1185" priority="1091" operator="containsText" text="GP1">
      <formula>NOT(ISERROR(SEARCH("GP1",AD9)))</formula>
    </cfRule>
  </conditionalFormatting>
  <conditionalFormatting sqref="AD9">
    <cfRule type="containsText" dxfId="1184" priority="1088" operator="containsText" text="GP2">
      <formula>NOT(ISERROR(SEARCH("GP2",AD9)))</formula>
    </cfRule>
    <cfRule type="containsText" dxfId="1183" priority="1089" operator="containsText" text="GP1">
      <formula>NOT(ISERROR(SEARCH("GP1",AD9)))</formula>
    </cfRule>
  </conditionalFormatting>
  <conditionalFormatting sqref="AD9">
    <cfRule type="containsText" dxfId="1182" priority="1086" operator="containsText" text="GP2">
      <formula>NOT(ISERROR(SEARCH("GP2",AD9)))</formula>
    </cfRule>
    <cfRule type="containsText" dxfId="1181" priority="1087" operator="containsText" text="GP1">
      <formula>NOT(ISERROR(SEARCH("GP1",AD9)))</formula>
    </cfRule>
  </conditionalFormatting>
  <conditionalFormatting sqref="AD9">
    <cfRule type="containsText" dxfId="1180" priority="1084" operator="containsText" text="GP2">
      <formula>NOT(ISERROR(SEARCH("GP2",AD9)))</formula>
    </cfRule>
    <cfRule type="containsText" dxfId="1179" priority="1085" operator="containsText" text="GP1">
      <formula>NOT(ISERROR(SEARCH("GP1",AD9)))</formula>
    </cfRule>
  </conditionalFormatting>
  <conditionalFormatting sqref="AD9">
    <cfRule type="containsText" dxfId="1178" priority="1082" operator="containsText" text="GP2">
      <formula>NOT(ISERROR(SEARCH("GP2",AD9)))</formula>
    </cfRule>
    <cfRule type="containsText" dxfId="1177" priority="1083" operator="containsText" text="GP1">
      <formula>NOT(ISERROR(SEARCH("GP1",AD9)))</formula>
    </cfRule>
  </conditionalFormatting>
  <conditionalFormatting sqref="AD9">
    <cfRule type="containsText" dxfId="1176" priority="1080" operator="containsText" text="GP2">
      <formula>NOT(ISERROR(SEARCH("GP2",AD9)))</formula>
    </cfRule>
    <cfRule type="containsText" dxfId="1175" priority="1081" operator="containsText" text="GP1">
      <formula>NOT(ISERROR(SEARCH("GP1",AD9)))</formula>
    </cfRule>
  </conditionalFormatting>
  <conditionalFormatting sqref="AD9">
    <cfRule type="containsText" dxfId="1174" priority="1078" operator="containsText" text="GP2">
      <formula>NOT(ISERROR(SEARCH("GP2",AD9)))</formula>
    </cfRule>
    <cfRule type="containsText" dxfId="1173" priority="1079" operator="containsText" text="GP1">
      <formula>NOT(ISERROR(SEARCH("GP1",AD9)))</formula>
    </cfRule>
  </conditionalFormatting>
  <conditionalFormatting sqref="AD9">
    <cfRule type="containsText" dxfId="1172" priority="1076" operator="containsText" text="GP2">
      <formula>NOT(ISERROR(SEARCH("GP2",AD9)))</formula>
    </cfRule>
    <cfRule type="containsText" dxfId="1171" priority="1077" operator="containsText" text="GP1">
      <formula>NOT(ISERROR(SEARCH("GP1",AD9)))</formula>
    </cfRule>
  </conditionalFormatting>
  <conditionalFormatting sqref="AD9">
    <cfRule type="containsText" dxfId="1170" priority="1074" operator="containsText" text="GP2">
      <formula>NOT(ISERROR(SEARCH("GP2",AD9)))</formula>
    </cfRule>
    <cfRule type="containsText" dxfId="1169" priority="1075" operator="containsText" text="GP1">
      <formula>NOT(ISERROR(SEARCH("GP1",AD9)))</formula>
    </cfRule>
  </conditionalFormatting>
  <conditionalFormatting sqref="AD9">
    <cfRule type="containsText" dxfId="1168" priority="1072" operator="containsText" text="GP2">
      <formula>NOT(ISERROR(SEARCH("GP2",AD9)))</formula>
    </cfRule>
    <cfRule type="containsText" dxfId="1167" priority="1073" operator="containsText" text="GP1">
      <formula>NOT(ISERROR(SEARCH("GP1",AD9)))</formula>
    </cfRule>
  </conditionalFormatting>
  <conditionalFormatting sqref="AD9">
    <cfRule type="containsText" dxfId="1166" priority="1070" operator="containsText" text="GP2">
      <formula>NOT(ISERROR(SEARCH("GP2",AD9)))</formula>
    </cfRule>
    <cfRule type="containsText" dxfId="1165" priority="1071" operator="containsText" text="GP1">
      <formula>NOT(ISERROR(SEARCH("GP1",AD9)))</formula>
    </cfRule>
  </conditionalFormatting>
  <conditionalFormatting sqref="AD9">
    <cfRule type="containsText" dxfId="1164" priority="1068" operator="containsText" text="GP2">
      <formula>NOT(ISERROR(SEARCH("GP2",AD9)))</formula>
    </cfRule>
    <cfRule type="containsText" dxfId="1163" priority="1069" operator="containsText" text="GP1">
      <formula>NOT(ISERROR(SEARCH("GP1",AD9)))</formula>
    </cfRule>
  </conditionalFormatting>
  <conditionalFormatting sqref="AD9">
    <cfRule type="containsText" dxfId="1162" priority="1066" operator="containsText" text="GP2">
      <formula>NOT(ISERROR(SEARCH("GP2",AD9)))</formula>
    </cfRule>
    <cfRule type="containsText" dxfId="1161" priority="1067" operator="containsText" text="GP1">
      <formula>NOT(ISERROR(SEARCH("GP1",AD9)))</formula>
    </cfRule>
  </conditionalFormatting>
  <conditionalFormatting sqref="AD9">
    <cfRule type="containsText" dxfId="1160" priority="1064" operator="containsText" text="GP2">
      <formula>NOT(ISERROR(SEARCH("GP2",AD9)))</formula>
    </cfRule>
    <cfRule type="containsText" dxfId="1159" priority="1065" operator="containsText" text="GP1">
      <formula>NOT(ISERROR(SEARCH("GP1",AD9)))</formula>
    </cfRule>
  </conditionalFormatting>
  <conditionalFormatting sqref="AD9">
    <cfRule type="containsText" dxfId="1158" priority="1062" operator="containsText" text="GP2">
      <formula>NOT(ISERROR(SEARCH("GP2",AD9)))</formula>
    </cfRule>
    <cfRule type="containsText" dxfId="1157" priority="1063" operator="containsText" text="GP1">
      <formula>NOT(ISERROR(SEARCH("GP1",AD9)))</formula>
    </cfRule>
  </conditionalFormatting>
  <conditionalFormatting sqref="AD9">
    <cfRule type="containsText" dxfId="1156" priority="1060" operator="containsText" text="GP2">
      <formula>NOT(ISERROR(SEARCH("GP2",AD9)))</formula>
    </cfRule>
    <cfRule type="containsText" dxfId="1155" priority="1061" operator="containsText" text="GP1">
      <formula>NOT(ISERROR(SEARCH("GP1",AD9)))</formula>
    </cfRule>
  </conditionalFormatting>
  <conditionalFormatting sqref="AD9">
    <cfRule type="containsText" dxfId="1154" priority="1058" operator="containsText" text="GP2">
      <formula>NOT(ISERROR(SEARCH("GP2",AD9)))</formula>
    </cfRule>
    <cfRule type="containsText" dxfId="1153" priority="1059" operator="containsText" text="GP1">
      <formula>NOT(ISERROR(SEARCH("GP1",AD9)))</formula>
    </cfRule>
  </conditionalFormatting>
  <conditionalFormatting sqref="AD9">
    <cfRule type="containsText" dxfId="1152" priority="1056" operator="containsText" text="GP2">
      <formula>NOT(ISERROR(SEARCH("GP2",AD9)))</formula>
    </cfRule>
    <cfRule type="containsText" dxfId="1151" priority="1057" operator="containsText" text="GP1">
      <formula>NOT(ISERROR(SEARCH("GP1",AD9)))</formula>
    </cfRule>
  </conditionalFormatting>
  <conditionalFormatting sqref="AD9">
    <cfRule type="containsText" dxfId="1150" priority="1054" operator="containsText" text="GP2">
      <formula>NOT(ISERROR(SEARCH("GP2",AD9)))</formula>
    </cfRule>
    <cfRule type="containsText" dxfId="1149" priority="1055" operator="containsText" text="GP1">
      <formula>NOT(ISERROR(SEARCH("GP1",AD9)))</formula>
    </cfRule>
  </conditionalFormatting>
  <conditionalFormatting sqref="AD9">
    <cfRule type="containsText" dxfId="1148" priority="1052" operator="containsText" text="GP2">
      <formula>NOT(ISERROR(SEARCH("GP2",AD9)))</formula>
    </cfRule>
    <cfRule type="containsText" dxfId="1147" priority="1053" operator="containsText" text="GP1">
      <formula>NOT(ISERROR(SEARCH("GP1",AD9)))</formula>
    </cfRule>
  </conditionalFormatting>
  <conditionalFormatting sqref="AD9">
    <cfRule type="containsText" dxfId="1146" priority="1050" operator="containsText" text="GP2">
      <formula>NOT(ISERROR(SEARCH("GP2",AD9)))</formula>
    </cfRule>
    <cfRule type="containsText" dxfId="1145" priority="1051" operator="containsText" text="GP1">
      <formula>NOT(ISERROR(SEARCH("GP1",AD9)))</formula>
    </cfRule>
  </conditionalFormatting>
  <conditionalFormatting sqref="AD9">
    <cfRule type="containsText" dxfId="1144" priority="1048" operator="containsText" text="GP2">
      <formula>NOT(ISERROR(SEARCH("GP2",AD9)))</formula>
    </cfRule>
    <cfRule type="containsText" dxfId="1143" priority="1049" operator="containsText" text="GP1">
      <formula>NOT(ISERROR(SEARCH("GP1",AD9)))</formula>
    </cfRule>
  </conditionalFormatting>
  <conditionalFormatting sqref="AD9">
    <cfRule type="containsText" dxfId="1142" priority="1046" operator="containsText" text="GP2">
      <formula>NOT(ISERROR(SEARCH("GP2",AD9)))</formula>
    </cfRule>
    <cfRule type="containsText" dxfId="1141" priority="1047" operator="containsText" text="GP1">
      <formula>NOT(ISERROR(SEARCH("GP1",AD9)))</formula>
    </cfRule>
  </conditionalFormatting>
  <conditionalFormatting sqref="AD9">
    <cfRule type="containsText" dxfId="1140" priority="1044" operator="containsText" text="GP2">
      <formula>NOT(ISERROR(SEARCH("GP2",AD9)))</formula>
    </cfRule>
    <cfRule type="containsText" dxfId="1139" priority="1045" operator="containsText" text="GP1">
      <formula>NOT(ISERROR(SEARCH("GP1",AD9)))</formula>
    </cfRule>
  </conditionalFormatting>
  <conditionalFormatting sqref="AD9">
    <cfRule type="containsText" dxfId="1138" priority="1042" operator="containsText" text="GP2">
      <formula>NOT(ISERROR(SEARCH("GP2",AD9)))</formula>
    </cfRule>
    <cfRule type="containsText" dxfId="1137" priority="1043" operator="containsText" text="GP1">
      <formula>NOT(ISERROR(SEARCH("GP1",AD9)))</formula>
    </cfRule>
  </conditionalFormatting>
  <conditionalFormatting sqref="AD9">
    <cfRule type="containsText" dxfId="1136" priority="1040" operator="containsText" text="GP2">
      <formula>NOT(ISERROR(SEARCH("GP2",AD9)))</formula>
    </cfRule>
    <cfRule type="containsText" dxfId="1135" priority="1041" operator="containsText" text="GP1">
      <formula>NOT(ISERROR(SEARCH("GP1",AD9)))</formula>
    </cfRule>
  </conditionalFormatting>
  <conditionalFormatting sqref="AD9">
    <cfRule type="containsText" dxfId="1134" priority="1038" operator="containsText" text="GP2">
      <formula>NOT(ISERROR(SEARCH("GP2",AD9)))</formula>
    </cfRule>
    <cfRule type="containsText" dxfId="1133" priority="1039" operator="containsText" text="GP1">
      <formula>NOT(ISERROR(SEARCH("GP1",AD9)))</formula>
    </cfRule>
  </conditionalFormatting>
  <conditionalFormatting sqref="AD9">
    <cfRule type="containsText" dxfId="1132" priority="1036" operator="containsText" text="GP2">
      <formula>NOT(ISERROR(SEARCH("GP2",AD9)))</formula>
    </cfRule>
    <cfRule type="containsText" dxfId="1131" priority="1037" operator="containsText" text="GP1">
      <formula>NOT(ISERROR(SEARCH("GP1",AD9)))</formula>
    </cfRule>
  </conditionalFormatting>
  <conditionalFormatting sqref="AD9">
    <cfRule type="containsText" dxfId="1130" priority="1034" operator="containsText" text="GP2">
      <formula>NOT(ISERROR(SEARCH("GP2",AD9)))</formula>
    </cfRule>
    <cfRule type="containsText" dxfId="1129" priority="1035" operator="containsText" text="GP1">
      <formula>NOT(ISERROR(SEARCH("GP1",AD9)))</formula>
    </cfRule>
  </conditionalFormatting>
  <conditionalFormatting sqref="AD9">
    <cfRule type="containsText" dxfId="1128" priority="1032" operator="containsText" text="GP2">
      <formula>NOT(ISERROR(SEARCH("GP2",AD9)))</formula>
    </cfRule>
    <cfRule type="containsText" dxfId="1127" priority="1033" operator="containsText" text="GP1">
      <formula>NOT(ISERROR(SEARCH("GP1",AD9)))</formula>
    </cfRule>
  </conditionalFormatting>
  <conditionalFormatting sqref="AD9">
    <cfRule type="containsText" dxfId="1126" priority="1030" operator="containsText" text="GP2">
      <formula>NOT(ISERROR(SEARCH("GP2",AD9)))</formula>
    </cfRule>
    <cfRule type="containsText" dxfId="1125" priority="1031" operator="containsText" text="GP1">
      <formula>NOT(ISERROR(SEARCH("GP1",AD9)))</formula>
    </cfRule>
  </conditionalFormatting>
  <conditionalFormatting sqref="AD9">
    <cfRule type="containsText" dxfId="1124" priority="1028" operator="containsText" text="GP2">
      <formula>NOT(ISERROR(SEARCH("GP2",AD9)))</formula>
    </cfRule>
    <cfRule type="containsText" dxfId="1123" priority="1029" operator="containsText" text="GP1">
      <formula>NOT(ISERROR(SEARCH("GP1",AD9)))</formula>
    </cfRule>
  </conditionalFormatting>
  <conditionalFormatting sqref="AD9">
    <cfRule type="containsText" dxfId="1122" priority="1026" operator="containsText" text="GP2">
      <formula>NOT(ISERROR(SEARCH("GP2",AD9)))</formula>
    </cfRule>
    <cfRule type="containsText" dxfId="1121" priority="1027" operator="containsText" text="GP1">
      <formula>NOT(ISERROR(SEARCH("GP1",AD9)))</formula>
    </cfRule>
  </conditionalFormatting>
  <conditionalFormatting sqref="AD9">
    <cfRule type="containsText" dxfId="1120" priority="1024" operator="containsText" text="GP2">
      <formula>NOT(ISERROR(SEARCH("GP2",AD9)))</formula>
    </cfRule>
    <cfRule type="containsText" dxfId="1119" priority="1025" operator="containsText" text="GP1">
      <formula>NOT(ISERROR(SEARCH("GP1",AD9)))</formula>
    </cfRule>
  </conditionalFormatting>
  <conditionalFormatting sqref="AD9">
    <cfRule type="containsText" dxfId="1118" priority="1022" operator="containsText" text="GP2">
      <formula>NOT(ISERROR(SEARCH("GP2",AD9)))</formula>
    </cfRule>
    <cfRule type="containsText" dxfId="1117" priority="1023" operator="containsText" text="GP1">
      <formula>NOT(ISERROR(SEARCH("GP1",AD9)))</formula>
    </cfRule>
  </conditionalFormatting>
  <conditionalFormatting sqref="AD9">
    <cfRule type="containsText" dxfId="1116" priority="1020" operator="containsText" text="GP2">
      <formula>NOT(ISERROR(SEARCH("GP2",AD9)))</formula>
    </cfRule>
    <cfRule type="containsText" dxfId="1115" priority="1021" operator="containsText" text="GP1">
      <formula>NOT(ISERROR(SEARCH("GP1",AD9)))</formula>
    </cfRule>
  </conditionalFormatting>
  <conditionalFormatting sqref="AD9">
    <cfRule type="containsText" dxfId="1114" priority="1018" operator="containsText" text="GP2">
      <formula>NOT(ISERROR(SEARCH("GP2",AD9)))</formula>
    </cfRule>
    <cfRule type="containsText" dxfId="1113" priority="1019" operator="containsText" text="GP1">
      <formula>NOT(ISERROR(SEARCH("GP1",AD9)))</formula>
    </cfRule>
  </conditionalFormatting>
  <conditionalFormatting sqref="AD9">
    <cfRule type="containsText" dxfId="1112" priority="1016" operator="containsText" text="GP2">
      <formula>NOT(ISERROR(SEARCH("GP2",AD9)))</formula>
    </cfRule>
    <cfRule type="containsText" dxfId="1111" priority="1017" operator="containsText" text="GP1">
      <formula>NOT(ISERROR(SEARCH("GP1",AD9)))</formula>
    </cfRule>
  </conditionalFormatting>
  <conditionalFormatting sqref="AD9">
    <cfRule type="containsText" dxfId="1110" priority="1014" operator="containsText" text="GP2">
      <formula>NOT(ISERROR(SEARCH("GP2",AD9)))</formula>
    </cfRule>
    <cfRule type="containsText" dxfId="1109" priority="1015" operator="containsText" text="GP1">
      <formula>NOT(ISERROR(SEARCH("GP1",AD9)))</formula>
    </cfRule>
  </conditionalFormatting>
  <conditionalFormatting sqref="AD9">
    <cfRule type="containsText" dxfId="1108" priority="1012" operator="containsText" text="GP2">
      <formula>NOT(ISERROR(SEARCH("GP2",AD9)))</formula>
    </cfRule>
    <cfRule type="containsText" dxfId="1107" priority="1013" operator="containsText" text="GP1">
      <formula>NOT(ISERROR(SEARCH("GP1",AD9)))</formula>
    </cfRule>
  </conditionalFormatting>
  <conditionalFormatting sqref="AD9">
    <cfRule type="containsText" dxfId="1106" priority="1010" operator="containsText" text="GP2">
      <formula>NOT(ISERROR(SEARCH("GP2",AD9)))</formula>
    </cfRule>
    <cfRule type="containsText" dxfId="1105" priority="1011" operator="containsText" text="GP1">
      <formula>NOT(ISERROR(SEARCH("GP1",AD9)))</formula>
    </cfRule>
  </conditionalFormatting>
  <conditionalFormatting sqref="AD9">
    <cfRule type="containsText" dxfId="1104" priority="1008" operator="containsText" text="GP2">
      <formula>NOT(ISERROR(SEARCH("GP2",AD9)))</formula>
    </cfRule>
    <cfRule type="containsText" dxfId="1103" priority="1009" operator="containsText" text="GP1">
      <formula>NOT(ISERROR(SEARCH("GP1",AD9)))</formula>
    </cfRule>
  </conditionalFormatting>
  <conditionalFormatting sqref="AD9">
    <cfRule type="containsText" dxfId="1102" priority="1006" operator="containsText" text="GP2">
      <formula>NOT(ISERROR(SEARCH("GP2",AD9)))</formula>
    </cfRule>
    <cfRule type="containsText" dxfId="1101" priority="1007" operator="containsText" text="GP1">
      <formula>NOT(ISERROR(SEARCH("GP1",AD9)))</formula>
    </cfRule>
  </conditionalFormatting>
  <conditionalFormatting sqref="AD9">
    <cfRule type="containsText" dxfId="1100" priority="1004" operator="containsText" text="GP2">
      <formula>NOT(ISERROR(SEARCH("GP2",AD9)))</formula>
    </cfRule>
    <cfRule type="containsText" dxfId="1099" priority="1005" operator="containsText" text="GP1">
      <formula>NOT(ISERROR(SEARCH("GP1",AD9)))</formula>
    </cfRule>
  </conditionalFormatting>
  <conditionalFormatting sqref="AD9">
    <cfRule type="containsText" dxfId="1098" priority="1002" operator="containsText" text="GP2">
      <formula>NOT(ISERROR(SEARCH("GP2",AD9)))</formula>
    </cfRule>
    <cfRule type="containsText" dxfId="1097" priority="1003" operator="containsText" text="GP1">
      <formula>NOT(ISERROR(SEARCH("GP1",AD9)))</formula>
    </cfRule>
  </conditionalFormatting>
  <conditionalFormatting sqref="AD9">
    <cfRule type="containsText" dxfId="1096" priority="1000" operator="containsText" text="GP2">
      <formula>NOT(ISERROR(SEARCH("GP2",AD9)))</formula>
    </cfRule>
    <cfRule type="containsText" dxfId="1095" priority="1001" operator="containsText" text="GP1">
      <formula>NOT(ISERROR(SEARCH("GP1",AD9)))</formula>
    </cfRule>
  </conditionalFormatting>
  <conditionalFormatting sqref="AD9">
    <cfRule type="containsText" dxfId="1094" priority="998" operator="containsText" text="GP2">
      <formula>NOT(ISERROR(SEARCH("GP2",AD9)))</formula>
    </cfRule>
    <cfRule type="containsText" dxfId="1093" priority="999" operator="containsText" text="GP1">
      <formula>NOT(ISERROR(SEARCH("GP1",AD9)))</formula>
    </cfRule>
  </conditionalFormatting>
  <conditionalFormatting sqref="AD9">
    <cfRule type="containsText" dxfId="1092" priority="996" operator="containsText" text="GP2">
      <formula>NOT(ISERROR(SEARCH("GP2",AD9)))</formula>
    </cfRule>
    <cfRule type="containsText" dxfId="1091" priority="997" operator="containsText" text="GP1">
      <formula>NOT(ISERROR(SEARCH("GP1",AD9)))</formula>
    </cfRule>
  </conditionalFormatting>
  <conditionalFormatting sqref="AD9">
    <cfRule type="containsText" dxfId="1090" priority="994" operator="containsText" text="GP2">
      <formula>NOT(ISERROR(SEARCH("GP2",AD9)))</formula>
    </cfRule>
    <cfRule type="containsText" dxfId="1089" priority="995" operator="containsText" text="GP1">
      <formula>NOT(ISERROR(SEARCH("GP1",AD9)))</formula>
    </cfRule>
  </conditionalFormatting>
  <conditionalFormatting sqref="AD9">
    <cfRule type="containsText" dxfId="1088" priority="992" operator="containsText" text="GP2">
      <formula>NOT(ISERROR(SEARCH("GP2",AD9)))</formula>
    </cfRule>
    <cfRule type="containsText" dxfId="1087" priority="993" operator="containsText" text="GP1">
      <formula>NOT(ISERROR(SEARCH("GP1",AD9)))</formula>
    </cfRule>
  </conditionalFormatting>
  <conditionalFormatting sqref="AD9">
    <cfRule type="containsText" dxfId="1086" priority="990" operator="containsText" text="GP2">
      <formula>NOT(ISERROR(SEARCH("GP2",AD9)))</formula>
    </cfRule>
    <cfRule type="containsText" dxfId="1085" priority="991" operator="containsText" text="GP1">
      <formula>NOT(ISERROR(SEARCH("GP1",AD9)))</formula>
    </cfRule>
  </conditionalFormatting>
  <conditionalFormatting sqref="AD9">
    <cfRule type="containsText" dxfId="1084" priority="988" operator="containsText" text="GP2">
      <formula>NOT(ISERROR(SEARCH("GP2",AD9)))</formula>
    </cfRule>
    <cfRule type="containsText" dxfId="1083" priority="989" operator="containsText" text="GP1">
      <formula>NOT(ISERROR(SEARCH("GP1",AD9)))</formula>
    </cfRule>
  </conditionalFormatting>
  <conditionalFormatting sqref="AD9">
    <cfRule type="containsText" dxfId="1082" priority="986" operator="containsText" text="GP2">
      <formula>NOT(ISERROR(SEARCH("GP2",AD9)))</formula>
    </cfRule>
    <cfRule type="containsText" dxfId="1081" priority="987" operator="containsText" text="GP1">
      <formula>NOT(ISERROR(SEARCH("GP1",AD9)))</formula>
    </cfRule>
  </conditionalFormatting>
  <conditionalFormatting sqref="AD9">
    <cfRule type="containsText" dxfId="1080" priority="984" operator="containsText" text="GP2">
      <formula>NOT(ISERROR(SEARCH("GP2",AD9)))</formula>
    </cfRule>
    <cfRule type="containsText" dxfId="1079" priority="985" operator="containsText" text="GP1">
      <formula>NOT(ISERROR(SEARCH("GP1",AD9)))</formula>
    </cfRule>
  </conditionalFormatting>
  <conditionalFormatting sqref="AD9">
    <cfRule type="containsText" dxfId="1078" priority="982" operator="containsText" text="GP2">
      <formula>NOT(ISERROR(SEARCH("GP2",AD9)))</formula>
    </cfRule>
    <cfRule type="containsText" dxfId="1077" priority="983" operator="containsText" text="GP1">
      <formula>NOT(ISERROR(SEARCH("GP1",AD9)))</formula>
    </cfRule>
  </conditionalFormatting>
  <conditionalFormatting sqref="AD9">
    <cfRule type="containsText" dxfId="1076" priority="980" operator="containsText" text="GP2">
      <formula>NOT(ISERROR(SEARCH("GP2",AD9)))</formula>
    </cfRule>
    <cfRule type="containsText" dxfId="1075" priority="981" operator="containsText" text="GP1">
      <formula>NOT(ISERROR(SEARCH("GP1",AD9)))</formula>
    </cfRule>
  </conditionalFormatting>
  <conditionalFormatting sqref="AD9">
    <cfRule type="containsText" dxfId="1074" priority="978" operator="containsText" text="GP2">
      <formula>NOT(ISERROR(SEARCH("GP2",AD9)))</formula>
    </cfRule>
    <cfRule type="containsText" dxfId="1073" priority="979" operator="containsText" text="GP1">
      <formula>NOT(ISERROR(SEARCH("GP1",AD9)))</formula>
    </cfRule>
  </conditionalFormatting>
  <conditionalFormatting sqref="AD9">
    <cfRule type="containsText" dxfId="1072" priority="976" operator="containsText" text="GP2">
      <formula>NOT(ISERROR(SEARCH("GP2",AD9)))</formula>
    </cfRule>
    <cfRule type="containsText" dxfId="1071" priority="977" operator="containsText" text="GP1">
      <formula>NOT(ISERROR(SEARCH("GP1",AD9)))</formula>
    </cfRule>
  </conditionalFormatting>
  <conditionalFormatting sqref="AD9">
    <cfRule type="containsText" dxfId="1070" priority="974" operator="containsText" text="GP2">
      <formula>NOT(ISERROR(SEARCH("GP2",AD9)))</formula>
    </cfRule>
    <cfRule type="containsText" dxfId="1069" priority="975" operator="containsText" text="GP1">
      <formula>NOT(ISERROR(SEARCH("GP1",AD9)))</formula>
    </cfRule>
  </conditionalFormatting>
  <conditionalFormatting sqref="AD9">
    <cfRule type="containsText" dxfId="1068" priority="972" operator="containsText" text="GP2">
      <formula>NOT(ISERROR(SEARCH("GP2",AD9)))</formula>
    </cfRule>
    <cfRule type="containsText" dxfId="1067" priority="973" operator="containsText" text="GP1">
      <formula>NOT(ISERROR(SEARCH("GP1",AD9)))</formula>
    </cfRule>
  </conditionalFormatting>
  <conditionalFormatting sqref="AD9">
    <cfRule type="containsText" dxfId="1066" priority="970" operator="containsText" text="GP2">
      <formula>NOT(ISERROR(SEARCH("GP2",AD9)))</formula>
    </cfRule>
    <cfRule type="containsText" dxfId="1065" priority="971" operator="containsText" text="GP1">
      <formula>NOT(ISERROR(SEARCH("GP1",AD9)))</formula>
    </cfRule>
  </conditionalFormatting>
  <conditionalFormatting sqref="AD9">
    <cfRule type="containsText" dxfId="1064" priority="968" operator="containsText" text="GP2">
      <formula>NOT(ISERROR(SEARCH("GP2",AD9)))</formula>
    </cfRule>
    <cfRule type="containsText" dxfId="1063" priority="969" operator="containsText" text="GP1">
      <formula>NOT(ISERROR(SEARCH("GP1",AD9)))</formula>
    </cfRule>
  </conditionalFormatting>
  <conditionalFormatting sqref="AD9">
    <cfRule type="containsText" dxfId="1062" priority="966" operator="containsText" text="GP2">
      <formula>NOT(ISERROR(SEARCH("GP2",AD9)))</formula>
    </cfRule>
    <cfRule type="containsText" dxfId="1061" priority="967" operator="containsText" text="GP1">
      <formula>NOT(ISERROR(SEARCH("GP1",AD9)))</formula>
    </cfRule>
  </conditionalFormatting>
  <conditionalFormatting sqref="AD9">
    <cfRule type="containsText" dxfId="1060" priority="964" operator="containsText" text="GP2">
      <formula>NOT(ISERROR(SEARCH("GP2",AD9)))</formula>
    </cfRule>
    <cfRule type="containsText" dxfId="1059" priority="965" operator="containsText" text="GP1">
      <formula>NOT(ISERROR(SEARCH("GP1",AD9)))</formula>
    </cfRule>
  </conditionalFormatting>
  <conditionalFormatting sqref="AD9">
    <cfRule type="containsText" dxfId="1058" priority="962" operator="containsText" text="GP2">
      <formula>NOT(ISERROR(SEARCH("GP2",AD9)))</formula>
    </cfRule>
    <cfRule type="containsText" dxfId="1057" priority="963" operator="containsText" text="GP1">
      <formula>NOT(ISERROR(SEARCH("GP1",AD9)))</formula>
    </cfRule>
  </conditionalFormatting>
  <conditionalFormatting sqref="AD9">
    <cfRule type="containsText" dxfId="1056" priority="960" operator="containsText" text="GP2">
      <formula>NOT(ISERROR(SEARCH("GP2",AD9)))</formula>
    </cfRule>
    <cfRule type="containsText" dxfId="1055" priority="961" operator="containsText" text="GP1">
      <formula>NOT(ISERROR(SEARCH("GP1",AD9)))</formula>
    </cfRule>
  </conditionalFormatting>
  <conditionalFormatting sqref="AD9">
    <cfRule type="containsText" dxfId="1054" priority="958" operator="containsText" text="GP2">
      <formula>NOT(ISERROR(SEARCH("GP2",AD9)))</formula>
    </cfRule>
    <cfRule type="containsText" dxfId="1053" priority="959" operator="containsText" text="GP1">
      <formula>NOT(ISERROR(SEARCH("GP1",AD9)))</formula>
    </cfRule>
  </conditionalFormatting>
  <conditionalFormatting sqref="AD9">
    <cfRule type="containsText" dxfId="1052" priority="956" operator="containsText" text="GP2">
      <formula>NOT(ISERROR(SEARCH("GP2",AD9)))</formula>
    </cfRule>
    <cfRule type="containsText" dxfId="1051" priority="957" operator="containsText" text="GP1">
      <formula>NOT(ISERROR(SEARCH("GP1",AD9)))</formula>
    </cfRule>
  </conditionalFormatting>
  <conditionalFormatting sqref="AD9">
    <cfRule type="containsText" dxfId="1050" priority="954" operator="containsText" text="GP2">
      <formula>NOT(ISERROR(SEARCH("GP2",AD9)))</formula>
    </cfRule>
    <cfRule type="containsText" dxfId="1049" priority="955" operator="containsText" text="GP1">
      <formula>NOT(ISERROR(SEARCH("GP1",AD9)))</formula>
    </cfRule>
  </conditionalFormatting>
  <conditionalFormatting sqref="AD9">
    <cfRule type="containsText" dxfId="1048" priority="952" operator="containsText" text="GP2">
      <formula>NOT(ISERROR(SEARCH("GP2",AD9)))</formula>
    </cfRule>
    <cfRule type="containsText" dxfId="1047" priority="953" operator="containsText" text="GP1">
      <formula>NOT(ISERROR(SEARCH("GP1",AD9)))</formula>
    </cfRule>
  </conditionalFormatting>
  <conditionalFormatting sqref="AD9">
    <cfRule type="containsText" dxfId="1046" priority="950" operator="containsText" text="GP2">
      <formula>NOT(ISERROR(SEARCH("GP2",AD9)))</formula>
    </cfRule>
    <cfRule type="containsText" dxfId="1045" priority="951" operator="containsText" text="GP1">
      <formula>NOT(ISERROR(SEARCH("GP1",AD9)))</formula>
    </cfRule>
  </conditionalFormatting>
  <conditionalFormatting sqref="AD9">
    <cfRule type="containsText" dxfId="1044" priority="948" operator="containsText" text="GP2">
      <formula>NOT(ISERROR(SEARCH("GP2",AD9)))</formula>
    </cfRule>
    <cfRule type="containsText" dxfId="1043" priority="949" operator="containsText" text="GP1">
      <formula>NOT(ISERROR(SEARCH("GP1",AD9)))</formula>
    </cfRule>
  </conditionalFormatting>
  <conditionalFormatting sqref="AD9">
    <cfRule type="containsText" dxfId="1042" priority="946" operator="containsText" text="GP2">
      <formula>NOT(ISERROR(SEARCH("GP2",AD9)))</formula>
    </cfRule>
    <cfRule type="containsText" dxfId="1041" priority="947" operator="containsText" text="GP1">
      <formula>NOT(ISERROR(SEARCH("GP1",AD9)))</formula>
    </cfRule>
  </conditionalFormatting>
  <conditionalFormatting sqref="AD9">
    <cfRule type="containsText" dxfId="1040" priority="944" operator="containsText" text="GP2">
      <formula>NOT(ISERROR(SEARCH("GP2",AD9)))</formula>
    </cfRule>
    <cfRule type="containsText" dxfId="1039" priority="945" operator="containsText" text="GP1">
      <formula>NOT(ISERROR(SEARCH("GP1",AD9)))</formula>
    </cfRule>
  </conditionalFormatting>
  <conditionalFormatting sqref="AD9">
    <cfRule type="containsText" dxfId="1038" priority="942" operator="containsText" text="GP2">
      <formula>NOT(ISERROR(SEARCH("GP2",AD9)))</formula>
    </cfRule>
    <cfRule type="containsText" dxfId="1037" priority="943" operator="containsText" text="GP1">
      <formula>NOT(ISERROR(SEARCH("GP1",AD9)))</formula>
    </cfRule>
  </conditionalFormatting>
  <conditionalFormatting sqref="AD9">
    <cfRule type="containsText" dxfId="1036" priority="940" operator="containsText" text="GP2">
      <formula>NOT(ISERROR(SEARCH("GP2",AD9)))</formula>
    </cfRule>
    <cfRule type="containsText" dxfId="1035" priority="941" operator="containsText" text="GP1">
      <formula>NOT(ISERROR(SEARCH("GP1",AD9)))</formula>
    </cfRule>
  </conditionalFormatting>
  <conditionalFormatting sqref="AD9">
    <cfRule type="containsText" dxfId="1034" priority="938" operator="containsText" text="GP2">
      <formula>NOT(ISERROR(SEARCH("GP2",AD9)))</formula>
    </cfRule>
    <cfRule type="containsText" dxfId="1033" priority="939" operator="containsText" text="GP1">
      <formula>NOT(ISERROR(SEARCH("GP1",AD9)))</formula>
    </cfRule>
  </conditionalFormatting>
  <conditionalFormatting sqref="AD9">
    <cfRule type="containsText" dxfId="1032" priority="936" operator="containsText" text="GP2">
      <formula>NOT(ISERROR(SEARCH("GP2",AD9)))</formula>
    </cfRule>
    <cfRule type="containsText" dxfId="1031" priority="937" operator="containsText" text="GP1">
      <formula>NOT(ISERROR(SEARCH("GP1",AD9)))</formula>
    </cfRule>
  </conditionalFormatting>
  <conditionalFormatting sqref="AD9">
    <cfRule type="containsText" dxfId="1030" priority="934" operator="containsText" text="GP2">
      <formula>NOT(ISERROR(SEARCH("GP2",AD9)))</formula>
    </cfRule>
    <cfRule type="containsText" dxfId="1029" priority="935" operator="containsText" text="GP1">
      <formula>NOT(ISERROR(SEARCH("GP1",AD9)))</formula>
    </cfRule>
  </conditionalFormatting>
  <conditionalFormatting sqref="AD9">
    <cfRule type="containsText" dxfId="1028" priority="932" operator="containsText" text="GP2">
      <formula>NOT(ISERROR(SEARCH("GP2",AD9)))</formula>
    </cfRule>
    <cfRule type="containsText" dxfId="1027" priority="933" operator="containsText" text="GP1">
      <formula>NOT(ISERROR(SEARCH("GP1",AD9)))</formula>
    </cfRule>
  </conditionalFormatting>
  <conditionalFormatting sqref="AD9">
    <cfRule type="containsText" dxfId="1026" priority="930" operator="containsText" text="GP2">
      <formula>NOT(ISERROR(SEARCH("GP2",AD9)))</formula>
    </cfRule>
    <cfRule type="containsText" dxfId="1025" priority="931" operator="containsText" text="GP1">
      <formula>NOT(ISERROR(SEARCH("GP1",AD9)))</formula>
    </cfRule>
  </conditionalFormatting>
  <conditionalFormatting sqref="AD9">
    <cfRule type="containsText" dxfId="1024" priority="928" operator="containsText" text="GP2">
      <formula>NOT(ISERROR(SEARCH("GP2",AD9)))</formula>
    </cfRule>
    <cfRule type="containsText" dxfId="1023" priority="929" operator="containsText" text="GP1">
      <formula>NOT(ISERROR(SEARCH("GP1",AD9)))</formula>
    </cfRule>
  </conditionalFormatting>
  <conditionalFormatting sqref="AD9">
    <cfRule type="containsText" dxfId="1022" priority="926" operator="containsText" text="GP2">
      <formula>NOT(ISERROR(SEARCH("GP2",AD9)))</formula>
    </cfRule>
    <cfRule type="containsText" dxfId="1021" priority="927" operator="containsText" text="GP1">
      <formula>NOT(ISERROR(SEARCH("GP1",AD9)))</formula>
    </cfRule>
  </conditionalFormatting>
  <conditionalFormatting sqref="AD9">
    <cfRule type="containsText" dxfId="1020" priority="924" operator="containsText" text="GP2">
      <formula>NOT(ISERROR(SEARCH("GP2",AD9)))</formula>
    </cfRule>
    <cfRule type="containsText" dxfId="1019" priority="925" operator="containsText" text="GP1">
      <formula>NOT(ISERROR(SEARCH("GP1",AD9)))</formula>
    </cfRule>
  </conditionalFormatting>
  <conditionalFormatting sqref="AD9">
    <cfRule type="containsText" dxfId="1018" priority="922" operator="containsText" text="GP2">
      <formula>NOT(ISERROR(SEARCH("GP2",AD9)))</formula>
    </cfRule>
    <cfRule type="containsText" dxfId="1017" priority="923" operator="containsText" text="GP1">
      <formula>NOT(ISERROR(SEARCH("GP1",AD9)))</formula>
    </cfRule>
  </conditionalFormatting>
  <conditionalFormatting sqref="AD9">
    <cfRule type="containsText" dxfId="1016" priority="920" operator="containsText" text="GP2">
      <formula>NOT(ISERROR(SEARCH("GP2",AD9)))</formula>
    </cfRule>
    <cfRule type="containsText" dxfId="1015" priority="921" operator="containsText" text="GP1">
      <formula>NOT(ISERROR(SEARCH("GP1",AD9)))</formula>
    </cfRule>
  </conditionalFormatting>
  <conditionalFormatting sqref="AD9">
    <cfRule type="containsText" dxfId="1014" priority="918" operator="containsText" text="GP2">
      <formula>NOT(ISERROR(SEARCH("GP2",AD9)))</formula>
    </cfRule>
    <cfRule type="containsText" dxfId="1013" priority="919" operator="containsText" text="GP1">
      <formula>NOT(ISERROR(SEARCH("GP1",AD9)))</formula>
    </cfRule>
  </conditionalFormatting>
  <conditionalFormatting sqref="AD9">
    <cfRule type="containsText" dxfId="1012" priority="916" operator="containsText" text="GP2">
      <formula>NOT(ISERROR(SEARCH("GP2",AD9)))</formula>
    </cfRule>
    <cfRule type="containsText" dxfId="1011" priority="917" operator="containsText" text="GP1">
      <formula>NOT(ISERROR(SEARCH("GP1",AD9)))</formula>
    </cfRule>
  </conditionalFormatting>
  <conditionalFormatting sqref="AD9">
    <cfRule type="containsText" dxfId="1010" priority="914" operator="containsText" text="GP2">
      <formula>NOT(ISERROR(SEARCH("GP2",AD9)))</formula>
    </cfRule>
    <cfRule type="containsText" dxfId="1009" priority="915" operator="containsText" text="GP1">
      <formula>NOT(ISERROR(SEARCH("GP1",AD9)))</formula>
    </cfRule>
  </conditionalFormatting>
  <conditionalFormatting sqref="AD9">
    <cfRule type="containsText" dxfId="1008" priority="912" operator="containsText" text="GP2">
      <formula>NOT(ISERROR(SEARCH("GP2",AD9)))</formula>
    </cfRule>
    <cfRule type="containsText" dxfId="1007" priority="913" operator="containsText" text="GP1">
      <formula>NOT(ISERROR(SEARCH("GP1",AD9)))</formula>
    </cfRule>
  </conditionalFormatting>
  <conditionalFormatting sqref="AD9">
    <cfRule type="containsText" dxfId="1006" priority="910" operator="containsText" text="GP2">
      <formula>NOT(ISERROR(SEARCH("GP2",AD9)))</formula>
    </cfRule>
    <cfRule type="containsText" dxfId="1005" priority="911" operator="containsText" text="GP1">
      <formula>NOT(ISERROR(SEARCH("GP1",AD9)))</formula>
    </cfRule>
  </conditionalFormatting>
  <conditionalFormatting sqref="AD9">
    <cfRule type="containsText" dxfId="1004" priority="908" operator="containsText" text="GP2">
      <formula>NOT(ISERROR(SEARCH("GP2",AD9)))</formula>
    </cfRule>
    <cfRule type="containsText" dxfId="1003" priority="909" operator="containsText" text="GP1">
      <formula>NOT(ISERROR(SEARCH("GP1",AD9)))</formula>
    </cfRule>
  </conditionalFormatting>
  <conditionalFormatting sqref="AD9">
    <cfRule type="containsText" dxfId="1002" priority="906" operator="containsText" text="GP2">
      <formula>NOT(ISERROR(SEARCH("GP2",AD9)))</formula>
    </cfRule>
    <cfRule type="containsText" dxfId="1001" priority="907" operator="containsText" text="GP1">
      <formula>NOT(ISERROR(SEARCH("GP1",AD9)))</formula>
    </cfRule>
  </conditionalFormatting>
  <conditionalFormatting sqref="AD9">
    <cfRule type="containsText" dxfId="1000" priority="904" operator="containsText" text="GP2">
      <formula>NOT(ISERROR(SEARCH("GP2",AD9)))</formula>
    </cfRule>
    <cfRule type="containsText" dxfId="999" priority="905" operator="containsText" text="GP1">
      <formula>NOT(ISERROR(SEARCH("GP1",AD9)))</formula>
    </cfRule>
  </conditionalFormatting>
  <conditionalFormatting sqref="AD9">
    <cfRule type="containsText" dxfId="998" priority="902" operator="containsText" text="GP2">
      <formula>NOT(ISERROR(SEARCH("GP2",AD9)))</formula>
    </cfRule>
    <cfRule type="containsText" dxfId="997" priority="903" operator="containsText" text="GP1">
      <formula>NOT(ISERROR(SEARCH("GP1",AD9)))</formula>
    </cfRule>
  </conditionalFormatting>
  <conditionalFormatting sqref="AD9">
    <cfRule type="containsText" dxfId="996" priority="900" operator="containsText" text="GP2">
      <formula>NOT(ISERROR(SEARCH("GP2",AD9)))</formula>
    </cfRule>
    <cfRule type="containsText" dxfId="995" priority="901" operator="containsText" text="GP1">
      <formula>NOT(ISERROR(SEARCH("GP1",AD9)))</formula>
    </cfRule>
  </conditionalFormatting>
  <conditionalFormatting sqref="AD9">
    <cfRule type="containsText" dxfId="994" priority="898" operator="containsText" text="GP2">
      <formula>NOT(ISERROR(SEARCH("GP2",AD9)))</formula>
    </cfRule>
    <cfRule type="containsText" dxfId="993" priority="899" operator="containsText" text="GP1">
      <formula>NOT(ISERROR(SEARCH("GP1",AD9)))</formula>
    </cfRule>
  </conditionalFormatting>
  <conditionalFormatting sqref="AD9">
    <cfRule type="containsText" dxfId="992" priority="896" operator="containsText" text="GP2">
      <formula>NOT(ISERROR(SEARCH("GP2",AD9)))</formula>
    </cfRule>
    <cfRule type="containsText" dxfId="991" priority="897" operator="containsText" text="GP1">
      <formula>NOT(ISERROR(SEARCH("GP1",AD9)))</formula>
    </cfRule>
  </conditionalFormatting>
  <conditionalFormatting sqref="AD9">
    <cfRule type="containsText" dxfId="990" priority="894" operator="containsText" text="GP2">
      <formula>NOT(ISERROR(SEARCH("GP2",AD9)))</formula>
    </cfRule>
    <cfRule type="containsText" dxfId="989" priority="895" operator="containsText" text="GP1">
      <formula>NOT(ISERROR(SEARCH("GP1",AD9)))</formula>
    </cfRule>
  </conditionalFormatting>
  <conditionalFormatting sqref="AD9">
    <cfRule type="containsText" dxfId="988" priority="892" operator="containsText" text="GP2">
      <formula>NOT(ISERROR(SEARCH("GP2",AD9)))</formula>
    </cfRule>
    <cfRule type="containsText" dxfId="987" priority="893" operator="containsText" text="GP1">
      <formula>NOT(ISERROR(SEARCH("GP1",AD9)))</formula>
    </cfRule>
  </conditionalFormatting>
  <conditionalFormatting sqref="AD9">
    <cfRule type="containsText" dxfId="986" priority="890" operator="containsText" text="GP2">
      <formula>NOT(ISERROR(SEARCH("GP2",AD9)))</formula>
    </cfRule>
    <cfRule type="containsText" dxfId="985" priority="891" operator="containsText" text="GP1">
      <formula>NOT(ISERROR(SEARCH("GP1",AD9)))</formula>
    </cfRule>
  </conditionalFormatting>
  <conditionalFormatting sqref="AD9">
    <cfRule type="containsText" dxfId="984" priority="888" operator="containsText" text="GP2">
      <formula>NOT(ISERROR(SEARCH("GP2",AD9)))</formula>
    </cfRule>
    <cfRule type="containsText" dxfId="983" priority="889" operator="containsText" text="GP1">
      <formula>NOT(ISERROR(SEARCH("GP1",AD9)))</formula>
    </cfRule>
  </conditionalFormatting>
  <conditionalFormatting sqref="AD9">
    <cfRule type="containsText" dxfId="982" priority="886" operator="containsText" text="GP2">
      <formula>NOT(ISERROR(SEARCH("GP2",AD9)))</formula>
    </cfRule>
    <cfRule type="containsText" dxfId="981" priority="887" operator="containsText" text="GP1">
      <formula>NOT(ISERROR(SEARCH("GP1",AD9)))</formula>
    </cfRule>
  </conditionalFormatting>
  <conditionalFormatting sqref="AD9">
    <cfRule type="containsText" dxfId="980" priority="884" operator="containsText" text="GP2">
      <formula>NOT(ISERROR(SEARCH("GP2",AD9)))</formula>
    </cfRule>
    <cfRule type="containsText" dxfId="979" priority="885" operator="containsText" text="GP1">
      <formula>NOT(ISERROR(SEARCH("GP1",AD9)))</formula>
    </cfRule>
  </conditionalFormatting>
  <conditionalFormatting sqref="AD9">
    <cfRule type="containsText" dxfId="978" priority="882" operator="containsText" text="GP2">
      <formula>NOT(ISERROR(SEARCH("GP2",AD9)))</formula>
    </cfRule>
    <cfRule type="containsText" dxfId="977" priority="883" operator="containsText" text="GP1">
      <formula>NOT(ISERROR(SEARCH("GP1",AD9)))</formula>
    </cfRule>
  </conditionalFormatting>
  <conditionalFormatting sqref="AD9">
    <cfRule type="containsText" dxfId="976" priority="880" operator="containsText" text="GP2">
      <formula>NOT(ISERROR(SEARCH("GP2",AD9)))</formula>
    </cfRule>
    <cfRule type="containsText" dxfId="975" priority="881" operator="containsText" text="GP1">
      <formula>NOT(ISERROR(SEARCH("GP1",AD9)))</formula>
    </cfRule>
  </conditionalFormatting>
  <conditionalFormatting sqref="AD9">
    <cfRule type="containsText" dxfId="974" priority="878" operator="containsText" text="GP2">
      <formula>NOT(ISERROR(SEARCH("GP2",AD9)))</formula>
    </cfRule>
    <cfRule type="containsText" dxfId="973" priority="879" operator="containsText" text="GP1">
      <formula>NOT(ISERROR(SEARCH("GP1",AD9)))</formula>
    </cfRule>
  </conditionalFormatting>
  <conditionalFormatting sqref="AD9">
    <cfRule type="containsText" dxfId="972" priority="876" operator="containsText" text="GP2">
      <formula>NOT(ISERROR(SEARCH("GP2",AD9)))</formula>
    </cfRule>
    <cfRule type="containsText" dxfId="971" priority="877" operator="containsText" text="GP1">
      <formula>NOT(ISERROR(SEARCH("GP1",AD9)))</formula>
    </cfRule>
  </conditionalFormatting>
  <conditionalFormatting sqref="AD9">
    <cfRule type="containsText" dxfId="970" priority="874" operator="containsText" text="GP2">
      <formula>NOT(ISERROR(SEARCH("GP2",AD9)))</formula>
    </cfRule>
    <cfRule type="containsText" dxfId="969" priority="875" operator="containsText" text="GP1">
      <formula>NOT(ISERROR(SEARCH("GP1",AD9)))</formula>
    </cfRule>
  </conditionalFormatting>
  <conditionalFormatting sqref="AD9">
    <cfRule type="containsText" dxfId="968" priority="872" operator="containsText" text="GP2">
      <formula>NOT(ISERROR(SEARCH("GP2",AD9)))</formula>
    </cfRule>
    <cfRule type="containsText" dxfId="967" priority="873" operator="containsText" text="GP1">
      <formula>NOT(ISERROR(SEARCH("GP1",AD9)))</formula>
    </cfRule>
  </conditionalFormatting>
  <conditionalFormatting sqref="AD9">
    <cfRule type="containsText" dxfId="966" priority="870" operator="containsText" text="GP2">
      <formula>NOT(ISERROR(SEARCH("GP2",AD9)))</formula>
    </cfRule>
    <cfRule type="containsText" dxfId="965" priority="871" operator="containsText" text="GP1">
      <formula>NOT(ISERROR(SEARCH("GP1",AD9)))</formula>
    </cfRule>
  </conditionalFormatting>
  <conditionalFormatting sqref="AD9">
    <cfRule type="containsText" dxfId="964" priority="868" operator="containsText" text="GP2">
      <formula>NOT(ISERROR(SEARCH("GP2",AD9)))</formula>
    </cfRule>
    <cfRule type="containsText" dxfId="963" priority="869" operator="containsText" text="GP1">
      <formula>NOT(ISERROR(SEARCH("GP1",AD9)))</formula>
    </cfRule>
  </conditionalFormatting>
  <conditionalFormatting sqref="AD9">
    <cfRule type="containsText" dxfId="962" priority="866" operator="containsText" text="GP2">
      <formula>NOT(ISERROR(SEARCH("GP2",AD9)))</formula>
    </cfRule>
    <cfRule type="containsText" dxfId="961" priority="867" operator="containsText" text="GP1">
      <formula>NOT(ISERROR(SEARCH("GP1",AD9)))</formula>
    </cfRule>
  </conditionalFormatting>
  <conditionalFormatting sqref="AD9">
    <cfRule type="containsText" dxfId="960" priority="864" operator="containsText" text="GP2">
      <formula>NOT(ISERROR(SEARCH("GP2",AD9)))</formula>
    </cfRule>
    <cfRule type="containsText" dxfId="959" priority="865" operator="containsText" text="GP1">
      <formula>NOT(ISERROR(SEARCH("GP1",AD9)))</formula>
    </cfRule>
  </conditionalFormatting>
  <conditionalFormatting sqref="AD9">
    <cfRule type="containsText" dxfId="958" priority="862" operator="containsText" text="GP2">
      <formula>NOT(ISERROR(SEARCH("GP2",AD9)))</formula>
    </cfRule>
    <cfRule type="containsText" dxfId="957" priority="863" operator="containsText" text="GP1">
      <formula>NOT(ISERROR(SEARCH("GP1",AD9)))</formula>
    </cfRule>
  </conditionalFormatting>
  <conditionalFormatting sqref="AD9">
    <cfRule type="containsText" dxfId="956" priority="860" operator="containsText" text="GP2">
      <formula>NOT(ISERROR(SEARCH("GP2",AD9)))</formula>
    </cfRule>
    <cfRule type="containsText" dxfId="955" priority="861" operator="containsText" text="GP1">
      <formula>NOT(ISERROR(SEARCH("GP1",AD9)))</formula>
    </cfRule>
  </conditionalFormatting>
  <conditionalFormatting sqref="AD9">
    <cfRule type="containsText" dxfId="954" priority="858" operator="containsText" text="GP2">
      <formula>NOT(ISERROR(SEARCH("GP2",AD9)))</formula>
    </cfRule>
    <cfRule type="containsText" dxfId="953" priority="859" operator="containsText" text="GP1">
      <formula>NOT(ISERROR(SEARCH("GP1",AD9)))</formula>
    </cfRule>
  </conditionalFormatting>
  <conditionalFormatting sqref="AD9">
    <cfRule type="containsText" dxfId="952" priority="856" operator="containsText" text="GP2">
      <formula>NOT(ISERROR(SEARCH("GP2",AD9)))</formula>
    </cfRule>
    <cfRule type="containsText" dxfId="951" priority="857" operator="containsText" text="GP1">
      <formula>NOT(ISERROR(SEARCH("GP1",AD9)))</formula>
    </cfRule>
  </conditionalFormatting>
  <conditionalFormatting sqref="AD9">
    <cfRule type="containsText" dxfId="950" priority="854" operator="containsText" text="GP2">
      <formula>NOT(ISERROR(SEARCH("GP2",AD9)))</formula>
    </cfRule>
    <cfRule type="containsText" dxfId="949" priority="855" operator="containsText" text="GP1">
      <formula>NOT(ISERROR(SEARCH("GP1",AD9)))</formula>
    </cfRule>
  </conditionalFormatting>
  <conditionalFormatting sqref="AD9">
    <cfRule type="containsText" dxfId="948" priority="852" operator="containsText" text="GP2">
      <formula>NOT(ISERROR(SEARCH("GP2",AD9)))</formula>
    </cfRule>
    <cfRule type="containsText" dxfId="947" priority="853" operator="containsText" text="GP1">
      <formula>NOT(ISERROR(SEARCH("GP1",AD9)))</formula>
    </cfRule>
  </conditionalFormatting>
  <conditionalFormatting sqref="AD9">
    <cfRule type="containsText" dxfId="946" priority="850" operator="containsText" text="GP2">
      <formula>NOT(ISERROR(SEARCH("GP2",AD9)))</formula>
    </cfRule>
    <cfRule type="containsText" dxfId="945" priority="851" operator="containsText" text="GP1">
      <formula>NOT(ISERROR(SEARCH("GP1",AD9)))</formula>
    </cfRule>
  </conditionalFormatting>
  <conditionalFormatting sqref="AD9">
    <cfRule type="containsText" dxfId="944" priority="848" operator="containsText" text="GP2">
      <formula>NOT(ISERROR(SEARCH("GP2",AD9)))</formula>
    </cfRule>
    <cfRule type="containsText" dxfId="943" priority="849" operator="containsText" text="GP1">
      <formula>NOT(ISERROR(SEARCH("GP1",AD9)))</formula>
    </cfRule>
  </conditionalFormatting>
  <conditionalFormatting sqref="AD9">
    <cfRule type="containsText" dxfId="942" priority="846" operator="containsText" text="GP2">
      <formula>NOT(ISERROR(SEARCH("GP2",AD9)))</formula>
    </cfRule>
    <cfRule type="containsText" dxfId="941" priority="847" operator="containsText" text="GP1">
      <formula>NOT(ISERROR(SEARCH("GP1",AD9)))</formula>
    </cfRule>
  </conditionalFormatting>
  <conditionalFormatting sqref="AD9">
    <cfRule type="containsText" dxfId="940" priority="844" operator="containsText" text="GP2">
      <formula>NOT(ISERROR(SEARCH("GP2",AD9)))</formula>
    </cfRule>
    <cfRule type="containsText" dxfId="939" priority="845" operator="containsText" text="GP1">
      <formula>NOT(ISERROR(SEARCH("GP1",AD9)))</formula>
    </cfRule>
  </conditionalFormatting>
  <conditionalFormatting sqref="AD9">
    <cfRule type="containsText" dxfId="938" priority="842" operator="containsText" text="GP2">
      <formula>NOT(ISERROR(SEARCH("GP2",AD9)))</formula>
    </cfRule>
    <cfRule type="containsText" dxfId="937" priority="843" operator="containsText" text="GP1">
      <formula>NOT(ISERROR(SEARCH("GP1",AD9)))</formula>
    </cfRule>
  </conditionalFormatting>
  <conditionalFormatting sqref="AD9">
    <cfRule type="containsText" dxfId="936" priority="840" operator="containsText" text="GP2">
      <formula>NOT(ISERROR(SEARCH("GP2",AD9)))</formula>
    </cfRule>
    <cfRule type="containsText" dxfId="935" priority="841" operator="containsText" text="GP1">
      <formula>NOT(ISERROR(SEARCH("GP1",AD9)))</formula>
    </cfRule>
  </conditionalFormatting>
  <conditionalFormatting sqref="AD9">
    <cfRule type="containsText" dxfId="934" priority="838" operator="containsText" text="GP2">
      <formula>NOT(ISERROR(SEARCH("GP2",AD9)))</formula>
    </cfRule>
    <cfRule type="containsText" dxfId="933" priority="839" operator="containsText" text="GP1">
      <formula>NOT(ISERROR(SEARCH("GP1",AD9)))</formula>
    </cfRule>
  </conditionalFormatting>
  <conditionalFormatting sqref="AD9">
    <cfRule type="containsText" dxfId="932" priority="836" operator="containsText" text="GP2">
      <formula>NOT(ISERROR(SEARCH("GP2",AD9)))</formula>
    </cfRule>
    <cfRule type="containsText" dxfId="931" priority="837" operator="containsText" text="GP1">
      <formula>NOT(ISERROR(SEARCH("GP1",AD9)))</formula>
    </cfRule>
  </conditionalFormatting>
  <conditionalFormatting sqref="AD9">
    <cfRule type="containsText" dxfId="930" priority="834" operator="containsText" text="GP2">
      <formula>NOT(ISERROR(SEARCH("GP2",AD9)))</formula>
    </cfRule>
    <cfRule type="containsText" dxfId="929" priority="835" operator="containsText" text="GP1">
      <formula>NOT(ISERROR(SEARCH("GP1",AD9)))</formula>
    </cfRule>
  </conditionalFormatting>
  <conditionalFormatting sqref="AD9">
    <cfRule type="containsText" dxfId="928" priority="832" operator="containsText" text="GP2">
      <formula>NOT(ISERROR(SEARCH("GP2",AD9)))</formula>
    </cfRule>
    <cfRule type="containsText" dxfId="927" priority="833" operator="containsText" text="GP1">
      <formula>NOT(ISERROR(SEARCH("GP1",AD9)))</formula>
    </cfRule>
  </conditionalFormatting>
  <conditionalFormatting sqref="AD9">
    <cfRule type="containsText" dxfId="926" priority="830" operator="containsText" text="GP2">
      <formula>NOT(ISERROR(SEARCH("GP2",AD9)))</formula>
    </cfRule>
    <cfRule type="containsText" dxfId="925" priority="831" operator="containsText" text="GP1">
      <formula>NOT(ISERROR(SEARCH("GP1",AD9)))</formula>
    </cfRule>
  </conditionalFormatting>
  <conditionalFormatting sqref="AD9">
    <cfRule type="containsText" dxfId="924" priority="828" operator="containsText" text="GP2">
      <formula>NOT(ISERROR(SEARCH("GP2",AD9)))</formula>
    </cfRule>
    <cfRule type="containsText" dxfId="923" priority="829" operator="containsText" text="GP1">
      <formula>NOT(ISERROR(SEARCH("GP1",AD9)))</formula>
    </cfRule>
  </conditionalFormatting>
  <conditionalFormatting sqref="AD9">
    <cfRule type="containsText" dxfId="922" priority="826" operator="containsText" text="GP2">
      <formula>NOT(ISERROR(SEARCH("GP2",AD9)))</formula>
    </cfRule>
    <cfRule type="containsText" dxfId="921" priority="827" operator="containsText" text="GP1">
      <formula>NOT(ISERROR(SEARCH("GP1",AD9)))</formula>
    </cfRule>
  </conditionalFormatting>
  <conditionalFormatting sqref="AD9">
    <cfRule type="containsText" dxfId="920" priority="824" operator="containsText" text="GP2">
      <formula>NOT(ISERROR(SEARCH("GP2",AD9)))</formula>
    </cfRule>
    <cfRule type="containsText" dxfId="919" priority="825" operator="containsText" text="GP1">
      <formula>NOT(ISERROR(SEARCH("GP1",AD9)))</formula>
    </cfRule>
  </conditionalFormatting>
  <conditionalFormatting sqref="AD9">
    <cfRule type="containsText" dxfId="918" priority="822" operator="containsText" text="GP2">
      <formula>NOT(ISERROR(SEARCH("GP2",AD9)))</formula>
    </cfRule>
    <cfRule type="containsText" dxfId="917" priority="823" operator="containsText" text="GP1">
      <formula>NOT(ISERROR(SEARCH("GP1",AD9)))</formula>
    </cfRule>
  </conditionalFormatting>
  <conditionalFormatting sqref="AD9">
    <cfRule type="containsText" dxfId="916" priority="820" operator="containsText" text="GP2">
      <formula>NOT(ISERROR(SEARCH("GP2",AD9)))</formula>
    </cfRule>
    <cfRule type="containsText" dxfId="915" priority="821" operator="containsText" text="GP1">
      <formula>NOT(ISERROR(SEARCH("GP1",AD9)))</formula>
    </cfRule>
  </conditionalFormatting>
  <conditionalFormatting sqref="AD9">
    <cfRule type="containsText" dxfId="914" priority="818" operator="containsText" text="GP2">
      <formula>NOT(ISERROR(SEARCH("GP2",AD9)))</formula>
    </cfRule>
    <cfRule type="containsText" dxfId="913" priority="819" operator="containsText" text="GP1">
      <formula>NOT(ISERROR(SEARCH("GP1",AD9)))</formula>
    </cfRule>
  </conditionalFormatting>
  <conditionalFormatting sqref="AD9">
    <cfRule type="containsText" dxfId="912" priority="816" operator="containsText" text="GP2">
      <formula>NOT(ISERROR(SEARCH("GP2",AD9)))</formula>
    </cfRule>
    <cfRule type="containsText" dxfId="911" priority="817" operator="containsText" text="GP1">
      <formula>NOT(ISERROR(SEARCH("GP1",AD9)))</formula>
    </cfRule>
  </conditionalFormatting>
  <conditionalFormatting sqref="AD9">
    <cfRule type="containsText" dxfId="910" priority="814" operator="containsText" text="GP2">
      <formula>NOT(ISERROR(SEARCH("GP2",AD9)))</formula>
    </cfRule>
    <cfRule type="containsText" dxfId="909" priority="815" operator="containsText" text="GP1">
      <formula>NOT(ISERROR(SEARCH("GP1",AD9)))</formula>
    </cfRule>
  </conditionalFormatting>
  <conditionalFormatting sqref="AD9">
    <cfRule type="containsText" dxfId="908" priority="812" operator="containsText" text="GP2">
      <formula>NOT(ISERROR(SEARCH("GP2",AD9)))</formula>
    </cfRule>
    <cfRule type="containsText" dxfId="907" priority="813" operator="containsText" text="GP1">
      <formula>NOT(ISERROR(SEARCH("GP1",AD9)))</formula>
    </cfRule>
  </conditionalFormatting>
  <conditionalFormatting sqref="AD9">
    <cfRule type="containsText" dxfId="906" priority="810" operator="containsText" text="GP2">
      <formula>NOT(ISERROR(SEARCH("GP2",AD9)))</formula>
    </cfRule>
    <cfRule type="containsText" dxfId="905" priority="811" operator="containsText" text="GP1">
      <formula>NOT(ISERROR(SEARCH("GP1",AD9)))</formula>
    </cfRule>
  </conditionalFormatting>
  <conditionalFormatting sqref="AD9">
    <cfRule type="containsText" dxfId="904" priority="808" operator="containsText" text="GP2">
      <formula>NOT(ISERROR(SEARCH("GP2",AD9)))</formula>
    </cfRule>
    <cfRule type="containsText" dxfId="903" priority="809" operator="containsText" text="GP1">
      <formula>NOT(ISERROR(SEARCH("GP1",AD9)))</formula>
    </cfRule>
  </conditionalFormatting>
  <conditionalFormatting sqref="AD9">
    <cfRule type="containsText" dxfId="902" priority="806" operator="containsText" text="GP2">
      <formula>NOT(ISERROR(SEARCH("GP2",AD9)))</formula>
    </cfRule>
    <cfRule type="containsText" dxfId="901" priority="807" operator="containsText" text="GP1">
      <formula>NOT(ISERROR(SEARCH("GP1",AD9)))</formula>
    </cfRule>
  </conditionalFormatting>
  <conditionalFormatting sqref="AD9">
    <cfRule type="containsText" dxfId="900" priority="804" operator="containsText" text="GP2">
      <formula>NOT(ISERROR(SEARCH("GP2",AD9)))</formula>
    </cfRule>
    <cfRule type="containsText" dxfId="899" priority="805" operator="containsText" text="GP1">
      <formula>NOT(ISERROR(SEARCH("GP1",AD9)))</formula>
    </cfRule>
  </conditionalFormatting>
  <conditionalFormatting sqref="AD9">
    <cfRule type="containsText" dxfId="898" priority="802" operator="containsText" text="GP2">
      <formula>NOT(ISERROR(SEARCH("GP2",AD9)))</formula>
    </cfRule>
    <cfRule type="containsText" dxfId="897" priority="803" operator="containsText" text="GP1">
      <formula>NOT(ISERROR(SEARCH("GP1",AD9)))</formula>
    </cfRule>
  </conditionalFormatting>
  <conditionalFormatting sqref="AD9">
    <cfRule type="containsText" dxfId="896" priority="800" operator="containsText" text="GP2">
      <formula>NOT(ISERROR(SEARCH("GP2",AD9)))</formula>
    </cfRule>
    <cfRule type="containsText" dxfId="895" priority="801" operator="containsText" text="GP1">
      <formula>NOT(ISERROR(SEARCH("GP1",AD9)))</formula>
    </cfRule>
  </conditionalFormatting>
  <conditionalFormatting sqref="AD9">
    <cfRule type="containsText" dxfId="894" priority="798" operator="containsText" text="GP2">
      <formula>NOT(ISERROR(SEARCH("GP2",AD9)))</formula>
    </cfRule>
    <cfRule type="containsText" dxfId="893" priority="799" operator="containsText" text="GP1">
      <formula>NOT(ISERROR(SEARCH("GP1",AD9)))</formula>
    </cfRule>
  </conditionalFormatting>
  <conditionalFormatting sqref="AD9">
    <cfRule type="containsText" dxfId="892" priority="796" operator="containsText" text="GP2">
      <formula>NOT(ISERROR(SEARCH("GP2",AD9)))</formula>
    </cfRule>
    <cfRule type="containsText" dxfId="891" priority="797" operator="containsText" text="GP1">
      <formula>NOT(ISERROR(SEARCH("GP1",AD9)))</formula>
    </cfRule>
  </conditionalFormatting>
  <conditionalFormatting sqref="AD9">
    <cfRule type="containsText" dxfId="890" priority="794" operator="containsText" text="GP2">
      <formula>NOT(ISERROR(SEARCH("GP2",AD9)))</formula>
    </cfRule>
    <cfRule type="containsText" dxfId="889" priority="795" operator="containsText" text="GP1">
      <formula>NOT(ISERROR(SEARCH("GP1",AD9)))</formula>
    </cfRule>
  </conditionalFormatting>
  <conditionalFormatting sqref="AD9">
    <cfRule type="containsText" dxfId="888" priority="792" operator="containsText" text="GP2">
      <formula>NOT(ISERROR(SEARCH("GP2",AD9)))</formula>
    </cfRule>
    <cfRule type="containsText" dxfId="887" priority="793" operator="containsText" text="GP1">
      <formula>NOT(ISERROR(SEARCH("GP1",AD9)))</formula>
    </cfRule>
  </conditionalFormatting>
  <conditionalFormatting sqref="AD9">
    <cfRule type="containsText" dxfId="886" priority="790" operator="containsText" text="GP2">
      <formula>NOT(ISERROR(SEARCH("GP2",AD9)))</formula>
    </cfRule>
    <cfRule type="containsText" dxfId="885" priority="791" operator="containsText" text="GP1">
      <formula>NOT(ISERROR(SEARCH("GP1",AD9)))</formula>
    </cfRule>
  </conditionalFormatting>
  <conditionalFormatting sqref="AD9">
    <cfRule type="containsText" dxfId="884" priority="788" operator="containsText" text="GP2">
      <formula>NOT(ISERROR(SEARCH("GP2",AD9)))</formula>
    </cfRule>
    <cfRule type="containsText" dxfId="883" priority="789" operator="containsText" text="GP1">
      <formula>NOT(ISERROR(SEARCH("GP1",AD9)))</formula>
    </cfRule>
  </conditionalFormatting>
  <conditionalFormatting sqref="AD9">
    <cfRule type="containsText" dxfId="882" priority="786" operator="containsText" text="GP2">
      <formula>NOT(ISERROR(SEARCH("GP2",AD9)))</formula>
    </cfRule>
    <cfRule type="containsText" dxfId="881" priority="787" operator="containsText" text="GP1">
      <formula>NOT(ISERROR(SEARCH("GP1",AD9)))</formula>
    </cfRule>
  </conditionalFormatting>
  <conditionalFormatting sqref="AD9">
    <cfRule type="containsText" dxfId="880" priority="784" operator="containsText" text="GP2">
      <formula>NOT(ISERROR(SEARCH("GP2",AD9)))</formula>
    </cfRule>
    <cfRule type="containsText" dxfId="879" priority="785" operator="containsText" text="GP1">
      <formula>NOT(ISERROR(SEARCH("GP1",AD9)))</formula>
    </cfRule>
  </conditionalFormatting>
  <conditionalFormatting sqref="AD9">
    <cfRule type="containsText" dxfId="878" priority="782" operator="containsText" text="GP2">
      <formula>NOT(ISERROR(SEARCH("GP2",AD9)))</formula>
    </cfRule>
    <cfRule type="containsText" dxfId="877" priority="783" operator="containsText" text="GP1">
      <formula>NOT(ISERROR(SEARCH("GP1",AD9)))</formula>
    </cfRule>
  </conditionalFormatting>
  <conditionalFormatting sqref="AD9">
    <cfRule type="containsText" dxfId="876" priority="780" operator="containsText" text="GP2">
      <formula>NOT(ISERROR(SEARCH("GP2",AD9)))</formula>
    </cfRule>
    <cfRule type="containsText" dxfId="875" priority="781" operator="containsText" text="GP1">
      <formula>NOT(ISERROR(SEARCH("GP1",AD9)))</formula>
    </cfRule>
  </conditionalFormatting>
  <conditionalFormatting sqref="AD9">
    <cfRule type="containsText" dxfId="874" priority="778" operator="containsText" text="GP2">
      <formula>NOT(ISERROR(SEARCH("GP2",AD9)))</formula>
    </cfRule>
    <cfRule type="containsText" dxfId="873" priority="779" operator="containsText" text="GP1">
      <formula>NOT(ISERROR(SEARCH("GP1",AD9)))</formula>
    </cfRule>
  </conditionalFormatting>
  <conditionalFormatting sqref="AD9">
    <cfRule type="containsText" dxfId="872" priority="776" operator="containsText" text="GP2">
      <formula>NOT(ISERROR(SEARCH("GP2",AD9)))</formula>
    </cfRule>
    <cfRule type="containsText" dxfId="871" priority="777" operator="containsText" text="GP1">
      <formula>NOT(ISERROR(SEARCH("GP1",AD9)))</formula>
    </cfRule>
  </conditionalFormatting>
  <conditionalFormatting sqref="AD9">
    <cfRule type="containsText" dxfId="870" priority="774" operator="containsText" text="GP2">
      <formula>NOT(ISERROR(SEARCH("GP2",AD9)))</formula>
    </cfRule>
    <cfRule type="containsText" dxfId="869" priority="775" operator="containsText" text="GP1">
      <formula>NOT(ISERROR(SEARCH("GP1",AD9)))</formula>
    </cfRule>
  </conditionalFormatting>
  <conditionalFormatting sqref="AD9">
    <cfRule type="containsText" dxfId="868" priority="772" operator="containsText" text="GP2">
      <formula>NOT(ISERROR(SEARCH("GP2",AD9)))</formula>
    </cfRule>
    <cfRule type="containsText" dxfId="867" priority="773" operator="containsText" text="GP1">
      <formula>NOT(ISERROR(SEARCH("GP1",AD9)))</formula>
    </cfRule>
  </conditionalFormatting>
  <conditionalFormatting sqref="AD9">
    <cfRule type="containsText" dxfId="866" priority="770" operator="containsText" text="GP2">
      <formula>NOT(ISERROR(SEARCH("GP2",AD9)))</formula>
    </cfRule>
    <cfRule type="containsText" dxfId="865" priority="771" operator="containsText" text="GP1">
      <formula>NOT(ISERROR(SEARCH("GP1",AD9)))</formula>
    </cfRule>
  </conditionalFormatting>
  <conditionalFormatting sqref="AD9">
    <cfRule type="containsText" dxfId="864" priority="768" operator="containsText" text="GP2">
      <formula>NOT(ISERROR(SEARCH("GP2",AD9)))</formula>
    </cfRule>
    <cfRule type="containsText" dxfId="863" priority="769" operator="containsText" text="GP1">
      <formula>NOT(ISERROR(SEARCH("GP1",AD9)))</formula>
    </cfRule>
  </conditionalFormatting>
  <conditionalFormatting sqref="AD9">
    <cfRule type="containsText" dxfId="862" priority="766" operator="containsText" text="GP2">
      <formula>NOT(ISERROR(SEARCH("GP2",AD9)))</formula>
    </cfRule>
    <cfRule type="containsText" dxfId="861" priority="767" operator="containsText" text="GP1">
      <formula>NOT(ISERROR(SEARCH("GP1",AD9)))</formula>
    </cfRule>
  </conditionalFormatting>
  <conditionalFormatting sqref="AD9">
    <cfRule type="containsText" dxfId="860" priority="764" operator="containsText" text="GP2">
      <formula>NOT(ISERROR(SEARCH("GP2",AD9)))</formula>
    </cfRule>
    <cfRule type="containsText" dxfId="859" priority="765" operator="containsText" text="GP1">
      <formula>NOT(ISERROR(SEARCH("GP1",AD9)))</formula>
    </cfRule>
  </conditionalFormatting>
  <conditionalFormatting sqref="AD9">
    <cfRule type="containsText" dxfId="858" priority="762" operator="containsText" text="GP2">
      <formula>NOT(ISERROR(SEARCH("GP2",AD9)))</formula>
    </cfRule>
    <cfRule type="containsText" dxfId="857" priority="763" operator="containsText" text="GP1">
      <formula>NOT(ISERROR(SEARCH("GP1",AD9)))</formula>
    </cfRule>
  </conditionalFormatting>
  <conditionalFormatting sqref="AD9">
    <cfRule type="containsText" dxfId="856" priority="760" operator="containsText" text="GP2">
      <formula>NOT(ISERROR(SEARCH("GP2",AD9)))</formula>
    </cfRule>
    <cfRule type="containsText" dxfId="855" priority="761" operator="containsText" text="GP1">
      <formula>NOT(ISERROR(SEARCH("GP1",AD9)))</formula>
    </cfRule>
  </conditionalFormatting>
  <conditionalFormatting sqref="AD9">
    <cfRule type="containsText" dxfId="854" priority="758" operator="containsText" text="GP2">
      <formula>NOT(ISERROR(SEARCH("GP2",AD9)))</formula>
    </cfRule>
    <cfRule type="containsText" dxfId="853" priority="759" operator="containsText" text="GP1">
      <formula>NOT(ISERROR(SEARCH("GP1",AD9)))</formula>
    </cfRule>
  </conditionalFormatting>
  <conditionalFormatting sqref="AD9">
    <cfRule type="containsText" dxfId="852" priority="756" operator="containsText" text="GP2">
      <formula>NOT(ISERROR(SEARCH("GP2",AD9)))</formula>
    </cfRule>
    <cfRule type="containsText" dxfId="851" priority="757" operator="containsText" text="GP1">
      <formula>NOT(ISERROR(SEARCH("GP1",AD9)))</formula>
    </cfRule>
  </conditionalFormatting>
  <conditionalFormatting sqref="AD9">
    <cfRule type="containsText" dxfId="850" priority="754" operator="containsText" text="GP2">
      <formula>NOT(ISERROR(SEARCH("GP2",AD9)))</formula>
    </cfRule>
    <cfRule type="containsText" dxfId="849" priority="755" operator="containsText" text="GP1">
      <formula>NOT(ISERROR(SEARCH("GP1",AD9)))</formula>
    </cfRule>
  </conditionalFormatting>
  <conditionalFormatting sqref="AD9">
    <cfRule type="containsText" dxfId="848" priority="752" operator="containsText" text="GP2">
      <formula>NOT(ISERROR(SEARCH("GP2",AD9)))</formula>
    </cfRule>
    <cfRule type="containsText" dxfId="847" priority="753" operator="containsText" text="GP1">
      <formula>NOT(ISERROR(SEARCH("GP1",AD9)))</formula>
    </cfRule>
  </conditionalFormatting>
  <conditionalFormatting sqref="AD9">
    <cfRule type="containsText" dxfId="846" priority="750" operator="containsText" text="GP2">
      <formula>NOT(ISERROR(SEARCH("GP2",AD9)))</formula>
    </cfRule>
    <cfRule type="containsText" dxfId="845" priority="751" operator="containsText" text="GP1">
      <formula>NOT(ISERROR(SEARCH("GP1",AD9)))</formula>
    </cfRule>
  </conditionalFormatting>
  <conditionalFormatting sqref="AD9">
    <cfRule type="containsText" dxfId="844" priority="748" operator="containsText" text="GP2">
      <formula>NOT(ISERROR(SEARCH("GP2",AD9)))</formula>
    </cfRule>
    <cfRule type="containsText" dxfId="843" priority="749" operator="containsText" text="GP1">
      <formula>NOT(ISERROR(SEARCH("GP1",AD9)))</formula>
    </cfRule>
  </conditionalFormatting>
  <conditionalFormatting sqref="AD9">
    <cfRule type="containsText" dxfId="842" priority="746" operator="containsText" text="GP2">
      <formula>NOT(ISERROR(SEARCH("GP2",AD9)))</formula>
    </cfRule>
    <cfRule type="containsText" dxfId="841" priority="747" operator="containsText" text="GP1">
      <formula>NOT(ISERROR(SEARCH("GP1",AD9)))</formula>
    </cfRule>
  </conditionalFormatting>
  <conditionalFormatting sqref="AD9">
    <cfRule type="containsText" dxfId="840" priority="744" operator="containsText" text="GP2">
      <formula>NOT(ISERROR(SEARCH("GP2",AD9)))</formula>
    </cfRule>
    <cfRule type="containsText" dxfId="839" priority="745" operator="containsText" text="GP1">
      <formula>NOT(ISERROR(SEARCH("GP1",AD9)))</formula>
    </cfRule>
  </conditionalFormatting>
  <conditionalFormatting sqref="AD9">
    <cfRule type="containsText" dxfId="838" priority="742" operator="containsText" text="GP2">
      <formula>NOT(ISERROR(SEARCH("GP2",AD9)))</formula>
    </cfRule>
    <cfRule type="containsText" dxfId="837" priority="743" operator="containsText" text="GP1">
      <formula>NOT(ISERROR(SEARCH("GP1",AD9)))</formula>
    </cfRule>
  </conditionalFormatting>
  <conditionalFormatting sqref="AD9">
    <cfRule type="containsText" dxfId="836" priority="740" operator="containsText" text="GP2">
      <formula>NOT(ISERROR(SEARCH("GP2",AD9)))</formula>
    </cfRule>
    <cfRule type="containsText" dxfId="835" priority="741" operator="containsText" text="GP1">
      <formula>NOT(ISERROR(SEARCH("GP1",AD9)))</formula>
    </cfRule>
  </conditionalFormatting>
  <conditionalFormatting sqref="AD9">
    <cfRule type="containsText" dxfId="834" priority="738" operator="containsText" text="GP2">
      <formula>NOT(ISERROR(SEARCH("GP2",AD9)))</formula>
    </cfRule>
    <cfRule type="containsText" dxfId="833" priority="739" operator="containsText" text="GP1">
      <formula>NOT(ISERROR(SEARCH("GP1",AD9)))</formula>
    </cfRule>
  </conditionalFormatting>
  <conditionalFormatting sqref="AD9">
    <cfRule type="containsText" dxfId="832" priority="736" operator="containsText" text="GP2">
      <formula>NOT(ISERROR(SEARCH("GP2",AD9)))</formula>
    </cfRule>
    <cfRule type="containsText" dxfId="831" priority="737" operator="containsText" text="GP1">
      <formula>NOT(ISERROR(SEARCH("GP1",AD9)))</formula>
    </cfRule>
  </conditionalFormatting>
  <conditionalFormatting sqref="AD9">
    <cfRule type="containsText" dxfId="830" priority="734" operator="containsText" text="GP2">
      <formula>NOT(ISERROR(SEARCH("GP2",AD9)))</formula>
    </cfRule>
    <cfRule type="containsText" dxfId="829" priority="735" operator="containsText" text="GP1">
      <formula>NOT(ISERROR(SEARCH("GP1",AD9)))</formula>
    </cfRule>
  </conditionalFormatting>
  <conditionalFormatting sqref="AD9">
    <cfRule type="containsText" dxfId="828" priority="732" operator="containsText" text="GP2">
      <formula>NOT(ISERROR(SEARCH("GP2",AD9)))</formula>
    </cfRule>
    <cfRule type="containsText" dxfId="827" priority="733" operator="containsText" text="GP1">
      <formula>NOT(ISERROR(SEARCH("GP1",AD9)))</formula>
    </cfRule>
  </conditionalFormatting>
  <conditionalFormatting sqref="AD9">
    <cfRule type="containsText" dxfId="826" priority="730" operator="containsText" text="GP2">
      <formula>NOT(ISERROR(SEARCH("GP2",AD9)))</formula>
    </cfRule>
    <cfRule type="containsText" dxfId="825" priority="731" operator="containsText" text="GP1">
      <formula>NOT(ISERROR(SEARCH("GP1",AD9)))</formula>
    </cfRule>
  </conditionalFormatting>
  <conditionalFormatting sqref="AD9">
    <cfRule type="containsText" dxfId="824" priority="728" operator="containsText" text="GP2">
      <formula>NOT(ISERROR(SEARCH("GP2",AD9)))</formula>
    </cfRule>
    <cfRule type="containsText" dxfId="823" priority="729" operator="containsText" text="GP1">
      <formula>NOT(ISERROR(SEARCH("GP1",AD9)))</formula>
    </cfRule>
  </conditionalFormatting>
  <conditionalFormatting sqref="AD9">
    <cfRule type="containsText" dxfId="822" priority="726" operator="containsText" text="GP2">
      <formula>NOT(ISERROR(SEARCH("GP2",AD9)))</formula>
    </cfRule>
    <cfRule type="containsText" dxfId="821" priority="727" operator="containsText" text="GP1">
      <formula>NOT(ISERROR(SEARCH("GP1",AD9)))</formula>
    </cfRule>
  </conditionalFormatting>
  <conditionalFormatting sqref="AD9">
    <cfRule type="containsText" dxfId="820" priority="724" operator="containsText" text="GP2">
      <formula>NOT(ISERROR(SEARCH("GP2",AD9)))</formula>
    </cfRule>
    <cfRule type="containsText" dxfId="819" priority="725" operator="containsText" text="GP1">
      <formula>NOT(ISERROR(SEARCH("GP1",AD9)))</formula>
    </cfRule>
  </conditionalFormatting>
  <conditionalFormatting sqref="AD9">
    <cfRule type="containsText" dxfId="818" priority="722" operator="containsText" text="GP2">
      <formula>NOT(ISERROR(SEARCH("GP2",AD9)))</formula>
    </cfRule>
    <cfRule type="containsText" dxfId="817" priority="723" operator="containsText" text="GP1">
      <formula>NOT(ISERROR(SEARCH("GP1",AD9)))</formula>
    </cfRule>
  </conditionalFormatting>
  <conditionalFormatting sqref="AD9">
    <cfRule type="containsText" dxfId="816" priority="720" operator="containsText" text="GP2">
      <formula>NOT(ISERROR(SEARCH("GP2",AD9)))</formula>
    </cfRule>
    <cfRule type="containsText" dxfId="815" priority="721" operator="containsText" text="GP1">
      <formula>NOT(ISERROR(SEARCH("GP1",AD9)))</formula>
    </cfRule>
  </conditionalFormatting>
  <conditionalFormatting sqref="AD9">
    <cfRule type="containsText" dxfId="814" priority="718" operator="containsText" text="GP2">
      <formula>NOT(ISERROR(SEARCH("GP2",AD9)))</formula>
    </cfRule>
    <cfRule type="containsText" dxfId="813" priority="719" operator="containsText" text="GP1">
      <formula>NOT(ISERROR(SEARCH("GP1",AD9)))</formula>
    </cfRule>
  </conditionalFormatting>
  <conditionalFormatting sqref="AD9">
    <cfRule type="containsText" dxfId="812" priority="716" operator="containsText" text="GP2">
      <formula>NOT(ISERROR(SEARCH("GP2",AD9)))</formula>
    </cfRule>
    <cfRule type="containsText" dxfId="811" priority="717" operator="containsText" text="GP1">
      <formula>NOT(ISERROR(SEARCH("GP1",AD9)))</formula>
    </cfRule>
  </conditionalFormatting>
  <conditionalFormatting sqref="AD9">
    <cfRule type="containsText" dxfId="810" priority="714" operator="containsText" text="GP2">
      <formula>NOT(ISERROR(SEARCH("GP2",AD9)))</formula>
    </cfRule>
    <cfRule type="containsText" dxfId="809" priority="715" operator="containsText" text="GP1">
      <formula>NOT(ISERROR(SEARCH("GP1",AD9)))</formula>
    </cfRule>
  </conditionalFormatting>
  <conditionalFormatting sqref="AD9">
    <cfRule type="containsText" dxfId="808" priority="712" operator="containsText" text="GP2">
      <formula>NOT(ISERROR(SEARCH("GP2",AD9)))</formula>
    </cfRule>
    <cfRule type="containsText" dxfId="807" priority="713" operator="containsText" text="GP1">
      <formula>NOT(ISERROR(SEARCH("GP1",AD9)))</formula>
    </cfRule>
  </conditionalFormatting>
  <conditionalFormatting sqref="AD9">
    <cfRule type="containsText" dxfId="806" priority="710" operator="containsText" text="GP2">
      <formula>NOT(ISERROR(SEARCH("GP2",AD9)))</formula>
    </cfRule>
    <cfRule type="containsText" dxfId="805" priority="711" operator="containsText" text="GP1">
      <formula>NOT(ISERROR(SEARCH("GP1",AD9)))</formula>
    </cfRule>
  </conditionalFormatting>
  <conditionalFormatting sqref="AD9">
    <cfRule type="containsText" dxfId="804" priority="708" operator="containsText" text="GP2">
      <formula>NOT(ISERROR(SEARCH("GP2",AD9)))</formula>
    </cfRule>
    <cfRule type="containsText" dxfId="803" priority="709" operator="containsText" text="GP1">
      <formula>NOT(ISERROR(SEARCH("GP1",AD9)))</formula>
    </cfRule>
  </conditionalFormatting>
  <conditionalFormatting sqref="AD9">
    <cfRule type="containsText" dxfId="802" priority="706" operator="containsText" text="GP2">
      <formula>NOT(ISERROR(SEARCH("GP2",AD9)))</formula>
    </cfRule>
    <cfRule type="containsText" dxfId="801" priority="707" operator="containsText" text="GP1">
      <formula>NOT(ISERROR(SEARCH("GP1",AD9)))</formula>
    </cfRule>
  </conditionalFormatting>
  <conditionalFormatting sqref="AD9">
    <cfRule type="containsText" dxfId="800" priority="704" operator="containsText" text="GP2">
      <formula>NOT(ISERROR(SEARCH("GP2",AD9)))</formula>
    </cfRule>
    <cfRule type="containsText" dxfId="799" priority="705" operator="containsText" text="GP1">
      <formula>NOT(ISERROR(SEARCH("GP1",AD9)))</formula>
    </cfRule>
  </conditionalFormatting>
  <conditionalFormatting sqref="AD9">
    <cfRule type="containsText" dxfId="798" priority="702" operator="containsText" text="GP2">
      <formula>NOT(ISERROR(SEARCH("GP2",AD9)))</formula>
    </cfRule>
    <cfRule type="containsText" dxfId="797" priority="703" operator="containsText" text="GP1">
      <formula>NOT(ISERROR(SEARCH("GP1",AD9)))</formula>
    </cfRule>
  </conditionalFormatting>
  <conditionalFormatting sqref="AD9">
    <cfRule type="containsText" dxfId="796" priority="700" operator="containsText" text="GP2">
      <formula>NOT(ISERROR(SEARCH("GP2",AD9)))</formula>
    </cfRule>
    <cfRule type="containsText" dxfId="795" priority="701" operator="containsText" text="GP1">
      <formula>NOT(ISERROR(SEARCH("GP1",AD9)))</formula>
    </cfRule>
  </conditionalFormatting>
  <conditionalFormatting sqref="AD9">
    <cfRule type="containsText" dxfId="794" priority="698" operator="containsText" text="GP2">
      <formula>NOT(ISERROR(SEARCH("GP2",AD9)))</formula>
    </cfRule>
    <cfRule type="containsText" dxfId="793" priority="699" operator="containsText" text="GP1">
      <formula>NOT(ISERROR(SEARCH("GP1",AD9)))</formula>
    </cfRule>
  </conditionalFormatting>
  <conditionalFormatting sqref="AD9">
    <cfRule type="containsText" dxfId="792" priority="696" operator="containsText" text="GP2">
      <formula>NOT(ISERROR(SEARCH("GP2",AD9)))</formula>
    </cfRule>
    <cfRule type="containsText" dxfId="791" priority="697" operator="containsText" text="GP1">
      <formula>NOT(ISERROR(SEARCH("GP1",AD9)))</formula>
    </cfRule>
  </conditionalFormatting>
  <conditionalFormatting sqref="AD9">
    <cfRule type="containsText" dxfId="790" priority="694" operator="containsText" text="GP2">
      <formula>NOT(ISERROR(SEARCH("GP2",AD9)))</formula>
    </cfRule>
    <cfRule type="containsText" dxfId="789" priority="695" operator="containsText" text="GP1">
      <formula>NOT(ISERROR(SEARCH("GP1",AD9)))</formula>
    </cfRule>
  </conditionalFormatting>
  <conditionalFormatting sqref="AD9">
    <cfRule type="containsText" dxfId="788" priority="692" operator="containsText" text="GP2">
      <formula>NOT(ISERROR(SEARCH("GP2",AD9)))</formula>
    </cfRule>
    <cfRule type="containsText" dxfId="787" priority="693" operator="containsText" text="GP1">
      <formula>NOT(ISERROR(SEARCH("GP1",AD9)))</formula>
    </cfRule>
  </conditionalFormatting>
  <conditionalFormatting sqref="AD9">
    <cfRule type="containsText" dxfId="786" priority="690" operator="containsText" text="GP2">
      <formula>NOT(ISERROR(SEARCH("GP2",AD9)))</formula>
    </cfRule>
    <cfRule type="containsText" dxfId="785" priority="691" operator="containsText" text="GP1">
      <formula>NOT(ISERROR(SEARCH("GP1",AD9)))</formula>
    </cfRule>
  </conditionalFormatting>
  <conditionalFormatting sqref="AD9">
    <cfRule type="containsText" dxfId="784" priority="688" operator="containsText" text="GP2">
      <formula>NOT(ISERROR(SEARCH("GP2",AD9)))</formula>
    </cfRule>
    <cfRule type="containsText" dxfId="783" priority="689" operator="containsText" text="GP1">
      <formula>NOT(ISERROR(SEARCH("GP1",AD9)))</formula>
    </cfRule>
  </conditionalFormatting>
  <conditionalFormatting sqref="AD9">
    <cfRule type="containsText" dxfId="782" priority="686" operator="containsText" text="GP2">
      <formula>NOT(ISERROR(SEARCH("GP2",AD9)))</formula>
    </cfRule>
    <cfRule type="containsText" dxfId="781" priority="687" operator="containsText" text="GP1">
      <formula>NOT(ISERROR(SEARCH("GP1",AD9)))</formula>
    </cfRule>
  </conditionalFormatting>
  <conditionalFormatting sqref="AD9">
    <cfRule type="containsText" dxfId="780" priority="684" operator="containsText" text="GP2">
      <formula>NOT(ISERROR(SEARCH("GP2",AD9)))</formula>
    </cfRule>
    <cfRule type="containsText" dxfId="779" priority="685" operator="containsText" text="GP1">
      <formula>NOT(ISERROR(SEARCH("GP1",AD9)))</formula>
    </cfRule>
  </conditionalFormatting>
  <conditionalFormatting sqref="AD9">
    <cfRule type="containsText" dxfId="778" priority="682" operator="containsText" text="GP2">
      <formula>NOT(ISERROR(SEARCH("GP2",AD9)))</formula>
    </cfRule>
    <cfRule type="containsText" dxfId="777" priority="683" operator="containsText" text="GP1">
      <formula>NOT(ISERROR(SEARCH("GP1",AD9)))</formula>
    </cfRule>
  </conditionalFormatting>
  <conditionalFormatting sqref="AD9">
    <cfRule type="containsText" dxfId="776" priority="680" operator="containsText" text="GP2">
      <formula>NOT(ISERROR(SEARCH("GP2",AD9)))</formula>
    </cfRule>
    <cfRule type="containsText" dxfId="775" priority="681" operator="containsText" text="GP1">
      <formula>NOT(ISERROR(SEARCH("GP1",AD9)))</formula>
    </cfRule>
  </conditionalFormatting>
  <conditionalFormatting sqref="AD9">
    <cfRule type="containsText" dxfId="774" priority="678" operator="containsText" text="GP2">
      <formula>NOT(ISERROR(SEARCH("GP2",AD9)))</formula>
    </cfRule>
    <cfRule type="containsText" dxfId="773" priority="679" operator="containsText" text="GP1">
      <formula>NOT(ISERROR(SEARCH("GP1",AD9)))</formula>
    </cfRule>
  </conditionalFormatting>
  <conditionalFormatting sqref="AD9">
    <cfRule type="containsText" dxfId="772" priority="676" operator="containsText" text="GP2">
      <formula>NOT(ISERROR(SEARCH("GP2",AD9)))</formula>
    </cfRule>
    <cfRule type="containsText" dxfId="771" priority="677" operator="containsText" text="GP1">
      <formula>NOT(ISERROR(SEARCH("GP1",AD9)))</formula>
    </cfRule>
  </conditionalFormatting>
  <conditionalFormatting sqref="AD9">
    <cfRule type="containsText" dxfId="770" priority="674" operator="containsText" text="GP2">
      <formula>NOT(ISERROR(SEARCH("GP2",AD9)))</formula>
    </cfRule>
    <cfRule type="containsText" dxfId="769" priority="675" operator="containsText" text="GP1">
      <formula>NOT(ISERROR(SEARCH("GP1",AD9)))</formula>
    </cfRule>
  </conditionalFormatting>
  <conditionalFormatting sqref="AD9">
    <cfRule type="containsText" dxfId="768" priority="672" operator="containsText" text="GP2">
      <formula>NOT(ISERROR(SEARCH("GP2",AD9)))</formula>
    </cfRule>
    <cfRule type="containsText" dxfId="767" priority="673" operator="containsText" text="GP1">
      <formula>NOT(ISERROR(SEARCH("GP1",AD9)))</formula>
    </cfRule>
  </conditionalFormatting>
  <conditionalFormatting sqref="AD9">
    <cfRule type="containsText" dxfId="766" priority="670" operator="containsText" text="GP2">
      <formula>NOT(ISERROR(SEARCH("GP2",AD9)))</formula>
    </cfRule>
    <cfRule type="containsText" dxfId="765" priority="671" operator="containsText" text="GP1">
      <formula>NOT(ISERROR(SEARCH("GP1",AD9)))</formula>
    </cfRule>
  </conditionalFormatting>
  <conditionalFormatting sqref="AD9">
    <cfRule type="containsText" dxfId="764" priority="668" operator="containsText" text="GP2">
      <formula>NOT(ISERROR(SEARCH("GP2",AD9)))</formula>
    </cfRule>
    <cfRule type="containsText" dxfId="763" priority="669" operator="containsText" text="GP1">
      <formula>NOT(ISERROR(SEARCH("GP1",AD9)))</formula>
    </cfRule>
  </conditionalFormatting>
  <conditionalFormatting sqref="AD9">
    <cfRule type="containsText" dxfId="762" priority="666" operator="containsText" text="GP2">
      <formula>NOT(ISERROR(SEARCH("GP2",AD9)))</formula>
    </cfRule>
    <cfRule type="containsText" dxfId="761" priority="667" operator="containsText" text="GP1">
      <formula>NOT(ISERROR(SEARCH("GP1",AD9)))</formula>
    </cfRule>
  </conditionalFormatting>
  <conditionalFormatting sqref="AD9">
    <cfRule type="containsText" dxfId="760" priority="664" operator="containsText" text="GP2">
      <formula>NOT(ISERROR(SEARCH("GP2",AD9)))</formula>
    </cfRule>
    <cfRule type="containsText" dxfId="759" priority="665" operator="containsText" text="GP1">
      <formula>NOT(ISERROR(SEARCH("GP1",AD9)))</formula>
    </cfRule>
  </conditionalFormatting>
  <conditionalFormatting sqref="AD9">
    <cfRule type="containsText" dxfId="758" priority="662" operator="containsText" text="GP2">
      <formula>NOT(ISERROR(SEARCH("GP2",AD9)))</formula>
    </cfRule>
    <cfRule type="containsText" dxfId="757" priority="663" operator="containsText" text="GP1">
      <formula>NOT(ISERROR(SEARCH("GP1",AD9)))</formula>
    </cfRule>
  </conditionalFormatting>
  <conditionalFormatting sqref="AD9">
    <cfRule type="containsText" dxfId="756" priority="656" operator="containsText" text="GP2">
      <formula>NOT(ISERROR(SEARCH("GP2",AD9)))</formula>
    </cfRule>
    <cfRule type="containsText" dxfId="755" priority="657" operator="containsText" text="GP1">
      <formula>NOT(ISERROR(SEARCH("GP1",AD9)))</formula>
    </cfRule>
  </conditionalFormatting>
  <conditionalFormatting sqref="AD9">
    <cfRule type="containsText" dxfId="754" priority="654" operator="containsText" text="GP2">
      <formula>NOT(ISERROR(SEARCH("GP2",AD9)))</formula>
    </cfRule>
    <cfRule type="containsText" dxfId="753" priority="655" operator="containsText" text="GP1">
      <formula>NOT(ISERROR(SEARCH("GP1",AD9)))</formula>
    </cfRule>
  </conditionalFormatting>
  <conditionalFormatting sqref="AD9">
    <cfRule type="containsText" dxfId="752" priority="652" operator="containsText" text="GP2">
      <formula>NOT(ISERROR(SEARCH("GP2",AD9)))</formula>
    </cfRule>
    <cfRule type="containsText" dxfId="751" priority="653" operator="containsText" text="GP1">
      <formula>NOT(ISERROR(SEARCH("GP1",AD9)))</formula>
    </cfRule>
  </conditionalFormatting>
  <conditionalFormatting sqref="AD9">
    <cfRule type="containsText" dxfId="750" priority="650" operator="containsText" text="GP2">
      <formula>NOT(ISERROR(SEARCH("GP2",AD9)))</formula>
    </cfRule>
    <cfRule type="containsText" dxfId="749" priority="651" operator="containsText" text="GP1">
      <formula>NOT(ISERROR(SEARCH("GP1",AD9)))</formula>
    </cfRule>
  </conditionalFormatting>
  <conditionalFormatting sqref="AD9">
    <cfRule type="containsText" dxfId="748" priority="648" operator="containsText" text="GP2">
      <formula>NOT(ISERROR(SEARCH("GP2",AD9)))</formula>
    </cfRule>
    <cfRule type="containsText" dxfId="747" priority="649" operator="containsText" text="GP1">
      <formula>NOT(ISERROR(SEARCH("GP1",AD9)))</formula>
    </cfRule>
  </conditionalFormatting>
  <conditionalFormatting sqref="AD9">
    <cfRule type="containsText" dxfId="746" priority="646" operator="containsText" text="GP2">
      <formula>NOT(ISERROR(SEARCH("GP2",AD9)))</formula>
    </cfRule>
    <cfRule type="containsText" dxfId="745" priority="647" operator="containsText" text="GP1">
      <formula>NOT(ISERROR(SEARCH("GP1",AD9)))</formula>
    </cfRule>
  </conditionalFormatting>
  <conditionalFormatting sqref="AD9">
    <cfRule type="containsText" dxfId="744" priority="660" operator="containsText" text="GP2">
      <formula>NOT(ISERROR(SEARCH("GP2",AD9)))</formula>
    </cfRule>
    <cfRule type="containsText" dxfId="743" priority="661" operator="containsText" text="GP1">
      <formula>NOT(ISERROR(SEARCH("GP1",AD9)))</formula>
    </cfRule>
  </conditionalFormatting>
  <conditionalFormatting sqref="AD9">
    <cfRule type="containsText" dxfId="742" priority="658" operator="containsText" text="GP2">
      <formula>NOT(ISERROR(SEARCH("GP2",AD9)))</formula>
    </cfRule>
    <cfRule type="containsText" dxfId="741" priority="659" operator="containsText" text="GP1">
      <formula>NOT(ISERROR(SEARCH("GP1",AD9)))</formula>
    </cfRule>
  </conditionalFormatting>
  <conditionalFormatting sqref="AD9">
    <cfRule type="containsText" dxfId="740" priority="644" operator="containsText" text="GP2">
      <formula>NOT(ISERROR(SEARCH("GP2",AD9)))</formula>
    </cfRule>
    <cfRule type="containsText" dxfId="739" priority="645" operator="containsText" text="GP1">
      <formula>NOT(ISERROR(SEARCH("GP1",AD9)))</formula>
    </cfRule>
  </conditionalFormatting>
  <conditionalFormatting sqref="AD9">
    <cfRule type="containsText" dxfId="738" priority="642" operator="containsText" text="GP2">
      <formula>NOT(ISERROR(SEARCH("GP2",AD9)))</formula>
    </cfRule>
    <cfRule type="containsText" dxfId="737" priority="643" operator="containsText" text="GP1">
      <formula>NOT(ISERROR(SEARCH("GP1",AD9)))</formula>
    </cfRule>
  </conditionalFormatting>
  <conditionalFormatting sqref="AD9">
    <cfRule type="containsText" dxfId="736" priority="640" operator="containsText" text="GP2">
      <formula>NOT(ISERROR(SEARCH("GP2",AD9)))</formula>
    </cfRule>
    <cfRule type="containsText" dxfId="735" priority="641" operator="containsText" text="GP1">
      <formula>NOT(ISERROR(SEARCH("GP1",AD9)))</formula>
    </cfRule>
  </conditionalFormatting>
  <conditionalFormatting sqref="AD9">
    <cfRule type="containsText" dxfId="734" priority="638" operator="containsText" text="GP2">
      <formula>NOT(ISERROR(SEARCH("GP2",AD9)))</formula>
    </cfRule>
    <cfRule type="containsText" dxfId="733" priority="639" operator="containsText" text="GP1">
      <formula>NOT(ISERROR(SEARCH("GP1",AD9)))</formula>
    </cfRule>
  </conditionalFormatting>
  <conditionalFormatting sqref="AD9">
    <cfRule type="containsText" dxfId="732" priority="636" operator="containsText" text="GP2">
      <formula>NOT(ISERROR(SEARCH("GP2",AD9)))</formula>
    </cfRule>
    <cfRule type="containsText" dxfId="731" priority="637" operator="containsText" text="GP1">
      <formula>NOT(ISERROR(SEARCH("GP1",AD9)))</formula>
    </cfRule>
  </conditionalFormatting>
  <conditionalFormatting sqref="AD9">
    <cfRule type="containsText" dxfId="730" priority="634" operator="containsText" text="GP2">
      <formula>NOT(ISERROR(SEARCH("GP2",AD9)))</formula>
    </cfRule>
    <cfRule type="containsText" dxfId="729" priority="635" operator="containsText" text="GP1">
      <formula>NOT(ISERROR(SEARCH("GP1",AD9)))</formula>
    </cfRule>
  </conditionalFormatting>
  <conditionalFormatting sqref="AD9">
    <cfRule type="containsText" dxfId="728" priority="632" operator="containsText" text="GP2">
      <formula>NOT(ISERROR(SEARCH("GP2",AD9)))</formula>
    </cfRule>
    <cfRule type="containsText" dxfId="727" priority="633" operator="containsText" text="GP1">
      <formula>NOT(ISERROR(SEARCH("GP1",AD9)))</formula>
    </cfRule>
  </conditionalFormatting>
  <conditionalFormatting sqref="AD9">
    <cfRule type="containsText" dxfId="726" priority="630" operator="containsText" text="GP2">
      <formula>NOT(ISERROR(SEARCH("GP2",AD9)))</formula>
    </cfRule>
    <cfRule type="containsText" dxfId="725" priority="631" operator="containsText" text="GP1">
      <formula>NOT(ISERROR(SEARCH("GP1",AD9)))</formula>
    </cfRule>
  </conditionalFormatting>
  <conditionalFormatting sqref="AD9">
    <cfRule type="containsText" dxfId="724" priority="628" operator="containsText" text="GP2">
      <formula>NOT(ISERROR(SEARCH("GP2",AD9)))</formula>
    </cfRule>
    <cfRule type="containsText" dxfId="723" priority="629" operator="containsText" text="GP1">
      <formula>NOT(ISERROR(SEARCH("GP1",AD9)))</formula>
    </cfRule>
  </conditionalFormatting>
  <conditionalFormatting sqref="AD9">
    <cfRule type="containsText" dxfId="722" priority="626" operator="containsText" text="GP2">
      <formula>NOT(ISERROR(SEARCH("GP2",AD9)))</formula>
    </cfRule>
    <cfRule type="containsText" dxfId="721" priority="627" operator="containsText" text="GP1">
      <formula>NOT(ISERROR(SEARCH("GP1",AD9)))</formula>
    </cfRule>
  </conditionalFormatting>
  <conditionalFormatting sqref="AD9">
    <cfRule type="containsText" dxfId="720" priority="624" operator="containsText" text="GP2">
      <formula>NOT(ISERROR(SEARCH("GP2",AD9)))</formula>
    </cfRule>
    <cfRule type="containsText" dxfId="719" priority="625" operator="containsText" text="GP1">
      <formula>NOT(ISERROR(SEARCH("GP1",AD9)))</formula>
    </cfRule>
  </conditionalFormatting>
  <conditionalFormatting sqref="AD9">
    <cfRule type="containsText" dxfId="718" priority="622" operator="containsText" text="GP2">
      <formula>NOT(ISERROR(SEARCH("GP2",AD9)))</formula>
    </cfRule>
    <cfRule type="containsText" dxfId="717" priority="623" operator="containsText" text="GP1">
      <formula>NOT(ISERROR(SEARCH("GP1",AD9)))</formula>
    </cfRule>
  </conditionalFormatting>
  <conditionalFormatting sqref="AD9">
    <cfRule type="containsText" dxfId="716" priority="620" operator="containsText" text="GP2">
      <formula>NOT(ISERROR(SEARCH("GP2",AD9)))</formula>
    </cfRule>
    <cfRule type="containsText" dxfId="715" priority="621" operator="containsText" text="GP1">
      <formula>NOT(ISERROR(SEARCH("GP1",AD9)))</formula>
    </cfRule>
  </conditionalFormatting>
  <conditionalFormatting sqref="AD9">
    <cfRule type="containsText" dxfId="714" priority="618" operator="containsText" text="GP2">
      <formula>NOT(ISERROR(SEARCH("GP2",AD9)))</formula>
    </cfRule>
    <cfRule type="containsText" dxfId="713" priority="619" operator="containsText" text="GP1">
      <formula>NOT(ISERROR(SEARCH("GP1",AD9)))</formula>
    </cfRule>
  </conditionalFormatting>
  <conditionalFormatting sqref="AD9">
    <cfRule type="containsText" dxfId="712" priority="616" operator="containsText" text="GP2">
      <formula>NOT(ISERROR(SEARCH("GP2",AD9)))</formula>
    </cfRule>
    <cfRule type="containsText" dxfId="711" priority="617" operator="containsText" text="GP1">
      <formula>NOT(ISERROR(SEARCH("GP1",AD9)))</formula>
    </cfRule>
  </conditionalFormatting>
  <conditionalFormatting sqref="AD9">
    <cfRule type="containsText" dxfId="710" priority="614" operator="containsText" text="GP2">
      <formula>NOT(ISERROR(SEARCH("GP2",AD9)))</formula>
    </cfRule>
    <cfRule type="containsText" dxfId="709" priority="615" operator="containsText" text="GP1">
      <formula>NOT(ISERROR(SEARCH("GP1",AD9)))</formula>
    </cfRule>
  </conditionalFormatting>
  <conditionalFormatting sqref="AD9">
    <cfRule type="containsText" dxfId="708" priority="612" operator="containsText" text="GP2">
      <formula>NOT(ISERROR(SEARCH("GP2",AD9)))</formula>
    </cfRule>
    <cfRule type="containsText" dxfId="707" priority="613" operator="containsText" text="GP1">
      <formula>NOT(ISERROR(SEARCH("GP1",AD9)))</formula>
    </cfRule>
  </conditionalFormatting>
  <conditionalFormatting sqref="AD9">
    <cfRule type="containsText" dxfId="706" priority="610" operator="containsText" text="GP2">
      <formula>NOT(ISERROR(SEARCH("GP2",AD9)))</formula>
    </cfRule>
    <cfRule type="containsText" dxfId="705" priority="611" operator="containsText" text="GP1">
      <formula>NOT(ISERROR(SEARCH("GP1",AD9)))</formula>
    </cfRule>
  </conditionalFormatting>
  <conditionalFormatting sqref="AD9">
    <cfRule type="containsText" dxfId="704" priority="608" operator="containsText" text="GP2">
      <formula>NOT(ISERROR(SEARCH("GP2",AD9)))</formula>
    </cfRule>
    <cfRule type="containsText" dxfId="703" priority="609" operator="containsText" text="GP1">
      <formula>NOT(ISERROR(SEARCH("GP1",AD9)))</formula>
    </cfRule>
  </conditionalFormatting>
  <conditionalFormatting sqref="AD9">
    <cfRule type="containsText" dxfId="702" priority="606" operator="containsText" text="GP2">
      <formula>NOT(ISERROR(SEARCH("GP2",AD9)))</formula>
    </cfRule>
    <cfRule type="containsText" dxfId="701" priority="607" operator="containsText" text="GP1">
      <formula>NOT(ISERROR(SEARCH("GP1",AD9)))</formula>
    </cfRule>
  </conditionalFormatting>
  <conditionalFormatting sqref="AD9">
    <cfRule type="containsText" dxfId="700" priority="604" operator="containsText" text="GP2">
      <formula>NOT(ISERROR(SEARCH("GP2",AD9)))</formula>
    </cfRule>
    <cfRule type="containsText" dxfId="699" priority="605" operator="containsText" text="GP1">
      <formula>NOT(ISERROR(SEARCH("GP1",AD9)))</formula>
    </cfRule>
  </conditionalFormatting>
  <conditionalFormatting sqref="AD9">
    <cfRule type="containsText" dxfId="698" priority="602" operator="containsText" text="GP2">
      <formula>NOT(ISERROR(SEARCH("GP2",AD9)))</formula>
    </cfRule>
    <cfRule type="containsText" dxfId="697" priority="603" operator="containsText" text="GP1">
      <formula>NOT(ISERROR(SEARCH("GP1",AD9)))</formula>
    </cfRule>
  </conditionalFormatting>
  <conditionalFormatting sqref="AD9">
    <cfRule type="containsText" dxfId="696" priority="600" operator="containsText" text="GP2">
      <formula>NOT(ISERROR(SEARCH("GP2",AD9)))</formula>
    </cfRule>
    <cfRule type="containsText" dxfId="695" priority="601" operator="containsText" text="GP1">
      <formula>NOT(ISERROR(SEARCH("GP1",AD9)))</formula>
    </cfRule>
  </conditionalFormatting>
  <conditionalFormatting sqref="AD9">
    <cfRule type="containsText" dxfId="694" priority="598" operator="containsText" text="GP2">
      <formula>NOT(ISERROR(SEARCH("GP2",AD9)))</formula>
    </cfRule>
    <cfRule type="containsText" dxfId="693" priority="599" operator="containsText" text="GP1">
      <formula>NOT(ISERROR(SEARCH("GP1",AD9)))</formula>
    </cfRule>
  </conditionalFormatting>
  <conditionalFormatting sqref="AD9">
    <cfRule type="containsText" dxfId="692" priority="596" operator="containsText" text="GP2">
      <formula>NOT(ISERROR(SEARCH("GP2",AD9)))</formula>
    </cfRule>
    <cfRule type="containsText" dxfId="691" priority="597" operator="containsText" text="GP1">
      <formula>NOT(ISERROR(SEARCH("GP1",AD9)))</formula>
    </cfRule>
  </conditionalFormatting>
  <conditionalFormatting sqref="AD9">
    <cfRule type="containsText" dxfId="690" priority="594" operator="containsText" text="GP2">
      <formula>NOT(ISERROR(SEARCH("GP2",AD9)))</formula>
    </cfRule>
    <cfRule type="containsText" dxfId="689" priority="595" operator="containsText" text="GP1">
      <formula>NOT(ISERROR(SEARCH("GP1",AD9)))</formula>
    </cfRule>
  </conditionalFormatting>
  <conditionalFormatting sqref="AD9">
    <cfRule type="containsText" dxfId="688" priority="592" operator="containsText" text="GP2">
      <formula>NOT(ISERROR(SEARCH("GP2",AD9)))</formula>
    </cfRule>
    <cfRule type="containsText" dxfId="687" priority="593" operator="containsText" text="GP1">
      <formula>NOT(ISERROR(SEARCH("GP1",AD9)))</formula>
    </cfRule>
  </conditionalFormatting>
  <conditionalFormatting sqref="AD9">
    <cfRule type="containsText" dxfId="686" priority="590" operator="containsText" text="GP2">
      <formula>NOT(ISERROR(SEARCH("GP2",AD9)))</formula>
    </cfRule>
    <cfRule type="containsText" dxfId="685" priority="591" operator="containsText" text="GP1">
      <formula>NOT(ISERROR(SEARCH("GP1",AD9)))</formula>
    </cfRule>
  </conditionalFormatting>
  <conditionalFormatting sqref="AD9">
    <cfRule type="containsText" dxfId="684" priority="588" operator="containsText" text="GP2">
      <formula>NOT(ISERROR(SEARCH("GP2",AD9)))</formula>
    </cfRule>
    <cfRule type="containsText" dxfId="683" priority="589" operator="containsText" text="GP1">
      <formula>NOT(ISERROR(SEARCH("GP1",AD9)))</formula>
    </cfRule>
  </conditionalFormatting>
  <conditionalFormatting sqref="AD9">
    <cfRule type="containsText" dxfId="682" priority="586" operator="containsText" text="GP2">
      <formula>NOT(ISERROR(SEARCH("GP2",AD9)))</formula>
    </cfRule>
    <cfRule type="containsText" dxfId="681" priority="587" operator="containsText" text="GP1">
      <formula>NOT(ISERROR(SEARCH("GP1",AD9)))</formula>
    </cfRule>
  </conditionalFormatting>
  <conditionalFormatting sqref="AD9">
    <cfRule type="containsText" dxfId="680" priority="584" operator="containsText" text="GP2">
      <formula>NOT(ISERROR(SEARCH("GP2",AD9)))</formula>
    </cfRule>
    <cfRule type="containsText" dxfId="679" priority="585" operator="containsText" text="GP1">
      <formula>NOT(ISERROR(SEARCH("GP1",AD9)))</formula>
    </cfRule>
  </conditionalFormatting>
  <conditionalFormatting sqref="AD9">
    <cfRule type="containsText" dxfId="678" priority="582" operator="containsText" text="GP2">
      <formula>NOT(ISERROR(SEARCH("GP2",AD9)))</formula>
    </cfRule>
    <cfRule type="containsText" dxfId="677" priority="583" operator="containsText" text="GP1">
      <formula>NOT(ISERROR(SEARCH("GP1",AD9)))</formula>
    </cfRule>
  </conditionalFormatting>
  <conditionalFormatting sqref="AD9">
    <cfRule type="containsText" dxfId="676" priority="580" operator="containsText" text="GP2">
      <formula>NOT(ISERROR(SEARCH("GP2",AD9)))</formula>
    </cfRule>
    <cfRule type="containsText" dxfId="675" priority="581" operator="containsText" text="GP1">
      <formula>NOT(ISERROR(SEARCH("GP1",AD9)))</formula>
    </cfRule>
  </conditionalFormatting>
  <conditionalFormatting sqref="AD9">
    <cfRule type="containsText" dxfId="674" priority="578" operator="containsText" text="GP2">
      <formula>NOT(ISERROR(SEARCH("GP2",AD9)))</formula>
    </cfRule>
    <cfRule type="containsText" dxfId="673" priority="579" operator="containsText" text="GP1">
      <formula>NOT(ISERROR(SEARCH("GP1",AD9)))</formula>
    </cfRule>
  </conditionalFormatting>
  <conditionalFormatting sqref="AD9">
    <cfRule type="containsText" dxfId="672" priority="576" operator="containsText" text="GP2">
      <formula>NOT(ISERROR(SEARCH("GP2",AD9)))</formula>
    </cfRule>
    <cfRule type="containsText" dxfId="671" priority="577" operator="containsText" text="GP1">
      <formula>NOT(ISERROR(SEARCH("GP1",AD9)))</formula>
    </cfRule>
  </conditionalFormatting>
  <conditionalFormatting sqref="AD9">
    <cfRule type="containsText" dxfId="670" priority="574" operator="containsText" text="GP2">
      <formula>NOT(ISERROR(SEARCH("GP2",AD9)))</formula>
    </cfRule>
    <cfRule type="containsText" dxfId="669" priority="575" operator="containsText" text="GP1">
      <formula>NOT(ISERROR(SEARCH("GP1",AD9)))</formula>
    </cfRule>
  </conditionalFormatting>
  <conditionalFormatting sqref="AD9">
    <cfRule type="containsText" dxfId="668" priority="572" operator="containsText" text="GP2">
      <formula>NOT(ISERROR(SEARCH("GP2",AD9)))</formula>
    </cfRule>
    <cfRule type="containsText" dxfId="667" priority="573" operator="containsText" text="GP1">
      <formula>NOT(ISERROR(SEARCH("GP1",AD9)))</formula>
    </cfRule>
  </conditionalFormatting>
  <conditionalFormatting sqref="AD9">
    <cfRule type="containsText" dxfId="666" priority="570" operator="containsText" text="GP2">
      <formula>NOT(ISERROR(SEARCH("GP2",AD9)))</formula>
    </cfRule>
    <cfRule type="containsText" dxfId="665" priority="571" operator="containsText" text="GP1">
      <formula>NOT(ISERROR(SEARCH("GP1",AD9)))</formula>
    </cfRule>
  </conditionalFormatting>
  <conditionalFormatting sqref="AD9">
    <cfRule type="containsText" dxfId="664" priority="568" operator="containsText" text="GP2">
      <formula>NOT(ISERROR(SEARCH("GP2",AD9)))</formula>
    </cfRule>
    <cfRule type="containsText" dxfId="663" priority="569" operator="containsText" text="GP1">
      <formula>NOT(ISERROR(SEARCH("GP1",AD9)))</formula>
    </cfRule>
  </conditionalFormatting>
  <conditionalFormatting sqref="AD9">
    <cfRule type="containsText" dxfId="662" priority="566" operator="containsText" text="GP2">
      <formula>NOT(ISERROR(SEARCH("GP2",AD9)))</formula>
    </cfRule>
    <cfRule type="containsText" dxfId="661" priority="567" operator="containsText" text="GP1">
      <formula>NOT(ISERROR(SEARCH("GP1",AD9)))</formula>
    </cfRule>
  </conditionalFormatting>
  <conditionalFormatting sqref="AD9">
    <cfRule type="containsText" dxfId="660" priority="564" operator="containsText" text="GP2">
      <formula>NOT(ISERROR(SEARCH("GP2",AD9)))</formula>
    </cfRule>
    <cfRule type="containsText" dxfId="659" priority="565" operator="containsText" text="GP1">
      <formula>NOT(ISERROR(SEARCH("GP1",AD9)))</formula>
    </cfRule>
  </conditionalFormatting>
  <conditionalFormatting sqref="AD9">
    <cfRule type="containsText" dxfId="658" priority="562" operator="containsText" text="GP2">
      <formula>NOT(ISERROR(SEARCH("GP2",AD9)))</formula>
    </cfRule>
    <cfRule type="containsText" dxfId="657" priority="563" operator="containsText" text="GP1">
      <formula>NOT(ISERROR(SEARCH("GP1",AD9)))</formula>
    </cfRule>
  </conditionalFormatting>
  <conditionalFormatting sqref="AD9">
    <cfRule type="containsText" dxfId="656" priority="560" operator="containsText" text="GP2">
      <formula>NOT(ISERROR(SEARCH("GP2",AD9)))</formula>
    </cfRule>
    <cfRule type="containsText" dxfId="655" priority="561" operator="containsText" text="GP1">
      <formula>NOT(ISERROR(SEARCH("GP1",AD9)))</formula>
    </cfRule>
  </conditionalFormatting>
  <conditionalFormatting sqref="AD9">
    <cfRule type="containsText" dxfId="654" priority="558" operator="containsText" text="GP2">
      <formula>NOT(ISERROR(SEARCH("GP2",AD9)))</formula>
    </cfRule>
    <cfRule type="containsText" dxfId="653" priority="559" operator="containsText" text="GP1">
      <formula>NOT(ISERROR(SEARCH("GP1",AD9)))</formula>
    </cfRule>
  </conditionalFormatting>
  <conditionalFormatting sqref="AD9">
    <cfRule type="containsText" dxfId="652" priority="556" operator="containsText" text="GP2">
      <formula>NOT(ISERROR(SEARCH("GP2",AD9)))</formula>
    </cfRule>
    <cfRule type="containsText" dxfId="651" priority="557" operator="containsText" text="GP1">
      <formula>NOT(ISERROR(SEARCH("GP1",AD9)))</formula>
    </cfRule>
  </conditionalFormatting>
  <conditionalFormatting sqref="AD9">
    <cfRule type="containsText" dxfId="650" priority="554" operator="containsText" text="GP2">
      <formula>NOT(ISERROR(SEARCH("GP2",AD9)))</formula>
    </cfRule>
    <cfRule type="containsText" dxfId="649" priority="555" operator="containsText" text="GP1">
      <formula>NOT(ISERROR(SEARCH("GP1",AD9)))</formula>
    </cfRule>
  </conditionalFormatting>
  <conditionalFormatting sqref="AD9">
    <cfRule type="containsText" dxfId="648" priority="552" operator="containsText" text="GP2">
      <formula>NOT(ISERROR(SEARCH("GP2",AD9)))</formula>
    </cfRule>
    <cfRule type="containsText" dxfId="647" priority="553" operator="containsText" text="GP1">
      <formula>NOT(ISERROR(SEARCH("GP1",AD9)))</formula>
    </cfRule>
  </conditionalFormatting>
  <conditionalFormatting sqref="AD9">
    <cfRule type="containsText" dxfId="646" priority="550" operator="containsText" text="GP2">
      <formula>NOT(ISERROR(SEARCH("GP2",AD9)))</formula>
    </cfRule>
    <cfRule type="containsText" dxfId="645" priority="551" operator="containsText" text="GP1">
      <formula>NOT(ISERROR(SEARCH("GP1",AD9)))</formula>
    </cfRule>
  </conditionalFormatting>
  <conditionalFormatting sqref="AD9">
    <cfRule type="containsText" dxfId="644" priority="548" operator="containsText" text="GP2">
      <formula>NOT(ISERROR(SEARCH("GP2",AD9)))</formula>
    </cfRule>
    <cfRule type="containsText" dxfId="643" priority="549" operator="containsText" text="GP1">
      <formula>NOT(ISERROR(SEARCH("GP1",AD9)))</formula>
    </cfRule>
  </conditionalFormatting>
  <conditionalFormatting sqref="AD9">
    <cfRule type="containsText" dxfId="642" priority="546" operator="containsText" text="GP2">
      <formula>NOT(ISERROR(SEARCH("GP2",AD9)))</formula>
    </cfRule>
    <cfRule type="containsText" dxfId="641" priority="547" operator="containsText" text="GP1">
      <formula>NOT(ISERROR(SEARCH("GP1",AD9)))</formula>
    </cfRule>
  </conditionalFormatting>
  <conditionalFormatting sqref="AD9">
    <cfRule type="containsText" dxfId="640" priority="544" operator="containsText" text="GP2">
      <formula>NOT(ISERROR(SEARCH("GP2",AD9)))</formula>
    </cfRule>
    <cfRule type="containsText" dxfId="639" priority="545" operator="containsText" text="GP1">
      <formula>NOT(ISERROR(SEARCH("GP1",AD9)))</formula>
    </cfRule>
  </conditionalFormatting>
  <conditionalFormatting sqref="AD9">
    <cfRule type="containsText" dxfId="638" priority="542" operator="containsText" text="GP2">
      <formula>NOT(ISERROR(SEARCH("GP2",AD9)))</formula>
    </cfRule>
    <cfRule type="containsText" dxfId="637" priority="543" operator="containsText" text="GP1">
      <formula>NOT(ISERROR(SEARCH("GP1",AD9)))</formula>
    </cfRule>
  </conditionalFormatting>
  <conditionalFormatting sqref="AD9">
    <cfRule type="containsText" dxfId="636" priority="540" operator="containsText" text="GP2">
      <formula>NOT(ISERROR(SEARCH("GP2",AD9)))</formula>
    </cfRule>
    <cfRule type="containsText" dxfId="635" priority="541" operator="containsText" text="GP1">
      <formula>NOT(ISERROR(SEARCH("GP1",AD9)))</formula>
    </cfRule>
  </conditionalFormatting>
  <conditionalFormatting sqref="AD9">
    <cfRule type="containsText" dxfId="634" priority="538" operator="containsText" text="GP2">
      <formula>NOT(ISERROR(SEARCH("GP2",AD9)))</formula>
    </cfRule>
    <cfRule type="containsText" dxfId="633" priority="539" operator="containsText" text="GP1">
      <formula>NOT(ISERROR(SEARCH("GP1",AD9)))</formula>
    </cfRule>
  </conditionalFormatting>
  <conditionalFormatting sqref="AD9">
    <cfRule type="containsText" dxfId="632" priority="536" operator="containsText" text="GP2">
      <formula>NOT(ISERROR(SEARCH("GP2",AD9)))</formula>
    </cfRule>
    <cfRule type="containsText" dxfId="631" priority="537" operator="containsText" text="GP1">
      <formula>NOT(ISERROR(SEARCH("GP1",AD9)))</formula>
    </cfRule>
  </conditionalFormatting>
  <conditionalFormatting sqref="AD9">
    <cfRule type="containsText" dxfId="630" priority="534" operator="containsText" text="GP2">
      <formula>NOT(ISERROR(SEARCH("GP2",AD9)))</formula>
    </cfRule>
    <cfRule type="containsText" dxfId="629" priority="535" operator="containsText" text="GP1">
      <formula>NOT(ISERROR(SEARCH("GP1",AD9)))</formula>
    </cfRule>
  </conditionalFormatting>
  <conditionalFormatting sqref="AD9">
    <cfRule type="containsText" dxfId="628" priority="532" operator="containsText" text="GP2">
      <formula>NOT(ISERROR(SEARCH("GP2",AD9)))</formula>
    </cfRule>
    <cfRule type="containsText" dxfId="627" priority="533" operator="containsText" text="GP1">
      <formula>NOT(ISERROR(SEARCH("GP1",AD9)))</formula>
    </cfRule>
  </conditionalFormatting>
  <conditionalFormatting sqref="AD9">
    <cfRule type="containsText" dxfId="626" priority="530" operator="containsText" text="GP2">
      <formula>NOT(ISERROR(SEARCH("GP2",AD9)))</formula>
    </cfRule>
    <cfRule type="containsText" dxfId="625" priority="531" operator="containsText" text="GP1">
      <formula>NOT(ISERROR(SEARCH("GP1",AD9)))</formula>
    </cfRule>
  </conditionalFormatting>
  <conditionalFormatting sqref="AD9">
    <cfRule type="containsText" dxfId="624" priority="528" operator="containsText" text="GP2">
      <formula>NOT(ISERROR(SEARCH("GP2",AD9)))</formula>
    </cfRule>
    <cfRule type="containsText" dxfId="623" priority="529" operator="containsText" text="GP1">
      <formula>NOT(ISERROR(SEARCH("GP1",AD9)))</formula>
    </cfRule>
  </conditionalFormatting>
  <conditionalFormatting sqref="AD9">
    <cfRule type="containsText" dxfId="622" priority="526" operator="containsText" text="GP2">
      <formula>NOT(ISERROR(SEARCH("GP2",AD9)))</formula>
    </cfRule>
    <cfRule type="containsText" dxfId="621" priority="527" operator="containsText" text="GP1">
      <formula>NOT(ISERROR(SEARCH("GP1",AD9)))</formula>
    </cfRule>
  </conditionalFormatting>
  <conditionalFormatting sqref="AD9">
    <cfRule type="containsText" dxfId="620" priority="524" operator="containsText" text="GP2">
      <formula>NOT(ISERROR(SEARCH("GP2",AD9)))</formula>
    </cfRule>
    <cfRule type="containsText" dxfId="619" priority="525" operator="containsText" text="GP1">
      <formula>NOT(ISERROR(SEARCH("GP1",AD9)))</formula>
    </cfRule>
  </conditionalFormatting>
  <conditionalFormatting sqref="AD9">
    <cfRule type="containsText" dxfId="618" priority="522" operator="containsText" text="GP2">
      <formula>NOT(ISERROR(SEARCH("GP2",AD9)))</formula>
    </cfRule>
    <cfRule type="containsText" dxfId="617" priority="523" operator="containsText" text="GP1">
      <formula>NOT(ISERROR(SEARCH("GP1",AD9)))</formula>
    </cfRule>
  </conditionalFormatting>
  <conditionalFormatting sqref="AD9">
    <cfRule type="containsText" dxfId="616" priority="520" operator="containsText" text="GP2">
      <formula>NOT(ISERROR(SEARCH("GP2",AD9)))</formula>
    </cfRule>
    <cfRule type="containsText" dxfId="615" priority="521" operator="containsText" text="GP1">
      <formula>NOT(ISERROR(SEARCH("GP1",AD9)))</formula>
    </cfRule>
  </conditionalFormatting>
  <conditionalFormatting sqref="AD9">
    <cfRule type="containsText" dxfId="614" priority="518" operator="containsText" text="GP2">
      <formula>NOT(ISERROR(SEARCH("GP2",AD9)))</formula>
    </cfRule>
    <cfRule type="containsText" dxfId="613" priority="519" operator="containsText" text="GP1">
      <formula>NOT(ISERROR(SEARCH("GP1",AD9)))</formula>
    </cfRule>
  </conditionalFormatting>
  <conditionalFormatting sqref="AD9">
    <cfRule type="containsText" dxfId="612" priority="516" operator="containsText" text="GP2">
      <formula>NOT(ISERROR(SEARCH("GP2",AD9)))</formula>
    </cfRule>
    <cfRule type="containsText" dxfId="611" priority="517" operator="containsText" text="GP1">
      <formula>NOT(ISERROR(SEARCH("GP1",AD9)))</formula>
    </cfRule>
  </conditionalFormatting>
  <conditionalFormatting sqref="AD9">
    <cfRule type="containsText" dxfId="610" priority="514" operator="containsText" text="GP2">
      <formula>NOT(ISERROR(SEARCH("GP2",AD9)))</formula>
    </cfRule>
    <cfRule type="containsText" dxfId="609" priority="515" operator="containsText" text="GP1">
      <formula>NOT(ISERROR(SEARCH("GP1",AD9)))</formula>
    </cfRule>
  </conditionalFormatting>
  <conditionalFormatting sqref="AD9">
    <cfRule type="containsText" dxfId="608" priority="512" operator="containsText" text="GP2">
      <formula>NOT(ISERROR(SEARCH("GP2",AD9)))</formula>
    </cfRule>
    <cfRule type="containsText" dxfId="607" priority="513" operator="containsText" text="GP1">
      <formula>NOT(ISERROR(SEARCH("GP1",AD9)))</formula>
    </cfRule>
  </conditionalFormatting>
  <conditionalFormatting sqref="AD9">
    <cfRule type="containsText" dxfId="606" priority="510" operator="containsText" text="GP2">
      <formula>NOT(ISERROR(SEARCH("GP2",AD9)))</formula>
    </cfRule>
    <cfRule type="containsText" dxfId="605" priority="511" operator="containsText" text="GP1">
      <formula>NOT(ISERROR(SEARCH("GP1",AD9)))</formula>
    </cfRule>
  </conditionalFormatting>
  <conditionalFormatting sqref="AD9">
    <cfRule type="containsText" dxfId="604" priority="508" operator="containsText" text="GP2">
      <formula>NOT(ISERROR(SEARCH("GP2",AD9)))</formula>
    </cfRule>
    <cfRule type="containsText" dxfId="603" priority="509" operator="containsText" text="GP1">
      <formula>NOT(ISERROR(SEARCH("GP1",AD9)))</formula>
    </cfRule>
  </conditionalFormatting>
  <conditionalFormatting sqref="AD9">
    <cfRule type="containsText" dxfId="602" priority="506" operator="containsText" text="GP2">
      <formula>NOT(ISERROR(SEARCH("GP2",AD9)))</formula>
    </cfRule>
    <cfRule type="containsText" dxfId="601" priority="507" operator="containsText" text="GP1">
      <formula>NOT(ISERROR(SEARCH("GP1",AD9)))</formula>
    </cfRule>
  </conditionalFormatting>
  <conditionalFormatting sqref="AD9">
    <cfRule type="containsText" dxfId="600" priority="504" operator="containsText" text="GP2">
      <formula>NOT(ISERROR(SEARCH("GP2",AD9)))</formula>
    </cfRule>
    <cfRule type="containsText" dxfId="599" priority="505" operator="containsText" text="GP1">
      <formula>NOT(ISERROR(SEARCH("GP1",AD9)))</formula>
    </cfRule>
  </conditionalFormatting>
  <conditionalFormatting sqref="AD9">
    <cfRule type="containsText" dxfId="598" priority="502" operator="containsText" text="GP2">
      <formula>NOT(ISERROR(SEARCH("GP2",AD9)))</formula>
    </cfRule>
    <cfRule type="containsText" dxfId="597" priority="503" operator="containsText" text="GP1">
      <formula>NOT(ISERROR(SEARCH("GP1",AD9)))</formula>
    </cfRule>
  </conditionalFormatting>
  <conditionalFormatting sqref="AD9">
    <cfRule type="containsText" dxfId="596" priority="500" operator="containsText" text="GP2">
      <formula>NOT(ISERROR(SEARCH("GP2",AD9)))</formula>
    </cfRule>
    <cfRule type="containsText" dxfId="595" priority="501" operator="containsText" text="GP1">
      <formula>NOT(ISERROR(SEARCH("GP1",AD9)))</formula>
    </cfRule>
  </conditionalFormatting>
  <conditionalFormatting sqref="AD9">
    <cfRule type="containsText" dxfId="594" priority="498" operator="containsText" text="GP2">
      <formula>NOT(ISERROR(SEARCH("GP2",AD9)))</formula>
    </cfRule>
    <cfRule type="containsText" dxfId="593" priority="499" operator="containsText" text="GP1">
      <formula>NOT(ISERROR(SEARCH("GP1",AD9)))</formula>
    </cfRule>
  </conditionalFormatting>
  <conditionalFormatting sqref="AD9">
    <cfRule type="containsText" dxfId="592" priority="496" operator="containsText" text="GP2">
      <formula>NOT(ISERROR(SEARCH("GP2",AD9)))</formula>
    </cfRule>
    <cfRule type="containsText" dxfId="591" priority="497" operator="containsText" text="GP1">
      <formula>NOT(ISERROR(SEARCH("GP1",AD9)))</formula>
    </cfRule>
  </conditionalFormatting>
  <conditionalFormatting sqref="AD9">
    <cfRule type="containsText" dxfId="590" priority="494" operator="containsText" text="GP2">
      <formula>NOT(ISERROR(SEARCH("GP2",AD9)))</formula>
    </cfRule>
    <cfRule type="containsText" dxfId="589" priority="495" operator="containsText" text="GP1">
      <formula>NOT(ISERROR(SEARCH("GP1",AD9)))</formula>
    </cfRule>
  </conditionalFormatting>
  <conditionalFormatting sqref="AD9">
    <cfRule type="containsText" dxfId="588" priority="492" operator="containsText" text="GP2">
      <formula>NOT(ISERROR(SEARCH("GP2",AD9)))</formula>
    </cfRule>
    <cfRule type="containsText" dxfId="587" priority="493" operator="containsText" text="GP1">
      <formula>NOT(ISERROR(SEARCH("GP1",AD9)))</formula>
    </cfRule>
  </conditionalFormatting>
  <conditionalFormatting sqref="AD9">
    <cfRule type="containsText" dxfId="586" priority="490" operator="containsText" text="GP2">
      <formula>NOT(ISERROR(SEARCH("GP2",AD9)))</formula>
    </cfRule>
    <cfRule type="containsText" dxfId="585" priority="491" operator="containsText" text="GP1">
      <formula>NOT(ISERROR(SEARCH("GP1",AD9)))</formula>
    </cfRule>
  </conditionalFormatting>
  <conditionalFormatting sqref="AD9">
    <cfRule type="containsText" dxfId="584" priority="488" operator="containsText" text="GP2">
      <formula>NOT(ISERROR(SEARCH("GP2",AD9)))</formula>
    </cfRule>
    <cfRule type="containsText" dxfId="583" priority="489" operator="containsText" text="GP1">
      <formula>NOT(ISERROR(SEARCH("GP1",AD9)))</formula>
    </cfRule>
  </conditionalFormatting>
  <conditionalFormatting sqref="AD9">
    <cfRule type="containsText" dxfId="582" priority="486" operator="containsText" text="GP2">
      <formula>NOT(ISERROR(SEARCH("GP2",AD9)))</formula>
    </cfRule>
    <cfRule type="containsText" dxfId="581" priority="487" operator="containsText" text="GP1">
      <formula>NOT(ISERROR(SEARCH("GP1",AD9)))</formula>
    </cfRule>
  </conditionalFormatting>
  <conditionalFormatting sqref="AD9">
    <cfRule type="containsText" dxfId="580" priority="484" operator="containsText" text="GP2">
      <formula>NOT(ISERROR(SEARCH("GP2",AD9)))</formula>
    </cfRule>
    <cfRule type="containsText" dxfId="579" priority="485" operator="containsText" text="GP1">
      <formula>NOT(ISERROR(SEARCH("GP1",AD9)))</formula>
    </cfRule>
  </conditionalFormatting>
  <conditionalFormatting sqref="AD9">
    <cfRule type="containsText" dxfId="578" priority="482" operator="containsText" text="GP2">
      <formula>NOT(ISERROR(SEARCH("GP2",AD9)))</formula>
    </cfRule>
    <cfRule type="containsText" dxfId="577" priority="483" operator="containsText" text="GP1">
      <formula>NOT(ISERROR(SEARCH("GP1",AD9)))</formula>
    </cfRule>
  </conditionalFormatting>
  <conditionalFormatting sqref="AD9">
    <cfRule type="containsText" dxfId="576" priority="480" operator="containsText" text="GP2">
      <formula>NOT(ISERROR(SEARCH("GP2",AD9)))</formula>
    </cfRule>
    <cfRule type="containsText" dxfId="575" priority="481" operator="containsText" text="GP1">
      <formula>NOT(ISERROR(SEARCH("GP1",AD9)))</formula>
    </cfRule>
  </conditionalFormatting>
  <conditionalFormatting sqref="AD9">
    <cfRule type="containsText" dxfId="574" priority="478" operator="containsText" text="GP2">
      <formula>NOT(ISERROR(SEARCH("GP2",AD9)))</formula>
    </cfRule>
    <cfRule type="containsText" dxfId="573" priority="479" operator="containsText" text="GP1">
      <formula>NOT(ISERROR(SEARCH("GP1",AD9)))</formula>
    </cfRule>
  </conditionalFormatting>
  <conditionalFormatting sqref="AD9">
    <cfRule type="containsText" dxfId="572" priority="476" operator="containsText" text="GP2">
      <formula>NOT(ISERROR(SEARCH("GP2",AD9)))</formula>
    </cfRule>
    <cfRule type="containsText" dxfId="571" priority="477" operator="containsText" text="GP1">
      <formula>NOT(ISERROR(SEARCH("GP1",AD9)))</formula>
    </cfRule>
  </conditionalFormatting>
  <conditionalFormatting sqref="AD9">
    <cfRule type="containsText" dxfId="570" priority="474" operator="containsText" text="GP2">
      <formula>NOT(ISERROR(SEARCH("GP2",AD9)))</formula>
    </cfRule>
    <cfRule type="containsText" dxfId="569" priority="475" operator="containsText" text="GP1">
      <formula>NOT(ISERROR(SEARCH("GP1",AD9)))</formula>
    </cfRule>
  </conditionalFormatting>
  <conditionalFormatting sqref="AD9">
    <cfRule type="containsText" dxfId="568" priority="472" operator="containsText" text="GP2">
      <formula>NOT(ISERROR(SEARCH("GP2",AD9)))</formula>
    </cfRule>
    <cfRule type="containsText" dxfId="567" priority="473" operator="containsText" text="GP1">
      <formula>NOT(ISERROR(SEARCH("GP1",AD9)))</formula>
    </cfRule>
  </conditionalFormatting>
  <conditionalFormatting sqref="AD9">
    <cfRule type="containsText" dxfId="566" priority="470" operator="containsText" text="GP2">
      <formula>NOT(ISERROR(SEARCH("GP2",AD9)))</formula>
    </cfRule>
    <cfRule type="containsText" dxfId="565" priority="471" operator="containsText" text="GP1">
      <formula>NOT(ISERROR(SEARCH("GP1",AD9)))</formula>
    </cfRule>
  </conditionalFormatting>
  <conditionalFormatting sqref="AD9">
    <cfRule type="containsText" dxfId="564" priority="468" operator="containsText" text="GP2">
      <formula>NOT(ISERROR(SEARCH("GP2",AD9)))</formula>
    </cfRule>
    <cfRule type="containsText" dxfId="563" priority="469" operator="containsText" text="GP1">
      <formula>NOT(ISERROR(SEARCH("GP1",AD9)))</formula>
    </cfRule>
  </conditionalFormatting>
  <conditionalFormatting sqref="AD9">
    <cfRule type="containsText" dxfId="562" priority="466" operator="containsText" text="GP2">
      <formula>NOT(ISERROR(SEARCH("GP2",AD9)))</formula>
    </cfRule>
    <cfRule type="containsText" dxfId="561" priority="467" operator="containsText" text="GP1">
      <formula>NOT(ISERROR(SEARCH("GP1",AD9)))</formula>
    </cfRule>
  </conditionalFormatting>
  <conditionalFormatting sqref="AD9">
    <cfRule type="containsText" dxfId="560" priority="464" operator="containsText" text="GP2">
      <formula>NOT(ISERROR(SEARCH("GP2",AD9)))</formula>
    </cfRule>
    <cfRule type="containsText" dxfId="559" priority="465" operator="containsText" text="GP1">
      <formula>NOT(ISERROR(SEARCH("GP1",AD9)))</formula>
    </cfRule>
  </conditionalFormatting>
  <conditionalFormatting sqref="AD9">
    <cfRule type="containsText" dxfId="558" priority="462" operator="containsText" text="GP2">
      <formula>NOT(ISERROR(SEARCH("GP2",AD9)))</formula>
    </cfRule>
    <cfRule type="containsText" dxfId="557" priority="463" operator="containsText" text="GP1">
      <formula>NOT(ISERROR(SEARCH("GP1",AD9)))</formula>
    </cfRule>
  </conditionalFormatting>
  <conditionalFormatting sqref="AD9">
    <cfRule type="containsText" dxfId="556" priority="460" operator="containsText" text="GP2">
      <formula>NOT(ISERROR(SEARCH("GP2",AD9)))</formula>
    </cfRule>
    <cfRule type="containsText" dxfId="555" priority="461" operator="containsText" text="GP1">
      <formula>NOT(ISERROR(SEARCH("GP1",AD9)))</formula>
    </cfRule>
  </conditionalFormatting>
  <conditionalFormatting sqref="AD9">
    <cfRule type="containsText" dxfId="554" priority="458" operator="containsText" text="GP2">
      <formula>NOT(ISERROR(SEARCH("GP2",AD9)))</formula>
    </cfRule>
    <cfRule type="containsText" dxfId="553" priority="459" operator="containsText" text="GP1">
      <formula>NOT(ISERROR(SEARCH("GP1",AD9)))</formula>
    </cfRule>
  </conditionalFormatting>
  <conditionalFormatting sqref="AD9">
    <cfRule type="containsText" dxfId="552" priority="456" operator="containsText" text="GP2">
      <formula>NOT(ISERROR(SEARCH("GP2",AD9)))</formula>
    </cfRule>
    <cfRule type="containsText" dxfId="551" priority="457" operator="containsText" text="GP1">
      <formula>NOT(ISERROR(SEARCH("GP1",AD9)))</formula>
    </cfRule>
  </conditionalFormatting>
  <conditionalFormatting sqref="AD9">
    <cfRule type="containsText" dxfId="550" priority="454" operator="containsText" text="GP2">
      <formula>NOT(ISERROR(SEARCH("GP2",AD9)))</formula>
    </cfRule>
    <cfRule type="containsText" dxfId="549" priority="455" operator="containsText" text="GP1">
      <formula>NOT(ISERROR(SEARCH("GP1",AD9)))</formula>
    </cfRule>
  </conditionalFormatting>
  <conditionalFormatting sqref="AD9">
    <cfRule type="containsText" dxfId="548" priority="452" operator="containsText" text="GP2">
      <formula>NOT(ISERROR(SEARCH("GP2",AD9)))</formula>
    </cfRule>
    <cfRule type="containsText" dxfId="547" priority="453" operator="containsText" text="GP1">
      <formula>NOT(ISERROR(SEARCH("GP1",AD9)))</formula>
    </cfRule>
  </conditionalFormatting>
  <conditionalFormatting sqref="AD9">
    <cfRule type="containsText" dxfId="546" priority="450" operator="containsText" text="GP2">
      <formula>NOT(ISERROR(SEARCH("GP2",AD9)))</formula>
    </cfRule>
    <cfRule type="containsText" dxfId="545" priority="451" operator="containsText" text="GP1">
      <formula>NOT(ISERROR(SEARCH("GP1",AD9)))</formula>
    </cfRule>
  </conditionalFormatting>
  <conditionalFormatting sqref="AD9">
    <cfRule type="containsText" dxfId="544" priority="448" operator="containsText" text="GP2">
      <formula>NOT(ISERROR(SEARCH("GP2",AD9)))</formula>
    </cfRule>
    <cfRule type="containsText" dxfId="543" priority="449" operator="containsText" text="GP1">
      <formula>NOT(ISERROR(SEARCH("GP1",AD9)))</formula>
    </cfRule>
  </conditionalFormatting>
  <conditionalFormatting sqref="AD9">
    <cfRule type="containsText" dxfId="542" priority="446" operator="containsText" text="GP2">
      <formula>NOT(ISERROR(SEARCH("GP2",AD9)))</formula>
    </cfRule>
    <cfRule type="containsText" dxfId="541" priority="447" operator="containsText" text="GP1">
      <formula>NOT(ISERROR(SEARCH("GP1",AD9)))</formula>
    </cfRule>
  </conditionalFormatting>
  <conditionalFormatting sqref="AD9">
    <cfRule type="containsText" dxfId="540" priority="444" operator="containsText" text="GP2">
      <formula>NOT(ISERROR(SEARCH("GP2",AD9)))</formula>
    </cfRule>
    <cfRule type="containsText" dxfId="539" priority="445" operator="containsText" text="GP1">
      <formula>NOT(ISERROR(SEARCH("GP1",AD9)))</formula>
    </cfRule>
  </conditionalFormatting>
  <conditionalFormatting sqref="AD9">
    <cfRule type="containsText" dxfId="538" priority="442" operator="containsText" text="GP2">
      <formula>NOT(ISERROR(SEARCH("GP2",AD9)))</formula>
    </cfRule>
    <cfRule type="containsText" dxfId="537" priority="443" operator="containsText" text="GP1">
      <formula>NOT(ISERROR(SEARCH("GP1",AD9)))</formula>
    </cfRule>
  </conditionalFormatting>
  <conditionalFormatting sqref="AD9">
    <cfRule type="containsText" dxfId="536" priority="440" operator="containsText" text="GP2">
      <formula>NOT(ISERROR(SEARCH("GP2",AD9)))</formula>
    </cfRule>
    <cfRule type="containsText" dxfId="535" priority="441" operator="containsText" text="GP1">
      <formula>NOT(ISERROR(SEARCH("GP1",AD9)))</formula>
    </cfRule>
  </conditionalFormatting>
  <conditionalFormatting sqref="AD9">
    <cfRule type="containsText" dxfId="534" priority="438" operator="containsText" text="GP2">
      <formula>NOT(ISERROR(SEARCH("GP2",AD9)))</formula>
    </cfRule>
    <cfRule type="containsText" dxfId="533" priority="439" operator="containsText" text="GP1">
      <formula>NOT(ISERROR(SEARCH("GP1",AD9)))</formula>
    </cfRule>
  </conditionalFormatting>
  <conditionalFormatting sqref="AD9">
    <cfRule type="containsText" dxfId="532" priority="436" operator="containsText" text="GP2">
      <formula>NOT(ISERROR(SEARCH("GP2",AD9)))</formula>
    </cfRule>
    <cfRule type="containsText" dxfId="531" priority="437" operator="containsText" text="GP1">
      <formula>NOT(ISERROR(SEARCH("GP1",AD9)))</formula>
    </cfRule>
  </conditionalFormatting>
  <conditionalFormatting sqref="AD9">
    <cfRule type="containsText" dxfId="530" priority="434" operator="containsText" text="GP2">
      <formula>NOT(ISERROR(SEARCH("GP2",AD9)))</formula>
    </cfRule>
    <cfRule type="containsText" dxfId="529" priority="435" operator="containsText" text="GP1">
      <formula>NOT(ISERROR(SEARCH("GP1",AD9)))</formula>
    </cfRule>
  </conditionalFormatting>
  <conditionalFormatting sqref="AD9">
    <cfRule type="containsText" dxfId="528" priority="432" operator="containsText" text="GP2">
      <formula>NOT(ISERROR(SEARCH("GP2",AD9)))</formula>
    </cfRule>
    <cfRule type="containsText" dxfId="527" priority="433" operator="containsText" text="GP1">
      <formula>NOT(ISERROR(SEARCH("GP1",AD9)))</formula>
    </cfRule>
  </conditionalFormatting>
  <conditionalFormatting sqref="AD9">
    <cfRule type="containsText" dxfId="526" priority="430" operator="containsText" text="GP2">
      <formula>NOT(ISERROR(SEARCH("GP2",AD9)))</formula>
    </cfRule>
    <cfRule type="containsText" dxfId="525" priority="431" operator="containsText" text="GP1">
      <formula>NOT(ISERROR(SEARCH("GP1",AD9)))</formula>
    </cfRule>
  </conditionalFormatting>
  <conditionalFormatting sqref="AD9">
    <cfRule type="containsText" dxfId="524" priority="428" operator="containsText" text="GP2">
      <formula>NOT(ISERROR(SEARCH("GP2",AD9)))</formula>
    </cfRule>
    <cfRule type="containsText" dxfId="523" priority="429" operator="containsText" text="GP1">
      <formula>NOT(ISERROR(SEARCH("GP1",AD9)))</formula>
    </cfRule>
  </conditionalFormatting>
  <conditionalFormatting sqref="AD9">
    <cfRule type="containsText" dxfId="522" priority="426" operator="containsText" text="GP2">
      <formula>NOT(ISERROR(SEARCH("GP2",AD9)))</formula>
    </cfRule>
    <cfRule type="containsText" dxfId="521" priority="427" operator="containsText" text="GP1">
      <formula>NOT(ISERROR(SEARCH("GP1",AD9)))</formula>
    </cfRule>
  </conditionalFormatting>
  <conditionalFormatting sqref="AD9">
    <cfRule type="containsText" dxfId="520" priority="424" operator="containsText" text="GP2">
      <formula>NOT(ISERROR(SEARCH("GP2",AD9)))</formula>
    </cfRule>
    <cfRule type="containsText" dxfId="519" priority="425" operator="containsText" text="GP1">
      <formula>NOT(ISERROR(SEARCH("GP1",AD9)))</formula>
    </cfRule>
  </conditionalFormatting>
  <conditionalFormatting sqref="AD9">
    <cfRule type="containsText" dxfId="518" priority="422" operator="containsText" text="GP2">
      <formula>NOT(ISERROR(SEARCH("GP2",AD9)))</formula>
    </cfRule>
    <cfRule type="containsText" dxfId="517" priority="423" operator="containsText" text="GP1">
      <formula>NOT(ISERROR(SEARCH("GP1",AD9)))</formula>
    </cfRule>
  </conditionalFormatting>
  <conditionalFormatting sqref="AD9">
    <cfRule type="containsText" dxfId="516" priority="420" operator="containsText" text="GP2">
      <formula>NOT(ISERROR(SEARCH("GP2",AD9)))</formula>
    </cfRule>
    <cfRule type="containsText" dxfId="515" priority="421" operator="containsText" text="GP1">
      <formula>NOT(ISERROR(SEARCH("GP1",AD9)))</formula>
    </cfRule>
  </conditionalFormatting>
  <conditionalFormatting sqref="AD9">
    <cfRule type="containsText" dxfId="514" priority="418" operator="containsText" text="GP2">
      <formula>NOT(ISERROR(SEARCH("GP2",AD9)))</formula>
    </cfRule>
    <cfRule type="containsText" dxfId="513" priority="419" operator="containsText" text="GP1">
      <formula>NOT(ISERROR(SEARCH("GP1",AD9)))</formula>
    </cfRule>
  </conditionalFormatting>
  <conditionalFormatting sqref="AD9">
    <cfRule type="containsText" dxfId="512" priority="416" operator="containsText" text="GP2">
      <formula>NOT(ISERROR(SEARCH("GP2",AD9)))</formula>
    </cfRule>
    <cfRule type="containsText" dxfId="511" priority="417" operator="containsText" text="GP1">
      <formula>NOT(ISERROR(SEARCH("GP1",AD9)))</formula>
    </cfRule>
  </conditionalFormatting>
  <conditionalFormatting sqref="AD9">
    <cfRule type="containsText" dxfId="510" priority="414" operator="containsText" text="GP2">
      <formula>NOT(ISERROR(SEARCH("GP2",AD9)))</formula>
    </cfRule>
    <cfRule type="containsText" dxfId="509" priority="415" operator="containsText" text="GP1">
      <formula>NOT(ISERROR(SEARCH("GP1",AD9)))</formula>
    </cfRule>
  </conditionalFormatting>
  <conditionalFormatting sqref="AD9">
    <cfRule type="containsText" dxfId="508" priority="412" operator="containsText" text="GP2">
      <formula>NOT(ISERROR(SEARCH("GP2",AD9)))</formula>
    </cfRule>
    <cfRule type="containsText" dxfId="507" priority="413" operator="containsText" text="GP1">
      <formula>NOT(ISERROR(SEARCH("GP1",AD9)))</formula>
    </cfRule>
  </conditionalFormatting>
  <conditionalFormatting sqref="AD9">
    <cfRule type="containsText" dxfId="506" priority="410" operator="containsText" text="GP2">
      <formula>NOT(ISERROR(SEARCH("GP2",AD9)))</formula>
    </cfRule>
    <cfRule type="containsText" dxfId="505" priority="411" operator="containsText" text="GP1">
      <formula>NOT(ISERROR(SEARCH("GP1",AD9)))</formula>
    </cfRule>
  </conditionalFormatting>
  <conditionalFormatting sqref="AD9">
    <cfRule type="containsText" dxfId="504" priority="408" operator="containsText" text="GP2">
      <formula>NOT(ISERROR(SEARCH("GP2",AD9)))</formula>
    </cfRule>
    <cfRule type="containsText" dxfId="503" priority="409" operator="containsText" text="GP1">
      <formula>NOT(ISERROR(SEARCH("GP1",AD9)))</formula>
    </cfRule>
  </conditionalFormatting>
  <conditionalFormatting sqref="AD9">
    <cfRule type="containsText" dxfId="502" priority="406" operator="containsText" text="GP2">
      <formula>NOT(ISERROR(SEARCH("GP2",AD9)))</formula>
    </cfRule>
    <cfRule type="containsText" dxfId="501" priority="407" operator="containsText" text="GP1">
      <formula>NOT(ISERROR(SEARCH("GP1",AD9)))</formula>
    </cfRule>
  </conditionalFormatting>
  <conditionalFormatting sqref="AD9">
    <cfRule type="containsText" dxfId="500" priority="404" operator="containsText" text="GP2">
      <formula>NOT(ISERROR(SEARCH("GP2",AD9)))</formula>
    </cfRule>
    <cfRule type="containsText" dxfId="499" priority="405" operator="containsText" text="GP1">
      <formula>NOT(ISERROR(SEARCH("GP1",AD9)))</formula>
    </cfRule>
  </conditionalFormatting>
  <conditionalFormatting sqref="AD9">
    <cfRule type="containsText" dxfId="498" priority="402" operator="containsText" text="GP2">
      <formula>NOT(ISERROR(SEARCH("GP2",AD9)))</formula>
    </cfRule>
    <cfRule type="containsText" dxfId="497" priority="403" operator="containsText" text="GP1">
      <formula>NOT(ISERROR(SEARCH("GP1",AD9)))</formula>
    </cfRule>
  </conditionalFormatting>
  <conditionalFormatting sqref="AD9">
    <cfRule type="containsText" dxfId="496" priority="400" operator="containsText" text="GP2">
      <formula>NOT(ISERROR(SEARCH("GP2",AD9)))</formula>
    </cfRule>
    <cfRule type="containsText" dxfId="495" priority="401" operator="containsText" text="GP1">
      <formula>NOT(ISERROR(SEARCH("GP1",AD9)))</formula>
    </cfRule>
  </conditionalFormatting>
  <conditionalFormatting sqref="AD9">
    <cfRule type="containsText" dxfId="494" priority="398" operator="containsText" text="GP2">
      <formula>NOT(ISERROR(SEARCH("GP2",AD9)))</formula>
    </cfRule>
    <cfRule type="containsText" dxfId="493" priority="399" operator="containsText" text="GP1">
      <formula>NOT(ISERROR(SEARCH("GP1",AD9)))</formula>
    </cfRule>
  </conditionalFormatting>
  <conditionalFormatting sqref="AD9">
    <cfRule type="containsText" dxfId="492" priority="396" operator="containsText" text="GP2">
      <formula>NOT(ISERROR(SEARCH("GP2",AD9)))</formula>
    </cfRule>
    <cfRule type="containsText" dxfId="491" priority="397" operator="containsText" text="GP1">
      <formula>NOT(ISERROR(SEARCH("GP1",AD9)))</formula>
    </cfRule>
  </conditionalFormatting>
  <conditionalFormatting sqref="AD9">
    <cfRule type="containsText" dxfId="490" priority="394" operator="containsText" text="GP2">
      <formula>NOT(ISERROR(SEARCH("GP2",AD9)))</formula>
    </cfRule>
    <cfRule type="containsText" dxfId="489" priority="395" operator="containsText" text="GP1">
      <formula>NOT(ISERROR(SEARCH("GP1",AD9)))</formula>
    </cfRule>
  </conditionalFormatting>
  <conditionalFormatting sqref="AD9">
    <cfRule type="containsText" dxfId="488" priority="392" operator="containsText" text="GP2">
      <formula>NOT(ISERROR(SEARCH("GP2",AD9)))</formula>
    </cfRule>
    <cfRule type="containsText" dxfId="487" priority="393" operator="containsText" text="GP1">
      <formula>NOT(ISERROR(SEARCH("GP1",AD9)))</formula>
    </cfRule>
  </conditionalFormatting>
  <conditionalFormatting sqref="AD9">
    <cfRule type="containsText" dxfId="486" priority="390" operator="containsText" text="GP2">
      <formula>NOT(ISERROR(SEARCH("GP2",AD9)))</formula>
    </cfRule>
    <cfRule type="containsText" dxfId="485" priority="391" operator="containsText" text="GP1">
      <formula>NOT(ISERROR(SEARCH("GP1",AD9)))</formula>
    </cfRule>
  </conditionalFormatting>
  <conditionalFormatting sqref="AD9">
    <cfRule type="containsText" dxfId="484" priority="388" operator="containsText" text="GP2">
      <formula>NOT(ISERROR(SEARCH("GP2",AD9)))</formula>
    </cfRule>
    <cfRule type="containsText" dxfId="483" priority="389" operator="containsText" text="GP1">
      <formula>NOT(ISERROR(SEARCH("GP1",AD9)))</formula>
    </cfRule>
  </conditionalFormatting>
  <conditionalFormatting sqref="AD9">
    <cfRule type="containsText" dxfId="482" priority="386" operator="containsText" text="GP2">
      <formula>NOT(ISERROR(SEARCH("GP2",AD9)))</formula>
    </cfRule>
    <cfRule type="containsText" dxfId="481" priority="387" operator="containsText" text="GP1">
      <formula>NOT(ISERROR(SEARCH("GP1",AD9)))</formula>
    </cfRule>
  </conditionalFormatting>
  <conditionalFormatting sqref="AD9">
    <cfRule type="containsText" dxfId="480" priority="384" operator="containsText" text="GP2">
      <formula>NOT(ISERROR(SEARCH("GP2",AD9)))</formula>
    </cfRule>
    <cfRule type="containsText" dxfId="479" priority="385" operator="containsText" text="GP1">
      <formula>NOT(ISERROR(SEARCH("GP1",AD9)))</formula>
    </cfRule>
  </conditionalFormatting>
  <conditionalFormatting sqref="AD9">
    <cfRule type="containsText" dxfId="478" priority="382" operator="containsText" text="GP2">
      <formula>NOT(ISERROR(SEARCH("GP2",AD9)))</formula>
    </cfRule>
    <cfRule type="containsText" dxfId="477" priority="383" operator="containsText" text="GP1">
      <formula>NOT(ISERROR(SEARCH("GP1",AD9)))</formula>
    </cfRule>
  </conditionalFormatting>
  <conditionalFormatting sqref="AD9">
    <cfRule type="containsText" dxfId="476" priority="380" operator="containsText" text="GP2">
      <formula>NOT(ISERROR(SEARCH("GP2",AD9)))</formula>
    </cfRule>
    <cfRule type="containsText" dxfId="475" priority="381" operator="containsText" text="GP1">
      <formula>NOT(ISERROR(SEARCH("GP1",AD9)))</formula>
    </cfRule>
  </conditionalFormatting>
  <conditionalFormatting sqref="AD9">
    <cfRule type="containsText" dxfId="474" priority="378" operator="containsText" text="GP2">
      <formula>NOT(ISERROR(SEARCH("GP2",AD9)))</formula>
    </cfRule>
    <cfRule type="containsText" dxfId="473" priority="379" operator="containsText" text="GP1">
      <formula>NOT(ISERROR(SEARCH("GP1",AD9)))</formula>
    </cfRule>
  </conditionalFormatting>
  <conditionalFormatting sqref="AD9">
    <cfRule type="containsText" dxfId="472" priority="376" operator="containsText" text="GP2">
      <formula>NOT(ISERROR(SEARCH("GP2",AD9)))</formula>
    </cfRule>
    <cfRule type="containsText" dxfId="471" priority="377" operator="containsText" text="GP1">
      <formula>NOT(ISERROR(SEARCH("GP1",AD9)))</formula>
    </cfRule>
  </conditionalFormatting>
  <conditionalFormatting sqref="AD9">
    <cfRule type="containsText" dxfId="470" priority="374" operator="containsText" text="GP2">
      <formula>NOT(ISERROR(SEARCH("GP2",AD9)))</formula>
    </cfRule>
    <cfRule type="containsText" dxfId="469" priority="375" operator="containsText" text="GP1">
      <formula>NOT(ISERROR(SEARCH("GP1",AD9)))</formula>
    </cfRule>
  </conditionalFormatting>
  <conditionalFormatting sqref="AD9">
    <cfRule type="containsText" dxfId="468" priority="372" operator="containsText" text="GP2">
      <formula>NOT(ISERROR(SEARCH("GP2",AD9)))</formula>
    </cfRule>
    <cfRule type="containsText" dxfId="467" priority="373" operator="containsText" text="GP1">
      <formula>NOT(ISERROR(SEARCH("GP1",AD9)))</formula>
    </cfRule>
  </conditionalFormatting>
  <conditionalFormatting sqref="AD9">
    <cfRule type="containsText" dxfId="466" priority="370" operator="containsText" text="GP2">
      <formula>NOT(ISERROR(SEARCH("GP2",AD9)))</formula>
    </cfRule>
    <cfRule type="containsText" dxfId="465" priority="371" operator="containsText" text="GP1">
      <formula>NOT(ISERROR(SEARCH("GP1",AD9)))</formula>
    </cfRule>
  </conditionalFormatting>
  <conditionalFormatting sqref="AD9">
    <cfRule type="containsText" dxfId="464" priority="368" operator="containsText" text="GP2">
      <formula>NOT(ISERROR(SEARCH("GP2",AD9)))</formula>
    </cfRule>
    <cfRule type="containsText" dxfId="463" priority="369" operator="containsText" text="GP1">
      <formula>NOT(ISERROR(SEARCH("GP1",AD9)))</formula>
    </cfRule>
  </conditionalFormatting>
  <conditionalFormatting sqref="AD9">
    <cfRule type="containsText" dxfId="462" priority="366" operator="containsText" text="GP2">
      <formula>NOT(ISERROR(SEARCH("GP2",AD9)))</formula>
    </cfRule>
    <cfRule type="containsText" dxfId="461" priority="367" operator="containsText" text="GP1">
      <formula>NOT(ISERROR(SEARCH("GP1",AD9)))</formula>
    </cfRule>
  </conditionalFormatting>
  <conditionalFormatting sqref="AD9">
    <cfRule type="containsText" dxfId="460" priority="364" operator="containsText" text="GP2">
      <formula>NOT(ISERROR(SEARCH("GP2",AD9)))</formula>
    </cfRule>
    <cfRule type="containsText" dxfId="459" priority="365" operator="containsText" text="GP1">
      <formula>NOT(ISERROR(SEARCH("GP1",AD9)))</formula>
    </cfRule>
  </conditionalFormatting>
  <conditionalFormatting sqref="AD9">
    <cfRule type="containsText" dxfId="458" priority="362" operator="containsText" text="GP2">
      <formula>NOT(ISERROR(SEARCH("GP2",AD9)))</formula>
    </cfRule>
    <cfRule type="containsText" dxfId="457" priority="363" operator="containsText" text="GP1">
      <formula>NOT(ISERROR(SEARCH("GP1",AD9)))</formula>
    </cfRule>
  </conditionalFormatting>
  <conditionalFormatting sqref="AD9">
    <cfRule type="containsText" dxfId="456" priority="360" operator="containsText" text="GP2">
      <formula>NOT(ISERROR(SEARCH("GP2",AD9)))</formula>
    </cfRule>
    <cfRule type="containsText" dxfId="455" priority="361" operator="containsText" text="GP1">
      <formula>NOT(ISERROR(SEARCH("GP1",AD9)))</formula>
    </cfRule>
  </conditionalFormatting>
  <conditionalFormatting sqref="AD9">
    <cfRule type="containsText" dxfId="454" priority="358" operator="containsText" text="GP2">
      <formula>NOT(ISERROR(SEARCH("GP2",AD9)))</formula>
    </cfRule>
    <cfRule type="containsText" dxfId="453" priority="359" operator="containsText" text="GP1">
      <formula>NOT(ISERROR(SEARCH("GP1",AD9)))</formula>
    </cfRule>
  </conditionalFormatting>
  <conditionalFormatting sqref="AD9">
    <cfRule type="containsText" dxfId="452" priority="356" operator="containsText" text="GP2">
      <formula>NOT(ISERROR(SEARCH("GP2",AD9)))</formula>
    </cfRule>
    <cfRule type="containsText" dxfId="451" priority="357" operator="containsText" text="GP1">
      <formula>NOT(ISERROR(SEARCH("GP1",AD9)))</formula>
    </cfRule>
  </conditionalFormatting>
  <conditionalFormatting sqref="AD9">
    <cfRule type="containsText" dxfId="450" priority="354" operator="containsText" text="GP2">
      <formula>NOT(ISERROR(SEARCH("GP2",AD9)))</formula>
    </cfRule>
    <cfRule type="containsText" dxfId="449" priority="355" operator="containsText" text="GP1">
      <formula>NOT(ISERROR(SEARCH("GP1",AD9)))</formula>
    </cfRule>
  </conditionalFormatting>
  <conditionalFormatting sqref="AD9">
    <cfRule type="containsText" dxfId="448" priority="352" operator="containsText" text="GP2">
      <formula>NOT(ISERROR(SEARCH("GP2",AD9)))</formula>
    </cfRule>
    <cfRule type="containsText" dxfId="447" priority="353" operator="containsText" text="GP1">
      <formula>NOT(ISERROR(SEARCH("GP1",AD9)))</formula>
    </cfRule>
  </conditionalFormatting>
  <conditionalFormatting sqref="AD9">
    <cfRule type="containsText" dxfId="446" priority="350" operator="containsText" text="GP2">
      <formula>NOT(ISERROR(SEARCH("GP2",AD9)))</formula>
    </cfRule>
    <cfRule type="containsText" dxfId="445" priority="351" operator="containsText" text="GP1">
      <formula>NOT(ISERROR(SEARCH("GP1",AD9)))</formula>
    </cfRule>
  </conditionalFormatting>
  <conditionalFormatting sqref="AD9">
    <cfRule type="containsText" dxfId="444" priority="348" operator="containsText" text="GP2">
      <formula>NOT(ISERROR(SEARCH("GP2",AD9)))</formula>
    </cfRule>
    <cfRule type="containsText" dxfId="443" priority="349" operator="containsText" text="GP1">
      <formula>NOT(ISERROR(SEARCH("GP1",AD9)))</formula>
    </cfRule>
  </conditionalFormatting>
  <conditionalFormatting sqref="AD9">
    <cfRule type="containsText" dxfId="442" priority="346" operator="containsText" text="GP2">
      <formula>NOT(ISERROR(SEARCH("GP2",AD9)))</formula>
    </cfRule>
    <cfRule type="containsText" dxfId="441" priority="347" operator="containsText" text="GP1">
      <formula>NOT(ISERROR(SEARCH("GP1",AD9)))</formula>
    </cfRule>
  </conditionalFormatting>
  <conditionalFormatting sqref="AD9">
    <cfRule type="containsText" dxfId="440" priority="344" operator="containsText" text="GP2">
      <formula>NOT(ISERROR(SEARCH("GP2",AD9)))</formula>
    </cfRule>
    <cfRule type="containsText" dxfId="439" priority="345" operator="containsText" text="GP1">
      <formula>NOT(ISERROR(SEARCH("GP1",AD9)))</formula>
    </cfRule>
  </conditionalFormatting>
  <conditionalFormatting sqref="AD9">
    <cfRule type="containsText" dxfId="438" priority="342" operator="containsText" text="GP2">
      <formula>NOT(ISERROR(SEARCH("GP2",AD9)))</formula>
    </cfRule>
    <cfRule type="containsText" dxfId="437" priority="343" operator="containsText" text="GP1">
      <formula>NOT(ISERROR(SEARCH("GP1",AD9)))</formula>
    </cfRule>
  </conditionalFormatting>
  <conditionalFormatting sqref="AD9">
    <cfRule type="containsText" dxfId="436" priority="340" operator="containsText" text="GP2">
      <formula>NOT(ISERROR(SEARCH("GP2",AD9)))</formula>
    </cfRule>
    <cfRule type="containsText" dxfId="435" priority="341" operator="containsText" text="GP1">
      <formula>NOT(ISERROR(SEARCH("GP1",AD9)))</formula>
    </cfRule>
  </conditionalFormatting>
  <conditionalFormatting sqref="AD9">
    <cfRule type="containsText" dxfId="434" priority="338" operator="containsText" text="GP2">
      <formula>NOT(ISERROR(SEARCH("GP2",AD9)))</formula>
    </cfRule>
    <cfRule type="containsText" dxfId="433" priority="339" operator="containsText" text="GP1">
      <formula>NOT(ISERROR(SEARCH("GP1",AD9)))</formula>
    </cfRule>
  </conditionalFormatting>
  <conditionalFormatting sqref="AD9">
    <cfRule type="containsText" dxfId="432" priority="336" operator="containsText" text="GP2">
      <formula>NOT(ISERROR(SEARCH("GP2",AD9)))</formula>
    </cfRule>
    <cfRule type="containsText" dxfId="431" priority="337" operator="containsText" text="GP1">
      <formula>NOT(ISERROR(SEARCH("GP1",AD9)))</formula>
    </cfRule>
  </conditionalFormatting>
  <conditionalFormatting sqref="AD9">
    <cfRule type="containsText" dxfId="430" priority="334" operator="containsText" text="GP2">
      <formula>NOT(ISERROR(SEARCH("GP2",AD9)))</formula>
    </cfRule>
    <cfRule type="containsText" dxfId="429" priority="335" operator="containsText" text="GP1">
      <formula>NOT(ISERROR(SEARCH("GP1",AD9)))</formula>
    </cfRule>
  </conditionalFormatting>
  <conditionalFormatting sqref="AD9">
    <cfRule type="containsText" dxfId="428" priority="332" operator="containsText" text="GP2">
      <formula>NOT(ISERROR(SEARCH("GP2",AD9)))</formula>
    </cfRule>
    <cfRule type="containsText" dxfId="427" priority="333" operator="containsText" text="GP1">
      <formula>NOT(ISERROR(SEARCH("GP1",AD9)))</formula>
    </cfRule>
  </conditionalFormatting>
  <conditionalFormatting sqref="AD9">
    <cfRule type="containsText" dxfId="426" priority="330" operator="containsText" text="GP2">
      <formula>NOT(ISERROR(SEARCH("GP2",AD9)))</formula>
    </cfRule>
    <cfRule type="containsText" dxfId="425" priority="331" operator="containsText" text="GP1">
      <formula>NOT(ISERROR(SEARCH("GP1",AD9)))</formula>
    </cfRule>
  </conditionalFormatting>
  <conditionalFormatting sqref="AD9">
    <cfRule type="containsText" dxfId="424" priority="328" operator="containsText" text="GP2">
      <formula>NOT(ISERROR(SEARCH("GP2",AD9)))</formula>
    </cfRule>
    <cfRule type="containsText" dxfId="423" priority="329" operator="containsText" text="GP1">
      <formula>NOT(ISERROR(SEARCH("GP1",AD9)))</formula>
    </cfRule>
  </conditionalFormatting>
  <conditionalFormatting sqref="AD9">
    <cfRule type="containsText" dxfId="422" priority="326" operator="containsText" text="GP2">
      <formula>NOT(ISERROR(SEARCH("GP2",AD9)))</formula>
    </cfRule>
    <cfRule type="containsText" dxfId="421" priority="327" operator="containsText" text="GP1">
      <formula>NOT(ISERROR(SEARCH("GP1",AD9)))</formula>
    </cfRule>
  </conditionalFormatting>
  <conditionalFormatting sqref="AD9">
    <cfRule type="containsText" dxfId="420" priority="324" operator="containsText" text="GP2">
      <formula>NOT(ISERROR(SEARCH("GP2",AD9)))</formula>
    </cfRule>
    <cfRule type="containsText" dxfId="419" priority="325" operator="containsText" text="GP1">
      <formula>NOT(ISERROR(SEARCH("GP1",AD9)))</formula>
    </cfRule>
  </conditionalFormatting>
  <conditionalFormatting sqref="AD9">
    <cfRule type="containsText" dxfId="418" priority="322" operator="containsText" text="GP2">
      <formula>NOT(ISERROR(SEARCH("GP2",AD9)))</formula>
    </cfRule>
    <cfRule type="containsText" dxfId="417" priority="323" operator="containsText" text="GP1">
      <formula>NOT(ISERROR(SEARCH("GP1",AD9)))</formula>
    </cfRule>
  </conditionalFormatting>
  <conditionalFormatting sqref="AD9">
    <cfRule type="containsText" dxfId="416" priority="320" operator="containsText" text="GP2">
      <formula>NOT(ISERROR(SEARCH("GP2",AD9)))</formula>
    </cfRule>
    <cfRule type="containsText" dxfId="415" priority="321" operator="containsText" text="GP1">
      <formula>NOT(ISERROR(SEARCH("GP1",AD9)))</formula>
    </cfRule>
  </conditionalFormatting>
  <conditionalFormatting sqref="AD9">
    <cfRule type="containsText" dxfId="414" priority="318" operator="containsText" text="GP2">
      <formula>NOT(ISERROR(SEARCH("GP2",AD9)))</formula>
    </cfRule>
    <cfRule type="containsText" dxfId="413" priority="319" operator="containsText" text="GP1">
      <formula>NOT(ISERROR(SEARCH("GP1",AD9)))</formula>
    </cfRule>
  </conditionalFormatting>
  <conditionalFormatting sqref="AD9">
    <cfRule type="containsText" dxfId="412" priority="316" operator="containsText" text="GP2">
      <formula>NOT(ISERROR(SEARCH("GP2",AD9)))</formula>
    </cfRule>
    <cfRule type="containsText" dxfId="411" priority="317" operator="containsText" text="GP1">
      <formula>NOT(ISERROR(SEARCH("GP1",AD9)))</formula>
    </cfRule>
  </conditionalFormatting>
  <conditionalFormatting sqref="AD9">
    <cfRule type="containsText" dxfId="410" priority="314" operator="containsText" text="GP2">
      <formula>NOT(ISERROR(SEARCH("GP2",AD9)))</formula>
    </cfRule>
    <cfRule type="containsText" dxfId="409" priority="315" operator="containsText" text="GP1">
      <formula>NOT(ISERROR(SEARCH("GP1",AD9)))</formula>
    </cfRule>
  </conditionalFormatting>
  <conditionalFormatting sqref="AD9">
    <cfRule type="containsText" dxfId="408" priority="312" operator="containsText" text="GP2">
      <formula>NOT(ISERROR(SEARCH("GP2",AD9)))</formula>
    </cfRule>
    <cfRule type="containsText" dxfId="407" priority="313" operator="containsText" text="GP1">
      <formula>NOT(ISERROR(SEARCH("GP1",AD9)))</formula>
    </cfRule>
  </conditionalFormatting>
  <conditionalFormatting sqref="AD9">
    <cfRule type="containsText" dxfId="406" priority="310" operator="containsText" text="GP2">
      <formula>NOT(ISERROR(SEARCH("GP2",AD9)))</formula>
    </cfRule>
    <cfRule type="containsText" dxfId="405" priority="311" operator="containsText" text="GP1">
      <formula>NOT(ISERROR(SEARCH("GP1",AD9)))</formula>
    </cfRule>
  </conditionalFormatting>
  <conditionalFormatting sqref="AD9">
    <cfRule type="containsText" dxfId="404" priority="308" operator="containsText" text="GP2">
      <formula>NOT(ISERROR(SEARCH("GP2",AD9)))</formula>
    </cfRule>
    <cfRule type="containsText" dxfId="403" priority="309" operator="containsText" text="GP1">
      <formula>NOT(ISERROR(SEARCH("GP1",AD9)))</formula>
    </cfRule>
  </conditionalFormatting>
  <conditionalFormatting sqref="AD9">
    <cfRule type="containsText" dxfId="402" priority="306" operator="containsText" text="GP2">
      <formula>NOT(ISERROR(SEARCH("GP2",AD9)))</formula>
    </cfRule>
    <cfRule type="containsText" dxfId="401" priority="307" operator="containsText" text="GP1">
      <formula>NOT(ISERROR(SEARCH("GP1",AD9)))</formula>
    </cfRule>
  </conditionalFormatting>
  <conditionalFormatting sqref="AD9">
    <cfRule type="containsText" dxfId="400" priority="304" operator="containsText" text="GP2">
      <formula>NOT(ISERROR(SEARCH("GP2",AD9)))</formula>
    </cfRule>
    <cfRule type="containsText" dxfId="399" priority="305" operator="containsText" text="GP1">
      <formula>NOT(ISERROR(SEARCH("GP1",AD9)))</formula>
    </cfRule>
  </conditionalFormatting>
  <conditionalFormatting sqref="AD9">
    <cfRule type="containsText" dxfId="398" priority="302" operator="containsText" text="GP2">
      <formula>NOT(ISERROR(SEARCH("GP2",AD9)))</formula>
    </cfRule>
    <cfRule type="containsText" dxfId="397" priority="303" operator="containsText" text="GP1">
      <formula>NOT(ISERROR(SEARCH("GP1",AD9)))</formula>
    </cfRule>
  </conditionalFormatting>
  <conditionalFormatting sqref="AD9">
    <cfRule type="containsText" dxfId="396" priority="300" operator="containsText" text="GP2">
      <formula>NOT(ISERROR(SEARCH("GP2",AD9)))</formula>
    </cfRule>
    <cfRule type="containsText" dxfId="395" priority="301" operator="containsText" text="GP1">
      <formula>NOT(ISERROR(SEARCH("GP1",AD9)))</formula>
    </cfRule>
  </conditionalFormatting>
  <conditionalFormatting sqref="AD9">
    <cfRule type="containsText" dxfId="394" priority="298" operator="containsText" text="GP2">
      <formula>NOT(ISERROR(SEARCH("GP2",AD9)))</formula>
    </cfRule>
    <cfRule type="containsText" dxfId="393" priority="299" operator="containsText" text="GP1">
      <formula>NOT(ISERROR(SEARCH("GP1",AD9)))</formula>
    </cfRule>
  </conditionalFormatting>
  <conditionalFormatting sqref="AD9">
    <cfRule type="containsText" dxfId="392" priority="296" operator="containsText" text="GP2">
      <formula>NOT(ISERROR(SEARCH("GP2",AD9)))</formula>
    </cfRule>
    <cfRule type="containsText" dxfId="391" priority="297" operator="containsText" text="GP1">
      <formula>NOT(ISERROR(SEARCH("GP1",AD9)))</formula>
    </cfRule>
  </conditionalFormatting>
  <conditionalFormatting sqref="AD9">
    <cfRule type="containsText" dxfId="390" priority="294" operator="containsText" text="GP2">
      <formula>NOT(ISERROR(SEARCH("GP2",AD9)))</formula>
    </cfRule>
    <cfRule type="containsText" dxfId="389" priority="295" operator="containsText" text="GP1">
      <formula>NOT(ISERROR(SEARCH("GP1",AD9)))</formula>
    </cfRule>
  </conditionalFormatting>
  <conditionalFormatting sqref="AD9">
    <cfRule type="containsText" dxfId="388" priority="292" operator="containsText" text="GP2">
      <formula>NOT(ISERROR(SEARCH("GP2",AD9)))</formula>
    </cfRule>
    <cfRule type="containsText" dxfId="387" priority="293" operator="containsText" text="GP1">
      <formula>NOT(ISERROR(SEARCH("GP1",AD9)))</formula>
    </cfRule>
  </conditionalFormatting>
  <conditionalFormatting sqref="AD9">
    <cfRule type="containsText" dxfId="386" priority="290" operator="containsText" text="GP2">
      <formula>NOT(ISERROR(SEARCH("GP2",AD9)))</formula>
    </cfRule>
    <cfRule type="containsText" dxfId="385" priority="291" operator="containsText" text="GP1">
      <formula>NOT(ISERROR(SEARCH("GP1",AD9)))</formula>
    </cfRule>
  </conditionalFormatting>
  <conditionalFormatting sqref="AD9">
    <cfRule type="containsText" dxfId="384" priority="288" operator="containsText" text="GP2">
      <formula>NOT(ISERROR(SEARCH("GP2",AD9)))</formula>
    </cfRule>
    <cfRule type="containsText" dxfId="383" priority="289" operator="containsText" text="GP1">
      <formula>NOT(ISERROR(SEARCH("GP1",AD9)))</formula>
    </cfRule>
  </conditionalFormatting>
  <conditionalFormatting sqref="AD9">
    <cfRule type="containsText" dxfId="382" priority="286" operator="containsText" text="GP2">
      <formula>NOT(ISERROR(SEARCH("GP2",AD9)))</formula>
    </cfRule>
    <cfRule type="containsText" dxfId="381" priority="287" operator="containsText" text="GP1">
      <formula>NOT(ISERROR(SEARCH("GP1",AD9)))</formula>
    </cfRule>
  </conditionalFormatting>
  <conditionalFormatting sqref="AD9">
    <cfRule type="containsText" dxfId="380" priority="284" operator="containsText" text="GP2">
      <formula>NOT(ISERROR(SEARCH("GP2",AD9)))</formula>
    </cfRule>
    <cfRule type="containsText" dxfId="379" priority="285" operator="containsText" text="GP1">
      <formula>NOT(ISERROR(SEARCH("GP1",AD9)))</formula>
    </cfRule>
  </conditionalFormatting>
  <conditionalFormatting sqref="AD9">
    <cfRule type="containsText" dxfId="378" priority="282" operator="containsText" text="GP2">
      <formula>NOT(ISERROR(SEARCH("GP2",AD9)))</formula>
    </cfRule>
    <cfRule type="containsText" dxfId="377" priority="283" operator="containsText" text="GP1">
      <formula>NOT(ISERROR(SEARCH("GP1",AD9)))</formula>
    </cfRule>
  </conditionalFormatting>
  <conditionalFormatting sqref="AD9">
    <cfRule type="containsText" dxfId="376" priority="280" operator="containsText" text="GP2">
      <formula>NOT(ISERROR(SEARCH("GP2",AD9)))</formula>
    </cfRule>
    <cfRule type="containsText" dxfId="375" priority="281" operator="containsText" text="GP1">
      <formula>NOT(ISERROR(SEARCH("GP1",AD9)))</formula>
    </cfRule>
  </conditionalFormatting>
  <conditionalFormatting sqref="AD9">
    <cfRule type="containsText" dxfId="374" priority="278" operator="containsText" text="GP2">
      <formula>NOT(ISERROR(SEARCH("GP2",AD9)))</formula>
    </cfRule>
    <cfRule type="containsText" dxfId="373" priority="279" operator="containsText" text="GP1">
      <formula>NOT(ISERROR(SEARCH("GP1",AD9)))</formula>
    </cfRule>
  </conditionalFormatting>
  <conditionalFormatting sqref="AD9">
    <cfRule type="containsText" dxfId="372" priority="276" operator="containsText" text="GP2">
      <formula>NOT(ISERROR(SEARCH("GP2",AD9)))</formula>
    </cfRule>
    <cfRule type="containsText" dxfId="371" priority="277" operator="containsText" text="GP1">
      <formula>NOT(ISERROR(SEARCH("GP1",AD9)))</formula>
    </cfRule>
  </conditionalFormatting>
  <conditionalFormatting sqref="AD9">
    <cfRule type="containsText" dxfId="370" priority="274" operator="containsText" text="GP2">
      <formula>NOT(ISERROR(SEARCH("GP2",AD9)))</formula>
    </cfRule>
    <cfRule type="containsText" dxfId="369" priority="275" operator="containsText" text="GP1">
      <formula>NOT(ISERROR(SEARCH("GP1",AD9)))</formula>
    </cfRule>
  </conditionalFormatting>
  <conditionalFormatting sqref="AD9">
    <cfRule type="containsText" dxfId="368" priority="272" operator="containsText" text="GP2">
      <formula>NOT(ISERROR(SEARCH("GP2",AD9)))</formula>
    </cfRule>
    <cfRule type="containsText" dxfId="367" priority="273" operator="containsText" text="GP1">
      <formula>NOT(ISERROR(SEARCH("GP1",AD9)))</formula>
    </cfRule>
  </conditionalFormatting>
  <conditionalFormatting sqref="AD9">
    <cfRule type="containsText" dxfId="366" priority="270" operator="containsText" text="GP2">
      <formula>NOT(ISERROR(SEARCH("GP2",AD9)))</formula>
    </cfRule>
    <cfRule type="containsText" dxfId="365" priority="271" operator="containsText" text="GP1">
      <formula>NOT(ISERROR(SEARCH("GP1",AD9)))</formula>
    </cfRule>
  </conditionalFormatting>
  <conditionalFormatting sqref="AD9">
    <cfRule type="containsText" dxfId="364" priority="268" operator="containsText" text="GP2">
      <formula>NOT(ISERROR(SEARCH("GP2",AD9)))</formula>
    </cfRule>
    <cfRule type="containsText" dxfId="363" priority="269" operator="containsText" text="GP1">
      <formula>NOT(ISERROR(SEARCH("GP1",AD9)))</formula>
    </cfRule>
  </conditionalFormatting>
  <conditionalFormatting sqref="AD9">
    <cfRule type="containsText" dxfId="362" priority="266" operator="containsText" text="GP2">
      <formula>NOT(ISERROR(SEARCH("GP2",AD9)))</formula>
    </cfRule>
    <cfRule type="containsText" dxfId="361" priority="267" operator="containsText" text="GP1">
      <formula>NOT(ISERROR(SEARCH("GP1",AD9)))</formula>
    </cfRule>
  </conditionalFormatting>
  <conditionalFormatting sqref="AD9">
    <cfRule type="containsText" dxfId="360" priority="264" operator="containsText" text="GP2">
      <formula>NOT(ISERROR(SEARCH("GP2",AD9)))</formula>
    </cfRule>
    <cfRule type="containsText" dxfId="359" priority="265" operator="containsText" text="GP1">
      <formula>NOT(ISERROR(SEARCH("GP1",AD9)))</formula>
    </cfRule>
  </conditionalFormatting>
  <conditionalFormatting sqref="AD9">
    <cfRule type="containsText" dxfId="358" priority="262" operator="containsText" text="GP2">
      <formula>NOT(ISERROR(SEARCH("GP2",AD9)))</formula>
    </cfRule>
    <cfRule type="containsText" dxfId="357" priority="263" operator="containsText" text="GP1">
      <formula>NOT(ISERROR(SEARCH("GP1",AD9)))</formula>
    </cfRule>
  </conditionalFormatting>
  <conditionalFormatting sqref="AD9">
    <cfRule type="containsText" dxfId="356" priority="260" operator="containsText" text="GP2">
      <formula>NOT(ISERROR(SEARCH("GP2",AD9)))</formula>
    </cfRule>
    <cfRule type="containsText" dxfId="355" priority="261" operator="containsText" text="GP1">
      <formula>NOT(ISERROR(SEARCH("GP1",AD9)))</formula>
    </cfRule>
  </conditionalFormatting>
  <conditionalFormatting sqref="AD9">
    <cfRule type="containsText" dxfId="354" priority="258" operator="containsText" text="GP2">
      <formula>NOT(ISERROR(SEARCH("GP2",AD9)))</formula>
    </cfRule>
    <cfRule type="containsText" dxfId="353" priority="259" operator="containsText" text="GP1">
      <formula>NOT(ISERROR(SEARCH("GP1",AD9)))</formula>
    </cfRule>
  </conditionalFormatting>
  <conditionalFormatting sqref="AD9">
    <cfRule type="containsText" dxfId="352" priority="256" operator="containsText" text="GP2">
      <formula>NOT(ISERROR(SEARCH("GP2",AD9)))</formula>
    </cfRule>
    <cfRule type="containsText" dxfId="351" priority="257" operator="containsText" text="GP1">
      <formula>NOT(ISERROR(SEARCH("GP1",AD9)))</formula>
    </cfRule>
  </conditionalFormatting>
  <conditionalFormatting sqref="AD9">
    <cfRule type="containsText" dxfId="350" priority="254" operator="containsText" text="GP2">
      <formula>NOT(ISERROR(SEARCH("GP2",AD9)))</formula>
    </cfRule>
    <cfRule type="containsText" dxfId="349" priority="255" operator="containsText" text="GP1">
      <formula>NOT(ISERROR(SEARCH("GP1",AD9)))</formula>
    </cfRule>
  </conditionalFormatting>
  <conditionalFormatting sqref="AD9">
    <cfRule type="containsText" dxfId="348" priority="252" operator="containsText" text="GP2">
      <formula>NOT(ISERROR(SEARCH("GP2",AD9)))</formula>
    </cfRule>
    <cfRule type="containsText" dxfId="347" priority="253" operator="containsText" text="GP1">
      <formula>NOT(ISERROR(SEARCH("GP1",AD9)))</formula>
    </cfRule>
  </conditionalFormatting>
  <conditionalFormatting sqref="AD9">
    <cfRule type="containsText" dxfId="346" priority="250" operator="containsText" text="GP2">
      <formula>NOT(ISERROR(SEARCH("GP2",AD9)))</formula>
    </cfRule>
    <cfRule type="containsText" dxfId="345" priority="251" operator="containsText" text="GP1">
      <formula>NOT(ISERROR(SEARCH("GP1",AD9)))</formula>
    </cfRule>
  </conditionalFormatting>
  <conditionalFormatting sqref="AD9">
    <cfRule type="containsText" dxfId="344" priority="248" operator="containsText" text="GP2">
      <formula>NOT(ISERROR(SEARCH("GP2",AD9)))</formula>
    </cfRule>
    <cfRule type="containsText" dxfId="343" priority="249" operator="containsText" text="GP1">
      <formula>NOT(ISERROR(SEARCH("GP1",AD9)))</formula>
    </cfRule>
  </conditionalFormatting>
  <conditionalFormatting sqref="AD9">
    <cfRule type="containsText" dxfId="342" priority="246" operator="containsText" text="GP2">
      <formula>NOT(ISERROR(SEARCH("GP2",AD9)))</formula>
    </cfRule>
    <cfRule type="containsText" dxfId="341" priority="247" operator="containsText" text="GP1">
      <formula>NOT(ISERROR(SEARCH("GP1",AD9)))</formula>
    </cfRule>
  </conditionalFormatting>
  <conditionalFormatting sqref="AD9">
    <cfRule type="containsText" dxfId="340" priority="244" operator="containsText" text="GP2">
      <formula>NOT(ISERROR(SEARCH("GP2",AD9)))</formula>
    </cfRule>
    <cfRule type="containsText" dxfId="339" priority="245" operator="containsText" text="GP1">
      <formula>NOT(ISERROR(SEARCH("GP1",AD9)))</formula>
    </cfRule>
  </conditionalFormatting>
  <conditionalFormatting sqref="AD9">
    <cfRule type="containsText" dxfId="338" priority="242" operator="containsText" text="GP2">
      <formula>NOT(ISERROR(SEARCH("GP2",AD9)))</formula>
    </cfRule>
    <cfRule type="containsText" dxfId="337" priority="243" operator="containsText" text="GP1">
      <formula>NOT(ISERROR(SEARCH("GP1",AD9)))</formula>
    </cfRule>
  </conditionalFormatting>
  <conditionalFormatting sqref="AD9">
    <cfRule type="containsText" dxfId="336" priority="240" operator="containsText" text="GP2">
      <formula>NOT(ISERROR(SEARCH("GP2",AD9)))</formula>
    </cfRule>
    <cfRule type="containsText" dxfId="335" priority="241" operator="containsText" text="GP1">
      <formula>NOT(ISERROR(SEARCH("GP1",AD9)))</formula>
    </cfRule>
  </conditionalFormatting>
  <conditionalFormatting sqref="AD9">
    <cfRule type="containsText" dxfId="334" priority="238" operator="containsText" text="GP2">
      <formula>NOT(ISERROR(SEARCH("GP2",AD9)))</formula>
    </cfRule>
    <cfRule type="containsText" dxfId="333" priority="239" operator="containsText" text="GP1">
      <formula>NOT(ISERROR(SEARCH("GP1",AD9)))</formula>
    </cfRule>
  </conditionalFormatting>
  <conditionalFormatting sqref="AD9">
    <cfRule type="containsText" dxfId="332" priority="236" operator="containsText" text="GP2">
      <formula>NOT(ISERROR(SEARCH("GP2",AD9)))</formula>
    </cfRule>
    <cfRule type="containsText" dxfId="331" priority="237" operator="containsText" text="GP1">
      <formula>NOT(ISERROR(SEARCH("GP1",AD9)))</formula>
    </cfRule>
  </conditionalFormatting>
  <conditionalFormatting sqref="AD9">
    <cfRule type="containsText" dxfId="330" priority="234" operator="containsText" text="GP2">
      <formula>NOT(ISERROR(SEARCH("GP2",AD9)))</formula>
    </cfRule>
    <cfRule type="containsText" dxfId="329" priority="235" operator="containsText" text="GP1">
      <formula>NOT(ISERROR(SEARCH("GP1",AD9)))</formula>
    </cfRule>
  </conditionalFormatting>
  <conditionalFormatting sqref="AD9">
    <cfRule type="containsText" dxfId="328" priority="232" operator="containsText" text="GP2">
      <formula>NOT(ISERROR(SEARCH("GP2",AD9)))</formula>
    </cfRule>
    <cfRule type="containsText" dxfId="327" priority="233" operator="containsText" text="GP1">
      <formula>NOT(ISERROR(SEARCH("GP1",AD9)))</formula>
    </cfRule>
  </conditionalFormatting>
  <conditionalFormatting sqref="AD9">
    <cfRule type="containsText" dxfId="326" priority="230" operator="containsText" text="GP2">
      <formula>NOT(ISERROR(SEARCH("GP2",AD9)))</formula>
    </cfRule>
    <cfRule type="containsText" dxfId="325" priority="231" operator="containsText" text="GP1">
      <formula>NOT(ISERROR(SEARCH("GP1",AD9)))</formula>
    </cfRule>
  </conditionalFormatting>
  <conditionalFormatting sqref="AD9">
    <cfRule type="containsText" dxfId="324" priority="228" operator="containsText" text="GP2">
      <formula>NOT(ISERROR(SEARCH("GP2",AD9)))</formula>
    </cfRule>
    <cfRule type="containsText" dxfId="323" priority="229" operator="containsText" text="GP1">
      <formula>NOT(ISERROR(SEARCH("GP1",AD9)))</formula>
    </cfRule>
  </conditionalFormatting>
  <conditionalFormatting sqref="AD9">
    <cfRule type="containsText" dxfId="322" priority="226" operator="containsText" text="GP2">
      <formula>NOT(ISERROR(SEARCH("GP2",AD9)))</formula>
    </cfRule>
    <cfRule type="containsText" dxfId="321" priority="227" operator="containsText" text="GP1">
      <formula>NOT(ISERROR(SEARCH("GP1",AD9)))</formula>
    </cfRule>
  </conditionalFormatting>
  <conditionalFormatting sqref="AD9">
    <cfRule type="containsText" dxfId="320" priority="224" operator="containsText" text="GP2">
      <formula>NOT(ISERROR(SEARCH("GP2",AD9)))</formula>
    </cfRule>
    <cfRule type="containsText" dxfId="319" priority="225" operator="containsText" text="GP1">
      <formula>NOT(ISERROR(SEARCH("GP1",AD9)))</formula>
    </cfRule>
  </conditionalFormatting>
  <conditionalFormatting sqref="AD9">
    <cfRule type="containsText" dxfId="318" priority="222" operator="containsText" text="GP2">
      <formula>NOT(ISERROR(SEARCH("GP2",AD9)))</formula>
    </cfRule>
    <cfRule type="containsText" dxfId="317" priority="223" operator="containsText" text="GP1">
      <formula>NOT(ISERROR(SEARCH("GP1",AD9)))</formula>
    </cfRule>
  </conditionalFormatting>
  <conditionalFormatting sqref="AD9">
    <cfRule type="containsText" dxfId="316" priority="220" operator="containsText" text="GP2">
      <formula>NOT(ISERROR(SEARCH("GP2",AD9)))</formula>
    </cfRule>
    <cfRule type="containsText" dxfId="315" priority="221" operator="containsText" text="GP1">
      <formula>NOT(ISERROR(SEARCH("GP1",AD9)))</formula>
    </cfRule>
  </conditionalFormatting>
  <conditionalFormatting sqref="AD9">
    <cfRule type="containsText" dxfId="314" priority="218" operator="containsText" text="GP2">
      <formula>NOT(ISERROR(SEARCH("GP2",AD9)))</formula>
    </cfRule>
    <cfRule type="containsText" dxfId="313" priority="219" operator="containsText" text="GP1">
      <formula>NOT(ISERROR(SEARCH("GP1",AD9)))</formula>
    </cfRule>
  </conditionalFormatting>
  <conditionalFormatting sqref="AD9">
    <cfRule type="containsText" dxfId="312" priority="216" operator="containsText" text="GP2">
      <formula>NOT(ISERROR(SEARCH("GP2",AD9)))</formula>
    </cfRule>
    <cfRule type="containsText" dxfId="311" priority="217" operator="containsText" text="GP1">
      <formula>NOT(ISERROR(SEARCH("GP1",AD9)))</formula>
    </cfRule>
  </conditionalFormatting>
  <conditionalFormatting sqref="AD9">
    <cfRule type="containsText" dxfId="310" priority="214" operator="containsText" text="GP2">
      <formula>NOT(ISERROR(SEARCH("GP2",AD9)))</formula>
    </cfRule>
    <cfRule type="containsText" dxfId="309" priority="215" operator="containsText" text="GP1">
      <formula>NOT(ISERROR(SEARCH("GP1",AD9)))</formula>
    </cfRule>
  </conditionalFormatting>
  <conditionalFormatting sqref="AD9">
    <cfRule type="containsText" dxfId="308" priority="212" operator="containsText" text="GP2">
      <formula>NOT(ISERROR(SEARCH("GP2",AD9)))</formula>
    </cfRule>
    <cfRule type="containsText" dxfId="307" priority="213" operator="containsText" text="GP1">
      <formula>NOT(ISERROR(SEARCH("GP1",AD9)))</formula>
    </cfRule>
  </conditionalFormatting>
  <conditionalFormatting sqref="AD9">
    <cfRule type="containsText" dxfId="306" priority="210" operator="containsText" text="GP2">
      <formula>NOT(ISERROR(SEARCH("GP2",AD9)))</formula>
    </cfRule>
    <cfRule type="containsText" dxfId="305" priority="211" operator="containsText" text="GP1">
      <formula>NOT(ISERROR(SEARCH("GP1",AD9)))</formula>
    </cfRule>
  </conditionalFormatting>
  <conditionalFormatting sqref="AD9">
    <cfRule type="containsText" dxfId="304" priority="208" operator="containsText" text="GP2">
      <formula>NOT(ISERROR(SEARCH("GP2",AD9)))</formula>
    </cfRule>
    <cfRule type="containsText" dxfId="303" priority="209" operator="containsText" text="GP1">
      <formula>NOT(ISERROR(SEARCH("GP1",AD9)))</formula>
    </cfRule>
  </conditionalFormatting>
  <conditionalFormatting sqref="AD9">
    <cfRule type="containsText" dxfId="302" priority="206" operator="containsText" text="GP2">
      <formula>NOT(ISERROR(SEARCH("GP2",AD9)))</formula>
    </cfRule>
    <cfRule type="containsText" dxfId="301" priority="207" operator="containsText" text="GP1">
      <formula>NOT(ISERROR(SEARCH("GP1",AD9)))</formula>
    </cfRule>
  </conditionalFormatting>
  <conditionalFormatting sqref="AD9">
    <cfRule type="containsText" dxfId="300" priority="204" operator="containsText" text="GP2">
      <formula>NOT(ISERROR(SEARCH("GP2",AD9)))</formula>
    </cfRule>
    <cfRule type="containsText" dxfId="299" priority="205" operator="containsText" text="GP1">
      <formula>NOT(ISERROR(SEARCH("GP1",AD9)))</formula>
    </cfRule>
  </conditionalFormatting>
  <conditionalFormatting sqref="AD9">
    <cfRule type="containsText" dxfId="298" priority="202" operator="containsText" text="GP2">
      <formula>NOT(ISERROR(SEARCH("GP2",AD9)))</formula>
    </cfRule>
    <cfRule type="containsText" dxfId="297" priority="203" operator="containsText" text="GP1">
      <formula>NOT(ISERROR(SEARCH("GP1",AD9)))</formula>
    </cfRule>
  </conditionalFormatting>
  <conditionalFormatting sqref="AD9">
    <cfRule type="containsText" dxfId="296" priority="200" operator="containsText" text="GP2">
      <formula>NOT(ISERROR(SEARCH("GP2",AD9)))</formula>
    </cfRule>
    <cfRule type="containsText" dxfId="295" priority="201" operator="containsText" text="GP1">
      <formula>NOT(ISERROR(SEARCH("GP1",AD9)))</formula>
    </cfRule>
  </conditionalFormatting>
  <conditionalFormatting sqref="AD9">
    <cfRule type="containsText" dxfId="294" priority="198" operator="containsText" text="GP2">
      <formula>NOT(ISERROR(SEARCH("GP2",AD9)))</formula>
    </cfRule>
    <cfRule type="containsText" dxfId="293" priority="199" operator="containsText" text="GP1">
      <formula>NOT(ISERROR(SEARCH("GP1",AD9)))</formula>
    </cfRule>
  </conditionalFormatting>
  <conditionalFormatting sqref="AD9">
    <cfRule type="containsText" dxfId="292" priority="196" operator="containsText" text="GP2">
      <formula>NOT(ISERROR(SEARCH("GP2",AD9)))</formula>
    </cfRule>
    <cfRule type="containsText" dxfId="291" priority="197" operator="containsText" text="GP1">
      <formula>NOT(ISERROR(SEARCH("GP1",AD9)))</formula>
    </cfRule>
  </conditionalFormatting>
  <conditionalFormatting sqref="AD9">
    <cfRule type="containsText" dxfId="290" priority="194" operator="containsText" text="GP2">
      <formula>NOT(ISERROR(SEARCH("GP2",AD9)))</formula>
    </cfRule>
    <cfRule type="containsText" dxfId="289" priority="195" operator="containsText" text="GP1">
      <formula>NOT(ISERROR(SEARCH("GP1",AD9)))</formula>
    </cfRule>
  </conditionalFormatting>
  <conditionalFormatting sqref="AD9">
    <cfRule type="containsText" dxfId="288" priority="192" operator="containsText" text="GP2">
      <formula>NOT(ISERROR(SEARCH("GP2",AD9)))</formula>
    </cfRule>
    <cfRule type="containsText" dxfId="287" priority="193" operator="containsText" text="GP1">
      <formula>NOT(ISERROR(SEARCH("GP1",AD9)))</formula>
    </cfRule>
  </conditionalFormatting>
  <conditionalFormatting sqref="AD9">
    <cfRule type="containsText" dxfId="286" priority="190" operator="containsText" text="GP2">
      <formula>NOT(ISERROR(SEARCH("GP2",AD9)))</formula>
    </cfRule>
    <cfRule type="containsText" dxfId="285" priority="191" operator="containsText" text="GP1">
      <formula>NOT(ISERROR(SEARCH("GP1",AD9)))</formula>
    </cfRule>
  </conditionalFormatting>
  <conditionalFormatting sqref="AD9">
    <cfRule type="containsText" dxfId="284" priority="188" operator="containsText" text="GP2">
      <formula>NOT(ISERROR(SEARCH("GP2",AD9)))</formula>
    </cfRule>
    <cfRule type="containsText" dxfId="283" priority="189" operator="containsText" text="GP1">
      <formula>NOT(ISERROR(SEARCH("GP1",AD9)))</formula>
    </cfRule>
  </conditionalFormatting>
  <conditionalFormatting sqref="AD9">
    <cfRule type="containsText" dxfId="282" priority="186" operator="containsText" text="GP2">
      <formula>NOT(ISERROR(SEARCH("GP2",AD9)))</formula>
    </cfRule>
    <cfRule type="containsText" dxfId="281" priority="187" operator="containsText" text="GP1">
      <formula>NOT(ISERROR(SEARCH("GP1",AD9)))</formula>
    </cfRule>
  </conditionalFormatting>
  <conditionalFormatting sqref="AD9">
    <cfRule type="containsText" dxfId="280" priority="184" operator="containsText" text="GP2">
      <formula>NOT(ISERROR(SEARCH("GP2",AD9)))</formula>
    </cfRule>
    <cfRule type="containsText" dxfId="279" priority="185" operator="containsText" text="GP1">
      <formula>NOT(ISERROR(SEARCH("GP1",AD9)))</formula>
    </cfRule>
  </conditionalFormatting>
  <conditionalFormatting sqref="AD9">
    <cfRule type="containsText" dxfId="278" priority="182" operator="containsText" text="GP2">
      <formula>NOT(ISERROR(SEARCH("GP2",AD9)))</formula>
    </cfRule>
    <cfRule type="containsText" dxfId="277" priority="183" operator="containsText" text="GP1">
      <formula>NOT(ISERROR(SEARCH("GP1",AD9)))</formula>
    </cfRule>
  </conditionalFormatting>
  <conditionalFormatting sqref="AD9">
    <cfRule type="containsText" dxfId="276" priority="180" operator="containsText" text="GP2">
      <formula>NOT(ISERROR(SEARCH("GP2",AD9)))</formula>
    </cfRule>
    <cfRule type="containsText" dxfId="275" priority="181" operator="containsText" text="GP1">
      <formula>NOT(ISERROR(SEARCH("GP1",AD9)))</formula>
    </cfRule>
  </conditionalFormatting>
  <conditionalFormatting sqref="AD9">
    <cfRule type="containsText" dxfId="274" priority="178" operator="containsText" text="GP2">
      <formula>NOT(ISERROR(SEARCH("GP2",AD9)))</formula>
    </cfRule>
    <cfRule type="containsText" dxfId="273" priority="179" operator="containsText" text="GP1">
      <formula>NOT(ISERROR(SEARCH("GP1",AD9)))</formula>
    </cfRule>
  </conditionalFormatting>
  <conditionalFormatting sqref="AD9">
    <cfRule type="containsText" dxfId="272" priority="176" operator="containsText" text="GP2">
      <formula>NOT(ISERROR(SEARCH("GP2",AD9)))</formula>
    </cfRule>
    <cfRule type="containsText" dxfId="271" priority="177" operator="containsText" text="GP1">
      <formula>NOT(ISERROR(SEARCH("GP1",AD9)))</formula>
    </cfRule>
  </conditionalFormatting>
  <conditionalFormatting sqref="AD9">
    <cfRule type="containsText" dxfId="270" priority="174" operator="containsText" text="GP2">
      <formula>NOT(ISERROR(SEARCH("GP2",AD9)))</formula>
    </cfRule>
    <cfRule type="containsText" dxfId="269" priority="175" operator="containsText" text="GP1">
      <formula>NOT(ISERROR(SEARCH("GP1",AD9)))</formula>
    </cfRule>
  </conditionalFormatting>
  <conditionalFormatting sqref="AD9">
    <cfRule type="containsText" dxfId="268" priority="172" operator="containsText" text="GP2">
      <formula>NOT(ISERROR(SEARCH("GP2",AD9)))</formula>
    </cfRule>
    <cfRule type="containsText" dxfId="267" priority="173" operator="containsText" text="GP1">
      <formula>NOT(ISERROR(SEARCH("GP1",AD9)))</formula>
    </cfRule>
  </conditionalFormatting>
  <conditionalFormatting sqref="AD9">
    <cfRule type="containsText" dxfId="266" priority="170" operator="containsText" text="GP2">
      <formula>NOT(ISERROR(SEARCH("GP2",AD9)))</formula>
    </cfRule>
    <cfRule type="containsText" dxfId="265" priority="171" operator="containsText" text="GP1">
      <formula>NOT(ISERROR(SEARCH("GP1",AD9)))</formula>
    </cfRule>
  </conditionalFormatting>
  <conditionalFormatting sqref="AD9">
    <cfRule type="containsText" dxfId="264" priority="168" operator="containsText" text="GP2">
      <formula>NOT(ISERROR(SEARCH("GP2",AD9)))</formula>
    </cfRule>
    <cfRule type="containsText" dxfId="263" priority="169" operator="containsText" text="GP1">
      <formula>NOT(ISERROR(SEARCH("GP1",AD9)))</formula>
    </cfRule>
  </conditionalFormatting>
  <conditionalFormatting sqref="AD9">
    <cfRule type="containsText" dxfId="262" priority="166" operator="containsText" text="GP2">
      <formula>NOT(ISERROR(SEARCH("GP2",AD9)))</formula>
    </cfRule>
    <cfRule type="containsText" dxfId="261" priority="167" operator="containsText" text="GP1">
      <formula>NOT(ISERROR(SEARCH("GP1",AD9)))</formula>
    </cfRule>
  </conditionalFormatting>
  <conditionalFormatting sqref="AD9">
    <cfRule type="containsText" dxfId="260" priority="164" operator="containsText" text="GP2">
      <formula>NOT(ISERROR(SEARCH("GP2",AD9)))</formula>
    </cfRule>
    <cfRule type="containsText" dxfId="259" priority="165" operator="containsText" text="GP1">
      <formula>NOT(ISERROR(SEARCH("GP1",AD9)))</formula>
    </cfRule>
  </conditionalFormatting>
  <conditionalFormatting sqref="AD9">
    <cfRule type="containsText" dxfId="258" priority="162" operator="containsText" text="GP2">
      <formula>NOT(ISERROR(SEARCH("GP2",AD9)))</formula>
    </cfRule>
    <cfRule type="containsText" dxfId="257" priority="163" operator="containsText" text="GP1">
      <formula>NOT(ISERROR(SEARCH("GP1",AD9)))</formula>
    </cfRule>
  </conditionalFormatting>
  <conditionalFormatting sqref="AD9">
    <cfRule type="containsText" dxfId="256" priority="160" operator="containsText" text="GP2">
      <formula>NOT(ISERROR(SEARCH("GP2",AD9)))</formula>
    </cfRule>
    <cfRule type="containsText" dxfId="255" priority="161" operator="containsText" text="GP1">
      <formula>NOT(ISERROR(SEARCH("GP1",AD9)))</formula>
    </cfRule>
  </conditionalFormatting>
  <conditionalFormatting sqref="AD9">
    <cfRule type="containsText" dxfId="254" priority="158" operator="containsText" text="GP2">
      <formula>NOT(ISERROR(SEARCH("GP2",AD9)))</formula>
    </cfRule>
    <cfRule type="containsText" dxfId="253" priority="159" operator="containsText" text="GP1">
      <formula>NOT(ISERROR(SEARCH("GP1",AD9)))</formula>
    </cfRule>
  </conditionalFormatting>
  <conditionalFormatting sqref="Q10:Q18">
    <cfRule type="containsBlanks" dxfId="252" priority="133">
      <formula>LEN(TRIM(Q10))=0</formula>
    </cfRule>
  </conditionalFormatting>
  <conditionalFormatting sqref="Q10:Q18">
    <cfRule type="containsBlanks" dxfId="251" priority="132">
      <formula>LEN(TRIM(Q10))=0</formula>
    </cfRule>
  </conditionalFormatting>
  <conditionalFormatting sqref="H18">
    <cfRule type="containsBlanks" dxfId="250" priority="131">
      <formula>LEN(TRIM(H18))=0</formula>
    </cfRule>
  </conditionalFormatting>
  <conditionalFormatting sqref="N19">
    <cfRule type="containsBlanks" dxfId="248" priority="71">
      <formula>LEN(TRIM(N19))=0</formula>
    </cfRule>
  </conditionalFormatting>
  <conditionalFormatting sqref="N19">
    <cfRule type="containsBlanks" dxfId="247" priority="70">
      <formula>LEN(TRIM(N19))=0</formula>
    </cfRule>
  </conditionalFormatting>
  <conditionalFormatting sqref="N19">
    <cfRule type="containsBlanks" dxfId="246" priority="69">
      <formula>LEN(TRIM(N19))=0</formula>
    </cfRule>
  </conditionalFormatting>
  <conditionalFormatting sqref="N19">
    <cfRule type="containsBlanks" dxfId="245" priority="68">
      <formula>LEN(TRIM(N19))=0</formula>
    </cfRule>
  </conditionalFormatting>
  <conditionalFormatting sqref="N19">
    <cfRule type="containsBlanks" dxfId="244" priority="67">
      <formula>LEN(TRIM(N19))=0</formula>
    </cfRule>
  </conditionalFormatting>
  <conditionalFormatting sqref="N19">
    <cfRule type="containsBlanks" dxfId="243" priority="66">
      <formula>LEN(TRIM(N19))=0</formula>
    </cfRule>
  </conditionalFormatting>
  <conditionalFormatting sqref="N19">
    <cfRule type="containsBlanks" dxfId="241" priority="65">
      <formula>LEN(TRIM(N19))=0</formula>
    </cfRule>
  </conditionalFormatting>
  <conditionalFormatting sqref="I18">
    <cfRule type="containsBlanks" dxfId="240" priority="120">
      <formula>LEN(TRIM(I18))=0</formula>
    </cfRule>
  </conditionalFormatting>
  <conditionalFormatting sqref="H19:I19">
    <cfRule type="containsBlanks" dxfId="231" priority="110">
      <formula>LEN(TRIM(H19))=0</formula>
    </cfRule>
  </conditionalFormatting>
  <conditionalFormatting sqref="E19">
    <cfRule type="containsBlanks" dxfId="230" priority="109">
      <formula>LEN(TRIM(E19))=0</formula>
    </cfRule>
  </conditionalFormatting>
  <conditionalFormatting sqref="E19">
    <cfRule type="containsBlanks" dxfId="229" priority="108">
      <formula>LEN(TRIM(E19))=0</formula>
    </cfRule>
  </conditionalFormatting>
  <conditionalFormatting sqref="N19">
    <cfRule type="containsBlanks" dxfId="228" priority="107">
      <formula>LEN(TRIM(N19))=0</formula>
    </cfRule>
  </conditionalFormatting>
  <conditionalFormatting sqref="N19">
    <cfRule type="containsBlanks" dxfId="227" priority="106">
      <formula>LEN(TRIM(N19))=0</formula>
    </cfRule>
  </conditionalFormatting>
  <conditionalFormatting sqref="N19">
    <cfRule type="containsBlanks" dxfId="226" priority="105">
      <formula>LEN(TRIM(N19))=0</formula>
    </cfRule>
  </conditionalFormatting>
  <conditionalFormatting sqref="N19">
    <cfRule type="containsBlanks" dxfId="225" priority="104">
      <formula>LEN(TRIM(N19))=0</formula>
    </cfRule>
  </conditionalFormatting>
  <conditionalFormatting sqref="N19">
    <cfRule type="containsBlanks" dxfId="224" priority="103">
      <formula>LEN(TRIM(N19))=0</formula>
    </cfRule>
  </conditionalFormatting>
  <conditionalFormatting sqref="N19">
    <cfRule type="containsBlanks" dxfId="223" priority="102">
      <formula>LEN(TRIM(N19))=0</formula>
    </cfRule>
  </conditionalFormatting>
  <conditionalFormatting sqref="N19">
    <cfRule type="containsBlanks" dxfId="222" priority="101">
      <formula>LEN(TRIM(N19))=0</formula>
    </cfRule>
  </conditionalFormatting>
  <conditionalFormatting sqref="N19">
    <cfRule type="containsBlanks" dxfId="221" priority="100">
      <formula>LEN(TRIM(N19))=0</formula>
    </cfRule>
  </conditionalFormatting>
  <conditionalFormatting sqref="H20">
    <cfRule type="containsBlanks" dxfId="220" priority="99">
      <formula>LEN(TRIM(H20))=0</formula>
    </cfRule>
  </conditionalFormatting>
  <conditionalFormatting sqref="E20">
    <cfRule type="containsBlanks" dxfId="219" priority="97">
      <formula>LEN(TRIM(E20))=0</formula>
    </cfRule>
  </conditionalFormatting>
  <conditionalFormatting sqref="E20">
    <cfRule type="containsBlanks" dxfId="218" priority="98">
      <formula>LEN(TRIM(E20))=0</formula>
    </cfRule>
  </conditionalFormatting>
  <conditionalFormatting sqref="I20">
    <cfRule type="containsBlanks" dxfId="217" priority="96">
      <formula>LEN(TRIM(I20))=0</formula>
    </cfRule>
  </conditionalFormatting>
  <conditionalFormatting sqref="N20">
    <cfRule type="containsBlanks" dxfId="216" priority="95">
      <formula>LEN(TRIM(N20))=0</formula>
    </cfRule>
  </conditionalFormatting>
  <conditionalFormatting sqref="N20">
    <cfRule type="containsBlanks" dxfId="215" priority="94">
      <formula>LEN(TRIM(N20))=0</formula>
    </cfRule>
  </conditionalFormatting>
  <conditionalFormatting sqref="N20">
    <cfRule type="containsBlanks" dxfId="214" priority="93">
      <formula>LEN(TRIM(N20))=0</formula>
    </cfRule>
  </conditionalFormatting>
  <conditionalFormatting sqref="N20">
    <cfRule type="containsBlanks" dxfId="213" priority="92">
      <formula>LEN(TRIM(N20))=0</formula>
    </cfRule>
  </conditionalFormatting>
  <conditionalFormatting sqref="N20">
    <cfRule type="containsBlanks" dxfId="212" priority="91">
      <formula>LEN(TRIM(N20))=0</formula>
    </cfRule>
  </conditionalFormatting>
  <conditionalFormatting sqref="N20">
    <cfRule type="containsBlanks" dxfId="211" priority="90">
      <formula>LEN(TRIM(N20))=0</formula>
    </cfRule>
  </conditionalFormatting>
  <conditionalFormatting sqref="N20">
    <cfRule type="containsBlanks" dxfId="210" priority="89">
      <formula>LEN(TRIM(N20))=0</formula>
    </cfRule>
  </conditionalFormatting>
  <conditionalFormatting sqref="N20">
    <cfRule type="containsBlanks" dxfId="209" priority="88">
      <formula>LEN(TRIM(N20))=0</formula>
    </cfRule>
  </conditionalFormatting>
  <conditionalFormatting sqref="H18:I18">
    <cfRule type="containsBlanks" dxfId="208" priority="87">
      <formula>LEN(TRIM(H18))=0</formula>
    </cfRule>
  </conditionalFormatting>
  <conditionalFormatting sqref="H19">
    <cfRule type="containsBlanks" dxfId="197" priority="76">
      <formula>LEN(TRIM(H19))=0</formula>
    </cfRule>
  </conditionalFormatting>
  <conditionalFormatting sqref="E19">
    <cfRule type="containsBlanks" dxfId="196" priority="74">
      <formula>LEN(TRIM(E19))=0</formula>
    </cfRule>
  </conditionalFormatting>
  <conditionalFormatting sqref="E19">
    <cfRule type="containsBlanks" dxfId="195" priority="75">
      <formula>LEN(TRIM(E19))=0</formula>
    </cfRule>
  </conditionalFormatting>
  <conditionalFormatting sqref="I19">
    <cfRule type="containsBlanks" dxfId="194" priority="73">
      <formula>LEN(TRIM(I19))=0</formula>
    </cfRule>
  </conditionalFormatting>
  <conditionalFormatting sqref="N19">
    <cfRule type="containsBlanks" dxfId="193" priority="72">
      <formula>LEN(TRIM(N19))=0</formula>
    </cfRule>
  </conditionalFormatting>
  <conditionalFormatting sqref="H17:I17">
    <cfRule type="containsBlanks" dxfId="192" priority="53">
      <formula>LEN(TRIM(H17))=0</formula>
    </cfRule>
  </conditionalFormatting>
  <conditionalFormatting sqref="E17">
    <cfRule type="containsBlanks" dxfId="191" priority="52">
      <formula>LEN(TRIM(E17))=0</formula>
    </cfRule>
  </conditionalFormatting>
  <conditionalFormatting sqref="E17">
    <cfRule type="containsBlanks" dxfId="190" priority="51">
      <formula>LEN(TRIM(E17))=0</formula>
    </cfRule>
  </conditionalFormatting>
  <conditionalFormatting sqref="N15">
    <cfRule type="containsBlanks" dxfId="173" priority="34">
      <formula>LEN(TRIM(N15))=0</formula>
    </cfRule>
  </conditionalFormatting>
  <conditionalFormatting sqref="N15">
    <cfRule type="containsBlanks" dxfId="172" priority="33">
      <formula>LEN(TRIM(N15))=0</formula>
    </cfRule>
  </conditionalFormatting>
  <conditionalFormatting sqref="N15">
    <cfRule type="containsBlanks" dxfId="171" priority="32">
      <formula>LEN(TRIM(N15))=0</formula>
    </cfRule>
  </conditionalFormatting>
  <conditionalFormatting sqref="N15">
    <cfRule type="containsBlanks" dxfId="170" priority="31">
      <formula>LEN(TRIM(N15))=0</formula>
    </cfRule>
  </conditionalFormatting>
  <conditionalFormatting sqref="N15">
    <cfRule type="containsBlanks" dxfId="169" priority="30">
      <formula>LEN(TRIM(N15))=0</formula>
    </cfRule>
  </conditionalFormatting>
  <conditionalFormatting sqref="N15">
    <cfRule type="containsBlanks" dxfId="168" priority="29">
      <formula>LEN(TRIM(N15))=0</formula>
    </cfRule>
  </conditionalFormatting>
  <conditionalFormatting sqref="N15">
    <cfRule type="containsBlanks" dxfId="167" priority="28">
      <formula>LEN(TRIM(N15))=0</formula>
    </cfRule>
  </conditionalFormatting>
  <conditionalFormatting sqref="N15">
    <cfRule type="containsBlanks" dxfId="166" priority="27">
      <formula>LEN(TRIM(N15))=0</formula>
    </cfRule>
  </conditionalFormatting>
  <conditionalFormatting sqref="N16">
    <cfRule type="containsBlanks" dxfId="53" priority="26">
      <formula>LEN(TRIM(N16))=0</formula>
    </cfRule>
  </conditionalFormatting>
  <conditionalFormatting sqref="N16">
    <cfRule type="containsBlanks" dxfId="51" priority="25">
      <formula>LEN(TRIM(N16))=0</formula>
    </cfRule>
  </conditionalFormatting>
  <conditionalFormatting sqref="N16">
    <cfRule type="containsBlanks" dxfId="49" priority="24">
      <formula>LEN(TRIM(N16))=0</formula>
    </cfRule>
  </conditionalFormatting>
  <conditionalFormatting sqref="N16">
    <cfRule type="containsBlanks" dxfId="47" priority="23">
      <formula>LEN(TRIM(N16))=0</formula>
    </cfRule>
  </conditionalFormatting>
  <conditionalFormatting sqref="N16">
    <cfRule type="containsBlanks" dxfId="45" priority="22">
      <formula>LEN(TRIM(N16))=0</formula>
    </cfRule>
  </conditionalFormatting>
  <conditionalFormatting sqref="N16">
    <cfRule type="containsBlanks" dxfId="43" priority="21">
      <formula>LEN(TRIM(N16))=0</formula>
    </cfRule>
  </conditionalFormatting>
  <conditionalFormatting sqref="N16">
    <cfRule type="containsBlanks" dxfId="41" priority="20">
      <formula>LEN(TRIM(N16))=0</formula>
    </cfRule>
  </conditionalFormatting>
  <conditionalFormatting sqref="N16">
    <cfRule type="containsBlanks" dxfId="39" priority="19">
      <formula>LEN(TRIM(N16))=0</formula>
    </cfRule>
  </conditionalFormatting>
  <conditionalFormatting sqref="N17">
    <cfRule type="containsBlanks" dxfId="37" priority="18">
      <formula>LEN(TRIM(N17))=0</formula>
    </cfRule>
  </conditionalFormatting>
  <conditionalFormatting sqref="N17">
    <cfRule type="containsBlanks" dxfId="35" priority="17">
      <formula>LEN(TRIM(N17))=0</formula>
    </cfRule>
  </conditionalFormatting>
  <conditionalFormatting sqref="N17">
    <cfRule type="containsBlanks" dxfId="33" priority="16">
      <formula>LEN(TRIM(N17))=0</formula>
    </cfRule>
  </conditionalFormatting>
  <conditionalFormatting sqref="N17">
    <cfRule type="containsBlanks" dxfId="31" priority="15">
      <formula>LEN(TRIM(N17))=0</formula>
    </cfRule>
  </conditionalFormatting>
  <conditionalFormatting sqref="N17">
    <cfRule type="containsBlanks" dxfId="29" priority="14">
      <formula>LEN(TRIM(N17))=0</formula>
    </cfRule>
  </conditionalFormatting>
  <conditionalFormatting sqref="N17">
    <cfRule type="containsBlanks" dxfId="27" priority="13">
      <formula>LEN(TRIM(N17))=0</formula>
    </cfRule>
  </conditionalFormatting>
  <conditionalFormatting sqref="N17">
    <cfRule type="containsBlanks" dxfId="25" priority="12">
      <formula>LEN(TRIM(N17))=0</formula>
    </cfRule>
  </conditionalFormatting>
  <conditionalFormatting sqref="N17">
    <cfRule type="containsBlanks" dxfId="23" priority="11">
      <formula>LEN(TRIM(N17))=0</formula>
    </cfRule>
  </conditionalFormatting>
  <conditionalFormatting sqref="E18">
    <cfRule type="containsBlanks" dxfId="21" priority="10">
      <formula>LEN(TRIM(E18))=0</formula>
    </cfRule>
  </conditionalFormatting>
  <conditionalFormatting sqref="E18">
    <cfRule type="containsBlanks" dxfId="19" priority="9">
      <formula>LEN(TRIM(E18))=0</formula>
    </cfRule>
  </conditionalFormatting>
  <conditionalFormatting sqref="N18">
    <cfRule type="containsBlanks" dxfId="17" priority="8">
      <formula>LEN(TRIM(N18))=0</formula>
    </cfRule>
  </conditionalFormatting>
  <conditionalFormatting sqref="N18">
    <cfRule type="containsBlanks" dxfId="15" priority="7">
      <formula>LEN(TRIM(N18))=0</formula>
    </cfRule>
  </conditionalFormatting>
  <conditionalFormatting sqref="N18">
    <cfRule type="containsBlanks" dxfId="13" priority="6">
      <formula>LEN(TRIM(N18))=0</formula>
    </cfRule>
  </conditionalFormatting>
  <conditionalFormatting sqref="N18">
    <cfRule type="containsBlanks" dxfId="11" priority="5">
      <formula>LEN(TRIM(N18))=0</formula>
    </cfRule>
  </conditionalFormatting>
  <conditionalFormatting sqref="N18">
    <cfRule type="containsBlanks" dxfId="9" priority="4">
      <formula>LEN(TRIM(N18))=0</formula>
    </cfRule>
  </conditionalFormatting>
  <conditionalFormatting sqref="N18">
    <cfRule type="containsBlanks" dxfId="7" priority="3">
      <formula>LEN(TRIM(N18))=0</formula>
    </cfRule>
  </conditionalFormatting>
  <conditionalFormatting sqref="N18">
    <cfRule type="containsBlanks" dxfId="5" priority="2">
      <formula>LEN(TRIM(N18))=0</formula>
    </cfRule>
  </conditionalFormatting>
  <conditionalFormatting sqref="N18">
    <cfRule type="containsBlanks" dxfId="3" priority="1">
      <formula>LEN(TRIM(N18))=0</formula>
    </cfRule>
  </conditionalFormatting>
  <pageMargins left="0.31496062992125984" right="0.11811023622047245" top="0.27559055118110237" bottom="0.31496062992125984" header="0.31496062992125984" footer="0.31496062992125984"/>
  <pageSetup paperSize="120" orientation="portrait" horizontalDpi="120" verticalDpi="72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00B0F0"/>
  </sheetPr>
  <dimension ref="A1:BF26"/>
  <sheetViews>
    <sheetView tabSelected="1" zoomScale="85" zoomScaleNormal="85" workbookViewId="0">
      <pane xSplit="6" ySplit="10" topLeftCell="G11" activePane="bottomRight" state="frozen"/>
      <selection activeCell="F27" sqref="F27"/>
      <selection pane="topRight" activeCell="F27" sqref="F27"/>
      <selection pane="bottomLeft" activeCell="F27" sqref="F27"/>
      <selection pane="bottomRight" activeCell="C20" sqref="C20"/>
    </sheetView>
  </sheetViews>
  <sheetFormatPr baseColWidth="10" defaultRowHeight="15" x14ac:dyDescent="0.25"/>
  <cols>
    <col min="1" max="1" width="7.7109375" style="1" hidden="1" customWidth="1"/>
    <col min="2" max="2" width="4.140625" style="1" bestFit="1" customWidth="1"/>
    <col min="3" max="3" width="40.5703125" style="1" bestFit="1" customWidth="1"/>
    <col min="4" max="4" width="12.7109375" style="1" bestFit="1" customWidth="1"/>
    <col min="5" max="5" width="10.42578125" style="1" customWidth="1"/>
    <col min="6" max="6" width="13" style="9" bestFit="1" customWidth="1"/>
    <col min="7" max="20" width="3.7109375" style="2" customWidth="1"/>
    <col min="21" max="21" width="4.140625" style="1" bestFit="1" customWidth="1"/>
    <col min="22" max="22" width="3.85546875" style="2" customWidth="1"/>
    <col min="23" max="23" width="5.5703125" style="26" bestFit="1" customWidth="1"/>
    <col min="24" max="24" width="6.85546875" style="26" customWidth="1"/>
    <col min="25" max="25" width="4.140625" style="26" customWidth="1"/>
    <col min="26" max="26" width="5.42578125" style="2" customWidth="1"/>
    <col min="27" max="27" width="4.140625" style="2" customWidth="1"/>
    <col min="28" max="28" width="7.5703125" style="1" customWidth="1"/>
    <col min="29" max="29" width="7.42578125" style="26" bestFit="1" customWidth="1"/>
    <col min="30" max="30" width="5.5703125" style="26" bestFit="1" customWidth="1"/>
    <col min="31" max="31" width="7.85546875" style="26" bestFit="1" customWidth="1"/>
    <col min="32" max="32" width="7.28515625" style="26" customWidth="1"/>
    <col min="33" max="33" width="6.7109375" style="146" customWidth="1"/>
    <col min="34" max="34" width="8.140625" style="146" customWidth="1"/>
    <col min="35" max="35" width="6.7109375" style="1" customWidth="1"/>
    <col min="36" max="36" width="7.42578125" style="1" customWidth="1"/>
    <col min="37" max="37" width="13" style="1" bestFit="1" customWidth="1"/>
    <col min="38" max="38" width="10.7109375" style="1" customWidth="1"/>
    <col min="39" max="39" width="4.7109375" style="1" customWidth="1"/>
    <col min="40" max="40" width="10.7109375" style="1" customWidth="1"/>
    <col min="41" max="41" width="4.7109375" style="1" customWidth="1"/>
    <col min="42" max="42" width="10.7109375" style="1" customWidth="1"/>
    <col min="43" max="43" width="4.7109375" style="1" customWidth="1"/>
    <col min="44" max="44" width="10.7109375" style="1" customWidth="1"/>
    <col min="45" max="45" width="4.7109375" style="1" customWidth="1"/>
    <col min="46" max="46" width="10.7109375" style="1" customWidth="1"/>
    <col min="47" max="47" width="4.7109375" style="1" customWidth="1"/>
    <col min="48" max="48" width="10.7109375" style="1" customWidth="1"/>
    <col min="49" max="49" width="4.7109375" style="1" customWidth="1"/>
    <col min="50" max="50" width="14.28515625" style="4" customWidth="1"/>
    <col min="51" max="51" width="15" style="4" customWidth="1"/>
    <col min="52" max="52" width="12.85546875" style="1" bestFit="1" customWidth="1"/>
    <col min="53" max="53" width="11.42578125" style="9" customWidth="1"/>
    <col min="54" max="54" width="10" style="9" bestFit="1" customWidth="1"/>
    <col min="55" max="16384" width="11.42578125" style="1"/>
  </cols>
  <sheetData>
    <row r="1" spans="2:58" ht="1.5" customHeight="1" x14ac:dyDescent="0.25"/>
    <row r="2" spans="2:58" ht="12" hidden="1" customHeight="1" x14ac:dyDescent="0.25">
      <c r="G2" s="84" t="str">
        <f t="shared" ref="G2:V2" si="0">IF(G10="D","F",IF(G10="S","F",IF(G6="F","F"," ")))</f>
        <v>F</v>
      </c>
      <c r="H2" s="143" t="e">
        <f t="shared" si="0"/>
        <v>#N/A</v>
      </c>
      <c r="I2" s="143" t="e">
        <f t="shared" si="0"/>
        <v>#N/A</v>
      </c>
      <c r="J2" s="143" t="e">
        <f t="shared" si="0"/>
        <v>#N/A</v>
      </c>
      <c r="K2" s="143" t="e">
        <f t="shared" si="0"/>
        <v>#N/A</v>
      </c>
      <c r="L2" s="84" t="e">
        <f t="shared" si="0"/>
        <v>#N/A</v>
      </c>
      <c r="M2" s="84" t="e">
        <f t="shared" si="0"/>
        <v>#N/A</v>
      </c>
      <c r="N2" s="84" t="e">
        <f t="shared" si="0"/>
        <v>#N/A</v>
      </c>
      <c r="O2" s="143" t="e">
        <f t="shared" si="0"/>
        <v>#N/A</v>
      </c>
      <c r="P2" s="143" t="e">
        <f t="shared" si="0"/>
        <v>#N/A</v>
      </c>
      <c r="Q2" s="143" t="e">
        <f t="shared" si="0"/>
        <v>#N/A</v>
      </c>
      <c r="R2" s="143" t="e">
        <f t="shared" si="0"/>
        <v>#N/A</v>
      </c>
      <c r="S2" s="84" t="e">
        <f t="shared" si="0"/>
        <v>#N/A</v>
      </c>
      <c r="T2" s="84" t="e">
        <f t="shared" si="0"/>
        <v>#N/A</v>
      </c>
      <c r="U2" s="84" t="e">
        <f t="shared" si="0"/>
        <v>#N/A</v>
      </c>
      <c r="V2" s="143" t="e">
        <f t="shared" si="0"/>
        <v>#N/A</v>
      </c>
      <c r="Z2" s="2" t="s">
        <v>123</v>
      </c>
    </row>
    <row r="3" spans="2:58" ht="27" customHeight="1" x14ac:dyDescent="0.25">
      <c r="C3" s="309" t="s">
        <v>44</v>
      </c>
      <c r="D3" s="309"/>
      <c r="E3" s="309"/>
      <c r="L3" s="296"/>
      <c r="M3" s="297"/>
      <c r="N3" s="298"/>
      <c r="O3" s="299"/>
      <c r="P3" s="300"/>
      <c r="Q3" s="301"/>
      <c r="R3" s="302"/>
    </row>
    <row r="4" spans="2:58" ht="21.75" customHeight="1" x14ac:dyDescent="0.3">
      <c r="C4" s="310" t="s">
        <v>45</v>
      </c>
      <c r="D4" s="310"/>
      <c r="E4" s="310"/>
      <c r="F4" s="29"/>
      <c r="T4" s="30"/>
      <c r="U4" s="26"/>
      <c r="V4" s="30"/>
      <c r="AC4" s="152"/>
      <c r="AE4" s="153"/>
    </row>
    <row r="5" spans="2:58" ht="23.25" customHeight="1" x14ac:dyDescent="0.25">
      <c r="C5" s="229" t="str">
        <f>+'CONTROL H.E.'!C4</f>
        <v xml:space="preserve"> </v>
      </c>
      <c r="D5" s="230"/>
      <c r="E5" s="230"/>
      <c r="G5" s="330" t="s">
        <v>206</v>
      </c>
      <c r="H5" s="330"/>
      <c r="I5" s="330"/>
      <c r="J5" s="330"/>
      <c r="K5" s="330"/>
      <c r="L5" s="330"/>
      <c r="M5" s="330"/>
      <c r="N5" s="330"/>
      <c r="O5" s="330"/>
      <c r="P5" s="330"/>
      <c r="Q5" s="330"/>
      <c r="R5" s="330"/>
      <c r="S5" s="330"/>
      <c r="T5" s="330"/>
      <c r="U5" s="330"/>
      <c r="V5" s="330"/>
      <c r="W5" s="30"/>
      <c r="X5" s="30"/>
      <c r="Y5" s="30"/>
      <c r="Z5" s="30"/>
      <c r="AA5" s="30"/>
      <c r="AB5" s="30"/>
      <c r="AE5" s="154"/>
      <c r="AF5" s="154"/>
    </row>
    <row r="6" spans="2:58" s="3" customFormat="1" ht="21.75" customHeight="1" x14ac:dyDescent="0.25">
      <c r="C6" s="70" t="str">
        <f>+VARIOS!B12</f>
        <v>DEL 0 AL 0 DE ENERO DEL 1900</v>
      </c>
      <c r="G6" s="101"/>
      <c r="H6" s="144"/>
      <c r="I6" s="144"/>
      <c r="J6" s="144"/>
      <c r="K6" s="144"/>
      <c r="L6" s="101"/>
      <c r="M6" s="101"/>
      <c r="N6" s="101"/>
      <c r="O6" s="144"/>
      <c r="P6" s="144"/>
      <c r="Q6" s="144"/>
      <c r="R6" s="144"/>
      <c r="S6" s="101"/>
      <c r="T6" s="101"/>
      <c r="U6" s="101"/>
      <c r="V6" s="144"/>
      <c r="W6" s="41"/>
      <c r="X6" s="41"/>
      <c r="Y6" s="41"/>
      <c r="Z6" s="99"/>
      <c r="AA6" s="41"/>
      <c r="AB6" s="41"/>
      <c r="AC6" s="155"/>
      <c r="AD6" s="30"/>
      <c r="AE6" s="155"/>
      <c r="AF6" s="155"/>
      <c r="AG6" s="194"/>
      <c r="AH6" s="194"/>
      <c r="AZ6" s="1"/>
      <c r="BA6" s="9"/>
      <c r="BB6" s="9"/>
    </row>
    <row r="7" spans="2:58" ht="15" customHeight="1" x14ac:dyDescent="0.25">
      <c r="C7" s="34"/>
      <c r="D7" s="28" t="s">
        <v>89</v>
      </c>
      <c r="E7" s="83" t="e">
        <f>+'CONTROL H.E.'!C7</f>
        <v>#N/A</v>
      </c>
      <c r="G7" s="236">
        <f>DAY('CONTROL H.E.'!C5)</f>
        <v>0</v>
      </c>
      <c r="H7" s="236" t="str">
        <f>IF(G7&gt;=VARIOS!$F$14," ",IF(G7=0," ",+G7+1))</f>
        <v xml:space="preserve"> </v>
      </c>
      <c r="I7" s="151" t="str">
        <f>IF(H7&gt;=VARIOS!$F$14," ",IF(H7=0," ",+H7+1))</f>
        <v xml:space="preserve"> </v>
      </c>
      <c r="J7" s="151" t="str">
        <f>IF(I7&gt;=VARIOS!$F$14," ",IF(I7=0," ",+I7+1))</f>
        <v xml:space="preserve"> </v>
      </c>
      <c r="K7" s="151" t="str">
        <f>IF(J7&gt;=VARIOS!$F$14," ",IF(J7=0," ",+J7+1))</f>
        <v xml:space="preserve"> </v>
      </c>
      <c r="L7" s="151" t="str">
        <f>IF(K7&gt;=VARIOS!$F$14," ",IF(K7=0," ",+K7+1))</f>
        <v xml:space="preserve"> </v>
      </c>
      <c r="M7" s="151" t="str">
        <f>IF(L7&gt;=VARIOS!$F$14," ",IF(L7=0," ",+L7+1))</f>
        <v xml:space="preserve"> </v>
      </c>
      <c r="N7" s="236" t="str">
        <f>IF(M7&gt;=VARIOS!$F$14," ",IF(M7=0," ",+M7+1))</f>
        <v xml:space="preserve"> </v>
      </c>
      <c r="O7" s="236" t="str">
        <f>IF(N7&gt;=VARIOS!$F$14," ",IF(N7=0," ",+N7+1))</f>
        <v xml:space="preserve"> </v>
      </c>
      <c r="P7" s="151" t="str">
        <f>IF(O7&gt;=VARIOS!$F$14," ",IF(O7=0," ",+O7+1))</f>
        <v xml:space="preserve"> </v>
      </c>
      <c r="Q7" s="151" t="str">
        <f>IF(P7&gt;=VARIOS!$F$14," ",IF(P7=0," ",+P7+1))</f>
        <v xml:space="preserve"> </v>
      </c>
      <c r="R7" s="151" t="str">
        <f>IF(Q7&gt;=VARIOS!$F$14," ",IF(Q7=0," ",+Q7+1))</f>
        <v xml:space="preserve"> </v>
      </c>
      <c r="S7" s="151" t="str">
        <f>IF(R7&gt;=VARIOS!$F$14," ",IF(R7=0," ",+R7+1))</f>
        <v xml:space="preserve"> </v>
      </c>
      <c r="T7" s="151" t="str">
        <f>IF(S7&gt;=VARIOS!$F$14," ",IF(S7=0," ",+S7+1))</f>
        <v xml:space="preserve"> </v>
      </c>
      <c r="U7" s="236" t="str">
        <f>IF(T7&gt;=VARIOS!$F$14," ",IF(T7=0," ",+T7+1))</f>
        <v xml:space="preserve"> </v>
      </c>
      <c r="V7" s="151" t="str">
        <f>IF(U7&gt;=VARIOS!$F$14," ",IF(U7=0," ",+U7+1))</f>
        <v xml:space="preserve"> </v>
      </c>
      <c r="W7" s="85"/>
      <c r="X7" s="86"/>
      <c r="Y7" s="86"/>
      <c r="Z7" s="86"/>
      <c r="AA7" s="86"/>
      <c r="AB7" s="86"/>
      <c r="AM7" s="318"/>
      <c r="AN7" s="318"/>
      <c r="AO7" s="318"/>
      <c r="AP7" s="318"/>
      <c r="AQ7" s="319" t="s">
        <v>189</v>
      </c>
      <c r="AR7" s="319"/>
      <c r="AS7" s="319"/>
      <c r="AT7" s="319"/>
      <c r="AU7" s="320">
        <f>SUM(AL8:AW8)</f>
        <v>0</v>
      </c>
      <c r="AV7" s="320"/>
      <c r="AW7" s="320"/>
    </row>
    <row r="8" spans="2:58" ht="14.1" customHeight="1" x14ac:dyDescent="0.25">
      <c r="F8" s="195">
        <f>SUM(F10:F96)</f>
        <v>0</v>
      </c>
      <c r="G8" s="142"/>
      <c r="J8" s="142"/>
      <c r="K8" s="142"/>
      <c r="L8" s="142"/>
      <c r="M8" s="142"/>
      <c r="N8" s="142"/>
      <c r="Q8" s="142"/>
      <c r="R8" s="142"/>
      <c r="S8" s="142"/>
      <c r="T8" s="142"/>
      <c r="U8" s="142"/>
      <c r="W8" s="93">
        <f>SUM(W11:W97)</f>
        <v>0</v>
      </c>
      <c r="X8" s="93">
        <f>SUM(X11:X97)</f>
        <v>0</v>
      </c>
      <c r="Y8" s="93">
        <f>SUM(Y11:Y97)</f>
        <v>0</v>
      </c>
      <c r="AC8" s="93">
        <f t="shared" ref="AC8:AJ8" si="1">SUM(AC11:AC97)</f>
        <v>0</v>
      </c>
      <c r="AD8" s="93">
        <f t="shared" si="1"/>
        <v>0</v>
      </c>
      <c r="AE8" s="93">
        <f t="shared" si="1"/>
        <v>0</v>
      </c>
      <c r="AF8" s="93">
        <f t="shared" si="1"/>
        <v>0</v>
      </c>
      <c r="AG8" s="93">
        <f t="shared" si="1"/>
        <v>0</v>
      </c>
      <c r="AH8" s="93">
        <f t="shared" si="1"/>
        <v>0</v>
      </c>
      <c r="AI8" s="93">
        <f t="shared" si="1"/>
        <v>0</v>
      </c>
      <c r="AJ8" s="93">
        <f t="shared" si="1"/>
        <v>0</v>
      </c>
      <c r="AK8" s="195">
        <f>SUM(AK10:AK96)</f>
        <v>0</v>
      </c>
      <c r="AM8" s="248">
        <f>SUM(AM11:AM97)</f>
        <v>0</v>
      </c>
      <c r="AN8" s="228"/>
      <c r="AO8" s="248">
        <f>SUM(AO11:AO97)</f>
        <v>0</v>
      </c>
      <c r="AQ8" s="247">
        <f>SUM(AQ11:AQ97)</f>
        <v>0</v>
      </c>
      <c r="AS8" s="247">
        <f>SUM(AS11:AS97)</f>
        <v>0</v>
      </c>
      <c r="AU8" s="246">
        <f>SUM(AU11:AU97)</f>
        <v>0</v>
      </c>
      <c r="AW8" s="246">
        <f>SUM(AW11:AW97)</f>
        <v>0</v>
      </c>
      <c r="AX8" s="195">
        <f ca="1">SUM(AX10:AX96)</f>
        <v>0</v>
      </c>
    </row>
    <row r="9" spans="2:58" ht="15.75" thickBot="1" x14ac:dyDescent="0.3">
      <c r="G9" s="313"/>
      <c r="H9" s="314"/>
      <c r="I9" s="314"/>
      <c r="J9" s="314"/>
      <c r="K9" s="314"/>
      <c r="L9" s="314"/>
      <c r="M9" s="314"/>
      <c r="N9" s="314"/>
      <c r="O9" s="314"/>
      <c r="P9" s="314"/>
      <c r="Q9" s="314"/>
      <c r="R9" s="314"/>
      <c r="S9" s="314"/>
      <c r="T9" s="314"/>
      <c r="U9" s="314"/>
      <c r="V9" s="314"/>
      <c r="W9" s="156"/>
      <c r="X9" s="156"/>
      <c r="Y9" s="156"/>
      <c r="Z9" s="100" t="s">
        <v>124</v>
      </c>
      <c r="AA9" s="42"/>
      <c r="AB9" s="42"/>
      <c r="AC9" s="156"/>
      <c r="AD9" s="156"/>
      <c r="AE9" s="156"/>
      <c r="AF9" s="156"/>
      <c r="AG9" s="311" t="s">
        <v>30</v>
      </c>
      <c r="AH9" s="312"/>
      <c r="AI9" s="315" t="s">
        <v>12</v>
      </c>
      <c r="AJ9" s="316"/>
      <c r="AK9" s="317"/>
      <c r="AL9" s="321" t="s">
        <v>192</v>
      </c>
      <c r="AM9" s="322"/>
      <c r="AN9" s="322"/>
      <c r="AO9" s="323"/>
      <c r="AP9" s="324" t="s">
        <v>193</v>
      </c>
      <c r="AQ9" s="325"/>
      <c r="AR9" s="325"/>
      <c r="AS9" s="326"/>
      <c r="AT9" s="327" t="s">
        <v>194</v>
      </c>
      <c r="AU9" s="328"/>
      <c r="AV9" s="328"/>
      <c r="AW9" s="329"/>
      <c r="AX9" s="307" t="s">
        <v>13</v>
      </c>
      <c r="AY9" s="308"/>
      <c r="BB9" s="3"/>
    </row>
    <row r="10" spans="2:58" ht="75" x14ac:dyDescent="0.25">
      <c r="B10" s="10" t="s">
        <v>14</v>
      </c>
      <c r="C10" s="10" t="s">
        <v>0</v>
      </c>
      <c r="D10" s="10" t="s">
        <v>34</v>
      </c>
      <c r="E10" s="10" t="s">
        <v>1</v>
      </c>
      <c r="F10" s="11" t="s">
        <v>19</v>
      </c>
      <c r="G10" s="149" t="str">
        <f>VLOOKUP(G7,VARIOS!$K:$N,4,FALSE)</f>
        <v>S</v>
      </c>
      <c r="H10" s="10" t="e">
        <f>VLOOKUP(H7,VARIOS!$K:$N,4,FALSE)</f>
        <v>#N/A</v>
      </c>
      <c r="I10" s="10" t="e">
        <f>VLOOKUP(I7,VARIOS!$K:$N,4,FALSE)</f>
        <v>#N/A</v>
      </c>
      <c r="J10" s="149" t="e">
        <f>VLOOKUP(J7,VARIOS!$K:$N,4,FALSE)</f>
        <v>#N/A</v>
      </c>
      <c r="K10" s="149" t="e">
        <f>VLOOKUP(K7,VARIOS!$K:$N,4,FALSE)</f>
        <v>#N/A</v>
      </c>
      <c r="L10" s="149" t="e">
        <f>VLOOKUP(L7,VARIOS!$K:$N,4,FALSE)</f>
        <v>#N/A</v>
      </c>
      <c r="M10" s="149" t="e">
        <f>VLOOKUP(M7,VARIOS!$K:$N,4,FALSE)</f>
        <v>#N/A</v>
      </c>
      <c r="N10" s="149" t="e">
        <f>VLOOKUP(N7,VARIOS!$K:$N,4,FALSE)</f>
        <v>#N/A</v>
      </c>
      <c r="O10" s="10" t="e">
        <f>VLOOKUP(O7,VARIOS!$K:$N,4,FALSE)</f>
        <v>#N/A</v>
      </c>
      <c r="P10" s="10" t="e">
        <f>VLOOKUP(P7,VARIOS!$K:$N,4,FALSE)</f>
        <v>#N/A</v>
      </c>
      <c r="Q10" s="149" t="e">
        <f>VLOOKUP(Q7,VARIOS!$K:$N,4,FALSE)</f>
        <v>#N/A</v>
      </c>
      <c r="R10" s="149" t="e">
        <f>VLOOKUP(R7,VARIOS!$K:$N,4,FALSE)</f>
        <v>#N/A</v>
      </c>
      <c r="S10" s="149" t="e">
        <f>VLOOKUP(S7,VARIOS!$K:$N,4,FALSE)</f>
        <v>#N/A</v>
      </c>
      <c r="T10" s="149" t="e">
        <f>VLOOKUP(T7,VARIOS!$K:$N,4,FALSE)</f>
        <v>#N/A</v>
      </c>
      <c r="U10" s="149" t="e">
        <f>VLOOKUP(U7,VARIOS!$K:$N,4,FALSE)</f>
        <v>#N/A</v>
      </c>
      <c r="V10" s="10" t="e">
        <f>VLOOKUP(V7,VARIOS!$K:$N,4,FALSE)</f>
        <v>#N/A</v>
      </c>
      <c r="W10" s="131" t="s">
        <v>117</v>
      </c>
      <c r="X10" s="132" t="s">
        <v>118</v>
      </c>
      <c r="Y10" s="12" t="s">
        <v>119</v>
      </c>
      <c r="Z10" s="104" t="s">
        <v>122</v>
      </c>
      <c r="AA10" s="117" t="s">
        <v>159</v>
      </c>
      <c r="AB10" s="279" t="s">
        <v>200</v>
      </c>
      <c r="AC10" s="10" t="s">
        <v>28</v>
      </c>
      <c r="AD10" s="10" t="s">
        <v>17</v>
      </c>
      <c r="AE10" s="13" t="s">
        <v>46</v>
      </c>
      <c r="AF10" s="10" t="s">
        <v>47</v>
      </c>
      <c r="AG10" s="252" t="s">
        <v>46</v>
      </c>
      <c r="AH10" s="253" t="s">
        <v>47</v>
      </c>
      <c r="AI10" s="249" t="s">
        <v>46</v>
      </c>
      <c r="AJ10" s="250" t="s">
        <v>47</v>
      </c>
      <c r="AK10" s="257" t="s">
        <v>29</v>
      </c>
      <c r="AL10" s="259" t="s">
        <v>20</v>
      </c>
      <c r="AM10" s="260" t="s">
        <v>16</v>
      </c>
      <c r="AN10" s="260" t="s">
        <v>20</v>
      </c>
      <c r="AO10" s="261" t="s">
        <v>16</v>
      </c>
      <c r="AP10" s="264" t="s">
        <v>20</v>
      </c>
      <c r="AQ10" s="265" t="s">
        <v>16</v>
      </c>
      <c r="AR10" s="265" t="s">
        <v>20</v>
      </c>
      <c r="AS10" s="266" t="s">
        <v>16</v>
      </c>
      <c r="AT10" s="271" t="s">
        <v>20</v>
      </c>
      <c r="AU10" s="272" t="s">
        <v>16</v>
      </c>
      <c r="AV10" s="272" t="s">
        <v>20</v>
      </c>
      <c r="AW10" s="273" t="s">
        <v>16</v>
      </c>
      <c r="AX10" s="269" t="s">
        <v>15</v>
      </c>
      <c r="AY10" s="277" t="s">
        <v>199</v>
      </c>
      <c r="AZ10" s="3"/>
      <c r="BA10" s="3"/>
    </row>
    <row r="11" spans="2:58" ht="16.5" customHeight="1" x14ac:dyDescent="0.25">
      <c r="B11" s="15">
        <v>1</v>
      </c>
      <c r="C11" s="5" t="str">
        <f>IFERROR(VLOOKUP('Reporte Asistencia Laboral'!D11,EMPLEADO!C:Q,15,0),"")</f>
        <v>ARMIJOS MIÑAN ANGEL OSWALDO</v>
      </c>
      <c r="D11" s="6" t="str">
        <f>IF(AND(ISTEXT(EMPLEADO!C5)),EMPLEADO!C5,"")</f>
        <v>070219346-7</v>
      </c>
      <c r="E11" s="5" t="str">
        <f>IFERROR(VLOOKUP(D11,EMPLEADO!C:E,2,FALSE),"")</f>
        <v>BOMBERO</v>
      </c>
      <c r="F11" s="7">
        <f>IFERROR(ROUND(VLOOKUP('Reporte Asistencia Laboral'!D11,EMPLEADO!C:AE,3,FALSE)/30*AD11,2),"")</f>
        <v>0</v>
      </c>
      <c r="G11" s="150"/>
      <c r="H11" s="150"/>
      <c r="I11" s="150"/>
      <c r="J11" s="150"/>
      <c r="K11" s="237"/>
      <c r="L11" s="237"/>
      <c r="M11" s="150"/>
      <c r="N11" s="150"/>
      <c r="O11" s="150"/>
      <c r="P11" s="150"/>
      <c r="Q11" s="150"/>
      <c r="R11" s="237"/>
      <c r="S11" s="237"/>
      <c r="T11" s="150"/>
      <c r="U11" s="150"/>
      <c r="V11" s="237"/>
      <c r="W11" s="71" t="str">
        <f>IFERROR(IF($G$10="S",+G11,IF($G$10="D",+G11,0))+IF($H$10="S",+H11,IF($H$10="D",+H11,0))+IF($I$10="S",+I11,IF($I$10="D",+I11,0))+IF($J$10="S",+J11,IF($J$10="D",+J11,0))+IF($K$10="S",+K11,IF($K$10="D",+K11,0))+IF($L$10="S",+L11,IF($L$10="D",+L11,0))+IF($M$10="S",+M11,IF($M$10="D",+M11,0))+IF($N$10="S",+N11,IF($N$10="D",+N11,0))+IF($O$10="S",+O11,IF($O$10="D",+O11,0))+IF($P$10="S",+P11,IF($P$10="D",+P11,0))+IF($Q$10="S",+Q11,IF($Q$10="D",+Q11,0))+IF($R$10="S",+R11,IF($R$10="D",+R11,0))+IF($S$10="S",+S11,IF($S$10="D",+S11,0))+IF($T$10="S",+T11,IF($T$10="D",+T11,0))+IF($U$10="S",+U11,IF($U$10="D",+U11,0))+IF($V$10="S",+V11,IF($V$10="D",+V11,0)),"")</f>
        <v/>
      </c>
      <c r="X11" s="71">
        <f t="shared" ref="X11" si="2">IF($G$6="F",G11,0)+IF($H$6="F",+H11,0)+IF($I$6="F",+I11,0)+IF($J$6="F",+J11,0)+IF($K$6="F",+K11,0)+IF($L$6="F",+L11,0)+IF($M$6="F",+M11,0)+IF($N$6="F",+N11,0)+IF($O$6="F",+O11,0)+IF($P$6="F",+P11,0)+IF($Q$6="F",+Q11,0)+IF($R$6="F",+R11,0)+IF($S$6="F",+S11,0)+IF($T$6="F",+T11,0)+IF($U$6="F",+U11,0)+IF($V$6="F",+V11,0)</f>
        <v>0</v>
      </c>
      <c r="Y11" s="94" t="str">
        <f>IFERROR(IF($G$2="F",0,IF(G11&gt;8,G11-8,0))+IF($H$2="F",0,IF(H11&gt;8,H11-8,0))+IF($I$2="F",0,IF(I11&gt;8,I11-8,0))+IF($J$2="F",0,IF(J11&gt;8,J11-8,0))+IF($K$2="F",0,IF(K11&gt;8,K11-8,0))+IF($L$2="F",0,IF(L11&gt;8,L11-8,0))+IF($M$2="F",0,IF(M11&gt;8,M11-8,0))+IF($N$2="F",0,IF(N11&gt;8,N11-8,0))+IF($O$2="F",0,IF(O11&gt;8,O11-8,0))+IF($P$2="F",0,IF(P11&gt;8,P11-8,0))+IF($Q$2="F",0,IF(Q11&gt;8,Q11-8,0))+IF($R$2="F",0,IF(R11&gt;8,R11-8,0))+IF($S$2="F",0,IF(S11&gt;8,S11-8,0))+IF($T$2="F",0,IF(T11&gt;8,T11-8,0))+IF($U$2="F",0,IF(U11&gt;8,U11-8,0))+IF($V$2="F",0,IF(V11&gt;8,V11-8,0)),"")</f>
        <v/>
      </c>
      <c r="Z11" s="105"/>
      <c r="AA11" s="143"/>
      <c r="AB11" s="280" t="str">
        <f>IFERROR(VLOOKUP(C11,EMPLEADO!B:AD,29,0),"")</f>
        <v>GP1</v>
      </c>
      <c r="AC11" s="8">
        <f>+SUM(G11:V11)</f>
        <v>0</v>
      </c>
      <c r="AD11" s="71">
        <f>IF(COUNT(G11:V11)&gt;15,COUNT(G11:V11)-1,COUNT(G11:U11))+AA11</f>
        <v>0</v>
      </c>
      <c r="AE11" s="8" t="str">
        <f>IFERROR(IF(Z11="N",0,Y11),"")</f>
        <v/>
      </c>
      <c r="AF11" s="44" t="str">
        <f>IFERROR(IF(Z11="N",W11+X11+Y11,W11+X11),"")</f>
        <v/>
      </c>
      <c r="AG11" s="254">
        <f>IFERROR(VLOOKUP(C11,'CONTROL H.E.'!C:EQ,144,0),"")</f>
        <v>0</v>
      </c>
      <c r="AH11" s="254">
        <f>IFERROR(VLOOKUP(C11,'CONTROL H.E.'!C:EQ,145,0),"")</f>
        <v>0</v>
      </c>
      <c r="AI11" s="251">
        <f>IFERROR(VLOOKUP(C11,'CONTROL H.E. Transf.'!C:BK,60,0),"")</f>
        <v>0</v>
      </c>
      <c r="AJ11" s="251">
        <f>IFERROR(VLOOKUP(C11,'CONTROL H.E. Transf.'!C:BK,61,0),"")</f>
        <v>0</v>
      </c>
      <c r="AK11" s="258" t="str">
        <f>IFERROR(ROUND((VLOOKUP(D11,EMPLEADO!C:F,3,FALSE)/240*1.5*(AE11+AG11+AI11)+(VLOOKUP(D11,EMPLEADO!C:F,3,FALSE)/240*2*(AF11+AH11+AJ11))),2),"")</f>
        <v/>
      </c>
      <c r="AL11" s="262" t="str">
        <f>IFERROR(IF(C11=BA11,VLOOKUP(C11,Dato_Pesc!E:G,2,FALSE)," ")," ")</f>
        <v xml:space="preserve"> </v>
      </c>
      <c r="AM11" s="240">
        <f>IFERROR(IF(C11=BA11,VLOOKUP(C11,Dato_Pesc!E:G,3,FALSE),0),0)</f>
        <v>0</v>
      </c>
      <c r="AN11" s="241" t="str">
        <f>IFERROR(IF(C11=BB11,VLOOKUP(C11,Dato_Pesc!H:J,2,FALSE)," ")," ")</f>
        <v xml:space="preserve"> </v>
      </c>
      <c r="AO11" s="263">
        <f>IFERROR(IF(C11=BB11,VLOOKUP(C11,Dato_Pesc!H:J,3,FALSE),0),0)</f>
        <v>0</v>
      </c>
      <c r="AP11" s="267" t="str">
        <f>IFERROR(IF(C11=BC11,VLOOKUP(C11,Dato_Pesc!P:R,2,FALSE)," ")," ")</f>
        <v xml:space="preserve"> </v>
      </c>
      <c r="AQ11" s="242">
        <f>IFERROR(IF(C11=BC11,VLOOKUP(C11,Dato_Pesc!P:R,3,FALSE),0),0)</f>
        <v>0</v>
      </c>
      <c r="AR11" s="243" t="str">
        <f>IFERROR(IF(C11=BD11,VLOOKUP(C11,Dato_Pesc!S:U,2,FALSE)," ")," ")</f>
        <v xml:space="preserve"> </v>
      </c>
      <c r="AS11" s="268">
        <f>IFERROR(IF(C11=BD11,VLOOKUP(C11,Dato_Pesc!S:U,3,FALSE),0),0)</f>
        <v>0</v>
      </c>
      <c r="AT11" s="274" t="str">
        <f>IFERROR(IF(C11=BE11,VLOOKUP(C11,Dato_Pesc!AA:AC,2,FALSE)," ")," ")</f>
        <v xml:space="preserve"> </v>
      </c>
      <c r="AU11" s="244">
        <f>IFERROR(IF(C11=BE11,VLOOKUP(C11,Dato_Pesc!AA:AC,3,FALSE),0),0)</f>
        <v>0</v>
      </c>
      <c r="AV11" s="245" t="str">
        <f>IFERROR(IF(C11=BF11,VLOOKUP(C11,Dato_Pesc!AD:AF,2,FALSE)," ")," ")</f>
        <v xml:space="preserve"> </v>
      </c>
      <c r="AW11" s="275">
        <f>IFERROR(IF(C11=BF11,VLOOKUP(C11,Dato_Pesc!AD:AF,3,FALSE),0),0)</f>
        <v>0</v>
      </c>
      <c r="AX11" s="270">
        <f ca="1">IFERROR(ROUND(((SUMIF('$ NOCHE_PESC'!$B$4:$C$10,AL11,'$ NOCHE_PESC'!$C$4:$C$10))*AM11)+((SUMIF('$ NOCHE_PESC'!$B$4:$C$10,AN11,'$ NOCHE_PESC'!$C$4:$C$10))*AO11)+((SUMIF('$ NOCHE_PESC'!$B$4:$C$10,AP11,'$ NOCHE_PESC'!$C$4:$C$10))*AQ11)+((SUMIF('$ NOCHE_PESC'!$B$4:$C$10,AR11,'$ NOCHE_PESC'!$C$4:$C$10))*AS11)+((SUMIF('$ NOCHE_PESC'!$B$4:$C$10,AT11,'$ NOCHE_PESC'!$C$4:$C$10))*AU11)+((SUMIF('$ NOCHE_PESC'!$B$4:$C$10,AV11,'$ NOCHE_PESC'!$C$4:$C$10))*AW11),2),"")</f>
        <v>0</v>
      </c>
      <c r="AY11" s="278">
        <f>SUM(AM11+AO11+AQ11+AS11+AU11+AW11)</f>
        <v>0</v>
      </c>
      <c r="BA11" s="15" t="str">
        <f>IFERROR(IF(BB11=C11,BB11,VLOOKUP(C11,Dato_Pesc!$A$5:$J$68,5,0)),"")</f>
        <v/>
      </c>
      <c r="BB11" s="15" t="str">
        <f>IFERROR(VLOOKUP(C11,Dato_Pesc!$A$5:$J$68,8),"")</f>
        <v/>
      </c>
      <c r="BC11" s="15" t="str">
        <f>IFERROR(IF(BD11=C11,BD11,VLOOKUP(C11,Dato_Pesc!$L$5:$U$68,5,0)),"")</f>
        <v/>
      </c>
      <c r="BD11" s="15" t="str">
        <f>IFERROR(VLOOKUP(C11,Dato_Pesc!$L$5:$U$68,8),"")</f>
        <v/>
      </c>
      <c r="BE11" s="15" t="str">
        <f>IFERROR(IF(BF11=C11,BF11,VLOOKUP(C11,Dato_Pesc!$W$5:$AF$68,5,0)),"")</f>
        <v/>
      </c>
      <c r="BF11" s="15" t="str">
        <f>IFERROR(VLOOKUP(C11,Dato_Pesc!$W$5:$AF$68,8),"")</f>
        <v/>
      </c>
    </row>
    <row r="12" spans="2:58" ht="16.5" customHeight="1" x14ac:dyDescent="0.25">
      <c r="B12" s="15">
        <f>B11+1</f>
        <v>2</v>
      </c>
      <c r="C12" s="5" t="str">
        <f>IFERROR(VLOOKUP('Reporte Asistencia Laboral'!D12,EMPLEADO!C:Q,15,0),"")</f>
        <v>ORTIZ CORONEL WILMER ALBERTO</v>
      </c>
      <c r="D12" s="6" t="str">
        <f>IF(AND(ISTEXT(EMPLEADO!C6)),EMPLEADO!C6,"")</f>
        <v>110558140-7</v>
      </c>
      <c r="E12" s="5" t="str">
        <f>IFERROR(VLOOKUP(D12,EMPLEADO!C:E,2,FALSE),"")</f>
        <v>DIARIO</v>
      </c>
      <c r="F12" s="7">
        <f>IFERROR(ROUND(VLOOKUP('Reporte Asistencia Laboral'!D12,EMPLEADO!C:AE,3,FALSE)/30*AD12,2),"")</f>
        <v>0</v>
      </c>
      <c r="G12" s="150"/>
      <c r="H12" s="150"/>
      <c r="I12" s="150"/>
      <c r="J12" s="150"/>
      <c r="K12" s="237"/>
      <c r="L12" s="237"/>
      <c r="M12" s="150"/>
      <c r="N12" s="150"/>
      <c r="O12" s="150"/>
      <c r="P12" s="150"/>
      <c r="Q12" s="150"/>
      <c r="R12" s="237"/>
      <c r="S12" s="237"/>
      <c r="T12" s="150"/>
      <c r="U12" s="150"/>
      <c r="V12" s="237"/>
      <c r="W12" s="71" t="str">
        <f t="shared" ref="W12:W13" si="3">IFERROR(IF($G$10="S",+G12,IF($G$10="D",+G12,0))+IF($H$10="S",+H12,IF($H$10="D",+H12,0))+IF($I$10="S",+I12,IF($I$10="D",+I12,0))+IF($J$10="S",+J12,IF($J$10="D",+J12,0))+IF($K$10="S",+K12,IF($K$10="D",+K12,0))+IF($L$10="S",+L12,IF($L$10="D",+L12,0))+IF($M$10="S",+M12,IF($M$10="D",+M12,0))+IF($N$10="S",+N12,IF($N$10="D",+N12,0))+IF($O$10="S",+O12,IF($O$10="D",+O12,0))+IF($P$10="S",+P12,IF($P$10="D",+P12,0))+IF($Q$10="S",+Q12,IF($Q$10="D",+Q12,0))+IF($R$10="S",+R12,IF($R$10="D",+R12,0))+IF($S$10="S",+S12,IF($S$10="D",+S12,0))+IF($T$10="S",+T12,IF($T$10="D",+T12,0))+IF($U$10="S",+U12,IF($U$10="D",+U12,0))+IF($V$10="S",+V12,IF($V$10="D",+V12,0)),"")</f>
        <v/>
      </c>
      <c r="X12" s="71">
        <f>IF($G$6="F",G12,0)+IF($H$6="F",+H12,0)+IF($I$6="F",+I12,0)+IF($J$6="F",+J12,0)+IF($K$6="F",+K12,0)+IF($L$6="F",+L12,0)+IF($M$6="F",+M12,0)+IF($N$6="F",+N12,0)+IF($O$6="F",+O12,0)+IF($P$6="F",+P12,0)+IF($Q$6="F",+Q12,0)+IF($R$6="F",+R12,0)+IF($S$6="F",+S12,0)+IF($T$6="F",+T12,0)+IF($U$6="F",+U12,0)+IF($V$6="F",+V12,0)</f>
        <v>0</v>
      </c>
      <c r="Y12" s="94" t="str">
        <f t="shared" ref="Y12:Y13" si="4">IFERROR(IF($G$2="F",0,IF(G12&gt;8,G12-8,0))+IF($H$2="F",0,IF(H12&gt;8,H12-8,0))+IF($I$2="F",0,IF(I12&gt;8,I12-8,0))+IF($J$2="F",0,IF(J12&gt;8,J12-8,0))+IF($K$2="F",0,IF(K12&gt;8,K12-8,0))+IF($L$2="F",0,IF(L12&gt;8,L12-8,0))+IF($M$2="F",0,IF(M12&gt;8,M12-8,0))+IF($N$2="F",0,IF(N12&gt;8,N12-8,0))+IF($O$2="F",0,IF(O12&gt;8,O12-8,0))+IF($P$2="F",0,IF(P12&gt;8,P12-8,0))+IF($Q$2="F",0,IF(Q12&gt;8,Q12-8,0))+IF($R$2="F",0,IF(R12&gt;8,R12-8,0))+IF($S$2="F",0,IF(S12&gt;8,S12-8,0))+IF($T$2="F",0,IF(T12&gt;8,T12-8,0))+IF($U$2="F",0,IF(U12&gt;8,U12-8,0))+IF($V$2="F",0,IF(V12&gt;8,V12-8,0)),"")</f>
        <v/>
      </c>
      <c r="Z12" s="105"/>
      <c r="AA12" s="143"/>
      <c r="AB12" s="280" t="str">
        <f>IFERROR(VLOOKUP(C12,EMPLEADO!B:AD,29,0),"")</f>
        <v>GP2</v>
      </c>
      <c r="AC12" s="8">
        <f t="shared" ref="AC12" si="5">+SUM(G12:V12)</f>
        <v>0</v>
      </c>
      <c r="AD12" s="71">
        <f t="shared" ref="AD12" si="6">IF(COUNT(G12:V12)&gt;15,COUNT(G12:V12)-1,COUNT(G12:U12))+AA12</f>
        <v>0</v>
      </c>
      <c r="AE12" s="8" t="str">
        <f t="shared" ref="AE12:AE13" si="7">IFERROR(IF(Z12="N",0,Y12),"")</f>
        <v/>
      </c>
      <c r="AF12" s="44" t="str">
        <f t="shared" ref="AF12:AF13" si="8">IFERROR(IF(Z12="N",W12+X12+Y12,W12+X12),"")</f>
        <v/>
      </c>
      <c r="AG12" s="254">
        <f>IFERROR(VLOOKUP(C12,'CONTROL H.E.'!C:EQ,144,0),"")</f>
        <v>0</v>
      </c>
      <c r="AH12" s="254">
        <f>IFERROR(VLOOKUP(C12,'CONTROL H.E.'!C:EQ,145,0),"")</f>
        <v>0</v>
      </c>
      <c r="AI12" s="251">
        <f>IFERROR(VLOOKUP(C12,'CONTROL H.E. Transf.'!C:BK,60,0),"")</f>
        <v>0</v>
      </c>
      <c r="AJ12" s="251">
        <f>IFERROR(VLOOKUP(C12,'CONTROL H.E. Transf.'!C:BK,61,0),"")</f>
        <v>0</v>
      </c>
      <c r="AK12" s="258" t="str">
        <f>IFERROR(ROUND((VLOOKUP(D12,EMPLEADO!C:F,3,FALSE)/240*1.5*(AE12+AG12+AI12)+(VLOOKUP(D12,EMPLEADO!C:F,3,FALSE)/240*2*(AF12+AH12+AJ12))),2),"")</f>
        <v/>
      </c>
      <c r="AL12" s="262" t="str">
        <f>IFERROR(IF(C12=BA12,VLOOKUP(C12,Dato_Pesc!E:G,2,FALSE)," ")," ")</f>
        <v xml:space="preserve"> </v>
      </c>
      <c r="AM12" s="240">
        <f>IFERROR(IF(C12=BA12,VLOOKUP(C12,Dato_Pesc!E:G,3,FALSE),0),0)</f>
        <v>0</v>
      </c>
      <c r="AN12" s="241" t="str">
        <f>IFERROR(IF(C12=BB12,VLOOKUP(C12,Dato_Pesc!H:J,2,FALSE)," ")," ")</f>
        <v xml:space="preserve"> </v>
      </c>
      <c r="AO12" s="263">
        <f>IFERROR(IF(C12=BB12,VLOOKUP(C12,Dato_Pesc!H:J,3,FALSE),0),0)</f>
        <v>0</v>
      </c>
      <c r="AP12" s="267" t="str">
        <f>IFERROR(IF(C12=BC12,VLOOKUP(C12,Dato_Pesc!P:R,2,FALSE)," ")," ")</f>
        <v xml:space="preserve"> </v>
      </c>
      <c r="AQ12" s="242">
        <f>IFERROR(IF(C12=BC12,VLOOKUP(C12,Dato_Pesc!P:R,3,FALSE),0),0)</f>
        <v>0</v>
      </c>
      <c r="AR12" s="243" t="str">
        <f>IFERROR(IF(C12=BD12,VLOOKUP(C12,Dato_Pesc!S:U,2,FALSE)," ")," ")</f>
        <v xml:space="preserve"> </v>
      </c>
      <c r="AS12" s="268">
        <f>IFERROR(IF(C12=BD12,VLOOKUP(C12,Dato_Pesc!S:U,3,FALSE),0),0)</f>
        <v>0</v>
      </c>
      <c r="AT12" s="274" t="str">
        <f>IFERROR(IF(C12=BE12,VLOOKUP(C12,Dato_Pesc!AA:AC,2,FALSE)," ")," ")</f>
        <v xml:space="preserve"> </v>
      </c>
      <c r="AU12" s="244">
        <f>IFERROR(IF(C12=BE12,VLOOKUP(C12,Dato_Pesc!AA:AC,3,FALSE),0),0)</f>
        <v>0</v>
      </c>
      <c r="AV12" s="245" t="str">
        <f>IFERROR(IF(C12=BF12,VLOOKUP(C12,Dato_Pesc!AD:AF,2,FALSE)," ")," ")</f>
        <v xml:space="preserve"> </v>
      </c>
      <c r="AW12" s="275">
        <f>IFERROR(IF(C12=BF12,VLOOKUP(C12,Dato_Pesc!AD:AF,3,FALSE),0),0)</f>
        <v>0</v>
      </c>
      <c r="AX12" s="270">
        <f ca="1">IFERROR(ROUND(((SUMIF('$ NOCHE_PESC'!$B$4:$C$10,AL12,'$ NOCHE_PESC'!$C$4:$C$10))*AM12)+((SUMIF('$ NOCHE_PESC'!$B$4:$C$10,AN12,'$ NOCHE_PESC'!$C$4:$C$10))*AO12)+((SUMIF('$ NOCHE_PESC'!$B$4:$C$10,AP12,'$ NOCHE_PESC'!$C$4:$C$10))*AQ12)+((SUMIF('$ NOCHE_PESC'!$B$4:$C$10,AR12,'$ NOCHE_PESC'!$C$4:$C$10))*AS12)+((SUMIF('$ NOCHE_PESC'!$B$4:$C$10,AT12,'$ NOCHE_PESC'!$C$4:$C$10))*AU12)+((SUMIF('$ NOCHE_PESC'!$B$4:$C$10,AV12,'$ NOCHE_PESC'!$C$4:$C$10))*AW12),2),"")</f>
        <v>0</v>
      </c>
      <c r="AY12" s="278">
        <f t="shared" ref="AY12:AY14" si="9">SUM(AM12+AO12+AQ12+AS12+AU12+AW12)</f>
        <v>0</v>
      </c>
      <c r="BA12" s="15" t="str">
        <f>IFERROR(IF(BB12=C12,BB12,VLOOKUP(C12,Dato_Pesc!$A$5:$J$68,5,0)),"")</f>
        <v/>
      </c>
      <c r="BB12" s="15" t="str">
        <f>IFERROR(VLOOKUP(C12,Dato_Pesc!$A$5:$J$68,8),"")</f>
        <v/>
      </c>
      <c r="BC12" s="15" t="str">
        <f>IFERROR(IF(BD12=C12,BD12,VLOOKUP(C12,Dato_Pesc!$L$5:$U$68,5,0)),"")</f>
        <v/>
      </c>
      <c r="BD12" s="15" t="str">
        <f>IFERROR(VLOOKUP(C12,Dato_Pesc!$L$5:$U$68,8),"")</f>
        <v/>
      </c>
      <c r="BE12" s="15" t="str">
        <f>IFERROR(IF(BF12=C12,BF12,VLOOKUP(C12,Dato_Pesc!$W$5:$AF$68,5,0)),"")</f>
        <v/>
      </c>
      <c r="BF12" s="15" t="str">
        <f>IFERROR(VLOOKUP(C12,Dato_Pesc!$W$5:$AF$68,8),"")</f>
        <v/>
      </c>
    </row>
    <row r="13" spans="2:58" ht="15.75" x14ac:dyDescent="0.25">
      <c r="B13" s="15">
        <f t="shared" ref="B13:B25" si="10">B12+1</f>
        <v>3</v>
      </c>
      <c r="C13" s="5" t="str">
        <f>IFERROR(VLOOKUP('Reporte Asistencia Laboral'!D13,EMPLEADO!C:Q,15,0),"")</f>
        <v>MERECI MOREIRA LUIS FERNANDO</v>
      </c>
      <c r="D13" s="6" t="str">
        <f>IF(AND(ISTEXT(EMPLEADO!C7)),EMPLEADO!C7,"")</f>
        <v>115043410-6</v>
      </c>
      <c r="E13" s="5" t="str">
        <f>IFERROR(VLOOKUP(D13,EMPLEADO!C:E,2,FALSE),"")</f>
        <v>DIARIO</v>
      </c>
      <c r="F13" s="7">
        <f>IFERROR(ROUND(VLOOKUP('Reporte Asistencia Laboral'!D13,EMPLEADO!C:AE,3,FALSE)/30*AD13,2),"")</f>
        <v>0</v>
      </c>
      <c r="G13" s="150"/>
      <c r="H13" s="150"/>
      <c r="I13" s="150"/>
      <c r="J13" s="150"/>
      <c r="K13" s="237"/>
      <c r="L13" s="237"/>
      <c r="M13" s="150"/>
      <c r="N13" s="150"/>
      <c r="O13" s="150"/>
      <c r="P13" s="150"/>
      <c r="Q13" s="150"/>
      <c r="R13" s="237"/>
      <c r="S13" s="237"/>
      <c r="T13" s="150"/>
      <c r="U13" s="150"/>
      <c r="V13" s="237"/>
      <c r="W13" s="71" t="str">
        <f t="shared" si="3"/>
        <v/>
      </c>
      <c r="X13" s="71">
        <f t="shared" ref="X13" si="11">IF($G$6="F",G13,0)+IF($H$6="F",+H13,0)+IF($I$6="F",+I13,0)+IF($J$6="F",+J13,0)+IF($K$6="F",+K13,0)+IF($L$6="F",+L13,0)+IF($M$6="F",+M13,0)+IF($N$6="F",+N13,0)+IF($O$6="F",+O13,0)+IF($P$6="F",+P13,0)+IF($Q$6="F",+Q13,0)+IF($R$6="F",+R13,0)+IF($S$6="F",+S13,0)+IF($T$6="F",+T13,0)+IF($U$6="F",+U13,0)+IF($V$6="F",+V13,0)</f>
        <v>0</v>
      </c>
      <c r="Y13" s="94" t="str">
        <f t="shared" si="4"/>
        <v/>
      </c>
      <c r="Z13" s="106"/>
      <c r="AA13" s="143"/>
      <c r="AB13" s="280" t="str">
        <f>IFERROR(VLOOKUP(C13,EMPLEADO!B:AD,29,0),"")</f>
        <v>GP1</v>
      </c>
      <c r="AC13" s="8">
        <f t="shared" ref="AC13" si="12">+SUM(G13:V13)</f>
        <v>0</v>
      </c>
      <c r="AD13" s="71">
        <f t="shared" ref="AD13" si="13">IF(COUNT(G13:V13)&gt;15,COUNT(G13:V13)-1,COUNT(G13:U13))+AA13</f>
        <v>0</v>
      </c>
      <c r="AE13" s="8" t="str">
        <f t="shared" si="7"/>
        <v/>
      </c>
      <c r="AF13" s="44" t="str">
        <f t="shared" si="8"/>
        <v/>
      </c>
      <c r="AG13" s="254">
        <f>IFERROR(VLOOKUP(C13,'CONTROL H.E.'!C:EQ,144,0),"")</f>
        <v>0</v>
      </c>
      <c r="AH13" s="254">
        <f>IFERROR(VLOOKUP(C13,'CONTROL H.E.'!C:EQ,145,0),"")</f>
        <v>0</v>
      </c>
      <c r="AI13" s="251">
        <f>IFERROR(VLOOKUP(C13,'CONTROL H.E. Transf.'!C:BK,60,0),"")</f>
        <v>0</v>
      </c>
      <c r="AJ13" s="251">
        <f>IFERROR(VLOOKUP(C13,'CONTROL H.E. Transf.'!C:BK,61,0),"")</f>
        <v>0</v>
      </c>
      <c r="AK13" s="258" t="str">
        <f>IFERROR(ROUND((VLOOKUP(D13,EMPLEADO!C:F,3,FALSE)/240*1.5*(AE13+AG13+AI13)+(VLOOKUP(D13,EMPLEADO!C:F,3,FALSE)/240*2*(AF13+AH13+AJ13))),2),"")</f>
        <v/>
      </c>
      <c r="AL13" s="262" t="str">
        <f>IFERROR(IF(C13=BA13,VLOOKUP(C13,Dato_Pesc!E:G,2,FALSE)," ")," ")</f>
        <v xml:space="preserve"> </v>
      </c>
      <c r="AM13" s="240">
        <f>IFERROR(IF(C13=BA13,VLOOKUP(C13,Dato_Pesc!E:G,3,FALSE),0),0)</f>
        <v>0</v>
      </c>
      <c r="AN13" s="241" t="str">
        <f>IFERROR(IF(C13=BB13,VLOOKUP(C13,Dato_Pesc!H:J,2,FALSE)," ")," ")</f>
        <v xml:space="preserve"> </v>
      </c>
      <c r="AO13" s="263">
        <f>IFERROR(IF(C13=BB13,VLOOKUP(C13,Dato_Pesc!H:J,3,FALSE),0),0)</f>
        <v>0</v>
      </c>
      <c r="AP13" s="267" t="str">
        <f>IFERROR(IF(C13=BC13,VLOOKUP(C13,Dato_Pesc!P:R,2,FALSE)," ")," ")</f>
        <v xml:space="preserve"> </v>
      </c>
      <c r="AQ13" s="242">
        <f>IFERROR(IF(C13=BC13,VLOOKUP(C13,Dato_Pesc!P:R,3,FALSE),0),0)</f>
        <v>0</v>
      </c>
      <c r="AR13" s="243" t="str">
        <f>IFERROR(IF(C13=BD13,VLOOKUP(C13,Dato_Pesc!S:U,2,FALSE)," ")," ")</f>
        <v xml:space="preserve"> </v>
      </c>
      <c r="AS13" s="268">
        <f>IFERROR(IF(C13=BD13,VLOOKUP(C13,Dato_Pesc!S:U,3,FALSE),0),0)</f>
        <v>0</v>
      </c>
      <c r="AT13" s="274" t="str">
        <f>IFERROR(IF(C13=BE13,VLOOKUP(C13,Dato_Pesc!AA:AC,2,FALSE)," ")," ")</f>
        <v xml:space="preserve"> </v>
      </c>
      <c r="AU13" s="244">
        <f>IFERROR(IF(C13=BE13,VLOOKUP(C13,Dato_Pesc!AA:AC,3,FALSE),0),0)</f>
        <v>0</v>
      </c>
      <c r="AV13" s="245" t="str">
        <f>IFERROR(IF(C13=BF13,VLOOKUP(C13,Dato_Pesc!AD:AF,2,FALSE)," ")," ")</f>
        <v xml:space="preserve"> </v>
      </c>
      <c r="AW13" s="275">
        <f>IFERROR(IF(C13=BF13,VLOOKUP(C13,Dato_Pesc!AD:AF,3,FALSE),0),0)</f>
        <v>0</v>
      </c>
      <c r="AX13" s="270">
        <f ca="1">IFERROR(ROUND(((SUMIF('$ NOCHE_PESC'!$B$4:$C$10,AL13,'$ NOCHE_PESC'!$C$4:$C$10))*AM13)+((SUMIF('$ NOCHE_PESC'!$B$4:$C$10,AN13,'$ NOCHE_PESC'!$C$4:$C$10))*AO13)+((SUMIF('$ NOCHE_PESC'!$B$4:$C$10,AP13,'$ NOCHE_PESC'!$C$4:$C$10))*AQ13)+((SUMIF('$ NOCHE_PESC'!$B$4:$C$10,AR13,'$ NOCHE_PESC'!$C$4:$C$10))*AS13)+((SUMIF('$ NOCHE_PESC'!$B$4:$C$10,AT13,'$ NOCHE_PESC'!$C$4:$C$10))*AU13)+((SUMIF('$ NOCHE_PESC'!$B$4:$C$10,AV13,'$ NOCHE_PESC'!$C$4:$C$10))*AW13),2),"")</f>
        <v>0</v>
      </c>
      <c r="AY13" s="278">
        <f t="shared" si="9"/>
        <v>0</v>
      </c>
      <c r="BA13" s="15" t="str">
        <f>IFERROR(IF(BB13=C13,BB13,VLOOKUP(C13,Dato_Pesc!$A$5:$J$68,5,0)),"")</f>
        <v/>
      </c>
      <c r="BB13" s="15" t="str">
        <f>IFERROR(VLOOKUP(C13,Dato_Pesc!$A$5:$J$68,8),"")</f>
        <v/>
      </c>
      <c r="BC13" s="15" t="str">
        <f>IFERROR(IF(BD13=C13,BD13,VLOOKUP(C13,Dato_Pesc!$L$5:$U$68,5,0)),"")</f>
        <v/>
      </c>
      <c r="BD13" s="15" t="str">
        <f>IFERROR(VLOOKUP(C13,Dato_Pesc!$L$5:$U$68,8),"")</f>
        <v/>
      </c>
      <c r="BE13" s="15" t="str">
        <f>IFERROR(IF(BF13=C13,BF13,VLOOKUP(C13,Dato_Pesc!$W$5:$AF$68,5,0)),"")</f>
        <v/>
      </c>
      <c r="BF13" s="15" t="str">
        <f>IFERROR(VLOOKUP(C13,Dato_Pesc!$W$5:$AF$68,8),"")</f>
        <v/>
      </c>
    </row>
    <row r="14" spans="2:58" ht="15.75" x14ac:dyDescent="0.25">
      <c r="B14" s="15">
        <f t="shared" si="10"/>
        <v>4</v>
      </c>
      <c r="C14" s="5" t="str">
        <f>IFERROR(VLOOKUP('Reporte Asistencia Laboral'!D14,EMPLEADO!C:Q,15,0),"")</f>
        <v>VELEZ PALACIOS RICARDO JOSE</v>
      </c>
      <c r="D14" s="6" t="str">
        <f>IF(AND(ISTEXT(EMPLEADO!C8)),EMPLEADO!C8,"")</f>
        <v>070432834-3</v>
      </c>
      <c r="E14" s="5" t="str">
        <f>IFERROR(VLOOKUP(D14,EMPLEADO!C:E,2,FALSE),"")</f>
        <v>DIARIO</v>
      </c>
      <c r="F14" s="7">
        <f>IFERROR(ROUND(VLOOKUP('Reporte Asistencia Laboral'!D14,EMPLEADO!C:AE,3,FALSE)/30*AD14,2),"")</f>
        <v>0</v>
      </c>
      <c r="G14" s="150"/>
      <c r="H14" s="150"/>
      <c r="I14" s="150"/>
      <c r="J14" s="150"/>
      <c r="K14" s="237"/>
      <c r="L14" s="237"/>
      <c r="M14" s="150"/>
      <c r="N14" s="150"/>
      <c r="O14" s="150"/>
      <c r="P14" s="150"/>
      <c r="Q14" s="150"/>
      <c r="R14" s="237"/>
      <c r="S14" s="237"/>
      <c r="T14" s="150"/>
      <c r="U14" s="150"/>
      <c r="V14" s="237"/>
      <c r="W14" s="71" t="str">
        <f t="shared" ref="W14" si="14">IFERROR(IF($G$10="S",+G14,IF($G$10="D",+G14,0))+IF($H$10="S",+H14,IF($H$10="D",+H14,0))+IF($I$10="S",+I14,IF($I$10="D",+I14,0))+IF($J$10="S",+J14,IF($J$10="D",+J14,0))+IF($K$10="S",+K14,IF($K$10="D",+K14,0))+IF($L$10="S",+L14,IF($L$10="D",+L14,0))+IF($M$10="S",+M14,IF($M$10="D",+M14,0))+IF($N$10="S",+N14,IF($N$10="D",+N14,0))+IF($O$10="S",+O14,IF($O$10="D",+O14,0))+IF($P$10="S",+P14,IF($P$10="D",+P14,0))+IF($Q$10="S",+Q14,IF($Q$10="D",+Q14,0))+IF($R$10="S",+R14,IF($R$10="D",+R14,0))+IF($S$10="S",+S14,IF($S$10="D",+S14,0))+IF($T$10="S",+T14,IF($T$10="D",+T14,0))+IF($U$10="S",+U14,IF($U$10="D",+U14,0))+IF($V$10="S",+V14,IF($V$10="D",+V14,0)),"")</f>
        <v/>
      </c>
      <c r="X14" s="71">
        <f t="shared" ref="X14" si="15">IF($G$6="F",G14,0)+IF($H$6="F",+H14,0)+IF($I$6="F",+I14,0)+IF($J$6="F",+J14,0)+IF($K$6="F",+K14,0)+IF($L$6="F",+L14,0)+IF($M$6="F",+M14,0)+IF($N$6="F",+N14,0)+IF($O$6="F",+O14,0)+IF($P$6="F",+P14,0)+IF($Q$6="F",+Q14,0)+IF($R$6="F",+R14,0)+IF($S$6="F",+S14,0)+IF($T$6="F",+T14,0)+IF($U$6="F",+U14,0)+IF($V$6="F",+V14,0)</f>
        <v>0</v>
      </c>
      <c r="Y14" s="94" t="str">
        <f t="shared" ref="Y14" si="16">IFERROR(IF($G$2="F",0,IF(G14&gt;8,G14-8,0))+IF($H$2="F",0,IF(H14&gt;8,H14-8,0))+IF($I$2="F",0,IF(I14&gt;8,I14-8,0))+IF($J$2="F",0,IF(J14&gt;8,J14-8,0))+IF($K$2="F",0,IF(K14&gt;8,K14-8,0))+IF($L$2="F",0,IF(L14&gt;8,L14-8,0))+IF($M$2="F",0,IF(M14&gt;8,M14-8,0))+IF($N$2="F",0,IF(N14&gt;8,N14-8,0))+IF($O$2="F",0,IF(O14&gt;8,O14-8,0))+IF($P$2="F",0,IF(P14&gt;8,P14-8,0))+IF($Q$2="F",0,IF(Q14&gt;8,Q14-8,0))+IF($R$2="F",0,IF(R14&gt;8,R14-8,0))+IF($S$2="F",0,IF(S14&gt;8,S14-8,0))+IF($T$2="F",0,IF(T14&gt;8,T14-8,0))+IF($U$2="F",0,IF(U14&gt;8,U14-8,0))+IF($V$2="F",0,IF(V14&gt;8,V14-8,0)),"")</f>
        <v/>
      </c>
      <c r="Z14" s="106"/>
      <c r="AA14" s="143"/>
      <c r="AB14" s="280" t="str">
        <f>IFERROR(VLOOKUP(C14,EMPLEADO!B:AD,29,0),"")</f>
        <v>GP2</v>
      </c>
      <c r="AC14" s="8">
        <f t="shared" ref="AC14" si="17">+SUM(G14:V14)</f>
        <v>0</v>
      </c>
      <c r="AD14" s="71">
        <f t="shared" ref="AD14" si="18">IF(COUNT(G14:V14)&gt;15,COUNT(G14:V14)-1,COUNT(G14:U14))+AA14</f>
        <v>0</v>
      </c>
      <c r="AE14" s="8" t="str">
        <f t="shared" ref="AE14" si="19">IFERROR(IF(Z14="N",0,Y14),"")</f>
        <v/>
      </c>
      <c r="AF14" s="44" t="str">
        <f t="shared" ref="AF14" si="20">IFERROR(IF(Z14="N",W14+X14+Y14,W14+X14),"")</f>
        <v/>
      </c>
      <c r="AG14" s="254">
        <f>IFERROR(VLOOKUP(C14,'CONTROL H.E.'!C:EQ,144,0),"")</f>
        <v>0</v>
      </c>
      <c r="AH14" s="254">
        <f>IFERROR(VLOOKUP(C14,'CONTROL H.E.'!C:EQ,145,0),"")</f>
        <v>0</v>
      </c>
      <c r="AI14" s="251">
        <f>IFERROR(VLOOKUP(C14,'CONTROL H.E. Transf.'!C:BK,60,0),"")</f>
        <v>0</v>
      </c>
      <c r="AJ14" s="251">
        <f>IFERROR(VLOOKUP(C14,'CONTROL H.E. Transf.'!C:BK,61,0),"")</f>
        <v>0</v>
      </c>
      <c r="AK14" s="258" t="str">
        <f>IFERROR(ROUND((VLOOKUP(D14,EMPLEADO!C:F,3,FALSE)/240*1.5*(AE14+AG14+AI14)+(VLOOKUP(D14,EMPLEADO!C:F,3,FALSE)/240*2*(AF14+AH14+AJ14))),2),"")</f>
        <v/>
      </c>
      <c r="AL14" s="262" t="str">
        <f>IFERROR(IF(C14=BA14,VLOOKUP(C14,Dato_Pesc!E:G,2,FALSE)," ")," ")</f>
        <v xml:space="preserve"> </v>
      </c>
      <c r="AM14" s="240">
        <f>IFERROR(IF(C14=BA14,VLOOKUP(C14,Dato_Pesc!E:G,3,FALSE),0),0)</f>
        <v>0</v>
      </c>
      <c r="AN14" s="241" t="str">
        <f>IFERROR(IF(C14=BB14,VLOOKUP(C14,Dato_Pesc!H:J,2,FALSE)," ")," ")</f>
        <v xml:space="preserve"> </v>
      </c>
      <c r="AO14" s="263">
        <f>IFERROR(IF(C14=BB14,VLOOKUP(C14,Dato_Pesc!H:J,3,FALSE),0),0)</f>
        <v>0</v>
      </c>
      <c r="AP14" s="267" t="str">
        <f>IFERROR(IF(C14=BC14,VLOOKUP(C14,Dato_Pesc!P:R,2,FALSE)," ")," ")</f>
        <v xml:space="preserve"> </v>
      </c>
      <c r="AQ14" s="242">
        <f>IFERROR(IF(C14=BC14,VLOOKUP(C14,Dato_Pesc!P:R,3,FALSE),0),0)</f>
        <v>0</v>
      </c>
      <c r="AR14" s="243" t="str">
        <f>IFERROR(IF(C14=BD14,VLOOKUP(C14,Dato_Pesc!S:U,2,FALSE)," ")," ")</f>
        <v xml:space="preserve"> </v>
      </c>
      <c r="AS14" s="268">
        <f>IFERROR(IF(C14=BD14,VLOOKUP(C14,Dato_Pesc!S:U,3,FALSE),0),0)</f>
        <v>0</v>
      </c>
      <c r="AT14" s="274" t="str">
        <f>IFERROR(IF(C14=BE14,VLOOKUP(C14,Dato_Pesc!AA:AC,2,FALSE)," ")," ")</f>
        <v xml:space="preserve"> </v>
      </c>
      <c r="AU14" s="244">
        <f>IFERROR(IF(C14=BE14,VLOOKUP(C14,Dato_Pesc!AA:AC,3,FALSE),0),0)</f>
        <v>0</v>
      </c>
      <c r="AV14" s="245" t="str">
        <f>IFERROR(IF(C14=BF14,VLOOKUP(C14,Dato_Pesc!AD:AF,2,FALSE)," ")," ")</f>
        <v xml:space="preserve"> </v>
      </c>
      <c r="AW14" s="275">
        <f>IFERROR(IF(C14=BF14,VLOOKUP(C14,Dato_Pesc!AD:AF,3,FALSE),0),0)</f>
        <v>0</v>
      </c>
      <c r="AX14" s="270">
        <f ca="1">IFERROR(ROUND(((SUMIF('$ NOCHE_PESC'!$B$4:$C$10,AL14,'$ NOCHE_PESC'!$C$4:$C$10))*AM14)+((SUMIF('$ NOCHE_PESC'!$B$4:$C$10,AN14,'$ NOCHE_PESC'!$C$4:$C$10))*AO14)+((SUMIF('$ NOCHE_PESC'!$B$4:$C$10,AP14,'$ NOCHE_PESC'!$C$4:$C$10))*AQ14)+((SUMIF('$ NOCHE_PESC'!$B$4:$C$10,AR14,'$ NOCHE_PESC'!$C$4:$C$10))*AS14)+((SUMIF('$ NOCHE_PESC'!$B$4:$C$10,AT14,'$ NOCHE_PESC'!$C$4:$C$10))*AU14)+((SUMIF('$ NOCHE_PESC'!$B$4:$C$10,AV14,'$ NOCHE_PESC'!$C$4:$C$10))*AW14),2),"")</f>
        <v>0</v>
      </c>
      <c r="AY14" s="278">
        <f t="shared" si="9"/>
        <v>0</v>
      </c>
      <c r="BA14" s="15" t="str">
        <f>IFERROR(IF(BB14=C14,BB14,VLOOKUP(C14,Dato_Pesc!$A$5:$J$68,5,0)),"")</f>
        <v/>
      </c>
      <c r="BB14" s="15" t="str">
        <f>IFERROR(VLOOKUP(C14,Dato_Pesc!$A$5:$J$68,8),"")</f>
        <v/>
      </c>
      <c r="BC14" s="15" t="str">
        <f>IFERROR(IF(BD14=C14,BD14,VLOOKUP(C14,Dato_Pesc!$L$5:$U$68,5,0)),"")</f>
        <v/>
      </c>
      <c r="BD14" s="15" t="str">
        <f>IFERROR(VLOOKUP(C14,Dato_Pesc!$L$5:$U$68,8),"")</f>
        <v/>
      </c>
      <c r="BE14" s="15" t="str">
        <f>IFERROR(IF(BF14=C14,BF14,VLOOKUP(C14,Dato_Pesc!$W$5:$AF$68,5,0)),"")</f>
        <v/>
      </c>
      <c r="BF14" s="15" t="str">
        <f>IFERROR(VLOOKUP(C14,Dato_Pesc!$W$5:$AF$68,8),"")</f>
        <v/>
      </c>
    </row>
    <row r="15" spans="2:58" ht="15.75" x14ac:dyDescent="0.25">
      <c r="B15" s="15">
        <f t="shared" si="10"/>
        <v>5</v>
      </c>
      <c r="C15" s="5" t="str">
        <f>IFERROR(VLOOKUP('Reporte Asistencia Laboral'!D15,EMPLEADO!C:Q,15,0),"")</f>
        <v>FERNANDEZ VELEZ OSCAR FORTUNATO</v>
      </c>
      <c r="D15" s="6" t="str">
        <f>IF(AND(ISTEXT(EMPLEADO!C9)),EMPLEADO!C9,"")</f>
        <v>131244670-9</v>
      </c>
      <c r="E15" s="5" t="str">
        <f>IFERROR(VLOOKUP(D15,EMPLEADO!C:E,2,FALSE),"")</f>
        <v>DIARIO</v>
      </c>
      <c r="F15" s="7">
        <f>IFERROR(ROUND(VLOOKUP('Reporte Asistencia Laboral'!D15,EMPLEADO!C:AE,3,FALSE)/30*AD15,2),"")</f>
        <v>0</v>
      </c>
      <c r="G15" s="150"/>
      <c r="H15" s="150"/>
      <c r="I15" s="150"/>
      <c r="J15" s="150"/>
      <c r="K15" s="237"/>
      <c r="L15" s="237"/>
      <c r="M15" s="150"/>
      <c r="N15" s="150"/>
      <c r="O15" s="150"/>
      <c r="P15" s="150"/>
      <c r="Q15" s="150"/>
      <c r="R15" s="237"/>
      <c r="S15" s="237"/>
      <c r="T15" s="150"/>
      <c r="U15" s="150"/>
      <c r="V15" s="237"/>
      <c r="W15" s="71" t="str">
        <f t="shared" ref="W15" si="21">IFERROR(IF($G$10="S",+G15,IF($G$10="D",+G15,0))+IF($H$10="S",+H15,IF($H$10="D",+H15,0))+IF($I$10="S",+I15,IF($I$10="D",+I15,0))+IF($J$10="S",+J15,IF($J$10="D",+J15,0))+IF($K$10="S",+K15,IF($K$10="D",+K15,0))+IF($L$10="S",+L15,IF($L$10="D",+L15,0))+IF($M$10="S",+M15,IF($M$10="D",+M15,0))+IF($N$10="S",+N15,IF($N$10="D",+N15,0))+IF($O$10="S",+O15,IF($O$10="D",+O15,0))+IF($P$10="S",+P15,IF($P$10="D",+P15,0))+IF($Q$10="S",+Q15,IF($Q$10="D",+Q15,0))+IF($R$10="S",+R15,IF($R$10="D",+R15,0))+IF($S$10="S",+S15,IF($S$10="D",+S15,0))+IF($T$10="S",+T15,IF($T$10="D",+T15,0))+IF($U$10="S",+U15,IF($U$10="D",+U15,0))+IF($V$10="S",+V15,IF($V$10="D",+V15,0)),"")</f>
        <v/>
      </c>
      <c r="X15" s="71">
        <f t="shared" ref="X15" si="22">IF($G$6="F",G15,0)+IF($H$6="F",+H15,0)+IF($I$6="F",+I15,0)+IF($J$6="F",+J15,0)+IF($K$6="F",+K15,0)+IF($L$6="F",+L15,0)+IF($M$6="F",+M15,0)+IF($N$6="F",+N15,0)+IF($O$6="F",+O15,0)+IF($P$6="F",+P15,0)+IF($Q$6="F",+Q15,0)+IF($R$6="F",+R15,0)+IF($S$6="F",+S15,0)+IF($T$6="F",+T15,0)+IF($U$6="F",+U15,0)+IF($V$6="F",+V15,0)</f>
        <v>0</v>
      </c>
      <c r="Y15" s="94" t="str">
        <f t="shared" ref="Y15" si="23">IFERROR(IF($G$2="F",0,IF(G15&gt;8,G15-8,0))+IF($H$2="F",0,IF(H15&gt;8,H15-8,0))+IF($I$2="F",0,IF(I15&gt;8,I15-8,0))+IF($J$2="F",0,IF(J15&gt;8,J15-8,0))+IF($K$2="F",0,IF(K15&gt;8,K15-8,0))+IF($L$2="F",0,IF(L15&gt;8,L15-8,0))+IF($M$2="F",0,IF(M15&gt;8,M15-8,0))+IF($N$2="F",0,IF(N15&gt;8,N15-8,0))+IF($O$2="F",0,IF(O15&gt;8,O15-8,0))+IF($P$2="F",0,IF(P15&gt;8,P15-8,0))+IF($Q$2="F",0,IF(Q15&gt;8,Q15-8,0))+IF($R$2="F",0,IF(R15&gt;8,R15-8,0))+IF($S$2="F",0,IF(S15&gt;8,S15-8,0))+IF($T$2="F",0,IF(T15&gt;8,T15-8,0))+IF($U$2="F",0,IF(U15&gt;8,U15-8,0))+IF($V$2="F",0,IF(V15&gt;8,V15-8,0)),"")</f>
        <v/>
      </c>
      <c r="Z15" s="106"/>
      <c r="AA15" s="143"/>
      <c r="AB15" s="280" t="str">
        <f>IFERROR(VLOOKUP(C15,EMPLEADO!B:AD,29,0),"")</f>
        <v>GP1</v>
      </c>
      <c r="AC15" s="8">
        <f t="shared" ref="AC15" si="24">+SUM(G15:V15)</f>
        <v>0</v>
      </c>
      <c r="AD15" s="71">
        <f t="shared" ref="AD15" si="25">IF(COUNT(G15:V15)&gt;15,COUNT(G15:V15)-1,COUNT(G15:U15))+AA15</f>
        <v>0</v>
      </c>
      <c r="AE15" s="8" t="str">
        <f t="shared" ref="AE15" si="26">IFERROR(IF(Z15="N",0,Y15),"")</f>
        <v/>
      </c>
      <c r="AF15" s="44" t="str">
        <f t="shared" ref="AF15" si="27">IFERROR(IF(Z15="N",W15+X15+Y15,W15+X15),"")</f>
        <v/>
      </c>
      <c r="AG15" s="254">
        <f>IFERROR(VLOOKUP(C15,'CONTROL H.E.'!C:EQ,144,0),"")</f>
        <v>0</v>
      </c>
      <c r="AH15" s="254">
        <f>IFERROR(VLOOKUP(C15,'CONTROL H.E.'!C:EQ,145,0),"")</f>
        <v>0</v>
      </c>
      <c r="AI15" s="251">
        <f>IFERROR(VLOOKUP(C15,'CONTROL H.E. Transf.'!C:BK,60,0),"")</f>
        <v>0</v>
      </c>
      <c r="AJ15" s="251">
        <f>IFERROR(VLOOKUP(C15,'CONTROL H.E. Transf.'!C:BK,61,0),"")</f>
        <v>0</v>
      </c>
      <c r="AK15" s="258" t="str">
        <f>IFERROR(ROUND((VLOOKUP(D15,EMPLEADO!C:F,3,FALSE)/240*1.5*(AE15+AG15+AI15)+(VLOOKUP(D15,EMPLEADO!C:F,3,FALSE)/240*2*(AF15+AH15+AJ15))),2),"")</f>
        <v/>
      </c>
      <c r="AL15" s="262" t="str">
        <f>IFERROR(IF(C15=BA15,VLOOKUP(C15,Dato_Pesc!E:G,2,FALSE)," ")," ")</f>
        <v xml:space="preserve"> </v>
      </c>
      <c r="AM15" s="240">
        <f>IFERROR(IF(C15=BA15,VLOOKUP(C15,Dato_Pesc!E:G,3,FALSE),0),0)</f>
        <v>0</v>
      </c>
      <c r="AN15" s="241" t="str">
        <f>IFERROR(IF(C15=BB15,VLOOKUP(C15,Dato_Pesc!H:J,2,FALSE)," ")," ")</f>
        <v xml:space="preserve"> </v>
      </c>
      <c r="AO15" s="263">
        <f>IFERROR(IF(C15=BB15,VLOOKUP(C15,Dato_Pesc!H:J,3,FALSE),0),0)</f>
        <v>0</v>
      </c>
      <c r="AP15" s="267" t="str">
        <f>IFERROR(IF(C15=BC15,VLOOKUP(C15,Dato_Pesc!P:R,2,FALSE)," ")," ")</f>
        <v xml:space="preserve"> </v>
      </c>
      <c r="AQ15" s="242">
        <f>IFERROR(IF(C15=BC15,VLOOKUP(C15,Dato_Pesc!P:R,3,FALSE),0),0)</f>
        <v>0</v>
      </c>
      <c r="AR15" s="243" t="str">
        <f>IFERROR(IF(C15=BD15,VLOOKUP(C15,Dato_Pesc!S:U,2,FALSE)," ")," ")</f>
        <v xml:space="preserve"> </v>
      </c>
      <c r="AS15" s="268">
        <f>IFERROR(IF(C15=BD15,VLOOKUP(C15,Dato_Pesc!S:U,3,FALSE),0),0)</f>
        <v>0</v>
      </c>
      <c r="AT15" s="274" t="str">
        <f>IFERROR(IF(C15=BE15,VLOOKUP(C15,Dato_Pesc!AA:AC,2,FALSE)," ")," ")</f>
        <v xml:space="preserve"> </v>
      </c>
      <c r="AU15" s="244">
        <f>IFERROR(IF(C15=BE15,VLOOKUP(C15,Dato_Pesc!AA:AC,3,FALSE),0),0)</f>
        <v>0</v>
      </c>
      <c r="AV15" s="245" t="str">
        <f>IFERROR(IF(C15=BF15,VLOOKUP(C15,Dato_Pesc!AD:AF,2,FALSE)," ")," ")</f>
        <v xml:space="preserve"> </v>
      </c>
      <c r="AW15" s="275">
        <f>IFERROR(IF(C15=BF15,VLOOKUP(C15,Dato_Pesc!AD:AF,3,FALSE),0),0)</f>
        <v>0</v>
      </c>
      <c r="AX15" s="270">
        <f ca="1">IFERROR(ROUND(((SUMIF('$ NOCHE_PESC'!$B$4:$C$10,AL15,'$ NOCHE_PESC'!$C$4:$C$10))*AM15)+((SUMIF('$ NOCHE_PESC'!$B$4:$C$10,AN15,'$ NOCHE_PESC'!$C$4:$C$10))*AO15)+((SUMIF('$ NOCHE_PESC'!$B$4:$C$10,AP15,'$ NOCHE_PESC'!$C$4:$C$10))*AQ15)+((SUMIF('$ NOCHE_PESC'!$B$4:$C$10,AR15,'$ NOCHE_PESC'!$C$4:$C$10))*AS15)+((SUMIF('$ NOCHE_PESC'!$B$4:$C$10,AT15,'$ NOCHE_PESC'!$C$4:$C$10))*AU15)+((SUMIF('$ NOCHE_PESC'!$B$4:$C$10,AV15,'$ NOCHE_PESC'!$C$4:$C$10))*AW15),2),"")</f>
        <v>0</v>
      </c>
      <c r="AY15" s="278">
        <f t="shared" ref="AY15" si="28">SUM(AM15+AO15+AQ15+AS15+AU15+AW15)</f>
        <v>0</v>
      </c>
      <c r="BA15" s="15" t="str">
        <f>IFERROR(IF(BB15=C15,BB15,VLOOKUP(C15,Dato_Pesc!$A$5:$J$68,5,0)),"")</f>
        <v/>
      </c>
      <c r="BB15" s="15" t="str">
        <f>IFERROR(VLOOKUP(C15,Dato_Pesc!$A$5:$J$68,8),"")</f>
        <v/>
      </c>
      <c r="BC15" s="15" t="str">
        <f>IFERROR(IF(BD15=C15,BD15,VLOOKUP(C15,Dato_Pesc!$L$5:$U$68,5,0)),"")</f>
        <v/>
      </c>
      <c r="BD15" s="15" t="str">
        <f>IFERROR(VLOOKUP(C15,Dato_Pesc!$L$5:$U$68,8),"")</f>
        <v/>
      </c>
      <c r="BE15" s="15" t="str">
        <f>IFERROR(IF(BF15=C15,BF15,VLOOKUP(C15,Dato_Pesc!$W$5:$AF$68,5,0)),"")</f>
        <v/>
      </c>
      <c r="BF15" s="15" t="str">
        <f>IFERROR(VLOOKUP(C15,Dato_Pesc!$W$5:$AF$68,8),"")</f>
        <v/>
      </c>
    </row>
    <row r="16" spans="2:58" ht="15.75" x14ac:dyDescent="0.25">
      <c r="B16" s="15">
        <f t="shared" si="10"/>
        <v>6</v>
      </c>
      <c r="C16" s="5" t="str">
        <f>IFERROR(VLOOKUP('Reporte Asistencia Laboral'!D16,EMPLEADO!C:Q,15,0),"")</f>
        <v>CAMACHO CAMACHO CHRISTIAN EDUARDO</v>
      </c>
      <c r="D16" s="6" t="str">
        <f>IF(AND(ISTEXT(EMPLEADO!C10)),EMPLEADO!C10,"")</f>
        <v>115087646-2</v>
      </c>
      <c r="E16" s="5" t="str">
        <f>IFERROR(VLOOKUP(D16,EMPLEADO!C:E,2,FALSE),"")</f>
        <v>DIARIO</v>
      </c>
      <c r="F16" s="7">
        <f>IFERROR(ROUND(VLOOKUP('Reporte Asistencia Laboral'!D16,EMPLEADO!C:AE,3,FALSE)/30*AD16,2),"")</f>
        <v>0</v>
      </c>
      <c r="G16" s="150"/>
      <c r="H16" s="150"/>
      <c r="I16" s="150"/>
      <c r="J16" s="150"/>
      <c r="K16" s="237"/>
      <c r="L16" s="237"/>
      <c r="M16" s="150"/>
      <c r="N16" s="150"/>
      <c r="O16" s="150"/>
      <c r="P16" s="150"/>
      <c r="Q16" s="150"/>
      <c r="R16" s="237"/>
      <c r="S16" s="237"/>
      <c r="T16" s="150"/>
      <c r="U16" s="150"/>
      <c r="V16" s="237"/>
      <c r="W16" s="71" t="str">
        <f t="shared" ref="W16:W18" si="29">IFERROR(IF($G$10="S",+G16,IF($G$10="D",+G16,0))+IF($H$10="S",+H16,IF($H$10="D",+H16,0))+IF($I$10="S",+I16,IF($I$10="D",+I16,0))+IF($J$10="S",+J16,IF($J$10="D",+J16,0))+IF($K$10="S",+K16,IF($K$10="D",+K16,0))+IF($L$10="S",+L16,IF($L$10="D",+L16,0))+IF($M$10="S",+M16,IF($M$10="D",+M16,0))+IF($N$10="S",+N16,IF($N$10="D",+N16,0))+IF($O$10="S",+O16,IF($O$10="D",+O16,0))+IF($P$10="S",+P16,IF($P$10="D",+P16,0))+IF($Q$10="S",+Q16,IF($Q$10="D",+Q16,0))+IF($R$10="S",+R16,IF($R$10="D",+R16,0))+IF($S$10="S",+S16,IF($S$10="D",+S16,0))+IF($T$10="S",+T16,IF($T$10="D",+T16,0))+IF($U$10="S",+U16,IF($U$10="D",+U16,0))+IF($V$10="S",+V16,IF($V$10="D",+V16,0)),"")</f>
        <v/>
      </c>
      <c r="X16" s="71">
        <f t="shared" ref="X16:X18" si="30">IF($G$6="F",G16,0)+IF($H$6="F",+H16,0)+IF($I$6="F",+I16,0)+IF($J$6="F",+J16,0)+IF($K$6="F",+K16,0)+IF($L$6="F",+L16,0)+IF($M$6="F",+M16,0)+IF($N$6="F",+N16,0)+IF($O$6="F",+O16,0)+IF($P$6="F",+P16,0)+IF($Q$6="F",+Q16,0)+IF($R$6="F",+R16,0)+IF($S$6="F",+S16,0)+IF($T$6="F",+T16,0)+IF($U$6="F",+U16,0)+IF($V$6="F",+V16,0)</f>
        <v>0</v>
      </c>
      <c r="Y16" s="94" t="str">
        <f t="shared" ref="Y16:Y18" si="31">IFERROR(IF($G$2="F",0,IF(G16&gt;8,G16-8,0))+IF($H$2="F",0,IF(H16&gt;8,H16-8,0))+IF($I$2="F",0,IF(I16&gt;8,I16-8,0))+IF($J$2="F",0,IF(J16&gt;8,J16-8,0))+IF($K$2="F",0,IF(K16&gt;8,K16-8,0))+IF($L$2="F",0,IF(L16&gt;8,L16-8,0))+IF($M$2="F",0,IF(M16&gt;8,M16-8,0))+IF($N$2="F",0,IF(N16&gt;8,N16-8,0))+IF($O$2="F",0,IF(O16&gt;8,O16-8,0))+IF($P$2="F",0,IF(P16&gt;8,P16-8,0))+IF($Q$2="F",0,IF(Q16&gt;8,Q16-8,0))+IF($R$2="F",0,IF(R16&gt;8,R16-8,0))+IF($S$2="F",0,IF(S16&gt;8,S16-8,0))+IF($T$2="F",0,IF(T16&gt;8,T16-8,0))+IF($U$2="F",0,IF(U16&gt;8,U16-8,0))+IF($V$2="F",0,IF(V16&gt;8,V16-8,0)),"")</f>
        <v/>
      </c>
      <c r="Z16" s="106"/>
      <c r="AA16" s="143"/>
      <c r="AB16" s="280" t="str">
        <f>IFERROR(VLOOKUP(C16,EMPLEADO!B:AD,29,0),"")</f>
        <v>GP2</v>
      </c>
      <c r="AC16" s="8">
        <f t="shared" ref="AC16:AC18" si="32">+SUM(G16:V16)</f>
        <v>0</v>
      </c>
      <c r="AD16" s="71">
        <f t="shared" ref="AD16:AD18" si="33">IF(COUNT(G16:V16)&gt;15,COUNT(G16:V16)-1,COUNT(G16:U16))+AA16</f>
        <v>0</v>
      </c>
      <c r="AE16" s="8" t="str">
        <f t="shared" ref="AE16:AE18" si="34">IFERROR(IF(Z16="N",0,Y16),"")</f>
        <v/>
      </c>
      <c r="AF16" s="44" t="str">
        <f t="shared" ref="AF16:AF18" si="35">IFERROR(IF(Z16="N",W16+X16+Y16,W16+X16),"")</f>
        <v/>
      </c>
      <c r="AG16" s="254">
        <f>IFERROR(VLOOKUP(C16,'CONTROL H.E.'!C:EQ,144,0),"")</f>
        <v>0</v>
      </c>
      <c r="AH16" s="254">
        <f>IFERROR(VLOOKUP(C16,'CONTROL H.E.'!C:EQ,145,0),"")</f>
        <v>0</v>
      </c>
      <c r="AI16" s="251">
        <f>IFERROR(VLOOKUP(C16,'CONTROL H.E. Transf.'!C:BK,60,0),"")</f>
        <v>0</v>
      </c>
      <c r="AJ16" s="251">
        <f>IFERROR(VLOOKUP(C16,'CONTROL H.E. Transf.'!C:BK,61,0),"")</f>
        <v>0</v>
      </c>
      <c r="AK16" s="258" t="str">
        <f>IFERROR(ROUND((VLOOKUP(D16,EMPLEADO!C:F,3,FALSE)/240*1.5*(AE16+AG16+AI16)+(VLOOKUP(D16,EMPLEADO!C:F,3,FALSE)/240*2*(AF16+AH16+AJ16))),2),"")</f>
        <v/>
      </c>
      <c r="AL16" s="262" t="str">
        <f>IFERROR(IF(C16=BA16,VLOOKUP(C16,Dato_Pesc!E:G,2,FALSE)," ")," ")</f>
        <v xml:space="preserve"> </v>
      </c>
      <c r="AM16" s="240">
        <f>IFERROR(IF(C16=BA16,VLOOKUP(C16,Dato_Pesc!E:G,3,FALSE),0),0)</f>
        <v>0</v>
      </c>
      <c r="AN16" s="241" t="str">
        <f>IFERROR(IF(C16=BB16,VLOOKUP(C16,Dato_Pesc!H:J,2,FALSE)," ")," ")</f>
        <v xml:space="preserve"> </v>
      </c>
      <c r="AO16" s="263">
        <f>IFERROR(IF(C16=BB16,VLOOKUP(C16,Dato_Pesc!H:J,3,FALSE),0),0)</f>
        <v>0</v>
      </c>
      <c r="AP16" s="267" t="str">
        <f>IFERROR(IF(C16=BC16,VLOOKUP(C16,Dato_Pesc!P:R,2,FALSE)," ")," ")</f>
        <v xml:space="preserve"> </v>
      </c>
      <c r="AQ16" s="242">
        <f>IFERROR(IF(C16=BC16,VLOOKUP(C16,Dato_Pesc!P:R,3,FALSE),0),0)</f>
        <v>0</v>
      </c>
      <c r="AR16" s="243" t="str">
        <f>IFERROR(IF(C16=BD16,VLOOKUP(C16,Dato_Pesc!S:U,2,FALSE)," ")," ")</f>
        <v xml:space="preserve"> </v>
      </c>
      <c r="AS16" s="268">
        <f>IFERROR(IF(C16=BD16,VLOOKUP(C16,Dato_Pesc!S:U,3,FALSE),0),0)</f>
        <v>0</v>
      </c>
      <c r="AT16" s="274" t="str">
        <f>IFERROR(IF(C16=BE16,VLOOKUP(C16,Dato_Pesc!AA:AC,2,FALSE)," ")," ")</f>
        <v xml:space="preserve"> </v>
      </c>
      <c r="AU16" s="244">
        <f>IFERROR(IF(C16=BE16,VLOOKUP(C16,Dato_Pesc!AA:AC,3,FALSE),0),0)</f>
        <v>0</v>
      </c>
      <c r="AV16" s="245" t="str">
        <f>IFERROR(IF(C16=BF16,VLOOKUP(C16,Dato_Pesc!AD:AF,2,FALSE)," ")," ")</f>
        <v xml:space="preserve"> </v>
      </c>
      <c r="AW16" s="303">
        <f>IFERROR(IF(C16=BF16,VLOOKUP(C16,Dato_Pesc!AD:AF,3,FALSE),0),0)</f>
        <v>0</v>
      </c>
      <c r="AX16" s="270">
        <f ca="1">IFERROR(ROUND(((SUMIF('$ NOCHE_PESC'!$B$4:$C$10,AL16,'$ NOCHE_PESC'!$C$4:$C$10))*AM16)+((SUMIF('$ NOCHE_PESC'!$B$4:$C$10,AN16,'$ NOCHE_PESC'!$C$4:$C$10))*AO16)+((SUMIF('$ NOCHE_PESC'!$B$4:$C$10,AP16,'$ NOCHE_PESC'!$C$4:$C$10))*AQ16)+((SUMIF('$ NOCHE_PESC'!$B$4:$C$10,AR16,'$ NOCHE_PESC'!$C$4:$C$10))*AS16)+((SUMIF('$ NOCHE_PESC'!$B$4:$C$10,AT16,'$ NOCHE_PESC'!$C$4:$C$10))*AU16)+((SUMIF('$ NOCHE_PESC'!$B$4:$C$10,AV16,'$ NOCHE_PESC'!$C$4:$C$10))*AW16),2),"")</f>
        <v>0</v>
      </c>
      <c r="AY16" s="278">
        <f t="shared" ref="AY16:AY18" si="36">SUM(AM16+AO16+AQ16+AS16+AU16+AW16)</f>
        <v>0</v>
      </c>
      <c r="BA16" s="15" t="str">
        <f>IFERROR(IF(BB16=C16,BB16,VLOOKUP(C16,Dato_Pesc!$A$5:$J$68,5,0)),"")</f>
        <v/>
      </c>
      <c r="BB16" s="15" t="str">
        <f>IFERROR(VLOOKUP(C16,Dato_Pesc!$A$5:$J$68,8),"")</f>
        <v/>
      </c>
      <c r="BC16" s="15" t="str">
        <f>IFERROR(IF(BD16=C16,BD16,VLOOKUP(C16,Dato_Pesc!$L$5:$U$68,5,0)),"")</f>
        <v/>
      </c>
      <c r="BD16" s="15" t="str">
        <f>IFERROR(VLOOKUP(C16,Dato_Pesc!$L$5:$U$68,8),"")</f>
        <v/>
      </c>
      <c r="BE16" s="15" t="str">
        <f>IFERROR(IF(BF16=C16,BF16,VLOOKUP(C16,Dato_Pesc!$W$5:$AF$68,5,0)),"")</f>
        <v/>
      </c>
      <c r="BF16" s="15" t="str">
        <f>IFERROR(VLOOKUP(C16,Dato_Pesc!$W$5:$AF$68,8),"")</f>
        <v/>
      </c>
    </row>
    <row r="17" spans="2:58" ht="15.75" x14ac:dyDescent="0.25">
      <c r="B17" s="15">
        <f t="shared" si="10"/>
        <v>7</v>
      </c>
      <c r="C17" s="5" t="str">
        <f>IFERROR(VLOOKUP('Reporte Asistencia Laboral'!D17,EMPLEADO!C:Q,15,0),"")</f>
        <v>HERRERA ORDOÑEZ ELVIS ANTONIO</v>
      </c>
      <c r="D17" s="6" t="str">
        <f>IF(AND(ISTEXT(EMPLEADO!C11)),EMPLEADO!C11,"")</f>
        <v>110579002-4</v>
      </c>
      <c r="E17" s="5" t="str">
        <f>IFERROR(VLOOKUP(D17,EMPLEADO!C:E,2,FALSE),"")</f>
        <v>DIARIO</v>
      </c>
      <c r="F17" s="7">
        <f>IFERROR(ROUND(VLOOKUP('Reporte Asistencia Laboral'!D17,EMPLEADO!C:AE,3,FALSE)/30*AD17,2),"")</f>
        <v>0</v>
      </c>
      <c r="G17" s="150"/>
      <c r="H17" s="150"/>
      <c r="I17" s="150"/>
      <c r="J17" s="150"/>
      <c r="K17" s="237"/>
      <c r="L17" s="237"/>
      <c r="M17" s="150"/>
      <c r="N17" s="150"/>
      <c r="O17" s="150"/>
      <c r="P17" s="150"/>
      <c r="Q17" s="150"/>
      <c r="R17" s="237"/>
      <c r="S17" s="237"/>
      <c r="T17" s="150"/>
      <c r="U17" s="150"/>
      <c r="V17" s="237"/>
      <c r="W17" s="71" t="str">
        <f t="shared" si="29"/>
        <v/>
      </c>
      <c r="X17" s="71">
        <f t="shared" si="30"/>
        <v>0</v>
      </c>
      <c r="Y17" s="94" t="str">
        <f t="shared" si="31"/>
        <v/>
      </c>
      <c r="Z17" s="106"/>
      <c r="AA17" s="143"/>
      <c r="AB17" s="280" t="str">
        <f>IFERROR(VLOOKUP(C17,EMPLEADO!B:AD,29,0),"")</f>
        <v>GP2</v>
      </c>
      <c r="AC17" s="8">
        <f t="shared" si="32"/>
        <v>0</v>
      </c>
      <c r="AD17" s="71">
        <f t="shared" si="33"/>
        <v>0</v>
      </c>
      <c r="AE17" s="8" t="str">
        <f t="shared" si="34"/>
        <v/>
      </c>
      <c r="AF17" s="44" t="str">
        <f t="shared" si="35"/>
        <v/>
      </c>
      <c r="AG17" s="254">
        <f>IFERROR(VLOOKUP(C17,'CONTROL H.E.'!C:EQ,144,0),"")</f>
        <v>0</v>
      </c>
      <c r="AH17" s="254">
        <f>IFERROR(VLOOKUP(C17,'CONTROL H.E.'!C:EQ,145,0),"")</f>
        <v>0</v>
      </c>
      <c r="AI17" s="251">
        <f>IFERROR(VLOOKUP(C17,'CONTROL H.E. Transf.'!C:BK,60,0),"")</f>
        <v>0</v>
      </c>
      <c r="AJ17" s="251">
        <f>IFERROR(VLOOKUP(C17,'CONTROL H.E. Transf.'!C:BK,61,0),"")</f>
        <v>0</v>
      </c>
      <c r="AK17" s="258" t="str">
        <f>IFERROR(ROUND((VLOOKUP(D17,EMPLEADO!C:F,3,FALSE)/240*1.5*(AE17+AG17+AI17)+(VLOOKUP(D17,EMPLEADO!C:F,3,FALSE)/240*2*(AF17+AH17+AJ17))),2),"")</f>
        <v/>
      </c>
      <c r="AL17" s="262" t="str">
        <f>IFERROR(IF(C17=BA17,VLOOKUP(C17,Dato_Pesc!E:G,2,FALSE)," ")," ")</f>
        <v xml:space="preserve"> </v>
      </c>
      <c r="AM17" s="240">
        <f>IFERROR(IF(C17=BA17,VLOOKUP(C17,Dato_Pesc!E:G,3,FALSE),0),0)</f>
        <v>0</v>
      </c>
      <c r="AN17" s="241" t="str">
        <f>IFERROR(IF(C17=BB17,VLOOKUP(C17,Dato_Pesc!H:J,2,FALSE)," ")," ")</f>
        <v xml:space="preserve"> </v>
      </c>
      <c r="AO17" s="263">
        <f>IFERROR(IF(C17=BB17,VLOOKUP(C17,Dato_Pesc!H:J,3,FALSE),0),0)</f>
        <v>0</v>
      </c>
      <c r="AP17" s="267" t="str">
        <f>IFERROR(IF(C17=BC17,VLOOKUP(C17,Dato_Pesc!P:R,2,FALSE)," ")," ")</f>
        <v xml:space="preserve"> </v>
      </c>
      <c r="AQ17" s="242">
        <f>IFERROR(IF(C17=BC17,VLOOKUP(C17,Dato_Pesc!P:R,3,FALSE),0),0)</f>
        <v>0</v>
      </c>
      <c r="AR17" s="243" t="str">
        <f>IFERROR(IF(C17=BD17,VLOOKUP(C17,Dato_Pesc!S:U,2,FALSE)," ")," ")</f>
        <v xml:space="preserve"> </v>
      </c>
      <c r="AS17" s="268">
        <f>IFERROR(IF(C17=BD17,VLOOKUP(C17,Dato_Pesc!S:U,3,FALSE),0),0)</f>
        <v>0</v>
      </c>
      <c r="AT17" s="274" t="str">
        <f>IFERROR(IF(C17=BE17,VLOOKUP(C17,Dato_Pesc!AA:AC,2,FALSE)," ")," ")</f>
        <v xml:space="preserve"> </v>
      </c>
      <c r="AU17" s="244">
        <f>IFERROR(IF(C17=BE17,VLOOKUP(C17,Dato_Pesc!AA:AC,3,FALSE),0),0)</f>
        <v>0</v>
      </c>
      <c r="AV17" s="245" t="str">
        <f>IFERROR(IF(C17=BF17,VLOOKUP(C17,Dato_Pesc!AD:AF,2,FALSE)," ")," ")</f>
        <v xml:space="preserve"> </v>
      </c>
      <c r="AW17" s="303">
        <f>IFERROR(IF(C17=BF17,VLOOKUP(C17,Dato_Pesc!AD:AF,3,FALSE),0),0)</f>
        <v>0</v>
      </c>
      <c r="AX17" s="270">
        <f ca="1">IFERROR(ROUND(((SUMIF('$ NOCHE_PESC'!$B$4:$C$10,AL17,'$ NOCHE_PESC'!$C$4:$C$10))*AM17)+((SUMIF('$ NOCHE_PESC'!$B$4:$C$10,AN17,'$ NOCHE_PESC'!$C$4:$C$10))*AO17)+((SUMIF('$ NOCHE_PESC'!$B$4:$C$10,AP17,'$ NOCHE_PESC'!$C$4:$C$10))*AQ17)+((SUMIF('$ NOCHE_PESC'!$B$4:$C$10,AR17,'$ NOCHE_PESC'!$C$4:$C$10))*AS17)+((SUMIF('$ NOCHE_PESC'!$B$4:$C$10,AT17,'$ NOCHE_PESC'!$C$4:$C$10))*AU17)+((SUMIF('$ NOCHE_PESC'!$B$4:$C$10,AV17,'$ NOCHE_PESC'!$C$4:$C$10))*AW17),2),"")</f>
        <v>0</v>
      </c>
      <c r="AY17" s="278">
        <f t="shared" si="36"/>
        <v>0</v>
      </c>
      <c r="BA17" s="15" t="str">
        <f>IFERROR(IF(BB17=C17,BB17,VLOOKUP(C17,Dato_Pesc!$A$5:$J$68,5,0)),"")</f>
        <v/>
      </c>
      <c r="BB17" s="15" t="str">
        <f>IFERROR(VLOOKUP(C17,Dato_Pesc!$A$5:$J$68,8),"")</f>
        <v/>
      </c>
      <c r="BC17" s="15" t="str">
        <f>IFERROR(IF(BD17=C17,BD17,VLOOKUP(C17,Dato_Pesc!$L$5:$U$68,5,0)),"")</f>
        <v/>
      </c>
      <c r="BD17" s="15" t="str">
        <f>IFERROR(VLOOKUP(C17,Dato_Pesc!$L$5:$U$68,8),"")</f>
        <v/>
      </c>
      <c r="BE17" s="15" t="str">
        <f>IFERROR(IF(BF17=C17,BF17,VLOOKUP(C17,Dato_Pesc!$W$5:$AF$68,5,0)),"")</f>
        <v/>
      </c>
      <c r="BF17" s="15" t="str">
        <f>IFERROR(VLOOKUP(C17,Dato_Pesc!$W$5:$AF$68,8),"")</f>
        <v/>
      </c>
    </row>
    <row r="18" spans="2:58" ht="15.75" x14ac:dyDescent="0.25">
      <c r="B18" s="15">
        <f t="shared" si="10"/>
        <v>8</v>
      </c>
      <c r="C18" s="5" t="str">
        <f>IFERROR(VLOOKUP('Reporte Asistencia Laboral'!D18,EMPLEADO!C:Q,15,0),"")</f>
        <v>AREVALO SANCHEZ MAURICIO RAFAEL</v>
      </c>
      <c r="D18" s="6" t="str">
        <f>IF(AND(ISTEXT(EMPLEADO!C12)),EMPLEADO!C12,"")</f>
        <v>110606565-7</v>
      </c>
      <c r="E18" s="5" t="str">
        <f>IFERROR(VLOOKUP(D18,EMPLEADO!C:E,2,FALSE),"")</f>
        <v>DIARIO</v>
      </c>
      <c r="F18" s="7">
        <f>IFERROR(ROUND(VLOOKUP('Reporte Asistencia Laboral'!D18,EMPLEADO!C:AE,3,FALSE)/30*AD18,2),"")</f>
        <v>0</v>
      </c>
      <c r="G18" s="150"/>
      <c r="H18" s="150"/>
      <c r="I18" s="150"/>
      <c r="J18" s="150"/>
      <c r="K18" s="237"/>
      <c r="L18" s="237"/>
      <c r="M18" s="150"/>
      <c r="N18" s="150"/>
      <c r="O18" s="150"/>
      <c r="P18" s="150"/>
      <c r="Q18" s="150"/>
      <c r="R18" s="237"/>
      <c r="S18" s="237"/>
      <c r="T18" s="150"/>
      <c r="U18" s="150"/>
      <c r="V18" s="237"/>
      <c r="W18" s="71" t="str">
        <f t="shared" si="29"/>
        <v/>
      </c>
      <c r="X18" s="71">
        <f t="shared" si="30"/>
        <v>0</v>
      </c>
      <c r="Y18" s="94" t="str">
        <f t="shared" si="31"/>
        <v/>
      </c>
      <c r="Z18" s="106"/>
      <c r="AA18" s="143"/>
      <c r="AB18" s="280" t="str">
        <f>IFERROR(VLOOKUP(C18,EMPLEADO!B:AD,29,0),"")</f>
        <v>GP2</v>
      </c>
      <c r="AC18" s="8">
        <f t="shared" si="32"/>
        <v>0</v>
      </c>
      <c r="AD18" s="71">
        <f t="shared" si="33"/>
        <v>0</v>
      </c>
      <c r="AE18" s="8" t="str">
        <f t="shared" si="34"/>
        <v/>
      </c>
      <c r="AF18" s="44" t="str">
        <f t="shared" si="35"/>
        <v/>
      </c>
      <c r="AG18" s="254">
        <f>IFERROR(VLOOKUP(C18,'CONTROL H.E.'!C:EQ,144,0),"")</f>
        <v>0</v>
      </c>
      <c r="AH18" s="254">
        <f>IFERROR(VLOOKUP(C18,'CONTROL H.E.'!C:EQ,145,0),"")</f>
        <v>0</v>
      </c>
      <c r="AI18" s="251">
        <f>IFERROR(VLOOKUP(C18,'CONTROL H.E. Transf.'!C:BK,60,0),"")</f>
        <v>0</v>
      </c>
      <c r="AJ18" s="251">
        <f>IFERROR(VLOOKUP(C18,'CONTROL H.E. Transf.'!C:BK,61,0),"")</f>
        <v>0</v>
      </c>
      <c r="AK18" s="258" t="str">
        <f>IFERROR(ROUND((VLOOKUP(D18,EMPLEADO!C:F,3,FALSE)/240*1.5*(AE18+AG18+AI18)+(VLOOKUP(D18,EMPLEADO!C:F,3,FALSE)/240*2*(AF18+AH18+AJ18))),2),"")</f>
        <v/>
      </c>
      <c r="AL18" s="262" t="str">
        <f>IFERROR(IF(C18=BA18,VLOOKUP(C18,Dato_Pesc!E:G,2,FALSE)," ")," ")</f>
        <v xml:space="preserve"> </v>
      </c>
      <c r="AM18" s="240">
        <f>IFERROR(IF(C18=BA18,VLOOKUP(C18,Dato_Pesc!E:G,3,FALSE),0),0)</f>
        <v>0</v>
      </c>
      <c r="AN18" s="241" t="str">
        <f>IFERROR(IF(C18=BB18,VLOOKUP(C18,Dato_Pesc!H:J,2,FALSE)," ")," ")</f>
        <v xml:space="preserve"> </v>
      </c>
      <c r="AO18" s="263">
        <f>IFERROR(IF(C18=BB18,VLOOKUP(C18,Dato_Pesc!H:J,3,FALSE),0),0)</f>
        <v>0</v>
      </c>
      <c r="AP18" s="267" t="str">
        <f>IFERROR(IF(C18=BC18,VLOOKUP(C18,Dato_Pesc!P:R,2,FALSE)," ")," ")</f>
        <v xml:space="preserve"> </v>
      </c>
      <c r="AQ18" s="242">
        <f>IFERROR(IF(C18=BC18,VLOOKUP(C18,Dato_Pesc!P:R,3,FALSE),0),0)</f>
        <v>0</v>
      </c>
      <c r="AR18" s="243" t="str">
        <f>IFERROR(IF(C18=BD18,VLOOKUP(C18,Dato_Pesc!S:U,2,FALSE)," ")," ")</f>
        <v xml:space="preserve"> </v>
      </c>
      <c r="AS18" s="268">
        <f>IFERROR(IF(C18=BD18,VLOOKUP(C18,Dato_Pesc!S:U,3,FALSE),0),0)</f>
        <v>0</v>
      </c>
      <c r="AT18" s="274" t="str">
        <f>IFERROR(IF(C18=BE18,VLOOKUP(C18,Dato_Pesc!AA:AC,2,FALSE)," ")," ")</f>
        <v xml:space="preserve"> </v>
      </c>
      <c r="AU18" s="244">
        <f>IFERROR(IF(C18=BE18,VLOOKUP(C18,Dato_Pesc!AA:AC,3,FALSE),0),0)</f>
        <v>0</v>
      </c>
      <c r="AV18" s="245" t="str">
        <f>IFERROR(IF(C18=BF18,VLOOKUP(C18,Dato_Pesc!AD:AF,2,FALSE)," ")," ")</f>
        <v xml:space="preserve"> </v>
      </c>
      <c r="AW18" s="303">
        <f>IFERROR(IF(C18=BF18,VLOOKUP(C18,Dato_Pesc!AD:AF,3,FALSE),0),0)</f>
        <v>0</v>
      </c>
      <c r="AX18" s="270">
        <f ca="1">IFERROR(ROUND(((SUMIF('$ NOCHE_PESC'!$B$4:$C$10,AL18,'$ NOCHE_PESC'!$C$4:$C$10))*AM18)+((SUMIF('$ NOCHE_PESC'!$B$4:$C$10,AN18,'$ NOCHE_PESC'!$C$4:$C$10))*AO18)+((SUMIF('$ NOCHE_PESC'!$B$4:$C$10,AP18,'$ NOCHE_PESC'!$C$4:$C$10))*AQ18)+((SUMIF('$ NOCHE_PESC'!$B$4:$C$10,AR18,'$ NOCHE_PESC'!$C$4:$C$10))*AS18)+((SUMIF('$ NOCHE_PESC'!$B$4:$C$10,AT18,'$ NOCHE_PESC'!$C$4:$C$10))*AU18)+((SUMIF('$ NOCHE_PESC'!$B$4:$C$10,AV18,'$ NOCHE_PESC'!$C$4:$C$10))*AW18),2),"")</f>
        <v>0</v>
      </c>
      <c r="AY18" s="278">
        <f t="shared" si="36"/>
        <v>0</v>
      </c>
      <c r="BA18" s="15" t="str">
        <f>IFERROR(IF(BB18=C18,BB18,VLOOKUP(C18,Dato_Pesc!$A$5:$J$68,5,0)),"")</f>
        <v/>
      </c>
      <c r="BB18" s="15" t="str">
        <f>IFERROR(VLOOKUP(C18,Dato_Pesc!$A$5:$J$68,8),"")</f>
        <v/>
      </c>
      <c r="BC18" s="15" t="str">
        <f>IFERROR(IF(BD18=C18,BD18,VLOOKUP(C18,Dato_Pesc!$L$5:$U$68,5,0)),"")</f>
        <v/>
      </c>
      <c r="BD18" s="15" t="str">
        <f>IFERROR(VLOOKUP(C18,Dato_Pesc!$L$5:$U$68,8),"")</f>
        <v/>
      </c>
      <c r="BE18" s="15" t="str">
        <f>IFERROR(IF(BF18=C18,BF18,VLOOKUP(C18,Dato_Pesc!$W$5:$AF$68,5,0)),"")</f>
        <v/>
      </c>
      <c r="BF18" s="15" t="str">
        <f>IFERROR(VLOOKUP(C18,Dato_Pesc!$W$5:$AF$68,8),"")</f>
        <v/>
      </c>
    </row>
    <row r="19" spans="2:58" ht="15.75" x14ac:dyDescent="0.25">
      <c r="B19" s="15">
        <f t="shared" si="10"/>
        <v>9</v>
      </c>
      <c r="C19" s="5" t="str">
        <f>IFERROR(VLOOKUP('Reporte Asistencia Laboral'!D19,EMPLEADO!C:Q,15,0),"")</f>
        <v>CALLE RAMOS JHONNY RENE</v>
      </c>
      <c r="D19" s="6" t="str">
        <f>IF(AND(ISTEXT(EMPLEADO!C13)),EMPLEADO!C13,"")</f>
        <v>110525109-2</v>
      </c>
      <c r="E19" s="5" t="str">
        <f>IFERROR(VLOOKUP(D19,EMPLEADO!C:E,2,FALSE),"")</f>
        <v>DIARIO</v>
      </c>
      <c r="F19" s="7">
        <f>IFERROR(ROUND(VLOOKUP('Reporte Asistencia Laboral'!D19,EMPLEADO!C:AE,3,FALSE)/30*AD19,2),"")</f>
        <v>0</v>
      </c>
      <c r="G19" s="150"/>
      <c r="H19" s="150"/>
      <c r="I19" s="150"/>
      <c r="J19" s="150"/>
      <c r="K19" s="237"/>
      <c r="L19" s="237"/>
      <c r="M19" s="150"/>
      <c r="N19" s="150"/>
      <c r="O19" s="150"/>
      <c r="P19" s="150"/>
      <c r="Q19" s="150"/>
      <c r="R19" s="237"/>
      <c r="S19" s="237"/>
      <c r="T19" s="150"/>
      <c r="U19" s="150"/>
      <c r="V19" s="237"/>
      <c r="W19" s="71" t="str">
        <f t="shared" ref="W19" si="37">IFERROR(IF($G$10="S",+G19,IF($G$10="D",+G19,0))+IF($H$10="S",+H19,IF($H$10="D",+H19,0))+IF($I$10="S",+I19,IF($I$10="D",+I19,0))+IF($J$10="S",+J19,IF($J$10="D",+J19,0))+IF($K$10="S",+K19,IF($K$10="D",+K19,0))+IF($L$10="S",+L19,IF($L$10="D",+L19,0))+IF($M$10="S",+M19,IF($M$10="D",+M19,0))+IF($N$10="S",+N19,IF($N$10="D",+N19,0))+IF($O$10="S",+O19,IF($O$10="D",+O19,0))+IF($P$10="S",+P19,IF($P$10="D",+P19,0))+IF($Q$10="S",+Q19,IF($Q$10="D",+Q19,0))+IF($R$10="S",+R19,IF($R$10="D",+R19,0))+IF($S$10="S",+S19,IF($S$10="D",+S19,0))+IF($T$10="S",+T19,IF($T$10="D",+T19,0))+IF($U$10="S",+U19,IF($U$10="D",+U19,0))+IF($V$10="S",+V19,IF($V$10="D",+V19,0)),"")</f>
        <v/>
      </c>
      <c r="X19" s="71">
        <f t="shared" ref="X19" si="38">IF($G$6="F",G19,0)+IF($H$6="F",+H19,0)+IF($I$6="F",+I19,0)+IF($J$6="F",+J19,0)+IF($K$6="F",+K19,0)+IF($L$6="F",+L19,0)+IF($M$6="F",+M19,0)+IF($N$6="F",+N19,0)+IF($O$6="F",+O19,0)+IF($P$6="F",+P19,0)+IF($Q$6="F",+Q19,0)+IF($R$6="F",+R19,0)+IF($S$6="F",+S19,0)+IF($T$6="F",+T19,0)+IF($U$6="F",+U19,0)+IF($V$6="F",+V19,0)</f>
        <v>0</v>
      </c>
      <c r="Y19" s="94" t="str">
        <f t="shared" ref="Y19" si="39">IFERROR(IF($G$2="F",0,IF(G19&gt;8,G19-8,0))+IF($H$2="F",0,IF(H19&gt;8,H19-8,0))+IF($I$2="F",0,IF(I19&gt;8,I19-8,0))+IF($J$2="F",0,IF(J19&gt;8,J19-8,0))+IF($K$2="F",0,IF(K19&gt;8,K19-8,0))+IF($L$2="F",0,IF(L19&gt;8,L19-8,0))+IF($M$2="F",0,IF(M19&gt;8,M19-8,0))+IF($N$2="F",0,IF(N19&gt;8,N19-8,0))+IF($O$2="F",0,IF(O19&gt;8,O19-8,0))+IF($P$2="F",0,IF(P19&gt;8,P19-8,0))+IF($Q$2="F",0,IF(Q19&gt;8,Q19-8,0))+IF($R$2="F",0,IF(R19&gt;8,R19-8,0))+IF($S$2="F",0,IF(S19&gt;8,S19-8,0))+IF($T$2="F",0,IF(T19&gt;8,T19-8,0))+IF($U$2="F",0,IF(U19&gt;8,U19-8,0))+IF($V$2="F",0,IF(V19&gt;8,V19-8,0)),"")</f>
        <v/>
      </c>
      <c r="Z19" s="106"/>
      <c r="AA19" s="143"/>
      <c r="AB19" s="280" t="str">
        <f>IFERROR(VLOOKUP(C19,EMPLEADO!B:AD,29,0),"")</f>
        <v>GP2</v>
      </c>
      <c r="AC19" s="8">
        <f t="shared" ref="AC19" si="40">+SUM(G19:V19)</f>
        <v>0</v>
      </c>
      <c r="AD19" s="71">
        <f t="shared" ref="AD19" si="41">IF(COUNT(G19:V19)&gt;15,COUNT(G19:V19)-1,COUNT(G19:U19))+AA19</f>
        <v>0</v>
      </c>
      <c r="AE19" s="8" t="str">
        <f t="shared" ref="AE19" si="42">IFERROR(IF(Z19="N",0,Y19),"")</f>
        <v/>
      </c>
      <c r="AF19" s="44" t="str">
        <f t="shared" ref="AF19" si="43">IFERROR(IF(Z19="N",W19+X19+Y19,W19+X19),"")</f>
        <v/>
      </c>
      <c r="AG19" s="254">
        <f>IFERROR(VLOOKUP(C19,'CONTROL H.E.'!C:EQ,144,0),"")</f>
        <v>0</v>
      </c>
      <c r="AH19" s="254">
        <f>IFERROR(VLOOKUP(C19,'CONTROL H.E.'!C:EQ,145,0),"")</f>
        <v>0</v>
      </c>
      <c r="AI19" s="251">
        <f>IFERROR(VLOOKUP(C19,'CONTROL H.E. Transf.'!C:BK,60,0),"")</f>
        <v>0</v>
      </c>
      <c r="AJ19" s="251">
        <f>IFERROR(VLOOKUP(C19,'CONTROL H.E. Transf.'!C:BK,61,0),"")</f>
        <v>0</v>
      </c>
      <c r="AK19" s="258" t="str">
        <f>IFERROR(ROUND((VLOOKUP(D19,EMPLEADO!C:F,3,FALSE)/240*1.5*(AE19+AG19+AI19)+(VLOOKUP(D19,EMPLEADO!C:F,3,FALSE)/240*2*(AF19+AH19+AJ19))),2),"")</f>
        <v/>
      </c>
      <c r="AL19" s="262" t="str">
        <f>IFERROR(IF(C19=BA19,VLOOKUP(C19,Dato_Pesc!E:G,2,FALSE)," ")," ")</f>
        <v xml:space="preserve"> </v>
      </c>
      <c r="AM19" s="240">
        <f>IFERROR(IF(C19=BA19,VLOOKUP(C19,Dato_Pesc!E:G,3,FALSE),0),0)</f>
        <v>0</v>
      </c>
      <c r="AN19" s="241" t="str">
        <f>IFERROR(IF(C19=BB19,VLOOKUP(C19,Dato_Pesc!H:J,2,FALSE)," ")," ")</f>
        <v xml:space="preserve"> </v>
      </c>
      <c r="AO19" s="263">
        <f>IFERROR(IF(C19=BB19,VLOOKUP(C19,Dato_Pesc!H:J,3,FALSE),0),0)</f>
        <v>0</v>
      </c>
      <c r="AP19" s="267" t="str">
        <f>IFERROR(IF(C19=BC19,VLOOKUP(C19,Dato_Pesc!P:R,2,FALSE)," ")," ")</f>
        <v xml:space="preserve"> </v>
      </c>
      <c r="AQ19" s="242">
        <f>IFERROR(IF(C19=BC19,VLOOKUP(C19,Dato_Pesc!P:R,3,FALSE),0),0)</f>
        <v>0</v>
      </c>
      <c r="AR19" s="243" t="str">
        <f>IFERROR(IF(C19=BD19,VLOOKUP(C19,Dato_Pesc!S:U,2,FALSE)," ")," ")</f>
        <v xml:space="preserve"> </v>
      </c>
      <c r="AS19" s="268">
        <f>IFERROR(IF(C19=BD19,VLOOKUP(C19,Dato_Pesc!S:U,3,FALSE),0),0)</f>
        <v>0</v>
      </c>
      <c r="AT19" s="274" t="str">
        <f>IFERROR(IF(C19=BE19,VLOOKUP(C19,Dato_Pesc!AA:AC,2,FALSE)," ")," ")</f>
        <v xml:space="preserve"> </v>
      </c>
      <c r="AU19" s="244">
        <f>IFERROR(IF(C19=BE19,VLOOKUP(C19,Dato_Pesc!AA:AC,3,FALSE),0),0)</f>
        <v>0</v>
      </c>
      <c r="AV19" s="245" t="str">
        <f>IFERROR(IF(C19=BF19,VLOOKUP(C19,Dato_Pesc!AD:AF,2,FALSE)," ")," ")</f>
        <v xml:space="preserve"> </v>
      </c>
      <c r="AW19" s="303">
        <f>IFERROR(IF(C19=BF19,VLOOKUP(C19,Dato_Pesc!AD:AF,3,FALSE),0),0)</f>
        <v>0</v>
      </c>
      <c r="AX19" s="270">
        <f ca="1">IFERROR(ROUND(((SUMIF('$ NOCHE_PESC'!$B$4:$C$10,AL19,'$ NOCHE_PESC'!$C$4:$C$10))*AM19)+((SUMIF('$ NOCHE_PESC'!$B$4:$C$10,AN19,'$ NOCHE_PESC'!$C$4:$C$10))*AO19)+((SUMIF('$ NOCHE_PESC'!$B$4:$C$10,AP19,'$ NOCHE_PESC'!$C$4:$C$10))*AQ19)+((SUMIF('$ NOCHE_PESC'!$B$4:$C$10,AR19,'$ NOCHE_PESC'!$C$4:$C$10))*AS19)+((SUMIF('$ NOCHE_PESC'!$B$4:$C$10,AT19,'$ NOCHE_PESC'!$C$4:$C$10))*AU19)+((SUMIF('$ NOCHE_PESC'!$B$4:$C$10,AV19,'$ NOCHE_PESC'!$C$4:$C$10))*AW19),2),"")</f>
        <v>0</v>
      </c>
      <c r="AY19" s="278">
        <f t="shared" ref="AY19" si="44">SUM(AM19+AO19+AQ19+AS19+AU19+AW19)</f>
        <v>0</v>
      </c>
      <c r="BA19" s="15" t="str">
        <f>IFERROR(IF(BB19=C19,BB19,VLOOKUP(C19,Dato_Pesc!$A$5:$J$68,5,0)),"")</f>
        <v/>
      </c>
      <c r="BB19" s="15" t="str">
        <f>IFERROR(VLOOKUP(C19,Dato_Pesc!$A$5:$J$68,8),"")</f>
        <v/>
      </c>
      <c r="BC19" s="15" t="str">
        <f>IFERROR(IF(BD19=C19,BD19,VLOOKUP(C19,Dato_Pesc!$L$5:$U$68,5,0)),"")</f>
        <v/>
      </c>
      <c r="BD19" s="15" t="str">
        <f>IFERROR(VLOOKUP(C19,Dato_Pesc!$L$5:$U$68,8),"")</f>
        <v/>
      </c>
      <c r="BE19" s="15" t="str">
        <f>IFERROR(IF(BF19=C19,BF19,VLOOKUP(C19,Dato_Pesc!$W$5:$AF$68,5,0)),"")</f>
        <v/>
      </c>
      <c r="BF19" s="15" t="str">
        <f>IFERROR(VLOOKUP(C19,Dato_Pesc!$W$5:$AF$68,8),"")</f>
        <v/>
      </c>
    </row>
    <row r="20" spans="2:58" ht="15.75" x14ac:dyDescent="0.25">
      <c r="B20" s="15">
        <f t="shared" si="10"/>
        <v>10</v>
      </c>
      <c r="C20" s="5" t="str">
        <f>IFERROR(VLOOKUP('Reporte Asistencia Laboral'!D20,EMPLEADO!C:Q,15,0),"")</f>
        <v>MARQUEZ LASCANO EDISON JOEL</v>
      </c>
      <c r="D20" s="6" t="str">
        <f>IF(AND(ISTEXT(EMPLEADO!C14)),EMPLEADO!C14,"")</f>
        <v>095620199-0</v>
      </c>
      <c r="E20" s="5" t="str">
        <f>IFERROR(VLOOKUP(D20,EMPLEADO!C:E,2,FALSE),"")</f>
        <v>DIARIO</v>
      </c>
      <c r="F20" s="7">
        <f>IFERROR(ROUND(VLOOKUP('Reporte Asistencia Laboral'!D20,EMPLEADO!C:AE,3,FALSE)/30*AD20,2),"")</f>
        <v>0</v>
      </c>
      <c r="G20" s="150"/>
      <c r="H20" s="150"/>
      <c r="I20" s="150"/>
      <c r="J20" s="150"/>
      <c r="K20" s="237"/>
      <c r="L20" s="237"/>
      <c r="M20" s="150"/>
      <c r="N20" s="150"/>
      <c r="O20" s="150"/>
      <c r="P20" s="150"/>
      <c r="Q20" s="150"/>
      <c r="R20" s="237"/>
      <c r="S20" s="237"/>
      <c r="T20" s="150"/>
      <c r="U20" s="150"/>
      <c r="V20" s="237"/>
      <c r="W20" s="71" t="str">
        <f t="shared" ref="W20" si="45">IFERROR(IF($G$10="S",+G20,IF($G$10="D",+G20,0))+IF($H$10="S",+H20,IF($H$10="D",+H20,0))+IF($I$10="S",+I20,IF($I$10="D",+I20,0))+IF($J$10="S",+J20,IF($J$10="D",+J20,0))+IF($K$10="S",+K20,IF($K$10="D",+K20,0))+IF($L$10="S",+L20,IF($L$10="D",+L20,0))+IF($M$10="S",+M20,IF($M$10="D",+M20,0))+IF($N$10="S",+N20,IF($N$10="D",+N20,0))+IF($O$10="S",+O20,IF($O$10="D",+O20,0))+IF($P$10="S",+P20,IF($P$10="D",+P20,0))+IF($Q$10="S",+Q20,IF($Q$10="D",+Q20,0))+IF($R$10="S",+R20,IF($R$10="D",+R20,0))+IF($S$10="S",+S20,IF($S$10="D",+S20,0))+IF($T$10="S",+T20,IF($T$10="D",+T20,0))+IF($U$10="S",+U20,IF($U$10="D",+U20,0))+IF($V$10="S",+V20,IF($V$10="D",+V20,0)),"")</f>
        <v/>
      </c>
      <c r="X20" s="71">
        <f t="shared" ref="X20" si="46">IF($G$6="F",G20,0)+IF($H$6="F",+H20,0)+IF($I$6="F",+I20,0)+IF($J$6="F",+J20,0)+IF($K$6="F",+K20,0)+IF($L$6="F",+L20,0)+IF($M$6="F",+M20,0)+IF($N$6="F",+N20,0)+IF($O$6="F",+O20,0)+IF($P$6="F",+P20,0)+IF($Q$6="F",+Q20,0)+IF($R$6="F",+R20,0)+IF($S$6="F",+S20,0)+IF($T$6="F",+T20,0)+IF($U$6="F",+U20,0)+IF($V$6="F",+V20,0)</f>
        <v>0</v>
      </c>
      <c r="Y20" s="94" t="str">
        <f t="shared" ref="Y20" si="47">IFERROR(IF($G$2="F",0,IF(G20&gt;8,G20-8,0))+IF($H$2="F",0,IF(H20&gt;8,H20-8,0))+IF($I$2="F",0,IF(I20&gt;8,I20-8,0))+IF($J$2="F",0,IF(J20&gt;8,J20-8,0))+IF($K$2="F",0,IF(K20&gt;8,K20-8,0))+IF($L$2="F",0,IF(L20&gt;8,L20-8,0))+IF($M$2="F",0,IF(M20&gt;8,M20-8,0))+IF($N$2="F",0,IF(N20&gt;8,N20-8,0))+IF($O$2="F",0,IF(O20&gt;8,O20-8,0))+IF($P$2="F",0,IF(P20&gt;8,P20-8,0))+IF($Q$2="F",0,IF(Q20&gt;8,Q20-8,0))+IF($R$2="F",0,IF(R20&gt;8,R20-8,0))+IF($S$2="F",0,IF(S20&gt;8,S20-8,0))+IF($T$2="F",0,IF(T20&gt;8,T20-8,0))+IF($U$2="F",0,IF(U20&gt;8,U20-8,0))+IF($V$2="F",0,IF(V20&gt;8,V20-8,0)),"")</f>
        <v/>
      </c>
      <c r="Z20" s="106"/>
      <c r="AA20" s="143"/>
      <c r="AB20" s="280" t="str">
        <f>IFERROR(VLOOKUP(C20,EMPLEADO!B:AD,29,0),"")</f>
        <v>GP1</v>
      </c>
      <c r="AC20" s="8">
        <f t="shared" ref="AC20" si="48">+SUM(G20:V20)</f>
        <v>0</v>
      </c>
      <c r="AD20" s="71">
        <f t="shared" ref="AD20" si="49">IF(COUNT(G20:V20)&gt;15,COUNT(G20:V20)-1,COUNT(G20:U20))+AA20</f>
        <v>0</v>
      </c>
      <c r="AE20" s="8" t="str">
        <f t="shared" ref="AE20" si="50">IFERROR(IF(Z20="N",0,Y20),"")</f>
        <v/>
      </c>
      <c r="AF20" s="44" t="str">
        <f t="shared" ref="AF20" si="51">IFERROR(IF(Z20="N",W20+X20+Y20,W20+X20),"")</f>
        <v/>
      </c>
      <c r="AG20" s="254">
        <f>IFERROR(VLOOKUP(C20,'CONTROL H.E.'!C:EQ,144,0),"")</f>
        <v>0</v>
      </c>
      <c r="AH20" s="254">
        <f>IFERROR(VLOOKUP(C20,'CONTROL H.E.'!C:EQ,145,0),"")</f>
        <v>0</v>
      </c>
      <c r="AI20" s="251">
        <f>IFERROR(VLOOKUP(C20,'CONTROL H.E. Transf.'!C:BK,60,0),"")</f>
        <v>0</v>
      </c>
      <c r="AJ20" s="251">
        <f>IFERROR(VLOOKUP(C20,'CONTROL H.E. Transf.'!C:BK,61,0),"")</f>
        <v>0</v>
      </c>
      <c r="AK20" s="258" t="str">
        <f>IFERROR(ROUND((VLOOKUP(D20,EMPLEADO!C:F,3,FALSE)/240*1.5*(AE20+AG20+AI20)+(VLOOKUP(D20,EMPLEADO!C:F,3,FALSE)/240*2*(AF20+AH20+AJ20))),2),"")</f>
        <v/>
      </c>
      <c r="AL20" s="262" t="str">
        <f>IFERROR(IF(C20=BA20,VLOOKUP(C20,Dato_Pesc!E:G,2,FALSE)," ")," ")</f>
        <v xml:space="preserve"> </v>
      </c>
      <c r="AM20" s="240">
        <f>IFERROR(IF(C20=BA20,VLOOKUP(C20,Dato_Pesc!E:G,3,FALSE),0),0)</f>
        <v>0</v>
      </c>
      <c r="AN20" s="241" t="str">
        <f>IFERROR(IF(C20=BB20,VLOOKUP(C20,Dato_Pesc!H:J,2,FALSE)," ")," ")</f>
        <v xml:space="preserve"> </v>
      </c>
      <c r="AO20" s="263">
        <f>IFERROR(IF(C20=BB20,VLOOKUP(C20,Dato_Pesc!H:J,3,FALSE),0),0)</f>
        <v>0</v>
      </c>
      <c r="AP20" s="267" t="str">
        <f>IFERROR(IF(C20=BC20,VLOOKUP(C20,Dato_Pesc!P:R,2,FALSE)," ")," ")</f>
        <v xml:space="preserve"> </v>
      </c>
      <c r="AQ20" s="242">
        <f>IFERROR(IF(C20=BC20,VLOOKUP(C20,Dato_Pesc!P:R,3,FALSE),0),0)</f>
        <v>0</v>
      </c>
      <c r="AR20" s="243" t="str">
        <f>IFERROR(IF(C20=BD20,VLOOKUP(C20,Dato_Pesc!S:U,2,FALSE)," ")," ")</f>
        <v xml:space="preserve"> </v>
      </c>
      <c r="AS20" s="268">
        <f>IFERROR(IF(C20=BD20,VLOOKUP(C20,Dato_Pesc!S:U,3,FALSE),0),0)</f>
        <v>0</v>
      </c>
      <c r="AT20" s="274" t="str">
        <f>IFERROR(IF(C20=BE20,VLOOKUP(C20,Dato_Pesc!AA:AC,2,FALSE)," ")," ")</f>
        <v xml:space="preserve"> </v>
      </c>
      <c r="AU20" s="244">
        <f>IFERROR(IF(C20=BE20,VLOOKUP(C20,Dato_Pesc!AA:AC,3,FALSE),0),0)</f>
        <v>0</v>
      </c>
      <c r="AV20" s="245" t="str">
        <f>IFERROR(IF(C20=BF20,VLOOKUP(C20,Dato_Pesc!AD:AF,2,FALSE)," ")," ")</f>
        <v xml:space="preserve"> </v>
      </c>
      <c r="AW20" s="303">
        <f>IFERROR(IF(C20=BF20,VLOOKUP(C20,Dato_Pesc!AD:AF,3,FALSE),0),0)</f>
        <v>0</v>
      </c>
      <c r="AX20" s="270">
        <f ca="1">IFERROR(ROUND(((SUMIF('$ NOCHE_PESC'!$B$4:$C$10,AL20,'$ NOCHE_PESC'!$C$4:$C$10))*AM20)+((SUMIF('$ NOCHE_PESC'!$B$4:$C$10,AN20,'$ NOCHE_PESC'!$C$4:$C$10))*AO20)+((SUMIF('$ NOCHE_PESC'!$B$4:$C$10,AP20,'$ NOCHE_PESC'!$C$4:$C$10))*AQ20)+((SUMIF('$ NOCHE_PESC'!$B$4:$C$10,AR20,'$ NOCHE_PESC'!$C$4:$C$10))*AS20)+((SUMIF('$ NOCHE_PESC'!$B$4:$C$10,AT20,'$ NOCHE_PESC'!$C$4:$C$10))*AU20)+((SUMIF('$ NOCHE_PESC'!$B$4:$C$10,AV20,'$ NOCHE_PESC'!$C$4:$C$10))*AW20),2),"")</f>
        <v>0</v>
      </c>
      <c r="AY20" s="278">
        <f t="shared" ref="AY20" si="52">SUM(AM20+AO20+AQ20+AS20+AU20+AW20)</f>
        <v>0</v>
      </c>
      <c r="BA20" s="15" t="str">
        <f>IFERROR(IF(BB20=C20,BB20,VLOOKUP(C20,Dato_Pesc!$A$5:$J$68,5,0)),"")</f>
        <v/>
      </c>
      <c r="BB20" s="15" t="str">
        <f>IFERROR(VLOOKUP(C20,Dato_Pesc!$A$5:$J$68,8),"")</f>
        <v/>
      </c>
      <c r="BC20" s="15" t="str">
        <f>IFERROR(IF(BD20=C20,BD20,VLOOKUP(C20,Dato_Pesc!$L$5:$U$68,5,0)),"")</f>
        <v/>
      </c>
      <c r="BD20" s="15" t="str">
        <f>IFERROR(VLOOKUP(C20,Dato_Pesc!$L$5:$U$68,8),"")</f>
        <v/>
      </c>
      <c r="BE20" s="15" t="str">
        <f>IFERROR(IF(BF20=C20,BF20,VLOOKUP(C20,Dato_Pesc!$W$5:$AF$68,5,0)),"")</f>
        <v/>
      </c>
      <c r="BF20" s="15" t="str">
        <f>IFERROR(VLOOKUP(C20,Dato_Pesc!$W$5:$AF$68,8),"")</f>
        <v/>
      </c>
    </row>
    <row r="21" spans="2:58" ht="15.75" x14ac:dyDescent="0.25">
      <c r="B21" s="15">
        <f t="shared" si="10"/>
        <v>11</v>
      </c>
      <c r="C21" s="5" t="str">
        <f>IFERROR(VLOOKUP('Reporte Asistencia Laboral'!D21,EMPLEADO!C:Q,15,0),"")</f>
        <v>CEDEÑO JURADO JEFFERSON MANUEL</v>
      </c>
      <c r="D21" s="6" t="str">
        <f>IF(AND(ISTEXT(EMPLEADO!C15)),EMPLEADO!C15,"")</f>
        <v>131617781-3</v>
      </c>
      <c r="E21" s="5" t="str">
        <f>IFERROR(VLOOKUP(D21,EMPLEADO!C:E,2,FALSE),"")</f>
        <v>DIARIO</v>
      </c>
      <c r="F21" s="7">
        <f>IFERROR(ROUND(VLOOKUP('Reporte Asistencia Laboral'!D21,EMPLEADO!C:AE,3,FALSE)/30*AD21,2),"")</f>
        <v>0</v>
      </c>
      <c r="G21" s="150"/>
      <c r="H21" s="150"/>
      <c r="I21" s="150"/>
      <c r="J21" s="150"/>
      <c r="K21" s="237"/>
      <c r="L21" s="237"/>
      <c r="M21" s="150"/>
      <c r="N21" s="150"/>
      <c r="O21" s="150"/>
      <c r="P21" s="150"/>
      <c r="Q21" s="150"/>
      <c r="R21" s="237"/>
      <c r="S21" s="237"/>
      <c r="T21" s="150"/>
      <c r="U21" s="150"/>
      <c r="V21" s="237"/>
      <c r="W21" s="71" t="str">
        <f t="shared" ref="W21:W22" si="53">IFERROR(IF($G$10="S",+G21,IF($G$10="D",+G21,0))+IF($H$10="S",+H21,IF($H$10="D",+H21,0))+IF($I$10="S",+I21,IF($I$10="D",+I21,0))+IF($J$10="S",+J21,IF($J$10="D",+J21,0))+IF($K$10="S",+K21,IF($K$10="D",+K21,0))+IF($L$10="S",+L21,IF($L$10="D",+L21,0))+IF($M$10="S",+M21,IF($M$10="D",+M21,0))+IF($N$10="S",+N21,IF($N$10="D",+N21,0))+IF($O$10="S",+O21,IF($O$10="D",+O21,0))+IF($P$10="S",+P21,IF($P$10="D",+P21,0))+IF($Q$10="S",+Q21,IF($Q$10="D",+Q21,0))+IF($R$10="S",+R21,IF($R$10="D",+R21,0))+IF($S$10="S",+S21,IF($S$10="D",+S21,0))+IF($T$10="S",+T21,IF($T$10="D",+T21,0))+IF($U$10="S",+U21,IF($U$10="D",+U21,0))+IF($V$10="S",+V21,IF($V$10="D",+V21,0)),"")</f>
        <v/>
      </c>
      <c r="X21" s="71">
        <f t="shared" ref="X21:X22" si="54">IF($G$6="F",G21,0)+IF($H$6="F",+H21,0)+IF($I$6="F",+I21,0)+IF($J$6="F",+J21,0)+IF($K$6="F",+K21,0)+IF($L$6="F",+L21,0)+IF($M$6="F",+M21,0)+IF($N$6="F",+N21,0)+IF($O$6="F",+O21,0)+IF($P$6="F",+P21,0)+IF($Q$6="F",+Q21,0)+IF($R$6="F",+R21,0)+IF($S$6="F",+S21,0)+IF($T$6="F",+T21,0)+IF($U$6="F",+U21,0)+IF($V$6="F",+V21,0)</f>
        <v>0</v>
      </c>
      <c r="Y21" s="94" t="str">
        <f t="shared" ref="Y21:Y22" si="55">IFERROR(IF($G$2="F",0,IF(G21&gt;8,G21-8,0))+IF($H$2="F",0,IF(H21&gt;8,H21-8,0))+IF($I$2="F",0,IF(I21&gt;8,I21-8,0))+IF($J$2="F",0,IF(J21&gt;8,J21-8,0))+IF($K$2="F",0,IF(K21&gt;8,K21-8,0))+IF($L$2="F",0,IF(L21&gt;8,L21-8,0))+IF($M$2="F",0,IF(M21&gt;8,M21-8,0))+IF($N$2="F",0,IF(N21&gt;8,N21-8,0))+IF($O$2="F",0,IF(O21&gt;8,O21-8,0))+IF($P$2="F",0,IF(P21&gt;8,P21-8,0))+IF($Q$2="F",0,IF(Q21&gt;8,Q21-8,0))+IF($R$2="F",0,IF(R21&gt;8,R21-8,0))+IF($S$2="F",0,IF(S21&gt;8,S21-8,0))+IF($T$2="F",0,IF(T21&gt;8,T21-8,0))+IF($U$2="F",0,IF(U21&gt;8,U21-8,0))+IF($V$2="F",0,IF(V21&gt;8,V21-8,0)),"")</f>
        <v/>
      </c>
      <c r="Z21" s="106"/>
      <c r="AA21" s="143"/>
      <c r="AB21" s="280" t="str">
        <f>IFERROR(VLOOKUP(C21,EMPLEADO!B:AD,29,0),"")</f>
        <v>GP1</v>
      </c>
      <c r="AC21" s="8">
        <f t="shared" ref="AC21:AC22" si="56">+SUM(G21:V21)</f>
        <v>0</v>
      </c>
      <c r="AD21" s="71">
        <f t="shared" ref="AD21:AD22" si="57">IF(COUNT(G21:V21)&gt;15,COUNT(G21:V21)-1,COUNT(G21:U21))+AA21</f>
        <v>0</v>
      </c>
      <c r="AE21" s="8" t="str">
        <f t="shared" ref="AE21:AE22" si="58">IFERROR(IF(Z21="N",0,Y21),"")</f>
        <v/>
      </c>
      <c r="AF21" s="44" t="str">
        <f t="shared" ref="AF21:AF22" si="59">IFERROR(IF(Z21="N",W21+X21+Y21,W21+X21),"")</f>
        <v/>
      </c>
      <c r="AG21" s="254">
        <f>IFERROR(VLOOKUP(C21,'CONTROL H.E.'!C:EQ,144,0),"")</f>
        <v>0</v>
      </c>
      <c r="AH21" s="254">
        <f>IFERROR(VLOOKUP(C21,'CONTROL H.E.'!C:EQ,145,0),"")</f>
        <v>0</v>
      </c>
      <c r="AI21" s="251">
        <f>IFERROR(VLOOKUP(C21,'CONTROL H.E. Transf.'!C:BK,60,0),"")</f>
        <v>0</v>
      </c>
      <c r="AJ21" s="251">
        <f>IFERROR(VLOOKUP(C21,'CONTROL H.E. Transf.'!C:BK,61,0),"")</f>
        <v>0</v>
      </c>
      <c r="AK21" s="258" t="str">
        <f>IFERROR(ROUND((VLOOKUP(D21,EMPLEADO!C:F,3,FALSE)/240*1.5*(AE21+AG21+AI21)+(VLOOKUP(D21,EMPLEADO!C:F,3,FALSE)/240*2*(AF21+AH21+AJ21))),2),"")</f>
        <v/>
      </c>
      <c r="AL21" s="262" t="str">
        <f>IFERROR(IF(C21=BA21,VLOOKUP(C21,Dato_Pesc!E:G,2,FALSE)," ")," ")</f>
        <v xml:space="preserve"> </v>
      </c>
      <c r="AM21" s="240">
        <f>IFERROR(IF(C21=BA21,VLOOKUP(C21,Dato_Pesc!E:G,3,FALSE),0),0)</f>
        <v>0</v>
      </c>
      <c r="AN21" s="241" t="str">
        <f>IFERROR(IF(C21=BB21,VLOOKUP(C21,Dato_Pesc!H:J,2,FALSE)," ")," ")</f>
        <v xml:space="preserve"> </v>
      </c>
      <c r="AO21" s="263">
        <f>IFERROR(IF(C21=BB21,VLOOKUP(C21,Dato_Pesc!H:J,3,FALSE),0),0)</f>
        <v>0</v>
      </c>
      <c r="AP21" s="267" t="str">
        <f>IFERROR(IF(C21=BC21,VLOOKUP(C21,Dato_Pesc!P:R,2,FALSE)," ")," ")</f>
        <v xml:space="preserve"> </v>
      </c>
      <c r="AQ21" s="242">
        <f>IFERROR(IF(C21=BC21,VLOOKUP(C21,Dato_Pesc!P:R,3,FALSE),0),0)</f>
        <v>0</v>
      </c>
      <c r="AR21" s="243" t="str">
        <f>IFERROR(IF(C21=BD21,VLOOKUP(C21,Dato_Pesc!S:U,2,FALSE)," ")," ")</f>
        <v xml:space="preserve"> </v>
      </c>
      <c r="AS21" s="268">
        <f>IFERROR(IF(C21=BD21,VLOOKUP(C21,Dato_Pesc!S:U,3,FALSE),0),0)</f>
        <v>0</v>
      </c>
      <c r="AT21" s="274" t="str">
        <f>IFERROR(IF(C21=BE21,VLOOKUP(C21,Dato_Pesc!AA:AC,2,FALSE)," ")," ")</f>
        <v xml:space="preserve"> </v>
      </c>
      <c r="AU21" s="244">
        <f>IFERROR(IF(C21=BE21,VLOOKUP(C21,Dato_Pesc!AA:AC,3,FALSE),0),0)</f>
        <v>0</v>
      </c>
      <c r="AV21" s="245" t="str">
        <f>IFERROR(IF(C21=BF21,VLOOKUP(C21,Dato_Pesc!AD:AF,2,FALSE)," ")," ")</f>
        <v xml:space="preserve"> </v>
      </c>
      <c r="AW21" s="303">
        <f>IFERROR(IF(C21=BF21,VLOOKUP(C21,Dato_Pesc!AD:AF,3,FALSE),0),0)</f>
        <v>0</v>
      </c>
      <c r="AX21" s="270">
        <f ca="1">IFERROR(ROUND(((SUMIF('$ NOCHE_PESC'!$B$4:$C$10,AL21,'$ NOCHE_PESC'!$C$4:$C$10))*AM21)+((SUMIF('$ NOCHE_PESC'!$B$4:$C$10,AN21,'$ NOCHE_PESC'!$C$4:$C$10))*AO21)+((SUMIF('$ NOCHE_PESC'!$B$4:$C$10,AP21,'$ NOCHE_PESC'!$C$4:$C$10))*AQ21)+((SUMIF('$ NOCHE_PESC'!$B$4:$C$10,AR21,'$ NOCHE_PESC'!$C$4:$C$10))*AS21)+((SUMIF('$ NOCHE_PESC'!$B$4:$C$10,AT21,'$ NOCHE_PESC'!$C$4:$C$10))*AU21)+((SUMIF('$ NOCHE_PESC'!$B$4:$C$10,AV21,'$ NOCHE_PESC'!$C$4:$C$10))*AW21),2),"")</f>
        <v>0</v>
      </c>
      <c r="AY21" s="278">
        <f t="shared" ref="AY21:AY22" si="60">SUM(AM21+AO21+AQ21+AS21+AU21+AW21)</f>
        <v>0</v>
      </c>
      <c r="BA21" s="15" t="str">
        <f>IFERROR(IF(BB21=C21,BB21,VLOOKUP(C21,Dato_Pesc!$A$5:$J$68,5,0)),"")</f>
        <v/>
      </c>
      <c r="BB21" s="15" t="str">
        <f>IFERROR(VLOOKUP(C21,Dato_Pesc!$A$5:$J$68,8),"")</f>
        <v/>
      </c>
      <c r="BC21" s="15" t="str">
        <f>IFERROR(IF(BD21=C21,BD21,VLOOKUP(C21,Dato_Pesc!$L$5:$U$68,5,0)),"")</f>
        <v/>
      </c>
      <c r="BD21" s="15" t="str">
        <f>IFERROR(VLOOKUP(C21,Dato_Pesc!$L$5:$U$68,8),"")</f>
        <v/>
      </c>
      <c r="BE21" s="15" t="str">
        <f>IFERROR(IF(BF21=C21,BF21,VLOOKUP(C21,Dato_Pesc!$W$5:$AF$68,5,0)),"")</f>
        <v/>
      </c>
      <c r="BF21" s="15" t="str">
        <f>IFERROR(VLOOKUP(C21,Dato_Pesc!$W$5:$AF$68,8),"")</f>
        <v/>
      </c>
    </row>
    <row r="22" spans="2:58" ht="15.75" x14ac:dyDescent="0.25">
      <c r="B22" s="15">
        <f t="shared" si="10"/>
        <v>12</v>
      </c>
      <c r="C22" s="5" t="str">
        <f>IFERROR(VLOOKUP('Reporte Asistencia Laboral'!D22,EMPLEADO!C:Q,15,0),"")</f>
        <v>GUEVARA HERRERA NICOLAS ENRIQUE</v>
      </c>
      <c r="D22" s="6" t="str">
        <f>IF(AND(ISTEXT(EMPLEADO!C16)),EMPLEADO!C16,"")</f>
        <v>110606706-7</v>
      </c>
      <c r="E22" s="5" t="str">
        <f>IFERROR(VLOOKUP(D22,EMPLEADO!C:E,2,FALSE),"")</f>
        <v>DIARIO</v>
      </c>
      <c r="F22" s="7">
        <f>IFERROR(ROUND(VLOOKUP('Reporte Asistencia Laboral'!D22,EMPLEADO!C:AE,3,FALSE)/30*AD22,2),"")</f>
        <v>0</v>
      </c>
      <c r="G22" s="150"/>
      <c r="H22" s="150"/>
      <c r="I22" s="150"/>
      <c r="J22" s="150"/>
      <c r="K22" s="237"/>
      <c r="L22" s="237"/>
      <c r="M22" s="150"/>
      <c r="N22" s="150"/>
      <c r="O22" s="150"/>
      <c r="P22" s="150"/>
      <c r="Q22" s="150"/>
      <c r="R22" s="237"/>
      <c r="S22" s="237"/>
      <c r="T22" s="150"/>
      <c r="U22" s="150"/>
      <c r="V22" s="237"/>
      <c r="W22" s="71" t="str">
        <f t="shared" si="53"/>
        <v/>
      </c>
      <c r="X22" s="71">
        <f t="shared" si="54"/>
        <v>0</v>
      </c>
      <c r="Y22" s="94" t="str">
        <f t="shared" si="55"/>
        <v/>
      </c>
      <c r="Z22" s="106"/>
      <c r="AA22" s="143"/>
      <c r="AB22" s="280" t="str">
        <f>IFERROR(VLOOKUP(C22,EMPLEADO!B:AD,29,0),"")</f>
        <v>GP2</v>
      </c>
      <c r="AC22" s="8">
        <f t="shared" si="56"/>
        <v>0</v>
      </c>
      <c r="AD22" s="71">
        <f t="shared" si="57"/>
        <v>0</v>
      </c>
      <c r="AE22" s="8" t="str">
        <f t="shared" si="58"/>
        <v/>
      </c>
      <c r="AF22" s="44" t="str">
        <f t="shared" si="59"/>
        <v/>
      </c>
      <c r="AG22" s="254">
        <f>IFERROR(VLOOKUP(C22,'CONTROL H.E.'!C:EQ,144,0),"")</f>
        <v>0</v>
      </c>
      <c r="AH22" s="254">
        <f>IFERROR(VLOOKUP(C22,'CONTROL H.E.'!C:EQ,145,0),"")</f>
        <v>0</v>
      </c>
      <c r="AI22" s="251">
        <f>IFERROR(VLOOKUP(C22,'CONTROL H.E. Transf.'!C:BK,60,0),"")</f>
        <v>0</v>
      </c>
      <c r="AJ22" s="251">
        <f>IFERROR(VLOOKUP(C22,'CONTROL H.E. Transf.'!C:BK,61,0),"")</f>
        <v>0</v>
      </c>
      <c r="AK22" s="258" t="str">
        <f>IFERROR(ROUND((VLOOKUP(D22,EMPLEADO!C:F,3,FALSE)/240*1.5*(AE22+AG22+AI22)+(VLOOKUP(D22,EMPLEADO!C:F,3,FALSE)/240*2*(AF22+AH22+AJ22))),2),"")</f>
        <v/>
      </c>
      <c r="AL22" s="262" t="str">
        <f>IFERROR(IF(C22=BA22,VLOOKUP(C22,Dato_Pesc!E:G,2,FALSE)," ")," ")</f>
        <v xml:space="preserve"> </v>
      </c>
      <c r="AM22" s="240">
        <f>IFERROR(IF(C22=BA22,VLOOKUP(C22,Dato_Pesc!E:G,3,FALSE),0),0)</f>
        <v>0</v>
      </c>
      <c r="AN22" s="241" t="str">
        <f>IFERROR(IF(C22=BB22,VLOOKUP(C22,Dato_Pesc!H:J,2,FALSE)," ")," ")</f>
        <v xml:space="preserve"> </v>
      </c>
      <c r="AO22" s="263">
        <f>IFERROR(IF(C22=BB22,VLOOKUP(C22,Dato_Pesc!H:J,3,FALSE),0),0)</f>
        <v>0</v>
      </c>
      <c r="AP22" s="267" t="str">
        <f>IFERROR(IF(C22=BC22,VLOOKUP(C22,Dato_Pesc!P:R,2,FALSE)," ")," ")</f>
        <v xml:space="preserve"> </v>
      </c>
      <c r="AQ22" s="242">
        <f>IFERROR(IF(C22=BC22,VLOOKUP(C22,Dato_Pesc!P:R,3,FALSE),0),0)</f>
        <v>0</v>
      </c>
      <c r="AR22" s="243" t="str">
        <f>IFERROR(IF(C22=BD22,VLOOKUP(C22,Dato_Pesc!S:U,2,FALSE)," ")," ")</f>
        <v xml:space="preserve"> </v>
      </c>
      <c r="AS22" s="268">
        <f>IFERROR(IF(C22=BD22,VLOOKUP(C22,Dato_Pesc!S:U,3,FALSE),0),0)</f>
        <v>0</v>
      </c>
      <c r="AT22" s="274" t="str">
        <f>IFERROR(IF(C22=BE22,VLOOKUP(C22,Dato_Pesc!AA:AC,2,FALSE)," ")," ")</f>
        <v xml:space="preserve"> </v>
      </c>
      <c r="AU22" s="244">
        <f>IFERROR(IF(C22=BE22,VLOOKUP(C22,Dato_Pesc!AA:AC,3,FALSE),0),0)</f>
        <v>0</v>
      </c>
      <c r="AV22" s="245" t="str">
        <f>IFERROR(IF(C22=BF22,VLOOKUP(C22,Dato_Pesc!AD:AF,2,FALSE)," ")," ")</f>
        <v xml:space="preserve"> </v>
      </c>
      <c r="AW22" s="303">
        <f>IFERROR(IF(C22=BF22,VLOOKUP(C22,Dato_Pesc!AD:AF,3,FALSE),0),0)</f>
        <v>0</v>
      </c>
      <c r="AX22" s="270">
        <f ca="1">IFERROR(ROUND(((SUMIF('$ NOCHE_PESC'!$B$4:$C$10,AL22,'$ NOCHE_PESC'!$C$4:$C$10))*AM22)+((SUMIF('$ NOCHE_PESC'!$B$4:$C$10,AN22,'$ NOCHE_PESC'!$C$4:$C$10))*AO22)+((SUMIF('$ NOCHE_PESC'!$B$4:$C$10,AP22,'$ NOCHE_PESC'!$C$4:$C$10))*AQ22)+((SUMIF('$ NOCHE_PESC'!$B$4:$C$10,AR22,'$ NOCHE_PESC'!$C$4:$C$10))*AS22)+((SUMIF('$ NOCHE_PESC'!$B$4:$C$10,AT22,'$ NOCHE_PESC'!$C$4:$C$10))*AU22)+((SUMIF('$ NOCHE_PESC'!$B$4:$C$10,AV22,'$ NOCHE_PESC'!$C$4:$C$10))*AW22),2),"")</f>
        <v>0</v>
      </c>
      <c r="AY22" s="278">
        <f t="shared" si="60"/>
        <v>0</v>
      </c>
      <c r="BA22" s="15" t="str">
        <f>IFERROR(IF(BB22=C22,BB22,VLOOKUP(C22,Dato_Pesc!$A$5:$J$68,5,0)),"")</f>
        <v/>
      </c>
      <c r="BB22" s="15" t="str">
        <f>IFERROR(VLOOKUP(C22,Dato_Pesc!$A$5:$J$68,8),"")</f>
        <v/>
      </c>
      <c r="BC22" s="15" t="str">
        <f>IFERROR(IF(BD22=C22,BD22,VLOOKUP(C22,Dato_Pesc!$L$5:$U$68,5,0)),"")</f>
        <v/>
      </c>
      <c r="BD22" s="15" t="str">
        <f>IFERROR(VLOOKUP(C22,Dato_Pesc!$L$5:$U$68,8),"")</f>
        <v/>
      </c>
      <c r="BE22" s="15" t="str">
        <f>IFERROR(IF(BF22=C22,BF22,VLOOKUP(C22,Dato_Pesc!$W$5:$AF$68,5,0)),"")</f>
        <v/>
      </c>
      <c r="BF22" s="15" t="str">
        <f>IFERROR(VLOOKUP(C22,Dato_Pesc!$W$5:$AF$68,8),"")</f>
        <v/>
      </c>
    </row>
    <row r="23" spans="2:58" ht="15.75" x14ac:dyDescent="0.25">
      <c r="B23" s="15">
        <f t="shared" si="10"/>
        <v>13</v>
      </c>
      <c r="C23" s="5" t="str">
        <f>IFERROR(VLOOKUP('Reporte Asistencia Laboral'!D23,EMPLEADO!C:Q,15,0),"")</f>
        <v>QUITO QUEVEDO JONATHAN GERMAN</v>
      </c>
      <c r="D23" s="6" t="str">
        <f>IF(AND(ISTEXT(EMPLEADO!C17)),EMPLEADO!C17,"")</f>
        <v>110577013-3</v>
      </c>
      <c r="E23" s="5" t="str">
        <f>IFERROR(VLOOKUP(D23,EMPLEADO!C:E,2,FALSE),"")</f>
        <v>DIARIO</v>
      </c>
      <c r="F23" s="7">
        <f>IFERROR(ROUND(VLOOKUP('Reporte Asistencia Laboral'!D23,EMPLEADO!C:AE,3,FALSE)/30*AD23,2),"")</f>
        <v>0</v>
      </c>
      <c r="G23" s="150"/>
      <c r="H23" s="150"/>
      <c r="I23" s="150"/>
      <c r="J23" s="150"/>
      <c r="K23" s="237"/>
      <c r="L23" s="237"/>
      <c r="M23" s="150"/>
      <c r="N23" s="150"/>
      <c r="O23" s="150"/>
      <c r="P23" s="150"/>
      <c r="Q23" s="150"/>
      <c r="R23" s="237"/>
      <c r="S23" s="237"/>
      <c r="T23" s="150"/>
      <c r="U23" s="150"/>
      <c r="V23" s="237"/>
      <c r="W23" s="71" t="str">
        <f t="shared" ref="W23:W25" si="61">IFERROR(IF($G$10="S",+G23,IF($G$10="D",+G23,0))+IF($H$10="S",+H23,IF($H$10="D",+H23,0))+IF($I$10="S",+I23,IF($I$10="D",+I23,0))+IF($J$10="S",+J23,IF($J$10="D",+J23,0))+IF($K$10="S",+K23,IF($K$10="D",+K23,0))+IF($L$10="S",+L23,IF($L$10="D",+L23,0))+IF($M$10="S",+M23,IF($M$10="D",+M23,0))+IF($N$10="S",+N23,IF($N$10="D",+N23,0))+IF($O$10="S",+O23,IF($O$10="D",+O23,0))+IF($P$10="S",+P23,IF($P$10="D",+P23,0))+IF($Q$10="S",+Q23,IF($Q$10="D",+Q23,0))+IF($R$10="S",+R23,IF($R$10="D",+R23,0))+IF($S$10="S",+S23,IF($S$10="D",+S23,0))+IF($T$10="S",+T23,IF($T$10="D",+T23,0))+IF($U$10="S",+U23,IF($U$10="D",+U23,0))+IF($V$10="S",+V23,IF($V$10="D",+V23,0)),"")</f>
        <v/>
      </c>
      <c r="X23" s="71">
        <f t="shared" ref="X23:X25" si="62">IF($G$6="F",G23,0)+IF($H$6="F",+H23,0)+IF($I$6="F",+I23,0)+IF($J$6="F",+J23,0)+IF($K$6="F",+K23,0)+IF($L$6="F",+L23,0)+IF($M$6="F",+M23,0)+IF($N$6="F",+N23,0)+IF($O$6="F",+O23,0)+IF($P$6="F",+P23,0)+IF($Q$6="F",+Q23,0)+IF($R$6="F",+R23,0)+IF($S$6="F",+S23,0)+IF($T$6="F",+T23,0)+IF($U$6="F",+U23,0)+IF($V$6="F",+V23,0)</f>
        <v>0</v>
      </c>
      <c r="Y23" s="94" t="str">
        <f t="shared" ref="Y23:Y25" si="63">IFERROR(IF($G$2="F",0,IF(G23&gt;8,G23-8,0))+IF($H$2="F",0,IF(H23&gt;8,H23-8,0))+IF($I$2="F",0,IF(I23&gt;8,I23-8,0))+IF($J$2="F",0,IF(J23&gt;8,J23-8,0))+IF($K$2="F",0,IF(K23&gt;8,K23-8,0))+IF($L$2="F",0,IF(L23&gt;8,L23-8,0))+IF($M$2="F",0,IF(M23&gt;8,M23-8,0))+IF($N$2="F",0,IF(N23&gt;8,N23-8,0))+IF($O$2="F",0,IF(O23&gt;8,O23-8,0))+IF($P$2="F",0,IF(P23&gt;8,P23-8,0))+IF($Q$2="F",0,IF(Q23&gt;8,Q23-8,0))+IF($R$2="F",0,IF(R23&gt;8,R23-8,0))+IF($S$2="F",0,IF(S23&gt;8,S23-8,0))+IF($T$2="F",0,IF(T23&gt;8,T23-8,0))+IF($U$2="F",0,IF(U23&gt;8,U23-8,0))+IF($V$2="F",0,IF(V23&gt;8,V23-8,0)),"")</f>
        <v/>
      </c>
      <c r="Z23" s="106"/>
      <c r="AA23" s="143"/>
      <c r="AB23" s="280" t="str">
        <f>IFERROR(VLOOKUP(C23,EMPLEADO!B:AD,29,0),"")</f>
        <v>GP1</v>
      </c>
      <c r="AC23" s="8">
        <f t="shared" ref="AC23:AC25" si="64">+SUM(G23:V23)</f>
        <v>0</v>
      </c>
      <c r="AD23" s="71">
        <f t="shared" ref="AD23:AD25" si="65">IF(COUNT(G23:V23)&gt;15,COUNT(G23:V23)-1,COUNT(G23:U23))+AA23</f>
        <v>0</v>
      </c>
      <c r="AE23" s="8" t="str">
        <f t="shared" ref="AE23:AE25" si="66">IFERROR(IF(Z23="N",0,Y23),"")</f>
        <v/>
      </c>
      <c r="AF23" s="44" t="str">
        <f t="shared" ref="AF23:AF25" si="67">IFERROR(IF(Z23="N",W23+X23+Y23,W23+X23),"")</f>
        <v/>
      </c>
      <c r="AG23" s="254">
        <f>IFERROR(VLOOKUP(C23,'CONTROL H.E.'!C:EQ,144,0),"")</f>
        <v>0</v>
      </c>
      <c r="AH23" s="254">
        <f>IFERROR(VLOOKUP(C23,'CONTROL H.E.'!C:EQ,145,0),"")</f>
        <v>0</v>
      </c>
      <c r="AI23" s="251">
        <f>IFERROR(VLOOKUP(C23,'CONTROL H.E. Transf.'!C:BK,60,0),"")</f>
        <v>0</v>
      </c>
      <c r="AJ23" s="251">
        <f>IFERROR(VLOOKUP(C23,'CONTROL H.E. Transf.'!C:BK,61,0),"")</f>
        <v>0</v>
      </c>
      <c r="AK23" s="258" t="str">
        <f>IFERROR(ROUND((VLOOKUP(D23,EMPLEADO!C:F,3,FALSE)/240*1.5*(AE23+AG23+AI23)+(VLOOKUP(D23,EMPLEADO!C:F,3,FALSE)/240*2*(AF23+AH23+AJ23))),2),"")</f>
        <v/>
      </c>
      <c r="AL23" s="262" t="str">
        <f>IFERROR(IF(C23=BA23,VLOOKUP(C23,Dato_Pesc!E:G,2,FALSE)," ")," ")</f>
        <v xml:space="preserve"> </v>
      </c>
      <c r="AM23" s="240">
        <f>IFERROR(IF(C23=BA23,VLOOKUP(C23,Dato_Pesc!E:G,3,FALSE),0),0)</f>
        <v>0</v>
      </c>
      <c r="AN23" s="241" t="str">
        <f>IFERROR(IF(C23=BB23,VLOOKUP(C23,Dato_Pesc!H:J,2,FALSE)," ")," ")</f>
        <v xml:space="preserve"> </v>
      </c>
      <c r="AO23" s="263">
        <f>IFERROR(IF(C23=BB23,VLOOKUP(C23,Dato_Pesc!H:J,3,FALSE),0),0)</f>
        <v>0</v>
      </c>
      <c r="AP23" s="267" t="str">
        <f>IFERROR(IF(C23=BC23,VLOOKUP(C23,Dato_Pesc!P:R,2,FALSE)," ")," ")</f>
        <v xml:space="preserve"> </v>
      </c>
      <c r="AQ23" s="242">
        <f>IFERROR(IF(C23=BC23,VLOOKUP(C23,Dato_Pesc!P:R,3,FALSE),0),0)</f>
        <v>0</v>
      </c>
      <c r="AR23" s="243" t="str">
        <f>IFERROR(IF(C23=BD23,VLOOKUP(C23,Dato_Pesc!S:U,2,FALSE)," ")," ")</f>
        <v xml:space="preserve"> </v>
      </c>
      <c r="AS23" s="268">
        <f>IFERROR(IF(C23=BD23,VLOOKUP(C23,Dato_Pesc!S:U,3,FALSE),0),0)</f>
        <v>0</v>
      </c>
      <c r="AT23" s="274" t="str">
        <f>IFERROR(IF(C23=BE23,VLOOKUP(C23,Dato_Pesc!AA:AC,2,FALSE)," ")," ")</f>
        <v xml:space="preserve"> </v>
      </c>
      <c r="AU23" s="244">
        <f>IFERROR(IF(C23=BE23,VLOOKUP(C23,Dato_Pesc!AA:AC,3,FALSE),0),0)</f>
        <v>0</v>
      </c>
      <c r="AV23" s="245" t="str">
        <f>IFERROR(IF(C23=BF23,VLOOKUP(C23,Dato_Pesc!AD:AF,2,FALSE)," ")," ")</f>
        <v xml:space="preserve"> </v>
      </c>
      <c r="AW23" s="303">
        <f>IFERROR(IF(C23=BF23,VLOOKUP(C23,Dato_Pesc!AD:AF,3,FALSE),0),0)</f>
        <v>0</v>
      </c>
      <c r="AX23" s="270">
        <f ca="1">IFERROR(ROUND(((SUMIF('$ NOCHE_PESC'!$B$4:$C$10,AL23,'$ NOCHE_PESC'!$C$4:$C$10))*AM23)+((SUMIF('$ NOCHE_PESC'!$B$4:$C$10,AN23,'$ NOCHE_PESC'!$C$4:$C$10))*AO23)+((SUMIF('$ NOCHE_PESC'!$B$4:$C$10,AP23,'$ NOCHE_PESC'!$C$4:$C$10))*AQ23)+((SUMIF('$ NOCHE_PESC'!$B$4:$C$10,AR23,'$ NOCHE_PESC'!$C$4:$C$10))*AS23)+((SUMIF('$ NOCHE_PESC'!$B$4:$C$10,AT23,'$ NOCHE_PESC'!$C$4:$C$10))*AU23)+((SUMIF('$ NOCHE_PESC'!$B$4:$C$10,AV23,'$ NOCHE_PESC'!$C$4:$C$10))*AW23),2),"")</f>
        <v>0</v>
      </c>
      <c r="AY23" s="278">
        <f t="shared" ref="AY23:AY25" si="68">SUM(AM23+AO23+AQ23+AS23+AU23+AW23)</f>
        <v>0</v>
      </c>
      <c r="BA23" s="15" t="str">
        <f>IFERROR(IF(BB23=C23,BB23,VLOOKUP(C23,Dato_Pesc!$A$5:$J$68,5,0)),"")</f>
        <v/>
      </c>
      <c r="BB23" s="15" t="str">
        <f>IFERROR(VLOOKUP(C23,Dato_Pesc!$A$5:$J$68,8),"")</f>
        <v/>
      </c>
      <c r="BC23" s="15" t="str">
        <f>IFERROR(IF(BD23=C23,BD23,VLOOKUP(C23,Dato_Pesc!$L$5:$U$68,5,0)),"")</f>
        <v/>
      </c>
      <c r="BD23" s="15" t="str">
        <f>IFERROR(VLOOKUP(C23,Dato_Pesc!$L$5:$U$68,8),"")</f>
        <v/>
      </c>
      <c r="BE23" s="15" t="str">
        <f>IFERROR(IF(BF23=C23,BF23,VLOOKUP(C23,Dato_Pesc!$W$5:$AF$68,5,0)),"")</f>
        <v/>
      </c>
      <c r="BF23" s="15" t="str">
        <f>IFERROR(VLOOKUP(C23,Dato_Pesc!$W$5:$AF$68,8),"")</f>
        <v/>
      </c>
    </row>
    <row r="24" spans="2:58" ht="15.75" x14ac:dyDescent="0.25">
      <c r="B24" s="15">
        <f t="shared" si="10"/>
        <v>14</v>
      </c>
      <c r="C24" s="5" t="str">
        <f>IFERROR(VLOOKUP('Reporte Asistencia Laboral'!D24,EMPLEADO!C:Q,15,0),"")</f>
        <v>CABRERA PASACA JONATHAN EDUARDO</v>
      </c>
      <c r="D24" s="6" t="str">
        <f>IF(AND(ISTEXT(EMPLEADO!C18)),EMPLEADO!C18,"")</f>
        <v>110576859-0</v>
      </c>
      <c r="E24" s="5" t="str">
        <f>IFERROR(VLOOKUP(D24,EMPLEADO!C:E,2,FALSE),"")</f>
        <v>DIARIO</v>
      </c>
      <c r="F24" s="7">
        <f>IFERROR(ROUND(VLOOKUP('Reporte Asistencia Laboral'!D24,EMPLEADO!C:AE,3,FALSE)/30*AD24,2),"")</f>
        <v>0</v>
      </c>
      <c r="G24" s="150"/>
      <c r="H24" s="150"/>
      <c r="I24" s="150"/>
      <c r="J24" s="150"/>
      <c r="K24" s="237"/>
      <c r="L24" s="237"/>
      <c r="M24" s="150"/>
      <c r="N24" s="150"/>
      <c r="O24" s="150"/>
      <c r="P24" s="150"/>
      <c r="Q24" s="150"/>
      <c r="R24" s="237"/>
      <c r="S24" s="237"/>
      <c r="T24" s="150"/>
      <c r="U24" s="150"/>
      <c r="V24" s="237"/>
      <c r="W24" s="71" t="str">
        <f t="shared" si="61"/>
        <v/>
      </c>
      <c r="X24" s="71">
        <f t="shared" si="62"/>
        <v>0</v>
      </c>
      <c r="Y24" s="94" t="str">
        <f t="shared" si="63"/>
        <v/>
      </c>
      <c r="Z24" s="106"/>
      <c r="AA24" s="143"/>
      <c r="AB24" s="280" t="str">
        <f>IFERROR(VLOOKUP(C24,EMPLEADO!B:AD,29,0),"")</f>
        <v>GP2</v>
      </c>
      <c r="AC24" s="8">
        <f t="shared" si="64"/>
        <v>0</v>
      </c>
      <c r="AD24" s="71">
        <f t="shared" si="65"/>
        <v>0</v>
      </c>
      <c r="AE24" s="8" t="str">
        <f t="shared" si="66"/>
        <v/>
      </c>
      <c r="AF24" s="44" t="str">
        <f t="shared" si="67"/>
        <v/>
      </c>
      <c r="AG24" s="254">
        <f>IFERROR(VLOOKUP(C24,'CONTROL H.E.'!C:EQ,144,0),"")</f>
        <v>0</v>
      </c>
      <c r="AH24" s="254">
        <f>IFERROR(VLOOKUP(C24,'CONTROL H.E.'!C:EQ,145,0),"")</f>
        <v>0</v>
      </c>
      <c r="AI24" s="251">
        <f>IFERROR(VLOOKUP(C24,'CONTROL H.E. Transf.'!C:BK,60,0),"")</f>
        <v>0</v>
      </c>
      <c r="AJ24" s="251">
        <f>IFERROR(VLOOKUP(C24,'CONTROL H.E. Transf.'!C:BK,61,0),"")</f>
        <v>0</v>
      </c>
      <c r="AK24" s="258" t="str">
        <f>IFERROR(ROUND((VLOOKUP(D24,EMPLEADO!C:F,3,FALSE)/240*1.5*(AE24+AG24+AI24)+(VLOOKUP(D24,EMPLEADO!C:F,3,FALSE)/240*2*(AF24+AH24+AJ24))),2),"")</f>
        <v/>
      </c>
      <c r="AL24" s="262" t="str">
        <f>IFERROR(IF(C24=BA24,VLOOKUP(C24,Dato_Pesc!E:G,2,FALSE)," ")," ")</f>
        <v xml:space="preserve"> </v>
      </c>
      <c r="AM24" s="240">
        <f>IFERROR(IF(C24=BA24,VLOOKUP(C24,Dato_Pesc!E:G,3,FALSE),0),0)</f>
        <v>0</v>
      </c>
      <c r="AN24" s="241" t="str">
        <f>IFERROR(IF(C24=BB24,VLOOKUP(C24,Dato_Pesc!H:J,2,FALSE)," ")," ")</f>
        <v xml:space="preserve"> </v>
      </c>
      <c r="AO24" s="263">
        <f>IFERROR(IF(C24=BB24,VLOOKUP(C24,Dato_Pesc!H:J,3,FALSE),0),0)</f>
        <v>0</v>
      </c>
      <c r="AP24" s="267" t="str">
        <f>IFERROR(IF(C24=BC24,VLOOKUP(C24,Dato_Pesc!P:R,2,FALSE)," ")," ")</f>
        <v xml:space="preserve"> </v>
      </c>
      <c r="AQ24" s="242">
        <f>IFERROR(IF(C24=BC24,VLOOKUP(C24,Dato_Pesc!P:R,3,FALSE),0),0)</f>
        <v>0</v>
      </c>
      <c r="AR24" s="243" t="str">
        <f>IFERROR(IF(C24=BD24,VLOOKUP(C24,Dato_Pesc!S:U,2,FALSE)," ")," ")</f>
        <v xml:space="preserve"> </v>
      </c>
      <c r="AS24" s="268">
        <f>IFERROR(IF(C24=BD24,VLOOKUP(C24,Dato_Pesc!S:U,3,FALSE),0),0)</f>
        <v>0</v>
      </c>
      <c r="AT24" s="274" t="str">
        <f>IFERROR(IF(C24=BE24,VLOOKUP(C24,Dato_Pesc!AA:AC,2,FALSE)," ")," ")</f>
        <v xml:space="preserve"> </v>
      </c>
      <c r="AU24" s="244">
        <f>IFERROR(IF(C24=BE24,VLOOKUP(C24,Dato_Pesc!AA:AC,3,FALSE),0),0)</f>
        <v>0</v>
      </c>
      <c r="AV24" s="245" t="str">
        <f>IFERROR(IF(C24=BF24,VLOOKUP(C24,Dato_Pesc!AD:AF,2,FALSE)," ")," ")</f>
        <v xml:space="preserve"> </v>
      </c>
      <c r="AW24" s="303">
        <f>IFERROR(IF(C24=BF24,VLOOKUP(C24,Dato_Pesc!AD:AF,3,FALSE),0),0)</f>
        <v>0</v>
      </c>
      <c r="AX24" s="270">
        <f ca="1">IFERROR(ROUND(((SUMIF('$ NOCHE_PESC'!$B$4:$C$10,AL24,'$ NOCHE_PESC'!$C$4:$C$10))*AM24)+((SUMIF('$ NOCHE_PESC'!$B$4:$C$10,AN24,'$ NOCHE_PESC'!$C$4:$C$10))*AO24)+((SUMIF('$ NOCHE_PESC'!$B$4:$C$10,AP24,'$ NOCHE_PESC'!$C$4:$C$10))*AQ24)+((SUMIF('$ NOCHE_PESC'!$B$4:$C$10,AR24,'$ NOCHE_PESC'!$C$4:$C$10))*AS24)+((SUMIF('$ NOCHE_PESC'!$B$4:$C$10,AT24,'$ NOCHE_PESC'!$C$4:$C$10))*AU24)+((SUMIF('$ NOCHE_PESC'!$B$4:$C$10,AV24,'$ NOCHE_PESC'!$C$4:$C$10))*AW24),2),"")</f>
        <v>0</v>
      </c>
      <c r="AY24" s="278">
        <f t="shared" si="68"/>
        <v>0</v>
      </c>
      <c r="BA24" s="15" t="str">
        <f>IFERROR(IF(BB24=C24,BB24,VLOOKUP(C24,Dato_Pesc!$A$5:$J$68,5,0)),"")</f>
        <v/>
      </c>
      <c r="BB24" s="15" t="str">
        <f>IFERROR(VLOOKUP(C24,Dato_Pesc!$A$5:$J$68,8),"")</f>
        <v/>
      </c>
      <c r="BC24" s="15" t="str">
        <f>IFERROR(IF(BD24=C24,BD24,VLOOKUP(C24,Dato_Pesc!$L$5:$U$68,5,0)),"")</f>
        <v/>
      </c>
      <c r="BD24" s="15" t="str">
        <f>IFERROR(VLOOKUP(C24,Dato_Pesc!$L$5:$U$68,8),"")</f>
        <v/>
      </c>
      <c r="BE24" s="15" t="str">
        <f>IFERROR(IF(BF24=C24,BF24,VLOOKUP(C24,Dato_Pesc!$W$5:$AF$68,5,0)),"")</f>
        <v/>
      </c>
      <c r="BF24" s="15" t="str">
        <f>IFERROR(VLOOKUP(C24,Dato_Pesc!$W$5:$AF$68,8),"")</f>
        <v/>
      </c>
    </row>
    <row r="25" spans="2:58" ht="15.75" x14ac:dyDescent="0.25">
      <c r="B25" s="15">
        <f t="shared" si="10"/>
        <v>15</v>
      </c>
      <c r="C25" s="5" t="str">
        <f>IFERROR(VLOOKUP('Reporte Asistencia Laboral'!D25,EMPLEADO!C:Q,15,0),"")</f>
        <v/>
      </c>
      <c r="D25" s="6" t="str">
        <f>IF(AND(ISTEXT(EMPLEADO!C19)),EMPLEADO!C19,"")</f>
        <v/>
      </c>
      <c r="E25" s="5" t="str">
        <f>IFERROR(VLOOKUP(D25,EMPLEADO!C:E,2,FALSE),"")</f>
        <v/>
      </c>
      <c r="F25" s="7" t="str">
        <f>IFERROR(ROUND(VLOOKUP('Reporte Asistencia Laboral'!D25,EMPLEADO!C:AE,3,FALSE)/30*AD25,2),"")</f>
        <v/>
      </c>
      <c r="G25" s="150"/>
      <c r="H25" s="150"/>
      <c r="I25" s="150"/>
      <c r="J25" s="150"/>
      <c r="K25" s="237"/>
      <c r="L25" s="237"/>
      <c r="M25" s="150"/>
      <c r="N25" s="150"/>
      <c r="O25" s="150"/>
      <c r="P25" s="150"/>
      <c r="Q25" s="150"/>
      <c r="R25" s="237"/>
      <c r="S25" s="237"/>
      <c r="T25" s="150"/>
      <c r="U25" s="150"/>
      <c r="V25" s="237"/>
      <c r="W25" s="71" t="str">
        <f t="shared" si="61"/>
        <v/>
      </c>
      <c r="X25" s="71">
        <f t="shared" si="62"/>
        <v>0</v>
      </c>
      <c r="Y25" s="94" t="str">
        <f t="shared" si="63"/>
        <v/>
      </c>
      <c r="Z25" s="106"/>
      <c r="AA25" s="143"/>
      <c r="AB25" s="280" t="str">
        <f>IFERROR(VLOOKUP(C25,EMPLEADO!B:AD,29,0),"")</f>
        <v/>
      </c>
      <c r="AC25" s="8">
        <f t="shared" si="64"/>
        <v>0</v>
      </c>
      <c r="AD25" s="71">
        <f t="shared" si="65"/>
        <v>0</v>
      </c>
      <c r="AE25" s="8" t="str">
        <f t="shared" si="66"/>
        <v/>
      </c>
      <c r="AF25" s="44" t="str">
        <f t="shared" si="67"/>
        <v/>
      </c>
      <c r="AG25" s="254">
        <f>IFERROR(VLOOKUP(C25,'CONTROL H.E.'!C:EQ,144,0),"")</f>
        <v>0</v>
      </c>
      <c r="AH25" s="254">
        <f>IFERROR(VLOOKUP(C25,'CONTROL H.E.'!C:EQ,145,0),"")</f>
        <v>0</v>
      </c>
      <c r="AI25" s="251">
        <f>IFERROR(VLOOKUP(C25,'CONTROL H.E. Transf.'!C:BK,60,0),"")</f>
        <v>0</v>
      </c>
      <c r="AJ25" s="251">
        <f>IFERROR(VLOOKUP(C25,'CONTROL H.E. Transf.'!C:BK,61,0),"")</f>
        <v>0</v>
      </c>
      <c r="AK25" s="258" t="str">
        <f>IFERROR(ROUND((VLOOKUP(D25,EMPLEADO!C:F,3,FALSE)/240*1.5*(AE25+AG25+AI25)+(VLOOKUP(D25,EMPLEADO!C:F,3,FALSE)/240*2*(AF25+AH25+AJ25))),2),"")</f>
        <v/>
      </c>
      <c r="AL25" s="262" t="str">
        <f>IFERROR(IF(C25=BA25,VLOOKUP(C25,Dato_Pesc!E:G,2,FALSE)," ")," ")</f>
        <v xml:space="preserve"> </v>
      </c>
      <c r="AM25" s="240">
        <f>IFERROR(IF(C25=BA25,VLOOKUP(C25,Dato_Pesc!E:G,3,FALSE),0),0)</f>
        <v>0</v>
      </c>
      <c r="AN25" s="241" t="str">
        <f>IFERROR(IF(C25=BB25,VLOOKUP(C25,Dato_Pesc!H:J,2,FALSE)," ")," ")</f>
        <v xml:space="preserve"> </v>
      </c>
      <c r="AO25" s="263">
        <f>IFERROR(IF(C25=BB25,VLOOKUP(C25,Dato_Pesc!H:J,3,FALSE),0),0)</f>
        <v>0</v>
      </c>
      <c r="AP25" s="267" t="str">
        <f>IFERROR(IF(C25=BC25,VLOOKUP(C25,Dato_Pesc!P:R,2,FALSE)," ")," ")</f>
        <v xml:space="preserve"> </v>
      </c>
      <c r="AQ25" s="242">
        <f>IFERROR(IF(C25=BC25,VLOOKUP(C25,Dato_Pesc!P:R,3,FALSE),0),0)</f>
        <v>0</v>
      </c>
      <c r="AR25" s="243" t="str">
        <f>IFERROR(IF(C25=BD25,VLOOKUP(C25,Dato_Pesc!S:U,2,FALSE)," ")," ")</f>
        <v xml:space="preserve"> </v>
      </c>
      <c r="AS25" s="268">
        <f>IFERROR(IF(C25=BD25,VLOOKUP(C25,Dato_Pesc!S:U,3,FALSE),0),0)</f>
        <v>0</v>
      </c>
      <c r="AT25" s="274" t="str">
        <f>IFERROR(IF(C25=BE25,VLOOKUP(C25,Dato_Pesc!AA:AC,2,FALSE)," ")," ")</f>
        <v xml:space="preserve"> </v>
      </c>
      <c r="AU25" s="244">
        <f>IFERROR(IF(C25=BE25,VLOOKUP(C25,Dato_Pesc!AA:AC,3,FALSE),0),0)</f>
        <v>0</v>
      </c>
      <c r="AV25" s="245" t="str">
        <f>IFERROR(IF(C25=BF25,VLOOKUP(C25,Dato_Pesc!AD:AF,2,FALSE)," ")," ")</f>
        <v xml:space="preserve"> </v>
      </c>
      <c r="AW25" s="303">
        <f>IFERROR(IF(C25=BF25,VLOOKUP(C25,Dato_Pesc!AD:AF,3,FALSE),0),0)</f>
        <v>0</v>
      </c>
      <c r="AX25" s="270">
        <f ca="1">IFERROR(ROUND(((SUMIF('$ NOCHE_PESC'!$B$4:$C$10,AL25,'$ NOCHE_PESC'!$C$4:$C$10))*AM25)+((SUMIF('$ NOCHE_PESC'!$B$4:$C$10,AN25,'$ NOCHE_PESC'!$C$4:$C$10))*AO25)+((SUMIF('$ NOCHE_PESC'!$B$4:$C$10,AP25,'$ NOCHE_PESC'!$C$4:$C$10))*AQ25)+((SUMIF('$ NOCHE_PESC'!$B$4:$C$10,AR25,'$ NOCHE_PESC'!$C$4:$C$10))*AS25)+((SUMIF('$ NOCHE_PESC'!$B$4:$C$10,AT25,'$ NOCHE_PESC'!$C$4:$C$10))*AU25)+((SUMIF('$ NOCHE_PESC'!$B$4:$C$10,AV25,'$ NOCHE_PESC'!$C$4:$C$10))*AW25),2),"")</f>
        <v>0</v>
      </c>
      <c r="AY25" s="278">
        <f t="shared" si="68"/>
        <v>0</v>
      </c>
      <c r="BA25" s="15" t="str">
        <f>IFERROR(IF(BB25=C25,BB25,VLOOKUP(C25,Dato_Pesc!$A$5:$J$68,5,0)),"")</f>
        <v/>
      </c>
      <c r="BB25" s="15" t="str">
        <f>IFERROR(VLOOKUP(C25,Dato_Pesc!$A$5:$J$68,8),"")</f>
        <v/>
      </c>
      <c r="BC25" s="15" t="str">
        <f>IFERROR(IF(BD25=C25,BD25,VLOOKUP(C25,Dato_Pesc!$L$5:$U$68,5,0)),"")</f>
        <v/>
      </c>
      <c r="BD25" s="15" t="str">
        <f>IFERROR(VLOOKUP(C25,Dato_Pesc!$L$5:$U$68,8),"")</f>
        <v/>
      </c>
      <c r="BE25" s="15" t="str">
        <f>IFERROR(IF(BF25=C25,BF25,VLOOKUP(C25,Dato_Pesc!$W$5:$AF$68,5,0)),"")</f>
        <v/>
      </c>
      <c r="BF25" s="15" t="str">
        <f>IFERROR(VLOOKUP(C25,Dato_Pesc!$W$5:$AF$68,8),"")</f>
        <v/>
      </c>
    </row>
    <row r="26" spans="2:58" ht="16.5" thickBot="1" x14ac:dyDescent="0.3">
      <c r="F26" s="7" t="str">
        <f>IFERROR(ROUND(VLOOKUP('Reporte Asistencia Laboral'!D26,EMPLEADO!C:AE,3,FALSE)/30*AD26,2),"")</f>
        <v/>
      </c>
      <c r="G26" s="150"/>
      <c r="H26" s="150"/>
      <c r="I26" s="150"/>
      <c r="J26" s="150"/>
      <c r="K26" s="237"/>
      <c r="L26" s="237"/>
      <c r="M26" s="150"/>
      <c r="N26" s="150"/>
      <c r="O26" s="150"/>
      <c r="P26" s="150"/>
      <c r="Q26" s="150"/>
      <c r="R26" s="237"/>
      <c r="S26" s="237"/>
      <c r="T26" s="150"/>
      <c r="U26" s="150"/>
      <c r="V26" s="237"/>
      <c r="W26" s="71" t="str">
        <f t="shared" ref="W26" si="69">IFERROR(IF($G$10="S",+G26,IF($G$10="D",+G26,0))+IF($H$10="S",+H26,IF($H$10="D",+H26,0))+IF($I$10="S",+I26,IF($I$10="D",+I26,0))+IF($J$10="S",+J26,IF($J$10="D",+J26,0))+IF($K$10="S",+K26,IF($K$10="D",+K26,0))+IF($L$10="S",+L26,IF($L$10="D",+L26,0))+IF($M$10="S",+M26,IF($M$10="D",+M26,0))+IF($N$10="S",+N26,IF($N$10="D",+N26,0))+IF($O$10="S",+O26,IF($O$10="D",+O26,0))+IF($P$10="S",+P26,IF($P$10="D",+P26,0))+IF($Q$10="S",+Q26,IF($Q$10="D",+Q26,0))+IF($R$10="S",+R26,IF($R$10="D",+R26,0))+IF($S$10="S",+S26,IF($S$10="D",+S26,0))+IF($T$10="S",+T26,IF($T$10="D",+T26,0))+IF($U$10="S",+U26,IF($U$10="D",+U26,0))+IF($V$10="S",+V26,IF($V$10="D",+V26,0)),"")</f>
        <v/>
      </c>
      <c r="X26" s="71">
        <f t="shared" ref="X26" si="70">IF($G$6="F",G26,0)+IF($H$6="F",+H26,0)+IF($I$6="F",+I26,0)+IF($J$6="F",+J26,0)+IF($K$6="F",+K26,0)+IF($L$6="F",+L26,0)+IF($M$6="F",+M26,0)+IF($N$6="F",+N26,0)+IF($O$6="F",+O26,0)+IF($P$6="F",+P26,0)+IF($Q$6="F",+Q26,0)+IF($R$6="F",+R26,0)+IF($S$6="F",+S26,0)+IF($T$6="F",+T26,0)+IF($U$6="F",+U26,0)+IF($V$6="F",+V26,0)</f>
        <v>0</v>
      </c>
      <c r="Y26" s="94" t="str">
        <f t="shared" ref="Y26" si="71">IFERROR(IF($G$2="F",0,IF(G26&gt;8,G26-8,0))+IF($H$2="F",0,IF(H26&gt;8,H26-8,0))+IF($I$2="F",0,IF(I26&gt;8,I26-8,0))+IF($J$2="F",0,IF(J26&gt;8,J26-8,0))+IF($K$2="F",0,IF(K26&gt;8,K26-8,0))+IF($L$2="F",0,IF(L26&gt;8,L26-8,0))+IF($M$2="F",0,IF(M26&gt;8,M26-8,0))+IF($N$2="F",0,IF(N26&gt;8,N26-8,0))+IF($O$2="F",0,IF(O26&gt;8,O26-8,0))+IF($P$2="F",0,IF(P26&gt;8,P26-8,0))+IF($Q$2="F",0,IF(Q26&gt;8,Q26-8,0))+IF($R$2="F",0,IF(R26&gt;8,R26-8,0))+IF($S$2="F",0,IF(S26&gt;8,S26-8,0))+IF($T$2="F",0,IF(T26&gt;8,T26-8,0))+IF($U$2="F",0,IF(U26&gt;8,U26-8,0))+IF($V$2="F",0,IF(V26&gt;8,V26-8,0)),"")</f>
        <v/>
      </c>
      <c r="Z26" s="106"/>
      <c r="AA26" s="143"/>
      <c r="AB26" s="280" t="str">
        <f>IFERROR(VLOOKUP(C26,EMPLEADO!B:AD,29,0),"")</f>
        <v/>
      </c>
      <c r="AC26" s="8">
        <f t="shared" ref="AC26" si="72">+SUM(G26:V26)</f>
        <v>0</v>
      </c>
      <c r="AD26" s="71">
        <f t="shared" ref="AD26" si="73">IF(COUNT(G26:V26)&gt;15,COUNT(G26:V26)-1,COUNT(G26:U26))+AA26</f>
        <v>0</v>
      </c>
      <c r="AE26" s="8" t="str">
        <f t="shared" ref="AE26" si="74">IFERROR(IF(Z26="N",0,Y26),"")</f>
        <v/>
      </c>
      <c r="AF26" s="44" t="str">
        <f t="shared" ref="AF26" si="75">IFERROR(IF(Z26="N",W26+X26+Y26,W26+X26),"")</f>
        <v/>
      </c>
      <c r="AG26" s="254" t="str">
        <f>IFERROR(VLOOKUP(C26,'CONTROL H.E.'!C:EQ,144,0),"")</f>
        <v/>
      </c>
      <c r="AH26" s="254" t="str">
        <f>IFERROR(VLOOKUP(C26,'CONTROL H.E.'!C:EQ,145,0),"")</f>
        <v/>
      </c>
      <c r="AI26" s="251">
        <f>IFERROR(VLOOKUP(C26,'CONTROL H.E. Transf.'!C:BK,60,0),"")</f>
        <v>0</v>
      </c>
      <c r="AJ26" s="251">
        <f>IFERROR(VLOOKUP(C26,'CONTROL H.E. Transf.'!C:BK,61,0),"")</f>
        <v>0</v>
      </c>
      <c r="AK26" s="258" t="str">
        <f>IFERROR(ROUND((VLOOKUP(D26,EMPLEADO!C:F,3,FALSE)/240*1.5*(AE26+AG26+AI26)+(VLOOKUP(D26,EMPLEADO!C:F,3,FALSE)/240*2*(AF26+AH26+AJ26))),2),"")</f>
        <v/>
      </c>
      <c r="AL26" s="285">
        <f>IFERROR(IF(C26=BA26,VLOOKUP(C26,Dato_Pesc!E:G,2,FALSE)," ")," ")</f>
        <v>0</v>
      </c>
      <c r="AM26" s="286">
        <f>IFERROR(IF(C26=BA26,VLOOKUP(C26,Dato_Pesc!E:G,3,FALSE),0),0)</f>
        <v>0</v>
      </c>
      <c r="AN26" s="287">
        <f>IFERROR(IF(C26=BB26,VLOOKUP(C26,Dato_Pesc!H:J,2,FALSE)," ")," ")</f>
        <v>0</v>
      </c>
      <c r="AO26" s="288">
        <f>IFERROR(IF(C26=BB26,VLOOKUP(C26,Dato_Pesc!H:J,3,FALSE),0),0)</f>
        <v>0</v>
      </c>
      <c r="AP26" s="289">
        <f>IFERROR(IF(C26=BC26,VLOOKUP(C26,Dato_Pesc!P:R,2,FALSE)," ")," ")</f>
        <v>0</v>
      </c>
      <c r="AQ26" s="290">
        <f>IFERROR(IF(C26=BC26,VLOOKUP(C26,Dato_Pesc!P:R,3,FALSE),0),0)</f>
        <v>0</v>
      </c>
      <c r="AR26" s="291">
        <f>IFERROR(IF(C26=BD26,VLOOKUP(C26,Dato_Pesc!S:U,2,FALSE)," ")," ")</f>
        <v>0</v>
      </c>
      <c r="AS26" s="292">
        <f>IFERROR(IF(C26=BD26,VLOOKUP(C26,Dato_Pesc!S:U,3,FALSE),0),0)</f>
        <v>0</v>
      </c>
      <c r="AT26" s="293">
        <f>IFERROR(IF(C26=BE26,VLOOKUP(C26,Dato_Pesc!AA:AC,2,FALSE)," ")," ")</f>
        <v>0</v>
      </c>
      <c r="AU26" s="294">
        <f>IFERROR(IF(C26=BE26,VLOOKUP(C26,Dato_Pesc!AA:AC,3,FALSE),0),0)</f>
        <v>0</v>
      </c>
      <c r="AV26" s="295">
        <f>IFERROR(IF(C26=BF26,VLOOKUP(C26,Dato_Pesc!AD:AF,2,FALSE)," ")," ")</f>
        <v>0</v>
      </c>
      <c r="AW26" s="276">
        <f>IFERROR(IF(C26=BF26,VLOOKUP(C26,Dato_Pesc!AD:AF,3,FALSE),0),0)</f>
        <v>0</v>
      </c>
      <c r="AX26" s="270">
        <f ca="1">IFERROR(ROUND(((SUMIF('$ NOCHE_PESC'!$B$4:$C$10,AL26,'$ NOCHE_PESC'!$C$4:$C$10))*AM26)+((SUMIF('$ NOCHE_PESC'!$B$4:$C$10,AN26,'$ NOCHE_PESC'!$C$4:$C$10))*AO26)+((SUMIF('$ NOCHE_PESC'!$B$4:$C$10,AP26,'$ NOCHE_PESC'!$C$4:$C$10))*AQ26)+((SUMIF('$ NOCHE_PESC'!$B$4:$C$10,AR26,'$ NOCHE_PESC'!$C$4:$C$10))*AS26)+((SUMIF('$ NOCHE_PESC'!$B$4:$C$10,AT26,'$ NOCHE_PESC'!$C$4:$C$10))*AU26)+((SUMIF('$ NOCHE_PESC'!$B$4:$C$10,AV26,'$ NOCHE_PESC'!$C$4:$C$10))*AW26),2),"")</f>
        <v>0</v>
      </c>
      <c r="AY26" s="278">
        <f t="shared" ref="AY26" si="76">SUM(AM26+AO26+AQ26+AS26+AU26+AW26)</f>
        <v>0</v>
      </c>
    </row>
  </sheetData>
  <sheetProtection selectLockedCells="1"/>
  <autoFilter ref="AA10:AB14"/>
  <dataConsolidate/>
  <mergeCells count="13">
    <mergeCell ref="AX9:AY9"/>
    <mergeCell ref="C3:E3"/>
    <mergeCell ref="C4:E4"/>
    <mergeCell ref="AG9:AH9"/>
    <mergeCell ref="G9:V9"/>
    <mergeCell ref="AI9:AK9"/>
    <mergeCell ref="AM7:AP7"/>
    <mergeCell ref="AQ7:AT7"/>
    <mergeCell ref="AU7:AW7"/>
    <mergeCell ref="AL9:AO9"/>
    <mergeCell ref="AP9:AS9"/>
    <mergeCell ref="AT9:AW9"/>
    <mergeCell ref="G5:V5"/>
  </mergeCells>
  <conditionalFormatting sqref="AM11:AM26 AO11:AO26 AW11:AW26 AU11:AU26 AQ11:AQ26 AS11:AS26">
    <cfRule type="cellIs" dxfId="165" priority="22" operator="equal">
      <formula>0</formula>
    </cfRule>
  </conditionalFormatting>
  <conditionalFormatting sqref="G10:U10">
    <cfRule type="containsText" dxfId="164" priority="19" operator="containsText" text="D">
      <formula>NOT(ISERROR(SEARCH("D",G10)))</formula>
    </cfRule>
    <cfRule type="containsText" dxfId="163" priority="20" operator="containsText" text="S">
      <formula>NOT(ISERROR(SEARCH("S",G10)))</formula>
    </cfRule>
  </conditionalFormatting>
  <conditionalFormatting sqref="G6:U6">
    <cfRule type="containsText" dxfId="162" priority="18" operator="containsText" text="F">
      <formula>NOT(ISERROR(SEARCH("F",G6)))</formula>
    </cfRule>
  </conditionalFormatting>
  <conditionalFormatting sqref="AL11:AW26">
    <cfRule type="containsBlanks" dxfId="161" priority="3">
      <formula>LEN(TRIM(AL11))=0</formula>
    </cfRule>
  </conditionalFormatting>
  <conditionalFormatting sqref="AB11:AB26">
    <cfRule type="containsText" dxfId="160" priority="1" operator="containsText" text="GP2">
      <formula>NOT(ISERROR(SEARCH("GP2",AB11)))</formula>
    </cfRule>
    <cfRule type="containsText" dxfId="159" priority="2" operator="containsText" text="GP1">
      <formula>NOT(ISERROR(SEARCH("GP1",AB11)))</formula>
    </cfRule>
  </conditionalFormatting>
  <pageMargins left="0.12" right="0" top="1.1023622047244095" bottom="0.74803149606299213" header="0" footer="0"/>
  <pageSetup paperSize="9" scale="65" orientation="landscape" horizontalDpi="4294967293" verticalDpi="72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B0F0"/>
  </sheetPr>
  <dimension ref="A1:FB29"/>
  <sheetViews>
    <sheetView topLeftCell="B1" zoomScale="70" zoomScaleNormal="70" workbookViewId="0">
      <pane xSplit="4" ySplit="9" topLeftCell="DP16" activePane="bottomRight" state="frozen"/>
      <selection activeCell="D22" sqref="D22"/>
      <selection pane="topRight" activeCell="D22" sqref="D22"/>
      <selection pane="bottomLeft" activeCell="D22" sqref="D22"/>
      <selection pane="bottomRight" activeCell="B23" sqref="B23:EQ24"/>
    </sheetView>
  </sheetViews>
  <sheetFormatPr baseColWidth="10" defaultRowHeight="15" x14ac:dyDescent="0.25"/>
  <cols>
    <col min="1" max="1" width="2.85546875" style="1" hidden="1" customWidth="1"/>
    <col min="2" max="2" width="7.85546875" style="1" customWidth="1"/>
    <col min="3" max="3" width="44.42578125" style="1" customWidth="1"/>
    <col min="4" max="4" width="14.7109375" style="1" customWidth="1"/>
    <col min="5" max="5" width="10.42578125" style="1" hidden="1" customWidth="1"/>
    <col min="6" max="11" width="7.7109375" style="1" customWidth="1"/>
    <col min="12" max="12" width="6.7109375" style="1" customWidth="1"/>
    <col min="13" max="13" width="9.7109375" style="1" customWidth="1"/>
    <col min="14" max="17" width="7.7109375" style="1" customWidth="1"/>
    <col min="18" max="19" width="9.7109375" style="1" customWidth="1"/>
    <col min="20" max="25" width="7.7109375" style="1" customWidth="1"/>
    <col min="26" max="26" width="6.7109375" style="1" customWidth="1"/>
    <col min="27" max="27" width="9.7109375" style="1" customWidth="1"/>
    <col min="28" max="31" width="7.7109375" style="1" customWidth="1"/>
    <col min="32" max="33" width="9.7109375" style="1" customWidth="1"/>
    <col min="34" max="39" width="7.7109375" style="1" customWidth="1"/>
    <col min="40" max="40" width="6.7109375" style="1" customWidth="1"/>
    <col min="41" max="41" width="9.7109375" style="1" customWidth="1"/>
    <col min="42" max="45" width="7.7109375" style="1" customWidth="1"/>
    <col min="46" max="47" width="9.7109375" style="1" customWidth="1"/>
    <col min="48" max="53" width="7.7109375" style="1" customWidth="1"/>
    <col min="54" max="54" width="6.7109375" style="1" customWidth="1"/>
    <col min="55" max="55" width="9.7109375" style="1" customWidth="1"/>
    <col min="56" max="59" width="7.7109375" style="1" customWidth="1"/>
    <col min="60" max="61" width="9.7109375" style="1" customWidth="1"/>
    <col min="62" max="67" width="7.7109375" style="1" customWidth="1"/>
    <col min="68" max="68" width="6.7109375" style="1" customWidth="1"/>
    <col min="69" max="69" width="9.7109375" style="1" customWidth="1"/>
    <col min="70" max="73" width="7.7109375" style="1" customWidth="1"/>
    <col min="74" max="75" width="9.7109375" style="1" customWidth="1"/>
    <col min="76" max="81" width="7.7109375" style="1" customWidth="1"/>
    <col min="82" max="82" width="6.7109375" style="1" customWidth="1"/>
    <col min="83" max="83" width="9.7109375" style="1" customWidth="1"/>
    <col min="84" max="87" width="7.7109375" style="1" customWidth="1"/>
    <col min="88" max="89" width="9.7109375" style="1" customWidth="1"/>
    <col min="90" max="95" width="7.7109375" style="1" customWidth="1"/>
    <col min="96" max="96" width="6.7109375" style="1" customWidth="1"/>
    <col min="97" max="97" width="9.7109375" style="1" customWidth="1"/>
    <col min="98" max="101" width="7.7109375" style="1" customWidth="1"/>
    <col min="102" max="103" width="9.7109375" style="1" customWidth="1"/>
    <col min="104" max="109" width="7.7109375" style="1" customWidth="1"/>
    <col min="110" max="110" width="6.7109375" style="1" customWidth="1"/>
    <col min="111" max="111" width="9.7109375" style="1" customWidth="1"/>
    <col min="112" max="115" width="7.7109375" style="1" customWidth="1"/>
    <col min="116" max="117" width="9.7109375" style="1" customWidth="1"/>
    <col min="118" max="123" width="7.7109375" style="1" customWidth="1"/>
    <col min="124" max="124" width="6.7109375" style="1" customWidth="1"/>
    <col min="125" max="125" width="9.7109375" style="1" customWidth="1"/>
    <col min="126" max="129" width="7.7109375" style="1" customWidth="1"/>
    <col min="130" max="131" width="9.7109375" style="1" customWidth="1"/>
    <col min="132" max="137" width="7.7109375" style="1" customWidth="1"/>
    <col min="138" max="138" width="8.140625" style="1" bestFit="1" customWidth="1"/>
    <col min="139" max="139" width="9.7109375" style="1" customWidth="1"/>
    <col min="140" max="143" width="7.7109375" style="1" customWidth="1"/>
    <col min="144" max="145" width="9.7109375" style="1" customWidth="1"/>
    <col min="146" max="146" width="15.42578125" style="147" bestFit="1" customWidth="1"/>
    <col min="147" max="147" width="11.5703125" style="147" bestFit="1" customWidth="1"/>
    <col min="148" max="148" width="4.7109375" style="9" customWidth="1"/>
    <col min="152" max="153" width="11.42578125" style="1"/>
    <col min="158" max="158" width="4.7109375" style="9" customWidth="1"/>
    <col min="159" max="16384" width="11.42578125" style="1"/>
  </cols>
  <sheetData>
    <row r="1" spans="2:158" ht="79.5" customHeight="1" x14ac:dyDescent="0.25">
      <c r="F1" s="162" t="s">
        <v>128</v>
      </c>
      <c r="G1" s="160"/>
      <c r="H1" s="359" t="s">
        <v>129</v>
      </c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59"/>
      <c r="U1" s="359"/>
      <c r="V1" s="359"/>
      <c r="W1" s="359"/>
      <c r="X1" s="359"/>
      <c r="Y1" s="359"/>
      <c r="Z1" s="359"/>
      <c r="AA1" s="359"/>
      <c r="AB1" s="359"/>
      <c r="AC1" s="359"/>
      <c r="AD1" s="359"/>
      <c r="AE1" s="359"/>
      <c r="AF1" s="359"/>
      <c r="AG1" s="359"/>
      <c r="AH1" s="172"/>
      <c r="AI1" s="172"/>
      <c r="AJ1" s="172"/>
      <c r="AK1" s="172"/>
      <c r="AL1" s="172"/>
      <c r="AM1" s="172"/>
      <c r="AN1" s="172"/>
      <c r="AO1" s="172"/>
      <c r="AP1" s="172"/>
      <c r="AQ1" s="172"/>
      <c r="AR1" s="172"/>
      <c r="AS1" s="172"/>
      <c r="AT1" s="172"/>
      <c r="AU1" s="172"/>
      <c r="AV1" s="172"/>
      <c r="AW1" s="172"/>
      <c r="AX1" s="172"/>
      <c r="AY1" s="172"/>
      <c r="AZ1" s="172"/>
      <c r="BA1" s="172"/>
      <c r="BB1" s="172"/>
      <c r="BC1" s="172"/>
      <c r="BD1" s="172"/>
      <c r="BE1" s="172"/>
      <c r="BF1" s="172"/>
      <c r="BG1" s="172"/>
      <c r="BH1" s="172"/>
      <c r="BI1" s="172"/>
      <c r="BJ1" s="172"/>
      <c r="BK1" s="172"/>
      <c r="BL1" s="172"/>
      <c r="BM1" s="172"/>
      <c r="BN1" s="172"/>
      <c r="BO1" s="172"/>
      <c r="BP1" s="172"/>
      <c r="BQ1" s="172"/>
      <c r="BR1" s="172"/>
      <c r="BS1" s="172"/>
      <c r="BT1" s="172"/>
      <c r="BU1" s="172"/>
      <c r="BV1" s="172"/>
      <c r="BW1" s="172"/>
      <c r="BX1" s="172"/>
      <c r="BY1" s="172"/>
      <c r="BZ1" s="172"/>
      <c r="CA1" s="172"/>
      <c r="CB1" s="172"/>
      <c r="CC1" s="172"/>
      <c r="CD1" s="172"/>
      <c r="CE1" s="172"/>
      <c r="CF1" s="172"/>
      <c r="CG1" s="172"/>
      <c r="CH1" s="172"/>
      <c r="CI1" s="172"/>
      <c r="CJ1" s="172"/>
      <c r="CK1" s="172"/>
      <c r="CL1" s="172"/>
      <c r="CM1" s="172"/>
      <c r="CN1" s="172"/>
      <c r="CO1" s="172"/>
      <c r="CP1" s="172"/>
      <c r="CQ1" s="172"/>
      <c r="CR1" s="172"/>
      <c r="CS1" s="172"/>
      <c r="CT1" s="172"/>
      <c r="CU1" s="172"/>
      <c r="CV1" s="172"/>
      <c r="CW1" s="172"/>
      <c r="CX1" s="172"/>
      <c r="CY1" s="172"/>
      <c r="CZ1" s="172"/>
      <c r="DA1" s="172"/>
      <c r="DB1" s="172"/>
      <c r="DC1" s="172"/>
      <c r="DD1" s="172"/>
      <c r="DE1" s="172"/>
      <c r="DF1" s="172"/>
      <c r="DG1" s="172"/>
      <c r="DH1" s="172"/>
      <c r="DI1" s="172"/>
      <c r="DJ1" s="172"/>
      <c r="DK1" s="172"/>
      <c r="DL1" s="172"/>
      <c r="DM1" s="172"/>
      <c r="DN1" s="172"/>
      <c r="DO1" s="172"/>
      <c r="DP1" s="172"/>
      <c r="DQ1" s="172"/>
      <c r="DR1" s="172"/>
      <c r="DS1" s="172"/>
      <c r="DT1" s="172"/>
      <c r="DU1" s="172"/>
      <c r="DV1" s="172"/>
      <c r="DW1" s="172"/>
      <c r="DX1" s="172"/>
      <c r="DY1" s="172"/>
      <c r="DZ1" s="172"/>
      <c r="EA1" s="172"/>
      <c r="EB1" s="172"/>
      <c r="EC1" s="172"/>
      <c r="ED1" s="172"/>
      <c r="EE1" s="172"/>
      <c r="EF1" s="172"/>
      <c r="EG1" s="172"/>
      <c r="EH1" s="172"/>
      <c r="EI1" s="172"/>
      <c r="EJ1" s="172"/>
      <c r="EK1" s="172"/>
      <c r="EL1" s="172"/>
      <c r="EM1" s="172"/>
      <c r="EN1" s="172"/>
      <c r="EO1" s="172"/>
    </row>
    <row r="2" spans="2:158" ht="22.5" x14ac:dyDescent="0.4">
      <c r="C2" s="350" t="s">
        <v>44</v>
      </c>
      <c r="D2" s="350"/>
      <c r="E2" s="350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</row>
    <row r="3" spans="2:158" ht="23.25" thickBot="1" x14ac:dyDescent="0.45">
      <c r="C3" s="351" t="s">
        <v>101</v>
      </c>
      <c r="D3" s="351"/>
      <c r="E3" s="351"/>
    </row>
    <row r="4" spans="2:158" ht="25.5" customHeight="1" thickBot="1" x14ac:dyDescent="0.3">
      <c r="C4" s="34" t="str">
        <f>IF(VARIOS!B4&gt;=14,IF(C5=0," ",+VARIOS!B11)," ")</f>
        <v xml:space="preserve"> </v>
      </c>
      <c r="F4" s="161"/>
      <c r="T4" s="161"/>
      <c r="AH4" s="161"/>
      <c r="AV4" s="161"/>
      <c r="BJ4" s="161"/>
      <c r="BX4" s="161"/>
      <c r="CL4" s="161"/>
      <c r="CZ4" s="161"/>
      <c r="DN4" s="161"/>
      <c r="EB4" s="161"/>
    </row>
    <row r="5" spans="2:158" ht="24" thickBot="1" x14ac:dyDescent="0.4">
      <c r="B5" s="65" t="s">
        <v>99</v>
      </c>
      <c r="C5" s="157"/>
      <c r="D5" s="68" t="s">
        <v>102</v>
      </c>
      <c r="F5" s="352"/>
      <c r="G5" s="353"/>
      <c r="H5" s="353"/>
      <c r="I5" s="353"/>
      <c r="J5" s="353"/>
      <c r="K5" s="353"/>
      <c r="L5" s="353"/>
      <c r="M5" s="353"/>
      <c r="N5" s="353"/>
      <c r="O5" s="353"/>
      <c r="P5" s="353"/>
      <c r="Q5" s="353"/>
      <c r="R5" s="353"/>
      <c r="S5" s="354"/>
      <c r="T5" s="352"/>
      <c r="U5" s="353"/>
      <c r="V5" s="353"/>
      <c r="W5" s="353"/>
      <c r="X5" s="353"/>
      <c r="Y5" s="353"/>
      <c r="Z5" s="353"/>
      <c r="AA5" s="353"/>
      <c r="AB5" s="353"/>
      <c r="AC5" s="353"/>
      <c r="AD5" s="353"/>
      <c r="AE5" s="353"/>
      <c r="AF5" s="353"/>
      <c r="AG5" s="354"/>
      <c r="AH5" s="352"/>
      <c r="AI5" s="353"/>
      <c r="AJ5" s="353"/>
      <c r="AK5" s="353"/>
      <c r="AL5" s="353"/>
      <c r="AM5" s="353"/>
      <c r="AN5" s="353"/>
      <c r="AO5" s="353"/>
      <c r="AP5" s="353"/>
      <c r="AQ5" s="353"/>
      <c r="AR5" s="353"/>
      <c r="AS5" s="353"/>
      <c r="AT5" s="353"/>
      <c r="AU5" s="354"/>
      <c r="AV5" s="352"/>
      <c r="AW5" s="353"/>
      <c r="AX5" s="353"/>
      <c r="AY5" s="353"/>
      <c r="AZ5" s="353"/>
      <c r="BA5" s="353"/>
      <c r="BB5" s="353"/>
      <c r="BC5" s="353"/>
      <c r="BD5" s="353"/>
      <c r="BE5" s="353"/>
      <c r="BF5" s="353"/>
      <c r="BG5" s="353"/>
      <c r="BH5" s="353"/>
      <c r="BI5" s="354"/>
      <c r="BJ5" s="352"/>
      <c r="BK5" s="353"/>
      <c r="BL5" s="353"/>
      <c r="BM5" s="353"/>
      <c r="BN5" s="353"/>
      <c r="BO5" s="353"/>
      <c r="BP5" s="353"/>
      <c r="BQ5" s="353"/>
      <c r="BR5" s="353"/>
      <c r="BS5" s="353"/>
      <c r="BT5" s="353"/>
      <c r="BU5" s="353"/>
      <c r="BV5" s="353"/>
      <c r="BW5" s="354"/>
      <c r="BX5" s="352"/>
      <c r="BY5" s="353"/>
      <c r="BZ5" s="353"/>
      <c r="CA5" s="353"/>
      <c r="CB5" s="353"/>
      <c r="CC5" s="353"/>
      <c r="CD5" s="353"/>
      <c r="CE5" s="353"/>
      <c r="CF5" s="353"/>
      <c r="CG5" s="353"/>
      <c r="CH5" s="353"/>
      <c r="CI5" s="353"/>
      <c r="CJ5" s="353"/>
      <c r="CK5" s="354"/>
      <c r="CL5" s="352"/>
      <c r="CM5" s="353"/>
      <c r="CN5" s="353"/>
      <c r="CO5" s="353"/>
      <c r="CP5" s="353"/>
      <c r="CQ5" s="353"/>
      <c r="CR5" s="353"/>
      <c r="CS5" s="353"/>
      <c r="CT5" s="353"/>
      <c r="CU5" s="353"/>
      <c r="CV5" s="353"/>
      <c r="CW5" s="353"/>
      <c r="CX5" s="353"/>
      <c r="CY5" s="354"/>
      <c r="CZ5" s="352"/>
      <c r="DA5" s="353"/>
      <c r="DB5" s="353"/>
      <c r="DC5" s="353"/>
      <c r="DD5" s="353"/>
      <c r="DE5" s="353"/>
      <c r="DF5" s="353"/>
      <c r="DG5" s="353"/>
      <c r="DH5" s="353"/>
      <c r="DI5" s="353"/>
      <c r="DJ5" s="353"/>
      <c r="DK5" s="353"/>
      <c r="DL5" s="353"/>
      <c r="DM5" s="354"/>
      <c r="DN5" s="352"/>
      <c r="DO5" s="353"/>
      <c r="DP5" s="353"/>
      <c r="DQ5" s="353"/>
      <c r="DR5" s="353"/>
      <c r="DS5" s="353"/>
      <c r="DT5" s="353"/>
      <c r="DU5" s="353"/>
      <c r="DV5" s="353"/>
      <c r="DW5" s="353"/>
      <c r="DX5" s="353"/>
      <c r="DY5" s="353"/>
      <c r="DZ5" s="353"/>
      <c r="EA5" s="354"/>
      <c r="EB5" s="352"/>
      <c r="EC5" s="353"/>
      <c r="ED5" s="353"/>
      <c r="EE5" s="353"/>
      <c r="EF5" s="353"/>
      <c r="EG5" s="353"/>
      <c r="EH5" s="353"/>
      <c r="EI5" s="353"/>
      <c r="EJ5" s="353"/>
      <c r="EK5" s="353"/>
      <c r="EL5" s="353"/>
      <c r="EM5" s="353"/>
      <c r="EN5" s="353"/>
      <c r="EO5" s="354"/>
    </row>
    <row r="6" spans="2:158" s="3" customFormat="1" ht="24" thickBot="1" x14ac:dyDescent="0.4">
      <c r="B6" s="93" t="s">
        <v>100</v>
      </c>
      <c r="C6" s="158"/>
      <c r="D6" s="79"/>
      <c r="F6" s="356" t="str">
        <f>IF(F5=0,"↑↑INGRESE DIA POR FAVOR↑↑",IF(WEEKDAY(F5)=7,"OJO H.E. AL 100%",IF(WEEKDAY(F5)=1,"OJO H.E. AL 100%",IF(F4="F","OJO H.E. AL 100%","INGRESAR HORAS EXTRAS"))))</f>
        <v>↑↑INGRESE DIA POR FAVOR↑↑</v>
      </c>
      <c r="G6" s="357"/>
      <c r="H6" s="357"/>
      <c r="I6" s="357"/>
      <c r="J6" s="357"/>
      <c r="K6" s="357"/>
      <c r="L6" s="357"/>
      <c r="M6" s="357"/>
      <c r="N6" s="357"/>
      <c r="O6" s="357"/>
      <c r="P6" s="357"/>
      <c r="Q6" s="357"/>
      <c r="R6" s="357"/>
      <c r="S6" s="358"/>
      <c r="T6" s="356" t="str">
        <f>IF(T5=0,"↑↑INGRESE DIA POR FAVOR↑↑",IF(WEEKDAY(T5)=7,"OJO H.E. AL 100%",IF(WEEKDAY(T5)=1,"OJO H.E. AL 100%",IF(T4="F","OJO H.E. AL 100%","INGRESAR HORAS EXTRAS"))))</f>
        <v>↑↑INGRESE DIA POR FAVOR↑↑</v>
      </c>
      <c r="U6" s="357"/>
      <c r="V6" s="357"/>
      <c r="W6" s="357"/>
      <c r="X6" s="357"/>
      <c r="Y6" s="357"/>
      <c r="Z6" s="357"/>
      <c r="AA6" s="357"/>
      <c r="AB6" s="357"/>
      <c r="AC6" s="357"/>
      <c r="AD6" s="357"/>
      <c r="AE6" s="357"/>
      <c r="AF6" s="357"/>
      <c r="AG6" s="358"/>
      <c r="AH6" s="356" t="str">
        <f>IF(AH5=0,"↑↑INGRESE DIA POR FAVOR↑↑",IF(WEEKDAY(AH5)=7,"OJO H.E. AL 100%",IF(WEEKDAY(AH5)=1,"OJO H.E. AL 100%",IF(AH4="F","OJO H.E. AL 100%","INGRESAR HORAS EXTRAS"))))</f>
        <v>↑↑INGRESE DIA POR FAVOR↑↑</v>
      </c>
      <c r="AI6" s="357"/>
      <c r="AJ6" s="357"/>
      <c r="AK6" s="357"/>
      <c r="AL6" s="357"/>
      <c r="AM6" s="357"/>
      <c r="AN6" s="357"/>
      <c r="AO6" s="357"/>
      <c r="AP6" s="357"/>
      <c r="AQ6" s="357"/>
      <c r="AR6" s="357"/>
      <c r="AS6" s="357"/>
      <c r="AT6" s="357"/>
      <c r="AU6" s="358"/>
      <c r="AV6" s="356" t="str">
        <f>IF(AV5=0,"↑↑INGRESE DIA POR FAVOR↑↑",IF(WEEKDAY(AV5)=7,"OJO H.E. AL 100%",IF(WEEKDAY(AV5)=1,"OJO H.E. AL 100%",IF(AV4="F","OJO H.E. AL 100%","INGRESAR HORAS EXTRAS"))))</f>
        <v>↑↑INGRESE DIA POR FAVOR↑↑</v>
      </c>
      <c r="AW6" s="357"/>
      <c r="AX6" s="357"/>
      <c r="AY6" s="357"/>
      <c r="AZ6" s="357"/>
      <c r="BA6" s="357"/>
      <c r="BB6" s="357"/>
      <c r="BC6" s="357"/>
      <c r="BD6" s="357"/>
      <c r="BE6" s="357"/>
      <c r="BF6" s="357"/>
      <c r="BG6" s="357"/>
      <c r="BH6" s="357"/>
      <c r="BI6" s="358"/>
      <c r="BJ6" s="356" t="str">
        <f>IF(BJ5=0,"↑↑INGRESE DIA POR FAVOR↑↑",IF(WEEKDAY(BJ5)=7,"OJO H.E. AL 100%",IF(WEEKDAY(BJ5)=1,"OJO H.E. AL 100%",IF(BJ4="F","OJO H.E. AL 100%","INGRESAR HORAS EXTRAS"))))</f>
        <v>↑↑INGRESE DIA POR FAVOR↑↑</v>
      </c>
      <c r="BK6" s="357"/>
      <c r="BL6" s="357"/>
      <c r="BM6" s="357"/>
      <c r="BN6" s="357"/>
      <c r="BO6" s="357"/>
      <c r="BP6" s="357"/>
      <c r="BQ6" s="357"/>
      <c r="BR6" s="357"/>
      <c r="BS6" s="357"/>
      <c r="BT6" s="357"/>
      <c r="BU6" s="357"/>
      <c r="BV6" s="357"/>
      <c r="BW6" s="358"/>
      <c r="BX6" s="356" t="str">
        <f>IF(BX5=0,"↑↑INGRESE DIA POR FAVOR↑↑",IF(WEEKDAY(BX5)=7,"OJO H.E. AL 100%",IF(WEEKDAY(BX5)=1,"OJO H.E. AL 100%",IF(BX4="F","OJO H.E. AL 100%","INGRESAR HORAS EXTRAS"))))</f>
        <v>↑↑INGRESE DIA POR FAVOR↑↑</v>
      </c>
      <c r="BY6" s="357"/>
      <c r="BZ6" s="357"/>
      <c r="CA6" s="357"/>
      <c r="CB6" s="357"/>
      <c r="CC6" s="357"/>
      <c r="CD6" s="357"/>
      <c r="CE6" s="357"/>
      <c r="CF6" s="357"/>
      <c r="CG6" s="357"/>
      <c r="CH6" s="357"/>
      <c r="CI6" s="357"/>
      <c r="CJ6" s="357"/>
      <c r="CK6" s="358"/>
      <c r="CL6" s="356" t="str">
        <f>IF(CL5=0,"↑↑INGRESE DIA POR FAVOR↑↑",IF(WEEKDAY(CL5)=7,"OJO H.E. AL 100%",IF(WEEKDAY(CL5)=1,"OJO H.E. AL 100%",IF(CL4="F","OJO H.E. AL 100%","INGRESAR HORAS EXTRAS"))))</f>
        <v>↑↑INGRESE DIA POR FAVOR↑↑</v>
      </c>
      <c r="CM6" s="357"/>
      <c r="CN6" s="357"/>
      <c r="CO6" s="357"/>
      <c r="CP6" s="357"/>
      <c r="CQ6" s="357"/>
      <c r="CR6" s="357"/>
      <c r="CS6" s="357"/>
      <c r="CT6" s="357"/>
      <c r="CU6" s="357"/>
      <c r="CV6" s="357"/>
      <c r="CW6" s="357"/>
      <c r="CX6" s="357"/>
      <c r="CY6" s="358"/>
      <c r="CZ6" s="356" t="str">
        <f>IF(CZ5=0,"↑↑INGRESE DIA POR FAVOR↑↑",IF(WEEKDAY(CZ5)=7,"OJO H.E. AL 100%",IF(WEEKDAY(CZ5)=1,"OJO H.E. AL 100%",IF(CZ4="F","OJO H.E. AL 100%","INGRESAR HORAS EXTRAS"))))</f>
        <v>↑↑INGRESE DIA POR FAVOR↑↑</v>
      </c>
      <c r="DA6" s="357"/>
      <c r="DB6" s="357"/>
      <c r="DC6" s="357"/>
      <c r="DD6" s="357"/>
      <c r="DE6" s="357"/>
      <c r="DF6" s="357"/>
      <c r="DG6" s="357"/>
      <c r="DH6" s="357"/>
      <c r="DI6" s="357"/>
      <c r="DJ6" s="357"/>
      <c r="DK6" s="357"/>
      <c r="DL6" s="357"/>
      <c r="DM6" s="358"/>
      <c r="DN6" s="356" t="str">
        <f>IF(DN5=0,"↑↑INGRESE DIA POR FAVOR↑↑",IF(WEEKDAY(DN5)=7,"OJO H.E. AL 100%",IF(WEEKDAY(DN5)=1,"OJO H.E. AL 100%",IF(DN4="F","OJO H.E. AL 100%","INGRESAR HORAS EXTRAS"))))</f>
        <v>↑↑INGRESE DIA POR FAVOR↑↑</v>
      </c>
      <c r="DO6" s="357"/>
      <c r="DP6" s="357"/>
      <c r="DQ6" s="357"/>
      <c r="DR6" s="357"/>
      <c r="DS6" s="357"/>
      <c r="DT6" s="357"/>
      <c r="DU6" s="357"/>
      <c r="DV6" s="357"/>
      <c r="DW6" s="357"/>
      <c r="DX6" s="357"/>
      <c r="DY6" s="357"/>
      <c r="DZ6" s="357"/>
      <c r="EA6" s="358"/>
      <c r="EB6" s="356" t="str">
        <f>IF(EB5=0,"↑↑INGRESE DIA POR FAVOR↑↑",IF(WEEKDAY(EB5)=7,"OJO H.E. AL 100%",IF(WEEKDAY(EB5)=1,"OJO H.E. AL 100%",IF(EB4="F","OJO H.E. AL 100%","INGRESAR HORAS EXTRAS"))))</f>
        <v>↑↑INGRESE DIA POR FAVOR↑↑</v>
      </c>
      <c r="EC6" s="357"/>
      <c r="ED6" s="357"/>
      <c r="EE6" s="357"/>
      <c r="EF6" s="357"/>
      <c r="EG6" s="357"/>
      <c r="EH6" s="357"/>
      <c r="EI6" s="357"/>
      <c r="EJ6" s="357"/>
      <c r="EK6" s="357"/>
      <c r="EL6" s="357"/>
      <c r="EM6" s="357"/>
      <c r="EN6" s="357"/>
      <c r="EO6" s="358"/>
      <c r="EP6" s="238">
        <f>SUM(EP10:EP13)</f>
        <v>0</v>
      </c>
      <c r="EQ6" s="238">
        <f>SUM(EQ10:EQ13)</f>
        <v>0</v>
      </c>
      <c r="ER6" s="9"/>
      <c r="FB6" s="9"/>
    </row>
    <row r="7" spans="2:158" ht="24" thickBot="1" x14ac:dyDescent="0.4">
      <c r="B7" s="43" t="s">
        <v>89</v>
      </c>
      <c r="C7" s="82" t="e">
        <f>VLOOKUP(C5,VARIOS!B16:D40,3,0)</f>
        <v>#N/A</v>
      </c>
      <c r="F7" s="339" t="s">
        <v>30</v>
      </c>
      <c r="G7" s="339"/>
      <c r="H7" s="339"/>
      <c r="I7" s="339"/>
      <c r="J7" s="339"/>
      <c r="K7" s="339"/>
      <c r="L7" s="339"/>
      <c r="M7" s="339"/>
      <c r="N7" s="339"/>
      <c r="O7" s="339"/>
      <c r="P7" s="339"/>
      <c r="Q7" s="339"/>
      <c r="R7" s="339"/>
      <c r="S7" s="340"/>
      <c r="T7" s="339" t="s">
        <v>30</v>
      </c>
      <c r="U7" s="339"/>
      <c r="V7" s="339"/>
      <c r="W7" s="339"/>
      <c r="X7" s="339"/>
      <c r="Y7" s="339"/>
      <c r="Z7" s="339"/>
      <c r="AA7" s="339"/>
      <c r="AB7" s="339"/>
      <c r="AC7" s="339"/>
      <c r="AD7" s="339"/>
      <c r="AE7" s="339"/>
      <c r="AF7" s="339"/>
      <c r="AG7" s="340"/>
      <c r="AH7" s="339" t="s">
        <v>30</v>
      </c>
      <c r="AI7" s="339"/>
      <c r="AJ7" s="339"/>
      <c r="AK7" s="339"/>
      <c r="AL7" s="339"/>
      <c r="AM7" s="339"/>
      <c r="AN7" s="339"/>
      <c r="AO7" s="339"/>
      <c r="AP7" s="339"/>
      <c r="AQ7" s="339"/>
      <c r="AR7" s="339"/>
      <c r="AS7" s="339"/>
      <c r="AT7" s="339"/>
      <c r="AU7" s="340"/>
      <c r="AV7" s="339" t="s">
        <v>30</v>
      </c>
      <c r="AW7" s="339"/>
      <c r="AX7" s="339"/>
      <c r="AY7" s="339"/>
      <c r="AZ7" s="339"/>
      <c r="BA7" s="339"/>
      <c r="BB7" s="339"/>
      <c r="BC7" s="339"/>
      <c r="BD7" s="339"/>
      <c r="BE7" s="339"/>
      <c r="BF7" s="339"/>
      <c r="BG7" s="339"/>
      <c r="BH7" s="339"/>
      <c r="BI7" s="340"/>
      <c r="BJ7" s="339" t="s">
        <v>30</v>
      </c>
      <c r="BK7" s="339"/>
      <c r="BL7" s="339"/>
      <c r="BM7" s="339"/>
      <c r="BN7" s="339"/>
      <c r="BO7" s="339"/>
      <c r="BP7" s="339"/>
      <c r="BQ7" s="339"/>
      <c r="BR7" s="339"/>
      <c r="BS7" s="339"/>
      <c r="BT7" s="339"/>
      <c r="BU7" s="339"/>
      <c r="BV7" s="339"/>
      <c r="BW7" s="340"/>
      <c r="BX7" s="339" t="s">
        <v>30</v>
      </c>
      <c r="BY7" s="339"/>
      <c r="BZ7" s="339"/>
      <c r="CA7" s="339"/>
      <c r="CB7" s="339"/>
      <c r="CC7" s="339"/>
      <c r="CD7" s="339"/>
      <c r="CE7" s="339"/>
      <c r="CF7" s="339"/>
      <c r="CG7" s="339"/>
      <c r="CH7" s="339"/>
      <c r="CI7" s="339"/>
      <c r="CJ7" s="339"/>
      <c r="CK7" s="340"/>
      <c r="CL7" s="339" t="s">
        <v>30</v>
      </c>
      <c r="CM7" s="339"/>
      <c r="CN7" s="339"/>
      <c r="CO7" s="339"/>
      <c r="CP7" s="339"/>
      <c r="CQ7" s="339"/>
      <c r="CR7" s="339"/>
      <c r="CS7" s="339"/>
      <c r="CT7" s="339"/>
      <c r="CU7" s="339"/>
      <c r="CV7" s="339"/>
      <c r="CW7" s="339"/>
      <c r="CX7" s="339"/>
      <c r="CY7" s="340"/>
      <c r="CZ7" s="339" t="s">
        <v>30</v>
      </c>
      <c r="DA7" s="339"/>
      <c r="DB7" s="339"/>
      <c r="DC7" s="339"/>
      <c r="DD7" s="339"/>
      <c r="DE7" s="339"/>
      <c r="DF7" s="339"/>
      <c r="DG7" s="339"/>
      <c r="DH7" s="339"/>
      <c r="DI7" s="339"/>
      <c r="DJ7" s="339"/>
      <c r="DK7" s="339"/>
      <c r="DL7" s="339"/>
      <c r="DM7" s="340"/>
      <c r="DN7" s="339" t="s">
        <v>30</v>
      </c>
      <c r="DO7" s="339"/>
      <c r="DP7" s="339"/>
      <c r="DQ7" s="339"/>
      <c r="DR7" s="339"/>
      <c r="DS7" s="339"/>
      <c r="DT7" s="339"/>
      <c r="DU7" s="339"/>
      <c r="DV7" s="339"/>
      <c r="DW7" s="339"/>
      <c r="DX7" s="339"/>
      <c r="DY7" s="339"/>
      <c r="DZ7" s="339"/>
      <c r="EA7" s="340"/>
      <c r="EB7" s="339" t="s">
        <v>30</v>
      </c>
      <c r="EC7" s="339"/>
      <c r="ED7" s="339"/>
      <c r="EE7" s="339"/>
      <c r="EF7" s="339"/>
      <c r="EG7" s="339"/>
      <c r="EH7" s="339"/>
      <c r="EI7" s="339"/>
      <c r="EJ7" s="339"/>
      <c r="EK7" s="339"/>
      <c r="EL7" s="339"/>
      <c r="EM7" s="339"/>
      <c r="EN7" s="339"/>
      <c r="EO7" s="340"/>
      <c r="EP7" s="331" t="s">
        <v>12</v>
      </c>
      <c r="EQ7" s="332"/>
    </row>
    <row r="8" spans="2:158" s="146" customFormat="1" ht="69.75" customHeight="1" thickBot="1" x14ac:dyDescent="0.3">
      <c r="F8" s="333" t="s">
        <v>95</v>
      </c>
      <c r="G8" s="334"/>
      <c r="H8" s="334"/>
      <c r="I8" s="334"/>
      <c r="J8" s="334"/>
      <c r="K8" s="334"/>
      <c r="L8" s="334"/>
      <c r="M8" s="335"/>
      <c r="N8" s="336" t="s">
        <v>120</v>
      </c>
      <c r="O8" s="337"/>
      <c r="P8" s="337"/>
      <c r="Q8" s="337"/>
      <c r="R8" s="337"/>
      <c r="S8" s="338"/>
      <c r="T8" s="333" t="s">
        <v>95</v>
      </c>
      <c r="U8" s="334"/>
      <c r="V8" s="334"/>
      <c r="W8" s="334"/>
      <c r="X8" s="334"/>
      <c r="Y8" s="334"/>
      <c r="Z8" s="334"/>
      <c r="AA8" s="335"/>
      <c r="AB8" s="336" t="s">
        <v>120</v>
      </c>
      <c r="AC8" s="337"/>
      <c r="AD8" s="337"/>
      <c r="AE8" s="337"/>
      <c r="AF8" s="337"/>
      <c r="AG8" s="338"/>
      <c r="AH8" s="333" t="s">
        <v>95</v>
      </c>
      <c r="AI8" s="334"/>
      <c r="AJ8" s="334"/>
      <c r="AK8" s="334"/>
      <c r="AL8" s="334"/>
      <c r="AM8" s="334"/>
      <c r="AN8" s="334"/>
      <c r="AO8" s="335"/>
      <c r="AP8" s="336" t="s">
        <v>120</v>
      </c>
      <c r="AQ8" s="337"/>
      <c r="AR8" s="337"/>
      <c r="AS8" s="337"/>
      <c r="AT8" s="337"/>
      <c r="AU8" s="338"/>
      <c r="AV8" s="333" t="s">
        <v>95</v>
      </c>
      <c r="AW8" s="334"/>
      <c r="AX8" s="334"/>
      <c r="AY8" s="334"/>
      <c r="AZ8" s="334"/>
      <c r="BA8" s="334"/>
      <c r="BB8" s="334"/>
      <c r="BC8" s="335"/>
      <c r="BD8" s="336" t="s">
        <v>120</v>
      </c>
      <c r="BE8" s="337"/>
      <c r="BF8" s="337"/>
      <c r="BG8" s="337"/>
      <c r="BH8" s="337"/>
      <c r="BI8" s="338"/>
      <c r="BJ8" s="333" t="s">
        <v>95</v>
      </c>
      <c r="BK8" s="334"/>
      <c r="BL8" s="334"/>
      <c r="BM8" s="334"/>
      <c r="BN8" s="334"/>
      <c r="BO8" s="334"/>
      <c r="BP8" s="334"/>
      <c r="BQ8" s="335"/>
      <c r="BR8" s="336" t="s">
        <v>120</v>
      </c>
      <c r="BS8" s="337"/>
      <c r="BT8" s="337"/>
      <c r="BU8" s="337"/>
      <c r="BV8" s="337"/>
      <c r="BW8" s="338"/>
      <c r="BX8" s="333" t="s">
        <v>95</v>
      </c>
      <c r="BY8" s="334"/>
      <c r="BZ8" s="334"/>
      <c r="CA8" s="334"/>
      <c r="CB8" s="334"/>
      <c r="CC8" s="334"/>
      <c r="CD8" s="334"/>
      <c r="CE8" s="335"/>
      <c r="CF8" s="336" t="s">
        <v>120</v>
      </c>
      <c r="CG8" s="337"/>
      <c r="CH8" s="337"/>
      <c r="CI8" s="337"/>
      <c r="CJ8" s="337"/>
      <c r="CK8" s="338"/>
      <c r="CL8" s="333" t="s">
        <v>95</v>
      </c>
      <c r="CM8" s="334"/>
      <c r="CN8" s="334"/>
      <c r="CO8" s="334"/>
      <c r="CP8" s="334"/>
      <c r="CQ8" s="334"/>
      <c r="CR8" s="334"/>
      <c r="CS8" s="335"/>
      <c r="CT8" s="336" t="s">
        <v>120</v>
      </c>
      <c r="CU8" s="337"/>
      <c r="CV8" s="337"/>
      <c r="CW8" s="337"/>
      <c r="CX8" s="337"/>
      <c r="CY8" s="338"/>
      <c r="CZ8" s="333" t="s">
        <v>95</v>
      </c>
      <c r="DA8" s="334"/>
      <c r="DB8" s="334"/>
      <c r="DC8" s="334"/>
      <c r="DD8" s="334"/>
      <c r="DE8" s="334"/>
      <c r="DF8" s="334"/>
      <c r="DG8" s="335"/>
      <c r="DH8" s="336" t="s">
        <v>120</v>
      </c>
      <c r="DI8" s="337"/>
      <c r="DJ8" s="337"/>
      <c r="DK8" s="337"/>
      <c r="DL8" s="337"/>
      <c r="DM8" s="338"/>
      <c r="DN8" s="333" t="s">
        <v>95</v>
      </c>
      <c r="DO8" s="334"/>
      <c r="DP8" s="334"/>
      <c r="DQ8" s="334"/>
      <c r="DR8" s="334"/>
      <c r="DS8" s="334"/>
      <c r="DT8" s="334"/>
      <c r="DU8" s="335"/>
      <c r="DV8" s="336" t="s">
        <v>120</v>
      </c>
      <c r="DW8" s="337"/>
      <c r="DX8" s="337"/>
      <c r="DY8" s="337"/>
      <c r="DZ8" s="337"/>
      <c r="EA8" s="338"/>
      <c r="EB8" s="333" t="s">
        <v>95</v>
      </c>
      <c r="EC8" s="334"/>
      <c r="ED8" s="334"/>
      <c r="EE8" s="334"/>
      <c r="EF8" s="334"/>
      <c r="EG8" s="334"/>
      <c r="EH8" s="334"/>
      <c r="EI8" s="335"/>
      <c r="EJ8" s="336" t="s">
        <v>120</v>
      </c>
      <c r="EK8" s="337"/>
      <c r="EL8" s="337"/>
      <c r="EM8" s="337"/>
      <c r="EN8" s="337"/>
      <c r="EO8" s="338"/>
      <c r="EP8" s="170"/>
      <c r="EQ8" s="171"/>
      <c r="ER8" s="147"/>
      <c r="ES8" s="148"/>
      <c r="ET8" s="148"/>
      <c r="EU8" s="148"/>
      <c r="EX8" s="148"/>
      <c r="EY8" s="148"/>
      <c r="EZ8" s="148"/>
      <c r="FA8" s="148"/>
      <c r="FB8" s="147"/>
    </row>
    <row r="9" spans="2:158" ht="54.95" customHeight="1" x14ac:dyDescent="0.25">
      <c r="B9" s="10" t="s">
        <v>14</v>
      </c>
      <c r="C9" s="78" t="s">
        <v>0</v>
      </c>
      <c r="D9" s="77" t="s">
        <v>34</v>
      </c>
      <c r="E9" s="36" t="s">
        <v>1</v>
      </c>
      <c r="F9" s="173" t="s">
        <v>93</v>
      </c>
      <c r="G9" s="174" t="s">
        <v>94</v>
      </c>
      <c r="H9" s="173" t="s">
        <v>93</v>
      </c>
      <c r="I9" s="174" t="s">
        <v>94</v>
      </c>
      <c r="J9" s="173" t="s">
        <v>93</v>
      </c>
      <c r="K9" s="174" t="s">
        <v>94</v>
      </c>
      <c r="L9" s="181" t="s">
        <v>97</v>
      </c>
      <c r="M9" s="175" t="s">
        <v>92</v>
      </c>
      <c r="N9" s="176" t="s">
        <v>93</v>
      </c>
      <c r="O9" s="177" t="s">
        <v>94</v>
      </c>
      <c r="P9" s="176" t="s">
        <v>93</v>
      </c>
      <c r="Q9" s="177" t="s">
        <v>94</v>
      </c>
      <c r="R9" s="182" t="s">
        <v>98</v>
      </c>
      <c r="S9" s="178" t="s">
        <v>92</v>
      </c>
      <c r="T9" s="173" t="s">
        <v>93</v>
      </c>
      <c r="U9" s="174" t="s">
        <v>94</v>
      </c>
      <c r="V9" s="173" t="s">
        <v>93</v>
      </c>
      <c r="W9" s="174" t="s">
        <v>94</v>
      </c>
      <c r="X9" s="173" t="s">
        <v>93</v>
      </c>
      <c r="Y9" s="174" t="s">
        <v>94</v>
      </c>
      <c r="Z9" s="181" t="s">
        <v>97</v>
      </c>
      <c r="AA9" s="175" t="s">
        <v>92</v>
      </c>
      <c r="AB9" s="176" t="s">
        <v>93</v>
      </c>
      <c r="AC9" s="177" t="s">
        <v>94</v>
      </c>
      <c r="AD9" s="176" t="s">
        <v>93</v>
      </c>
      <c r="AE9" s="177" t="s">
        <v>94</v>
      </c>
      <c r="AF9" s="182" t="s">
        <v>98</v>
      </c>
      <c r="AG9" s="178" t="s">
        <v>92</v>
      </c>
      <c r="AH9" s="173" t="s">
        <v>93</v>
      </c>
      <c r="AI9" s="174" t="s">
        <v>94</v>
      </c>
      <c r="AJ9" s="173" t="s">
        <v>93</v>
      </c>
      <c r="AK9" s="174" t="s">
        <v>94</v>
      </c>
      <c r="AL9" s="173" t="s">
        <v>93</v>
      </c>
      <c r="AM9" s="174" t="s">
        <v>94</v>
      </c>
      <c r="AN9" s="181" t="s">
        <v>97</v>
      </c>
      <c r="AO9" s="175" t="s">
        <v>92</v>
      </c>
      <c r="AP9" s="176" t="s">
        <v>93</v>
      </c>
      <c r="AQ9" s="177" t="s">
        <v>94</v>
      </c>
      <c r="AR9" s="176" t="s">
        <v>93</v>
      </c>
      <c r="AS9" s="177" t="s">
        <v>94</v>
      </c>
      <c r="AT9" s="182" t="s">
        <v>98</v>
      </c>
      <c r="AU9" s="178" t="s">
        <v>92</v>
      </c>
      <c r="AV9" s="173" t="s">
        <v>93</v>
      </c>
      <c r="AW9" s="174" t="s">
        <v>94</v>
      </c>
      <c r="AX9" s="173" t="s">
        <v>93</v>
      </c>
      <c r="AY9" s="174" t="s">
        <v>94</v>
      </c>
      <c r="AZ9" s="173" t="s">
        <v>93</v>
      </c>
      <c r="BA9" s="174" t="s">
        <v>94</v>
      </c>
      <c r="BB9" s="181" t="s">
        <v>97</v>
      </c>
      <c r="BC9" s="175" t="s">
        <v>92</v>
      </c>
      <c r="BD9" s="176" t="s">
        <v>93</v>
      </c>
      <c r="BE9" s="177" t="s">
        <v>94</v>
      </c>
      <c r="BF9" s="176" t="s">
        <v>93</v>
      </c>
      <c r="BG9" s="177" t="s">
        <v>94</v>
      </c>
      <c r="BH9" s="182" t="s">
        <v>98</v>
      </c>
      <c r="BI9" s="178" t="s">
        <v>92</v>
      </c>
      <c r="BJ9" s="173" t="s">
        <v>93</v>
      </c>
      <c r="BK9" s="174" t="s">
        <v>94</v>
      </c>
      <c r="BL9" s="173" t="s">
        <v>93</v>
      </c>
      <c r="BM9" s="174" t="s">
        <v>94</v>
      </c>
      <c r="BN9" s="173" t="s">
        <v>93</v>
      </c>
      <c r="BO9" s="174" t="s">
        <v>94</v>
      </c>
      <c r="BP9" s="181" t="s">
        <v>97</v>
      </c>
      <c r="BQ9" s="175" t="s">
        <v>92</v>
      </c>
      <c r="BR9" s="176" t="s">
        <v>93</v>
      </c>
      <c r="BS9" s="177" t="s">
        <v>94</v>
      </c>
      <c r="BT9" s="176" t="s">
        <v>93</v>
      </c>
      <c r="BU9" s="177" t="s">
        <v>94</v>
      </c>
      <c r="BV9" s="182" t="s">
        <v>98</v>
      </c>
      <c r="BW9" s="178" t="s">
        <v>92</v>
      </c>
      <c r="BX9" s="173" t="s">
        <v>93</v>
      </c>
      <c r="BY9" s="174" t="s">
        <v>94</v>
      </c>
      <c r="BZ9" s="173" t="s">
        <v>93</v>
      </c>
      <c r="CA9" s="174" t="s">
        <v>94</v>
      </c>
      <c r="CB9" s="173" t="s">
        <v>93</v>
      </c>
      <c r="CC9" s="174" t="s">
        <v>94</v>
      </c>
      <c r="CD9" s="181" t="s">
        <v>97</v>
      </c>
      <c r="CE9" s="175" t="s">
        <v>92</v>
      </c>
      <c r="CF9" s="176" t="s">
        <v>93</v>
      </c>
      <c r="CG9" s="177" t="s">
        <v>94</v>
      </c>
      <c r="CH9" s="176" t="s">
        <v>93</v>
      </c>
      <c r="CI9" s="177" t="s">
        <v>94</v>
      </c>
      <c r="CJ9" s="182" t="s">
        <v>98</v>
      </c>
      <c r="CK9" s="178" t="s">
        <v>92</v>
      </c>
      <c r="CL9" s="173" t="s">
        <v>93</v>
      </c>
      <c r="CM9" s="174" t="s">
        <v>94</v>
      </c>
      <c r="CN9" s="173" t="s">
        <v>93</v>
      </c>
      <c r="CO9" s="174" t="s">
        <v>94</v>
      </c>
      <c r="CP9" s="173" t="s">
        <v>93</v>
      </c>
      <c r="CQ9" s="174" t="s">
        <v>94</v>
      </c>
      <c r="CR9" s="181" t="s">
        <v>97</v>
      </c>
      <c r="CS9" s="175" t="s">
        <v>92</v>
      </c>
      <c r="CT9" s="176" t="s">
        <v>93</v>
      </c>
      <c r="CU9" s="177" t="s">
        <v>94</v>
      </c>
      <c r="CV9" s="176" t="s">
        <v>93</v>
      </c>
      <c r="CW9" s="177" t="s">
        <v>94</v>
      </c>
      <c r="CX9" s="182" t="s">
        <v>98</v>
      </c>
      <c r="CY9" s="178" t="s">
        <v>92</v>
      </c>
      <c r="CZ9" s="173" t="s">
        <v>93</v>
      </c>
      <c r="DA9" s="174" t="s">
        <v>94</v>
      </c>
      <c r="DB9" s="173" t="s">
        <v>93</v>
      </c>
      <c r="DC9" s="174" t="s">
        <v>94</v>
      </c>
      <c r="DD9" s="173" t="s">
        <v>93</v>
      </c>
      <c r="DE9" s="174" t="s">
        <v>94</v>
      </c>
      <c r="DF9" s="181" t="s">
        <v>97</v>
      </c>
      <c r="DG9" s="175" t="s">
        <v>92</v>
      </c>
      <c r="DH9" s="176" t="s">
        <v>93</v>
      </c>
      <c r="DI9" s="177" t="s">
        <v>94</v>
      </c>
      <c r="DJ9" s="176" t="s">
        <v>93</v>
      </c>
      <c r="DK9" s="177" t="s">
        <v>94</v>
      </c>
      <c r="DL9" s="182" t="s">
        <v>98</v>
      </c>
      <c r="DM9" s="178" t="s">
        <v>92</v>
      </c>
      <c r="DN9" s="173" t="s">
        <v>93</v>
      </c>
      <c r="DO9" s="174" t="s">
        <v>94</v>
      </c>
      <c r="DP9" s="173" t="s">
        <v>93</v>
      </c>
      <c r="DQ9" s="174" t="s">
        <v>94</v>
      </c>
      <c r="DR9" s="173" t="s">
        <v>93</v>
      </c>
      <c r="DS9" s="174" t="s">
        <v>94</v>
      </c>
      <c r="DT9" s="181" t="s">
        <v>97</v>
      </c>
      <c r="DU9" s="175" t="s">
        <v>92</v>
      </c>
      <c r="DV9" s="176" t="s">
        <v>93</v>
      </c>
      <c r="DW9" s="177" t="s">
        <v>94</v>
      </c>
      <c r="DX9" s="176" t="s">
        <v>93</v>
      </c>
      <c r="DY9" s="177" t="s">
        <v>94</v>
      </c>
      <c r="DZ9" s="182" t="s">
        <v>98</v>
      </c>
      <c r="EA9" s="178" t="s">
        <v>92</v>
      </c>
      <c r="EB9" s="173" t="s">
        <v>93</v>
      </c>
      <c r="EC9" s="174" t="s">
        <v>94</v>
      </c>
      <c r="ED9" s="173" t="s">
        <v>93</v>
      </c>
      <c r="EE9" s="174" t="s">
        <v>94</v>
      </c>
      <c r="EF9" s="173" t="s">
        <v>93</v>
      </c>
      <c r="EG9" s="174" t="s">
        <v>94</v>
      </c>
      <c r="EH9" s="181" t="s">
        <v>97</v>
      </c>
      <c r="EI9" s="175" t="s">
        <v>92</v>
      </c>
      <c r="EJ9" s="176" t="s">
        <v>93</v>
      </c>
      <c r="EK9" s="177" t="s">
        <v>94</v>
      </c>
      <c r="EL9" s="176" t="s">
        <v>93</v>
      </c>
      <c r="EM9" s="177" t="s">
        <v>94</v>
      </c>
      <c r="EN9" s="182" t="s">
        <v>98</v>
      </c>
      <c r="EO9" s="178" t="s">
        <v>92</v>
      </c>
      <c r="EP9" s="180" t="s">
        <v>46</v>
      </c>
      <c r="EQ9" s="179" t="s">
        <v>47</v>
      </c>
      <c r="ER9" s="3"/>
      <c r="FB9" s="3"/>
    </row>
    <row r="10" spans="2:158" ht="30" customHeight="1" x14ac:dyDescent="0.3">
      <c r="B10" s="22">
        <f>'Reporte Asistencia Laboral'!B11</f>
        <v>1</v>
      </c>
      <c r="C10" s="75" t="str">
        <f>IFERROR(VLOOKUP(D10,EMPLEADO!C:Q,15,0),"")</f>
        <v>ARMIJOS MIÑAN ANGEL OSWALDO</v>
      </c>
      <c r="D10" s="6" t="str">
        <f>'Reporte Asistencia Laboral'!D11</f>
        <v>070219346-7</v>
      </c>
      <c r="E10" s="37" t="s">
        <v>57</v>
      </c>
      <c r="F10" s="184"/>
      <c r="G10" s="185"/>
      <c r="H10" s="184"/>
      <c r="I10" s="185"/>
      <c r="J10" s="184"/>
      <c r="K10" s="185"/>
      <c r="L10" s="183">
        <f>IF($F$6="OJO H.E. AL 100%",0,(G10-F10)*24+(I10-H10)*24+(K10-J10)*24)</f>
        <v>0</v>
      </c>
      <c r="M10" s="186"/>
      <c r="N10" s="184"/>
      <c r="O10" s="185"/>
      <c r="P10" s="184"/>
      <c r="Q10" s="185"/>
      <c r="R10" s="187">
        <f>(+O10-N10)*24+(Q10-P10)*24</f>
        <v>0</v>
      </c>
      <c r="S10" s="186"/>
      <c r="T10" s="184"/>
      <c r="U10" s="185"/>
      <c r="V10" s="184"/>
      <c r="W10" s="185"/>
      <c r="X10" s="184"/>
      <c r="Y10" s="185"/>
      <c r="Z10" s="183">
        <f>IF($T$6="OJO H.E. AL 100%",0,(U10-T10)*24+(W10-V10)*24+(Y10-X10)*24)</f>
        <v>0</v>
      </c>
      <c r="AA10" s="186"/>
      <c r="AB10" s="184"/>
      <c r="AC10" s="185"/>
      <c r="AD10" s="184"/>
      <c r="AE10" s="185"/>
      <c r="AF10" s="187">
        <f>(+AC10-AB10)*24+(AE10-AD10)*24</f>
        <v>0</v>
      </c>
      <c r="AG10" s="186"/>
      <c r="AH10" s="184"/>
      <c r="AI10" s="185"/>
      <c r="AJ10" s="184"/>
      <c r="AK10" s="185"/>
      <c r="AL10" s="184"/>
      <c r="AM10" s="185"/>
      <c r="AN10" s="183">
        <f>IF($AH$6="OJO H.E. AL 100%",0,(AI10-AH10)*24+(AK10-AJ10)*24+(AM10-AL10)*24)</f>
        <v>0</v>
      </c>
      <c r="AO10" s="186"/>
      <c r="AP10" s="184"/>
      <c r="AQ10" s="185"/>
      <c r="AR10" s="184"/>
      <c r="AS10" s="185"/>
      <c r="AT10" s="188">
        <f>(+AQ10-AP10)*24+(AS10-AR10)*24</f>
        <v>0</v>
      </c>
      <c r="AU10" s="186"/>
      <c r="AV10" s="184"/>
      <c r="AW10" s="185"/>
      <c r="AX10" s="184"/>
      <c r="AY10" s="185"/>
      <c r="AZ10" s="184"/>
      <c r="BA10" s="185"/>
      <c r="BB10" s="183">
        <f>IF($AV$6="OJO H.E. AL 100%",0,(AW10-AV10)*24+(AY10-AX10)*24+(BA10-AZ10)*24)</f>
        <v>0</v>
      </c>
      <c r="BC10" s="186"/>
      <c r="BD10" s="184"/>
      <c r="BE10" s="185"/>
      <c r="BF10" s="184"/>
      <c r="BG10" s="185"/>
      <c r="BH10" s="188">
        <f>(+BE10-BD10)*24+(BG10-BF10)*24</f>
        <v>0</v>
      </c>
      <c r="BI10" s="186"/>
      <c r="BJ10" s="184"/>
      <c r="BK10" s="185"/>
      <c r="BL10" s="184"/>
      <c r="BM10" s="185"/>
      <c r="BN10" s="184"/>
      <c r="BO10" s="185"/>
      <c r="BP10" s="183">
        <f>IF($BJ$6="OJO H.E. AL 100%",0,(BK10-BJ10)*24+(BM10-BL10)*24+(BO10-BN10)*24)</f>
        <v>0</v>
      </c>
      <c r="BQ10" s="186"/>
      <c r="BR10" s="184"/>
      <c r="BS10" s="185"/>
      <c r="BT10" s="184"/>
      <c r="BU10" s="185"/>
      <c r="BV10" s="188">
        <f>(+BS10-BR10)*24+(BU10-BT10)*24</f>
        <v>0</v>
      </c>
      <c r="BW10" s="186"/>
      <c r="BX10" s="184"/>
      <c r="BY10" s="185"/>
      <c r="BZ10" s="184"/>
      <c r="CA10" s="185"/>
      <c r="CB10" s="184"/>
      <c r="CC10" s="185"/>
      <c r="CD10" s="183">
        <f>IF($BX$6="OJO H.E. AL 100%",0,(BY10-BX10)*24+(CA10-BZ10)*24+(CC10-CB10)*24)</f>
        <v>0</v>
      </c>
      <c r="CE10" s="186"/>
      <c r="CF10" s="184"/>
      <c r="CG10" s="185"/>
      <c r="CH10" s="184"/>
      <c r="CI10" s="185"/>
      <c r="CJ10" s="188">
        <f>(+CG10-CF10)*24+(CI10-CH10)*24</f>
        <v>0</v>
      </c>
      <c r="CK10" s="186"/>
      <c r="CL10" s="184"/>
      <c r="CM10" s="185"/>
      <c r="CN10" s="184"/>
      <c r="CO10" s="185"/>
      <c r="CP10" s="184"/>
      <c r="CQ10" s="185"/>
      <c r="CR10" s="183">
        <f>IF($CL$6="OJO H.E. AL 100%",0,(CM10-CL10)*24+(CO10-CN10)*24+(CQ10-CP10)*24)</f>
        <v>0</v>
      </c>
      <c r="CS10" s="186"/>
      <c r="CT10" s="184"/>
      <c r="CU10" s="185"/>
      <c r="CV10" s="184"/>
      <c r="CW10" s="185"/>
      <c r="CX10" s="188">
        <f>(+CU10-CT10)*24+(CW10-CV10)*24</f>
        <v>0</v>
      </c>
      <c r="CY10" s="186"/>
      <c r="CZ10" s="184"/>
      <c r="DA10" s="185"/>
      <c r="DB10" s="184"/>
      <c r="DC10" s="185"/>
      <c r="DD10" s="184"/>
      <c r="DE10" s="185"/>
      <c r="DF10" s="183">
        <f>IF($CZ$6="OJO H.E. AL 100%",0,(DA10-CZ10)*24+(DC10-DB10)*24+(DE10-DD10)*24)</f>
        <v>0</v>
      </c>
      <c r="DG10" s="186"/>
      <c r="DH10" s="184"/>
      <c r="DI10" s="185"/>
      <c r="DJ10" s="184"/>
      <c r="DK10" s="185"/>
      <c r="DL10" s="188">
        <f>(+DI10-DH10)*24+(DK10-DJ10)*24</f>
        <v>0</v>
      </c>
      <c r="DM10" s="186"/>
      <c r="DN10" s="184"/>
      <c r="DO10" s="185"/>
      <c r="DP10" s="184"/>
      <c r="DQ10" s="185"/>
      <c r="DR10" s="184"/>
      <c r="DS10" s="185"/>
      <c r="DT10" s="183">
        <f>IF($DN$6="OJO H.E. AL 100%",0,(DO10-DN10)*24+(DQ10-DP10)*24+(DS10-DR10)*24)</f>
        <v>0</v>
      </c>
      <c r="DU10" s="186"/>
      <c r="DV10" s="184"/>
      <c r="DW10" s="185"/>
      <c r="DX10" s="184"/>
      <c r="DY10" s="185"/>
      <c r="DZ10" s="188">
        <f>(+DW10-DV10)*24+(DY10-DX10)*24</f>
        <v>0</v>
      </c>
      <c r="EA10" s="186"/>
      <c r="EB10" s="184"/>
      <c r="EC10" s="185"/>
      <c r="ED10" s="184"/>
      <c r="EE10" s="185"/>
      <c r="EF10" s="184"/>
      <c r="EG10" s="185"/>
      <c r="EH10" s="183">
        <f>IF($EB$6="OJO H.E. AL 100%",0,(EC10-EB10)*24+(EE10-ED10)*24+(EG10-EF10)*24)</f>
        <v>0</v>
      </c>
      <c r="EI10" s="186"/>
      <c r="EJ10" s="184"/>
      <c r="EK10" s="185"/>
      <c r="EL10" s="184"/>
      <c r="EM10" s="185"/>
      <c r="EN10" s="188">
        <f>(+EK10-EJ10)*24+(EM10-EL10)*24</f>
        <v>0</v>
      </c>
      <c r="EO10" s="186"/>
      <c r="EP10" s="192">
        <f>L10+Z10+AN10+BB10+BP10+CD10+CR10+DF10+DT10+EH10</f>
        <v>0</v>
      </c>
      <c r="EQ10" s="193">
        <f>R10+AF10+AT10+BH10+BV10+CJ10+CX10+DL10+DZ10+EN10</f>
        <v>0</v>
      </c>
      <c r="ER10" s="35"/>
      <c r="FB10" s="35"/>
    </row>
    <row r="11" spans="2:158" ht="30" customHeight="1" x14ac:dyDescent="0.3">
      <c r="B11" s="22">
        <f>'Reporte Asistencia Laboral'!B12</f>
        <v>2</v>
      </c>
      <c r="C11" s="75" t="str">
        <f>IFERROR(VLOOKUP(D11,EMPLEADO!C:Q,15,0),"")</f>
        <v>ORTIZ CORONEL WILMER ALBERTO</v>
      </c>
      <c r="D11" s="6" t="str">
        <f>'Reporte Asistencia Laboral'!D12</f>
        <v>110558140-7</v>
      </c>
      <c r="E11" s="37" t="s">
        <v>18</v>
      </c>
      <c r="F11" s="184"/>
      <c r="G11" s="185"/>
      <c r="H11" s="184"/>
      <c r="I11" s="185"/>
      <c r="J11" s="184"/>
      <c r="K11" s="185"/>
      <c r="L11" s="183">
        <f t="shared" ref="L11:L13" si="0">IF($F$6="OJO H.E. AL 100%",0,(G11-F11)*24+(I11-H11)*24+(K11-J11)*24)</f>
        <v>0</v>
      </c>
      <c r="M11" s="186"/>
      <c r="N11" s="184"/>
      <c r="O11" s="185"/>
      <c r="P11" s="184"/>
      <c r="Q11" s="185"/>
      <c r="R11" s="187">
        <f t="shared" ref="R11:R13" si="1">(+O11-N11)*24+(Q11-P11)*24</f>
        <v>0</v>
      </c>
      <c r="S11" s="186"/>
      <c r="T11" s="184"/>
      <c r="U11" s="185"/>
      <c r="V11" s="184"/>
      <c r="W11" s="185"/>
      <c r="X11" s="184"/>
      <c r="Y11" s="185"/>
      <c r="Z11" s="183">
        <f t="shared" ref="Z11:Z13" si="2">IF($T$6="OJO H.E. AL 100%",0,(U11-T11)*24+(W11-V11)*24+(Y11-X11)*24)</f>
        <v>0</v>
      </c>
      <c r="AA11" s="186"/>
      <c r="AB11" s="184"/>
      <c r="AC11" s="185"/>
      <c r="AD11" s="184"/>
      <c r="AE11" s="185"/>
      <c r="AF11" s="187">
        <f t="shared" ref="AF11:AF13" si="3">(+AC11-AB11)*24+(AE11-AD11)*24</f>
        <v>0</v>
      </c>
      <c r="AG11" s="186"/>
      <c r="AH11" s="184"/>
      <c r="AI11" s="185"/>
      <c r="AJ11" s="184"/>
      <c r="AK11" s="185"/>
      <c r="AL11" s="184"/>
      <c r="AM11" s="185"/>
      <c r="AN11" s="183">
        <f t="shared" ref="AN11:AN13" si="4">IF($AH$6="OJO H.E. AL 100%",0,(AI11-AH11)*24+(AK11-AJ11)*24+(AM11-AL11)*24)</f>
        <v>0</v>
      </c>
      <c r="AO11" s="186"/>
      <c r="AP11" s="184"/>
      <c r="AQ11" s="185"/>
      <c r="AR11" s="184"/>
      <c r="AS11" s="185"/>
      <c r="AT11" s="188">
        <f t="shared" ref="AT11:AT13" si="5">(+AQ11-AP11)*24+(AS11-AR11)*24</f>
        <v>0</v>
      </c>
      <c r="AU11" s="186"/>
      <c r="AV11" s="184"/>
      <c r="AW11" s="185"/>
      <c r="AX11" s="184"/>
      <c r="AY11" s="185"/>
      <c r="AZ11" s="184"/>
      <c r="BA11" s="185"/>
      <c r="BB11" s="183">
        <f t="shared" ref="BB11:BB13" si="6">IF($AV$6="OJO H.E. AL 100%",0,(AW11-AV11)*24+(AY11-AX11)*24+(BA11-AZ11)*24)</f>
        <v>0</v>
      </c>
      <c r="BC11" s="186"/>
      <c r="BD11" s="184"/>
      <c r="BE11" s="185"/>
      <c r="BF11" s="184"/>
      <c r="BG11" s="185"/>
      <c r="BH11" s="188">
        <f t="shared" ref="BH11:BH13" si="7">(+BE11-BD11)*24+(BG11-BF11)*24</f>
        <v>0</v>
      </c>
      <c r="BI11" s="186"/>
      <c r="BJ11" s="184"/>
      <c r="BK11" s="185"/>
      <c r="BL11" s="184"/>
      <c r="BM11" s="185"/>
      <c r="BN11" s="184"/>
      <c r="BO11" s="185"/>
      <c r="BP11" s="183">
        <f t="shared" ref="BP11:BP13" si="8">IF($BJ$6="OJO H.E. AL 100%",0,(BK11-BJ11)*24+(BM11-BL11)*24+(BO11-BN11)*24)</f>
        <v>0</v>
      </c>
      <c r="BQ11" s="186"/>
      <c r="BR11" s="184"/>
      <c r="BS11" s="185"/>
      <c r="BT11" s="184"/>
      <c r="BU11" s="185"/>
      <c r="BV11" s="188">
        <f t="shared" ref="BV11:BV13" si="9">(+BS11-BR11)*24+(BU11-BT11)*24</f>
        <v>0</v>
      </c>
      <c r="BW11" s="186"/>
      <c r="BX11" s="184"/>
      <c r="BY11" s="185"/>
      <c r="BZ11" s="184"/>
      <c r="CA11" s="185"/>
      <c r="CB11" s="184"/>
      <c r="CC11" s="185"/>
      <c r="CD11" s="183">
        <f t="shared" ref="CD11:CD13" si="10">IF($BX$6="OJO H.E. AL 100%",0,(BY11-BX11)*24+(CA11-BZ11)*24+(CC11-CB11)*24)</f>
        <v>0</v>
      </c>
      <c r="CE11" s="186"/>
      <c r="CF11" s="184"/>
      <c r="CG11" s="185"/>
      <c r="CH11" s="184"/>
      <c r="CI11" s="185"/>
      <c r="CJ11" s="188">
        <f t="shared" ref="CJ11:CJ13" si="11">(+CG11-CF11)*24+(CI11-CH11)*24</f>
        <v>0</v>
      </c>
      <c r="CK11" s="186"/>
      <c r="CL11" s="184"/>
      <c r="CM11" s="185"/>
      <c r="CN11" s="184"/>
      <c r="CO11" s="185"/>
      <c r="CP11" s="184"/>
      <c r="CQ11" s="185"/>
      <c r="CR11" s="183">
        <f t="shared" ref="CR11:CR13" si="12">IF($CL$6="OJO H.E. AL 100%",0,(CM11-CL11)*24+(CO11-CN11)*24+(CQ11-CP11)*24)</f>
        <v>0</v>
      </c>
      <c r="CS11" s="186"/>
      <c r="CT11" s="184"/>
      <c r="CU11" s="185"/>
      <c r="CV11" s="184"/>
      <c r="CW11" s="185"/>
      <c r="CX11" s="188">
        <f t="shared" ref="CX11:CX13" si="13">(+CU11-CT11)*24+(CW11-CV11)*24</f>
        <v>0</v>
      </c>
      <c r="CY11" s="186"/>
      <c r="CZ11" s="184"/>
      <c r="DA11" s="185"/>
      <c r="DB11" s="184"/>
      <c r="DC11" s="185"/>
      <c r="DD11" s="184"/>
      <c r="DE11" s="185"/>
      <c r="DF11" s="183">
        <f t="shared" ref="DF11:DF13" si="14">IF($CZ$6="OJO H.E. AL 100%",0,(DA11-CZ11)*24+(DC11-DB11)*24+(DE11-DD11)*24)</f>
        <v>0</v>
      </c>
      <c r="DG11" s="186"/>
      <c r="DH11" s="184"/>
      <c r="DI11" s="185"/>
      <c r="DJ11" s="184"/>
      <c r="DK11" s="185"/>
      <c r="DL11" s="188">
        <f t="shared" ref="DL11:DL13" si="15">(+DI11-DH11)*24+(DK11-DJ11)*24</f>
        <v>0</v>
      </c>
      <c r="DM11" s="186"/>
      <c r="DN11" s="184"/>
      <c r="DO11" s="185"/>
      <c r="DP11" s="184"/>
      <c r="DQ11" s="185"/>
      <c r="DR11" s="184"/>
      <c r="DS11" s="185"/>
      <c r="DT11" s="183">
        <f t="shared" ref="DT11:DT13" si="16">IF($DN$6="OJO H.E. AL 100%",0,(DO11-DN11)*24+(DQ11-DP11)*24+(DS11-DR11)*24)</f>
        <v>0</v>
      </c>
      <c r="DU11" s="186"/>
      <c r="DV11" s="184"/>
      <c r="DW11" s="185"/>
      <c r="DX11" s="184"/>
      <c r="DY11" s="185"/>
      <c r="DZ11" s="188">
        <f t="shared" ref="DZ11:DZ13" si="17">(+DW11-DV11)*24+(DY11-DX11)*24</f>
        <v>0</v>
      </c>
      <c r="EA11" s="186"/>
      <c r="EB11" s="184"/>
      <c r="EC11" s="185"/>
      <c r="ED11" s="184"/>
      <c r="EE11" s="185"/>
      <c r="EF11" s="184"/>
      <c r="EG11" s="185"/>
      <c r="EH11" s="183">
        <f t="shared" ref="EH11:EH13" si="18">IF($EB$6="OJO H.E. AL 100%",0,(EC11-EB11)*24+(EE11-ED11)*24+(EG11-EF11)*24)</f>
        <v>0</v>
      </c>
      <c r="EI11" s="186"/>
      <c r="EJ11" s="184"/>
      <c r="EK11" s="185"/>
      <c r="EL11" s="184"/>
      <c r="EM11" s="185"/>
      <c r="EN11" s="188">
        <f t="shared" ref="EN11:EN13" si="19">(+EK11-EJ11)*24+(EM11-EL11)*24</f>
        <v>0</v>
      </c>
      <c r="EO11" s="186"/>
      <c r="EP11" s="192">
        <f t="shared" ref="EP11:EP13" si="20">L11+Z11+AN11+BB11+BP11+CD11+CR11+DF11+DT11+EH11</f>
        <v>0</v>
      </c>
      <c r="EQ11" s="193">
        <f t="shared" ref="EQ11:EQ13" si="21">R11+AF11+AT11+BH11+BV11+CJ11+CX11+DL11+DZ11+EN11</f>
        <v>0</v>
      </c>
      <c r="ER11" s="35"/>
      <c r="FB11" s="35"/>
    </row>
    <row r="12" spans="2:158" ht="30" customHeight="1" x14ac:dyDescent="0.3">
      <c r="B12" s="22">
        <f>'Reporte Asistencia Laboral'!B13</f>
        <v>3</v>
      </c>
      <c r="C12" s="75" t="str">
        <f>IFERROR(VLOOKUP(D12,EMPLEADO!C:Q,15,0),"")</f>
        <v>MERECI MOREIRA LUIS FERNANDO</v>
      </c>
      <c r="D12" s="6" t="str">
        <f>'Reporte Asistencia Laboral'!D13</f>
        <v>115043410-6</v>
      </c>
      <c r="E12" s="142"/>
      <c r="F12" s="189"/>
      <c r="G12" s="190"/>
      <c r="H12" s="189"/>
      <c r="I12" s="190"/>
      <c r="J12" s="189"/>
      <c r="K12" s="190"/>
      <c r="L12" s="183">
        <f t="shared" si="0"/>
        <v>0</v>
      </c>
      <c r="M12" s="191"/>
      <c r="N12" s="189"/>
      <c r="O12" s="190"/>
      <c r="P12" s="189"/>
      <c r="Q12" s="190"/>
      <c r="R12" s="187">
        <f t="shared" si="1"/>
        <v>0</v>
      </c>
      <c r="S12" s="191"/>
      <c r="T12" s="189"/>
      <c r="U12" s="190"/>
      <c r="V12" s="189"/>
      <c r="W12" s="190"/>
      <c r="X12" s="189"/>
      <c r="Y12" s="190"/>
      <c r="Z12" s="183">
        <f t="shared" si="2"/>
        <v>0</v>
      </c>
      <c r="AA12" s="191"/>
      <c r="AB12" s="189"/>
      <c r="AC12" s="190"/>
      <c r="AD12" s="189"/>
      <c r="AE12" s="190"/>
      <c r="AF12" s="187">
        <f t="shared" si="3"/>
        <v>0</v>
      </c>
      <c r="AG12" s="191"/>
      <c r="AH12" s="189"/>
      <c r="AI12" s="190"/>
      <c r="AJ12" s="189"/>
      <c r="AK12" s="190"/>
      <c r="AL12" s="189"/>
      <c r="AM12" s="190"/>
      <c r="AN12" s="183">
        <f t="shared" si="4"/>
        <v>0</v>
      </c>
      <c r="AO12" s="191"/>
      <c r="AP12" s="189"/>
      <c r="AQ12" s="190"/>
      <c r="AR12" s="189"/>
      <c r="AS12" s="190"/>
      <c r="AT12" s="188">
        <f t="shared" si="5"/>
        <v>0</v>
      </c>
      <c r="AU12" s="191"/>
      <c r="AV12" s="189"/>
      <c r="AW12" s="190"/>
      <c r="AX12" s="189"/>
      <c r="AY12" s="190"/>
      <c r="AZ12" s="189"/>
      <c r="BA12" s="190"/>
      <c r="BB12" s="183">
        <f t="shared" si="6"/>
        <v>0</v>
      </c>
      <c r="BC12" s="191"/>
      <c r="BD12" s="189"/>
      <c r="BE12" s="190"/>
      <c r="BF12" s="189"/>
      <c r="BG12" s="190"/>
      <c r="BH12" s="188">
        <f t="shared" si="7"/>
        <v>0</v>
      </c>
      <c r="BI12" s="191"/>
      <c r="BJ12" s="189"/>
      <c r="BK12" s="190"/>
      <c r="BL12" s="189"/>
      <c r="BM12" s="190"/>
      <c r="BN12" s="189"/>
      <c r="BO12" s="190"/>
      <c r="BP12" s="183">
        <f t="shared" si="8"/>
        <v>0</v>
      </c>
      <c r="BQ12" s="191"/>
      <c r="BR12" s="189"/>
      <c r="BS12" s="190"/>
      <c r="BT12" s="189"/>
      <c r="BU12" s="190"/>
      <c r="BV12" s="188">
        <f t="shared" si="9"/>
        <v>0</v>
      </c>
      <c r="BW12" s="191"/>
      <c r="BX12" s="189"/>
      <c r="BY12" s="190"/>
      <c r="BZ12" s="189"/>
      <c r="CA12" s="190"/>
      <c r="CB12" s="189"/>
      <c r="CC12" s="190"/>
      <c r="CD12" s="183">
        <f t="shared" si="10"/>
        <v>0</v>
      </c>
      <c r="CE12" s="191"/>
      <c r="CF12" s="189"/>
      <c r="CG12" s="190"/>
      <c r="CH12" s="189"/>
      <c r="CI12" s="190"/>
      <c r="CJ12" s="188">
        <f t="shared" si="11"/>
        <v>0</v>
      </c>
      <c r="CK12" s="191"/>
      <c r="CL12" s="189"/>
      <c r="CM12" s="190"/>
      <c r="CN12" s="189"/>
      <c r="CO12" s="190"/>
      <c r="CP12" s="189"/>
      <c r="CQ12" s="190"/>
      <c r="CR12" s="183">
        <f t="shared" si="12"/>
        <v>0</v>
      </c>
      <c r="CS12" s="191"/>
      <c r="CT12" s="189"/>
      <c r="CU12" s="190"/>
      <c r="CV12" s="189"/>
      <c r="CW12" s="190"/>
      <c r="CX12" s="188">
        <f t="shared" si="13"/>
        <v>0</v>
      </c>
      <c r="CY12" s="191"/>
      <c r="CZ12" s="189"/>
      <c r="DA12" s="190"/>
      <c r="DB12" s="189"/>
      <c r="DC12" s="190"/>
      <c r="DD12" s="189"/>
      <c r="DE12" s="190"/>
      <c r="DF12" s="183">
        <f t="shared" si="14"/>
        <v>0</v>
      </c>
      <c r="DG12" s="191"/>
      <c r="DH12" s="189"/>
      <c r="DI12" s="190"/>
      <c r="DJ12" s="189"/>
      <c r="DK12" s="190"/>
      <c r="DL12" s="188">
        <f t="shared" si="15"/>
        <v>0</v>
      </c>
      <c r="DM12" s="191"/>
      <c r="DN12" s="189"/>
      <c r="DO12" s="190"/>
      <c r="DP12" s="189"/>
      <c r="DQ12" s="190"/>
      <c r="DR12" s="189"/>
      <c r="DS12" s="190"/>
      <c r="DT12" s="183">
        <f t="shared" si="16"/>
        <v>0</v>
      </c>
      <c r="DU12" s="191"/>
      <c r="DV12" s="189"/>
      <c r="DW12" s="190"/>
      <c r="DX12" s="189"/>
      <c r="DY12" s="190"/>
      <c r="DZ12" s="188">
        <f t="shared" si="17"/>
        <v>0</v>
      </c>
      <c r="EA12" s="191"/>
      <c r="EB12" s="189"/>
      <c r="EC12" s="190"/>
      <c r="ED12" s="189"/>
      <c r="EE12" s="190"/>
      <c r="EF12" s="189"/>
      <c r="EG12" s="190"/>
      <c r="EH12" s="183">
        <f t="shared" si="18"/>
        <v>0</v>
      </c>
      <c r="EI12" s="191"/>
      <c r="EJ12" s="189"/>
      <c r="EK12" s="190"/>
      <c r="EL12" s="189"/>
      <c r="EM12" s="190"/>
      <c r="EN12" s="188">
        <f t="shared" si="19"/>
        <v>0</v>
      </c>
      <c r="EO12" s="191"/>
      <c r="EP12" s="192">
        <f t="shared" si="20"/>
        <v>0</v>
      </c>
      <c r="EQ12" s="193">
        <f t="shared" si="21"/>
        <v>0</v>
      </c>
      <c r="FB12" s="35"/>
    </row>
    <row r="13" spans="2:158" ht="30" customHeight="1" x14ac:dyDescent="0.3">
      <c r="B13" s="22">
        <f>'Reporte Asistencia Laboral'!B14</f>
        <v>4</v>
      </c>
      <c r="C13" s="75" t="str">
        <f>IFERROR(VLOOKUP(D13,EMPLEADO!C:Q,15,0),"")</f>
        <v>VELEZ PALACIOS RICARDO JOSE</v>
      </c>
      <c r="D13" s="6" t="str">
        <f>'Reporte Asistencia Laboral'!D14</f>
        <v>070432834-3</v>
      </c>
      <c r="E13" s="142"/>
      <c r="F13" s="184"/>
      <c r="G13" s="185"/>
      <c r="H13" s="184"/>
      <c r="I13" s="185"/>
      <c r="J13" s="184"/>
      <c r="K13" s="185"/>
      <c r="L13" s="183">
        <f t="shared" si="0"/>
        <v>0</v>
      </c>
      <c r="M13" s="186"/>
      <c r="N13" s="184"/>
      <c r="O13" s="185"/>
      <c r="P13" s="184"/>
      <c r="Q13" s="185"/>
      <c r="R13" s="187">
        <f t="shared" si="1"/>
        <v>0</v>
      </c>
      <c r="S13" s="186"/>
      <c r="T13" s="184"/>
      <c r="U13" s="185"/>
      <c r="V13" s="184"/>
      <c r="W13" s="185"/>
      <c r="X13" s="184"/>
      <c r="Y13" s="185"/>
      <c r="Z13" s="183">
        <f t="shared" si="2"/>
        <v>0</v>
      </c>
      <c r="AA13" s="186"/>
      <c r="AB13" s="184"/>
      <c r="AC13" s="185"/>
      <c r="AD13" s="184"/>
      <c r="AE13" s="185"/>
      <c r="AF13" s="187">
        <f t="shared" si="3"/>
        <v>0</v>
      </c>
      <c r="AG13" s="186"/>
      <c r="AH13" s="184"/>
      <c r="AI13" s="185"/>
      <c r="AJ13" s="184"/>
      <c r="AK13" s="185"/>
      <c r="AL13" s="184"/>
      <c r="AM13" s="185"/>
      <c r="AN13" s="183">
        <f t="shared" si="4"/>
        <v>0</v>
      </c>
      <c r="AO13" s="186"/>
      <c r="AP13" s="184"/>
      <c r="AQ13" s="185"/>
      <c r="AR13" s="184"/>
      <c r="AS13" s="185"/>
      <c r="AT13" s="188">
        <f t="shared" si="5"/>
        <v>0</v>
      </c>
      <c r="AU13" s="186"/>
      <c r="AV13" s="184"/>
      <c r="AW13" s="185"/>
      <c r="AX13" s="184"/>
      <c r="AY13" s="185"/>
      <c r="AZ13" s="184"/>
      <c r="BA13" s="185"/>
      <c r="BB13" s="183">
        <f t="shared" si="6"/>
        <v>0</v>
      </c>
      <c r="BC13" s="186"/>
      <c r="BD13" s="184"/>
      <c r="BE13" s="185"/>
      <c r="BF13" s="184"/>
      <c r="BG13" s="185"/>
      <c r="BH13" s="188">
        <f t="shared" si="7"/>
        <v>0</v>
      </c>
      <c r="BI13" s="186"/>
      <c r="BJ13" s="184"/>
      <c r="BK13" s="185"/>
      <c r="BL13" s="184"/>
      <c r="BM13" s="185"/>
      <c r="BN13" s="184"/>
      <c r="BO13" s="185"/>
      <c r="BP13" s="183">
        <f t="shared" si="8"/>
        <v>0</v>
      </c>
      <c r="BQ13" s="186"/>
      <c r="BR13" s="184"/>
      <c r="BS13" s="185"/>
      <c r="BT13" s="184"/>
      <c r="BU13" s="185"/>
      <c r="BV13" s="188">
        <f t="shared" si="9"/>
        <v>0</v>
      </c>
      <c r="BW13" s="186"/>
      <c r="BX13" s="184"/>
      <c r="BY13" s="185"/>
      <c r="BZ13" s="184"/>
      <c r="CA13" s="185"/>
      <c r="CB13" s="184"/>
      <c r="CC13" s="185"/>
      <c r="CD13" s="183">
        <f t="shared" si="10"/>
        <v>0</v>
      </c>
      <c r="CE13" s="186"/>
      <c r="CF13" s="184"/>
      <c r="CG13" s="185"/>
      <c r="CH13" s="184"/>
      <c r="CI13" s="185"/>
      <c r="CJ13" s="188">
        <f t="shared" si="11"/>
        <v>0</v>
      </c>
      <c r="CK13" s="186"/>
      <c r="CL13" s="184"/>
      <c r="CM13" s="185"/>
      <c r="CN13" s="184"/>
      <c r="CO13" s="185"/>
      <c r="CP13" s="184"/>
      <c r="CQ13" s="185"/>
      <c r="CR13" s="183">
        <f t="shared" si="12"/>
        <v>0</v>
      </c>
      <c r="CS13" s="186"/>
      <c r="CT13" s="184"/>
      <c r="CU13" s="185"/>
      <c r="CV13" s="184"/>
      <c r="CW13" s="185"/>
      <c r="CX13" s="188">
        <f t="shared" si="13"/>
        <v>0</v>
      </c>
      <c r="CY13" s="186"/>
      <c r="CZ13" s="184"/>
      <c r="DA13" s="185"/>
      <c r="DB13" s="184"/>
      <c r="DC13" s="185"/>
      <c r="DD13" s="184"/>
      <c r="DE13" s="185"/>
      <c r="DF13" s="183">
        <f t="shared" si="14"/>
        <v>0</v>
      </c>
      <c r="DG13" s="186"/>
      <c r="DH13" s="184"/>
      <c r="DI13" s="185"/>
      <c r="DJ13" s="184"/>
      <c r="DK13" s="185"/>
      <c r="DL13" s="188">
        <f t="shared" si="15"/>
        <v>0</v>
      </c>
      <c r="DM13" s="186"/>
      <c r="DN13" s="184"/>
      <c r="DO13" s="185"/>
      <c r="DP13" s="184"/>
      <c r="DQ13" s="185"/>
      <c r="DR13" s="184"/>
      <c r="DS13" s="185"/>
      <c r="DT13" s="183">
        <f t="shared" si="16"/>
        <v>0</v>
      </c>
      <c r="DU13" s="186"/>
      <c r="DV13" s="184"/>
      <c r="DW13" s="185"/>
      <c r="DX13" s="184"/>
      <c r="DY13" s="185"/>
      <c r="DZ13" s="188">
        <f t="shared" si="17"/>
        <v>0</v>
      </c>
      <c r="EA13" s="186"/>
      <c r="EB13" s="184"/>
      <c r="EC13" s="185"/>
      <c r="ED13" s="184"/>
      <c r="EE13" s="185"/>
      <c r="EF13" s="184"/>
      <c r="EG13" s="185"/>
      <c r="EH13" s="183">
        <f t="shared" si="18"/>
        <v>0</v>
      </c>
      <c r="EI13" s="186"/>
      <c r="EJ13" s="184"/>
      <c r="EK13" s="185"/>
      <c r="EL13" s="184"/>
      <c r="EM13" s="185"/>
      <c r="EN13" s="188">
        <f t="shared" si="19"/>
        <v>0</v>
      </c>
      <c r="EO13" s="186"/>
      <c r="EP13" s="192">
        <f t="shared" si="20"/>
        <v>0</v>
      </c>
      <c r="EQ13" s="193">
        <f t="shared" si="21"/>
        <v>0</v>
      </c>
      <c r="FB13" s="35"/>
    </row>
    <row r="14" spans="2:158" ht="29.25" customHeight="1" x14ac:dyDescent="0.3">
      <c r="B14" s="22">
        <f>'Reporte Asistencia Laboral'!B15</f>
        <v>5</v>
      </c>
      <c r="C14" s="75" t="str">
        <f>IFERROR(VLOOKUP(D14,EMPLEADO!C:Q,15,0),"")</f>
        <v>FERNANDEZ VELEZ OSCAR FORTUNATO</v>
      </c>
      <c r="D14" s="6" t="str">
        <f>'Reporte Asistencia Laboral'!D15</f>
        <v>131244670-9</v>
      </c>
      <c r="E14" s="142"/>
      <c r="F14" s="184"/>
      <c r="G14" s="185"/>
      <c r="H14" s="184"/>
      <c r="I14" s="185"/>
      <c r="J14" s="184"/>
      <c r="K14" s="185"/>
      <c r="L14" s="183">
        <f t="shared" ref="L14" si="22">IF($F$6="OJO H.E. AL 100%",0,(G14-F14)*24+(I14-H14)*24+(K14-J14)*24)</f>
        <v>0</v>
      </c>
      <c r="M14" s="186"/>
      <c r="N14" s="184"/>
      <c r="O14" s="185"/>
      <c r="P14" s="184"/>
      <c r="Q14" s="185"/>
      <c r="R14" s="187">
        <f t="shared" ref="R14" si="23">(+O14-N14)*24+(Q14-P14)*24</f>
        <v>0</v>
      </c>
      <c r="S14" s="186"/>
      <c r="T14" s="184"/>
      <c r="U14" s="185"/>
      <c r="V14" s="184"/>
      <c r="W14" s="185"/>
      <c r="X14" s="184"/>
      <c r="Y14" s="185"/>
      <c r="Z14" s="183">
        <f t="shared" ref="Z14" si="24">IF($T$6="OJO H.E. AL 100%",0,(U14-T14)*24+(W14-V14)*24+(Y14-X14)*24)</f>
        <v>0</v>
      </c>
      <c r="AA14" s="186"/>
      <c r="AB14" s="184"/>
      <c r="AC14" s="185"/>
      <c r="AD14" s="184"/>
      <c r="AE14" s="185"/>
      <c r="AF14" s="187">
        <f t="shared" ref="AF14" si="25">(+AC14-AB14)*24+(AE14-AD14)*24</f>
        <v>0</v>
      </c>
      <c r="AG14" s="186"/>
      <c r="AH14" s="184"/>
      <c r="AI14" s="185"/>
      <c r="AJ14" s="184"/>
      <c r="AK14" s="185"/>
      <c r="AL14" s="184"/>
      <c r="AM14" s="185"/>
      <c r="AN14" s="183">
        <f t="shared" ref="AN14" si="26">IF($AH$6="OJO H.E. AL 100%",0,(AI14-AH14)*24+(AK14-AJ14)*24+(AM14-AL14)*24)</f>
        <v>0</v>
      </c>
      <c r="AO14" s="186"/>
      <c r="AP14" s="184"/>
      <c r="AQ14" s="185"/>
      <c r="AR14" s="184"/>
      <c r="AS14" s="185"/>
      <c r="AT14" s="188">
        <f t="shared" ref="AT14" si="27">(+AQ14-AP14)*24+(AS14-AR14)*24</f>
        <v>0</v>
      </c>
      <c r="AU14" s="186"/>
      <c r="AV14" s="184"/>
      <c r="AW14" s="185"/>
      <c r="AX14" s="184"/>
      <c r="AY14" s="185"/>
      <c r="AZ14" s="184"/>
      <c r="BA14" s="185"/>
      <c r="BB14" s="183">
        <f t="shared" ref="BB14" si="28">IF($AV$6="OJO H.E. AL 100%",0,(AW14-AV14)*24+(AY14-AX14)*24+(BA14-AZ14)*24)</f>
        <v>0</v>
      </c>
      <c r="BC14" s="186"/>
      <c r="BD14" s="184"/>
      <c r="BE14" s="185"/>
      <c r="BF14" s="184"/>
      <c r="BG14" s="185"/>
      <c r="BH14" s="188">
        <f t="shared" ref="BH14" si="29">(+BE14-BD14)*24+(BG14-BF14)*24</f>
        <v>0</v>
      </c>
      <c r="BI14" s="186"/>
      <c r="BJ14" s="184"/>
      <c r="BK14" s="185"/>
      <c r="BL14" s="184"/>
      <c r="BM14" s="185"/>
      <c r="BN14" s="184"/>
      <c r="BO14" s="185"/>
      <c r="BP14" s="183">
        <f t="shared" ref="BP14" si="30">IF($BJ$6="OJO H.E. AL 100%",0,(BK14-BJ14)*24+(BM14-BL14)*24+(BO14-BN14)*24)</f>
        <v>0</v>
      </c>
      <c r="BQ14" s="186"/>
      <c r="BR14" s="184"/>
      <c r="BS14" s="185"/>
      <c r="BT14" s="184"/>
      <c r="BU14" s="185"/>
      <c r="BV14" s="188">
        <f t="shared" ref="BV14" si="31">(+BS14-BR14)*24+(BU14-BT14)*24</f>
        <v>0</v>
      </c>
      <c r="BW14" s="186"/>
      <c r="BX14" s="184"/>
      <c r="BY14" s="185"/>
      <c r="BZ14" s="184"/>
      <c r="CA14" s="185"/>
      <c r="CB14" s="184"/>
      <c r="CC14" s="185"/>
      <c r="CD14" s="183">
        <f t="shared" ref="CD14" si="32">IF($BX$6="OJO H.E. AL 100%",0,(BY14-BX14)*24+(CA14-BZ14)*24+(CC14-CB14)*24)</f>
        <v>0</v>
      </c>
      <c r="CE14" s="186"/>
      <c r="CF14" s="184"/>
      <c r="CG14" s="185"/>
      <c r="CH14" s="184"/>
      <c r="CI14" s="185"/>
      <c r="CJ14" s="188">
        <f t="shared" ref="CJ14" si="33">(+CG14-CF14)*24+(CI14-CH14)*24</f>
        <v>0</v>
      </c>
      <c r="CK14" s="186"/>
      <c r="CL14" s="184"/>
      <c r="CM14" s="185"/>
      <c r="CN14" s="184"/>
      <c r="CO14" s="185"/>
      <c r="CP14" s="184"/>
      <c r="CQ14" s="185"/>
      <c r="CR14" s="183">
        <f t="shared" ref="CR14" si="34">IF($CL$6="OJO H.E. AL 100%",0,(CM14-CL14)*24+(CO14-CN14)*24+(CQ14-CP14)*24)</f>
        <v>0</v>
      </c>
      <c r="CS14" s="186"/>
      <c r="CT14" s="184"/>
      <c r="CU14" s="185"/>
      <c r="CV14" s="184"/>
      <c r="CW14" s="185"/>
      <c r="CX14" s="188">
        <f t="shared" ref="CX14" si="35">(+CU14-CT14)*24+(CW14-CV14)*24</f>
        <v>0</v>
      </c>
      <c r="CY14" s="186"/>
      <c r="CZ14" s="184"/>
      <c r="DA14" s="185"/>
      <c r="DB14" s="184"/>
      <c r="DC14" s="185"/>
      <c r="DD14" s="184"/>
      <c r="DE14" s="185"/>
      <c r="DF14" s="183">
        <f t="shared" ref="DF14" si="36">IF($CZ$6="OJO H.E. AL 100%",0,(DA14-CZ14)*24+(DC14-DB14)*24+(DE14-DD14)*24)</f>
        <v>0</v>
      </c>
      <c r="DG14" s="186"/>
      <c r="DH14" s="184"/>
      <c r="DI14" s="185"/>
      <c r="DJ14" s="184"/>
      <c r="DK14" s="185"/>
      <c r="DL14" s="188">
        <f t="shared" ref="DL14" si="37">(+DI14-DH14)*24+(DK14-DJ14)*24</f>
        <v>0</v>
      </c>
      <c r="DM14" s="186"/>
      <c r="DN14" s="184"/>
      <c r="DO14" s="185"/>
      <c r="DP14" s="184"/>
      <c r="DQ14" s="185"/>
      <c r="DR14" s="184"/>
      <c r="DS14" s="185"/>
      <c r="DT14" s="183">
        <f t="shared" ref="DT14" si="38">IF($DN$6="OJO H.E. AL 100%",0,(DO14-DN14)*24+(DQ14-DP14)*24+(DS14-DR14)*24)</f>
        <v>0</v>
      </c>
      <c r="DU14" s="186"/>
      <c r="DV14" s="184"/>
      <c r="DW14" s="185"/>
      <c r="DX14" s="184"/>
      <c r="DY14" s="185"/>
      <c r="DZ14" s="188">
        <f t="shared" ref="DZ14" si="39">(+DW14-DV14)*24+(DY14-DX14)*24</f>
        <v>0</v>
      </c>
      <c r="EA14" s="186"/>
      <c r="EB14" s="184"/>
      <c r="EC14" s="185"/>
      <c r="ED14" s="184"/>
      <c r="EE14" s="185"/>
      <c r="EF14" s="184"/>
      <c r="EG14" s="185"/>
      <c r="EH14" s="183">
        <f t="shared" ref="EH14" si="40">IF($EB$6="OJO H.E. AL 100%",0,(EC14-EB14)*24+(EE14-ED14)*24+(EG14-EF14)*24)</f>
        <v>0</v>
      </c>
      <c r="EI14" s="186"/>
      <c r="EJ14" s="184"/>
      <c r="EK14" s="185"/>
      <c r="EL14" s="184"/>
      <c r="EM14" s="185"/>
      <c r="EN14" s="188">
        <f t="shared" ref="EN14" si="41">(+EK14-EJ14)*24+(EM14-EL14)*24</f>
        <v>0</v>
      </c>
      <c r="EO14" s="186"/>
      <c r="EP14" s="192">
        <f t="shared" ref="EP14" si="42">L14+Z14+AN14+BB14+BP14+CD14+CR14+DF14+DT14+EH14</f>
        <v>0</v>
      </c>
      <c r="EQ14" s="193">
        <f t="shared" ref="EQ14" si="43">R14+AF14+AT14+BH14+BV14+CJ14+CX14+DL14+DZ14+EN14</f>
        <v>0</v>
      </c>
    </row>
    <row r="15" spans="2:158" ht="21" x14ac:dyDescent="0.3">
      <c r="B15" s="22">
        <f>'Reporte Asistencia Laboral'!B16</f>
        <v>6</v>
      </c>
      <c r="C15" s="75" t="str">
        <f>IFERROR(VLOOKUP(D15,EMPLEADO!C:Q,15,0),"")</f>
        <v>CAMACHO CAMACHO CHRISTIAN EDUARDO</v>
      </c>
      <c r="D15" s="6" t="str">
        <f>'Reporte Asistencia Laboral'!D16</f>
        <v>115087646-2</v>
      </c>
      <c r="E15" s="142"/>
      <c r="F15" s="184"/>
      <c r="G15" s="185"/>
      <c r="H15" s="184"/>
      <c r="I15" s="185"/>
      <c r="J15" s="184"/>
      <c r="K15" s="185"/>
      <c r="L15" s="183">
        <f t="shared" ref="L15:L16" si="44">IF($F$6="OJO H.E. AL 100%",0,(G15-F15)*24+(I15-H15)*24+(K15-J15)*24)</f>
        <v>0</v>
      </c>
      <c r="M15" s="186"/>
      <c r="N15" s="184"/>
      <c r="O15" s="185"/>
      <c r="P15" s="184"/>
      <c r="Q15" s="185"/>
      <c r="R15" s="187">
        <f t="shared" ref="R15:R16" si="45">(+O15-N15)*24+(Q15-P15)*24</f>
        <v>0</v>
      </c>
      <c r="S15" s="186"/>
      <c r="T15" s="184"/>
      <c r="U15" s="185"/>
      <c r="V15" s="184"/>
      <c r="W15" s="185"/>
      <c r="X15" s="184"/>
      <c r="Y15" s="185"/>
      <c r="Z15" s="183">
        <f t="shared" ref="Z15:Z16" si="46">IF($T$6="OJO H.E. AL 100%",0,(U15-T15)*24+(W15-V15)*24+(Y15-X15)*24)</f>
        <v>0</v>
      </c>
      <c r="AA15" s="186"/>
      <c r="AB15" s="184"/>
      <c r="AC15" s="185"/>
      <c r="AD15" s="184"/>
      <c r="AE15" s="185"/>
      <c r="AF15" s="187">
        <f t="shared" ref="AF15:AF16" si="47">(+AC15-AB15)*24+(AE15-AD15)*24</f>
        <v>0</v>
      </c>
      <c r="AG15" s="186"/>
      <c r="AH15" s="184"/>
      <c r="AI15" s="185"/>
      <c r="AJ15" s="184"/>
      <c r="AK15" s="185"/>
      <c r="AL15" s="184"/>
      <c r="AM15" s="185"/>
      <c r="AN15" s="183">
        <f t="shared" ref="AN15:AN16" si="48">IF($AH$6="OJO H.E. AL 100%",0,(AI15-AH15)*24+(AK15-AJ15)*24+(AM15-AL15)*24)</f>
        <v>0</v>
      </c>
      <c r="AO15" s="186"/>
      <c r="AP15" s="184"/>
      <c r="AQ15" s="185"/>
      <c r="AR15" s="184"/>
      <c r="AS15" s="185"/>
      <c r="AT15" s="188">
        <f t="shared" ref="AT15:AT16" si="49">(+AQ15-AP15)*24+(AS15-AR15)*24</f>
        <v>0</v>
      </c>
      <c r="AU15" s="186"/>
      <c r="AV15" s="184"/>
      <c r="AW15" s="185"/>
      <c r="AX15" s="184"/>
      <c r="AY15" s="185"/>
      <c r="AZ15" s="184"/>
      <c r="BA15" s="185"/>
      <c r="BB15" s="183">
        <f t="shared" ref="BB15:BB16" si="50">IF($AV$6="OJO H.E. AL 100%",0,(AW15-AV15)*24+(AY15-AX15)*24+(BA15-AZ15)*24)</f>
        <v>0</v>
      </c>
      <c r="BC15" s="186"/>
      <c r="BD15" s="184"/>
      <c r="BE15" s="185"/>
      <c r="BF15" s="184"/>
      <c r="BG15" s="185"/>
      <c r="BH15" s="188">
        <f t="shared" ref="BH15:BH16" si="51">(+BE15-BD15)*24+(BG15-BF15)*24</f>
        <v>0</v>
      </c>
      <c r="BI15" s="186"/>
      <c r="BJ15" s="184"/>
      <c r="BK15" s="185"/>
      <c r="BL15" s="184"/>
      <c r="BM15" s="185"/>
      <c r="BN15" s="184"/>
      <c r="BO15" s="185"/>
      <c r="BP15" s="183">
        <f t="shared" ref="BP15:BP16" si="52">IF($BJ$6="OJO H.E. AL 100%",0,(BK15-BJ15)*24+(BM15-BL15)*24+(BO15-BN15)*24)</f>
        <v>0</v>
      </c>
      <c r="BQ15" s="186"/>
      <c r="BR15" s="184"/>
      <c r="BS15" s="185"/>
      <c r="BT15" s="184"/>
      <c r="BU15" s="185"/>
      <c r="BV15" s="188">
        <f t="shared" ref="BV15:BV16" si="53">(+BS15-BR15)*24+(BU15-BT15)*24</f>
        <v>0</v>
      </c>
      <c r="BW15" s="186"/>
      <c r="BX15" s="184"/>
      <c r="BY15" s="185"/>
      <c r="BZ15" s="184"/>
      <c r="CA15" s="185"/>
      <c r="CB15" s="184"/>
      <c r="CC15" s="185"/>
      <c r="CD15" s="183">
        <f t="shared" ref="CD15:CD16" si="54">IF($BX$6="OJO H.E. AL 100%",0,(BY15-BX15)*24+(CA15-BZ15)*24+(CC15-CB15)*24)</f>
        <v>0</v>
      </c>
      <c r="CE15" s="186"/>
      <c r="CF15" s="184"/>
      <c r="CG15" s="185"/>
      <c r="CH15" s="184"/>
      <c r="CI15" s="185"/>
      <c r="CJ15" s="188">
        <f t="shared" ref="CJ15:CJ16" si="55">(+CG15-CF15)*24+(CI15-CH15)*24</f>
        <v>0</v>
      </c>
      <c r="CK15" s="186"/>
      <c r="CL15" s="184"/>
      <c r="CM15" s="185"/>
      <c r="CN15" s="184"/>
      <c r="CO15" s="185"/>
      <c r="CP15" s="184"/>
      <c r="CQ15" s="185"/>
      <c r="CR15" s="183">
        <f t="shared" ref="CR15:CR16" si="56">IF($CL$6="OJO H.E. AL 100%",0,(CM15-CL15)*24+(CO15-CN15)*24+(CQ15-CP15)*24)</f>
        <v>0</v>
      </c>
      <c r="CS15" s="186"/>
      <c r="CT15" s="184"/>
      <c r="CU15" s="185"/>
      <c r="CV15" s="184"/>
      <c r="CW15" s="185"/>
      <c r="CX15" s="188">
        <f t="shared" ref="CX15:CX16" si="57">(+CU15-CT15)*24+(CW15-CV15)*24</f>
        <v>0</v>
      </c>
      <c r="CY15" s="186"/>
      <c r="CZ15" s="184"/>
      <c r="DA15" s="185"/>
      <c r="DB15" s="184"/>
      <c r="DC15" s="185"/>
      <c r="DD15" s="184"/>
      <c r="DE15" s="185"/>
      <c r="DF15" s="183">
        <f t="shared" ref="DF15:DF16" si="58">IF($CZ$6="OJO H.E. AL 100%",0,(DA15-CZ15)*24+(DC15-DB15)*24+(DE15-DD15)*24)</f>
        <v>0</v>
      </c>
      <c r="DG15" s="186"/>
      <c r="DH15" s="184"/>
      <c r="DI15" s="185"/>
      <c r="DJ15" s="184"/>
      <c r="DK15" s="185"/>
      <c r="DL15" s="188">
        <f t="shared" ref="DL15:DL16" si="59">(+DI15-DH15)*24+(DK15-DJ15)*24</f>
        <v>0</v>
      </c>
      <c r="DM15" s="186"/>
      <c r="DN15" s="184"/>
      <c r="DO15" s="185"/>
      <c r="DP15" s="184"/>
      <c r="DQ15" s="185"/>
      <c r="DR15" s="184"/>
      <c r="DS15" s="185"/>
      <c r="DT15" s="183">
        <f t="shared" ref="DT15:DT16" si="60">IF($DN$6="OJO H.E. AL 100%",0,(DO15-DN15)*24+(DQ15-DP15)*24+(DS15-DR15)*24)</f>
        <v>0</v>
      </c>
      <c r="DU15" s="186"/>
      <c r="DV15" s="184"/>
      <c r="DW15" s="185"/>
      <c r="DX15" s="184"/>
      <c r="DY15" s="185"/>
      <c r="DZ15" s="188">
        <f t="shared" ref="DZ15:DZ16" si="61">(+DW15-DV15)*24+(DY15-DX15)*24</f>
        <v>0</v>
      </c>
      <c r="EA15" s="186"/>
      <c r="EB15" s="184"/>
      <c r="EC15" s="185"/>
      <c r="ED15" s="184"/>
      <c r="EE15" s="185"/>
      <c r="EF15" s="184"/>
      <c r="EG15" s="185"/>
      <c r="EH15" s="183">
        <f t="shared" ref="EH15:EH16" si="62">IF($EB$6="OJO H.E. AL 100%",0,(EC15-EB15)*24+(EE15-ED15)*24+(EG15-EF15)*24)</f>
        <v>0</v>
      </c>
      <c r="EI15" s="186"/>
      <c r="EJ15" s="184"/>
      <c r="EK15" s="185"/>
      <c r="EL15" s="184"/>
      <c r="EM15" s="185"/>
      <c r="EN15" s="188">
        <f t="shared" ref="EN15:EN16" si="63">(+EK15-EJ15)*24+(EM15-EL15)*24</f>
        <v>0</v>
      </c>
      <c r="EO15" s="186"/>
      <c r="EP15" s="192">
        <f t="shared" ref="EP15:EP16" si="64">L15+Z15+AN15+BB15+BP15+CD15+CR15+DF15+DT15+EH15</f>
        <v>0</v>
      </c>
      <c r="EQ15" s="193">
        <f t="shared" ref="EQ15:EQ16" si="65">R15+AF15+AT15+BH15+BV15+CJ15+CX15+DL15+DZ15+EN15</f>
        <v>0</v>
      </c>
    </row>
    <row r="16" spans="2:158" ht="21" x14ac:dyDescent="0.3">
      <c r="B16" s="22">
        <f>'Reporte Asistencia Laboral'!B17</f>
        <v>7</v>
      </c>
      <c r="C16" s="75" t="str">
        <f>IFERROR(VLOOKUP(D16,EMPLEADO!C:Q,15,0),"")</f>
        <v>HERRERA ORDOÑEZ ELVIS ANTONIO</v>
      </c>
      <c r="D16" s="6" t="str">
        <f>'Reporte Asistencia Laboral'!D17</f>
        <v>110579002-4</v>
      </c>
      <c r="E16" s="142"/>
      <c r="F16" s="184"/>
      <c r="G16" s="185"/>
      <c r="H16" s="184"/>
      <c r="I16" s="185"/>
      <c r="J16" s="184"/>
      <c r="K16" s="185"/>
      <c r="L16" s="183">
        <f t="shared" si="44"/>
        <v>0</v>
      </c>
      <c r="M16" s="186"/>
      <c r="N16" s="184"/>
      <c r="O16" s="185"/>
      <c r="P16" s="184"/>
      <c r="Q16" s="185"/>
      <c r="R16" s="187">
        <f t="shared" si="45"/>
        <v>0</v>
      </c>
      <c r="S16" s="186"/>
      <c r="T16" s="184"/>
      <c r="U16" s="185"/>
      <c r="V16" s="184"/>
      <c r="W16" s="185"/>
      <c r="X16" s="184"/>
      <c r="Y16" s="185"/>
      <c r="Z16" s="183">
        <f t="shared" si="46"/>
        <v>0</v>
      </c>
      <c r="AA16" s="186"/>
      <c r="AB16" s="184"/>
      <c r="AC16" s="185"/>
      <c r="AD16" s="184"/>
      <c r="AE16" s="185"/>
      <c r="AF16" s="187">
        <f t="shared" si="47"/>
        <v>0</v>
      </c>
      <c r="AG16" s="186"/>
      <c r="AH16" s="184"/>
      <c r="AI16" s="185"/>
      <c r="AJ16" s="184"/>
      <c r="AK16" s="185"/>
      <c r="AL16" s="184"/>
      <c r="AM16" s="185"/>
      <c r="AN16" s="183">
        <f t="shared" si="48"/>
        <v>0</v>
      </c>
      <c r="AO16" s="186"/>
      <c r="AP16" s="184"/>
      <c r="AQ16" s="185"/>
      <c r="AR16" s="184"/>
      <c r="AS16" s="185"/>
      <c r="AT16" s="188">
        <f t="shared" si="49"/>
        <v>0</v>
      </c>
      <c r="AU16" s="186"/>
      <c r="AV16" s="184"/>
      <c r="AW16" s="185"/>
      <c r="AX16" s="184"/>
      <c r="AY16" s="185"/>
      <c r="AZ16" s="184"/>
      <c r="BA16" s="185"/>
      <c r="BB16" s="183">
        <f t="shared" si="50"/>
        <v>0</v>
      </c>
      <c r="BC16" s="186"/>
      <c r="BD16" s="184"/>
      <c r="BE16" s="185"/>
      <c r="BF16" s="184"/>
      <c r="BG16" s="185"/>
      <c r="BH16" s="188">
        <f t="shared" si="51"/>
        <v>0</v>
      </c>
      <c r="BI16" s="186"/>
      <c r="BJ16" s="184"/>
      <c r="BK16" s="185"/>
      <c r="BL16" s="184"/>
      <c r="BM16" s="185"/>
      <c r="BN16" s="184"/>
      <c r="BO16" s="185"/>
      <c r="BP16" s="183">
        <f t="shared" si="52"/>
        <v>0</v>
      </c>
      <c r="BQ16" s="186"/>
      <c r="BR16" s="184"/>
      <c r="BS16" s="185"/>
      <c r="BT16" s="184"/>
      <c r="BU16" s="185"/>
      <c r="BV16" s="188">
        <f t="shared" si="53"/>
        <v>0</v>
      </c>
      <c r="BW16" s="186"/>
      <c r="BX16" s="184"/>
      <c r="BY16" s="185"/>
      <c r="BZ16" s="184"/>
      <c r="CA16" s="185"/>
      <c r="CB16" s="184"/>
      <c r="CC16" s="185"/>
      <c r="CD16" s="183">
        <f t="shared" si="54"/>
        <v>0</v>
      </c>
      <c r="CE16" s="186"/>
      <c r="CF16" s="184"/>
      <c r="CG16" s="185"/>
      <c r="CH16" s="184"/>
      <c r="CI16" s="185"/>
      <c r="CJ16" s="188">
        <f t="shared" si="55"/>
        <v>0</v>
      </c>
      <c r="CK16" s="186"/>
      <c r="CL16" s="184"/>
      <c r="CM16" s="185"/>
      <c r="CN16" s="184"/>
      <c r="CO16" s="185"/>
      <c r="CP16" s="184"/>
      <c r="CQ16" s="185"/>
      <c r="CR16" s="183">
        <f t="shared" si="56"/>
        <v>0</v>
      </c>
      <c r="CS16" s="186"/>
      <c r="CT16" s="184"/>
      <c r="CU16" s="185"/>
      <c r="CV16" s="184"/>
      <c r="CW16" s="185"/>
      <c r="CX16" s="188">
        <f t="shared" si="57"/>
        <v>0</v>
      </c>
      <c r="CY16" s="186"/>
      <c r="CZ16" s="184"/>
      <c r="DA16" s="185"/>
      <c r="DB16" s="184"/>
      <c r="DC16" s="185"/>
      <c r="DD16" s="184"/>
      <c r="DE16" s="185"/>
      <c r="DF16" s="183">
        <f t="shared" si="58"/>
        <v>0</v>
      </c>
      <c r="DG16" s="186"/>
      <c r="DH16" s="184"/>
      <c r="DI16" s="185"/>
      <c r="DJ16" s="184"/>
      <c r="DK16" s="185"/>
      <c r="DL16" s="188">
        <f t="shared" si="59"/>
        <v>0</v>
      </c>
      <c r="DM16" s="186"/>
      <c r="DN16" s="184"/>
      <c r="DO16" s="185"/>
      <c r="DP16" s="184"/>
      <c r="DQ16" s="185"/>
      <c r="DR16" s="184"/>
      <c r="DS16" s="185"/>
      <c r="DT16" s="183">
        <f t="shared" si="60"/>
        <v>0</v>
      </c>
      <c r="DU16" s="186"/>
      <c r="DV16" s="184"/>
      <c r="DW16" s="185"/>
      <c r="DX16" s="184"/>
      <c r="DY16" s="185"/>
      <c r="DZ16" s="188">
        <f t="shared" si="61"/>
        <v>0</v>
      </c>
      <c r="EA16" s="186"/>
      <c r="EB16" s="184"/>
      <c r="EC16" s="185"/>
      <c r="ED16" s="184"/>
      <c r="EE16" s="185"/>
      <c r="EF16" s="184"/>
      <c r="EG16" s="185"/>
      <c r="EH16" s="183">
        <f t="shared" si="62"/>
        <v>0</v>
      </c>
      <c r="EI16" s="186"/>
      <c r="EJ16" s="184"/>
      <c r="EK16" s="185"/>
      <c r="EL16" s="184"/>
      <c r="EM16" s="185"/>
      <c r="EN16" s="188">
        <f t="shared" si="63"/>
        <v>0</v>
      </c>
      <c r="EO16" s="186"/>
      <c r="EP16" s="192">
        <f t="shared" si="64"/>
        <v>0</v>
      </c>
      <c r="EQ16" s="193">
        <f t="shared" si="65"/>
        <v>0</v>
      </c>
    </row>
    <row r="17" spans="2:147" ht="21" x14ac:dyDescent="0.3">
      <c r="B17" s="22">
        <f>'Reporte Asistencia Laboral'!B18</f>
        <v>8</v>
      </c>
      <c r="C17" s="75" t="str">
        <f>IFERROR(VLOOKUP(D17,EMPLEADO!C:Q,15,0),"")</f>
        <v>AREVALO SANCHEZ MAURICIO RAFAEL</v>
      </c>
      <c r="D17" s="6" t="str">
        <f>'Reporte Asistencia Laboral'!D18</f>
        <v>110606565-7</v>
      </c>
      <c r="E17" s="142"/>
      <c r="F17" s="184"/>
      <c r="G17" s="185"/>
      <c r="H17" s="184"/>
      <c r="I17" s="185"/>
      <c r="J17" s="184"/>
      <c r="K17" s="185"/>
      <c r="L17" s="183">
        <f t="shared" ref="L17" si="66">IF($F$6="OJO H.E. AL 100%",0,(G17-F17)*24+(I17-H17)*24+(K17-J17)*24)</f>
        <v>0</v>
      </c>
      <c r="M17" s="186"/>
      <c r="N17" s="184"/>
      <c r="O17" s="185"/>
      <c r="P17" s="184"/>
      <c r="Q17" s="185"/>
      <c r="R17" s="187">
        <f t="shared" ref="R17" si="67">(+O17-N17)*24+(Q17-P17)*24</f>
        <v>0</v>
      </c>
      <c r="S17" s="186"/>
      <c r="T17" s="184"/>
      <c r="U17" s="185"/>
      <c r="V17" s="184"/>
      <c r="W17" s="185"/>
      <c r="X17" s="184"/>
      <c r="Y17" s="185"/>
      <c r="Z17" s="183">
        <f t="shared" ref="Z17" si="68">IF($T$6="OJO H.E. AL 100%",0,(U17-T17)*24+(W17-V17)*24+(Y17-X17)*24)</f>
        <v>0</v>
      </c>
      <c r="AA17" s="186"/>
      <c r="AB17" s="184"/>
      <c r="AC17" s="185"/>
      <c r="AD17" s="184"/>
      <c r="AE17" s="185"/>
      <c r="AF17" s="187">
        <f t="shared" ref="AF17" si="69">(+AC17-AB17)*24+(AE17-AD17)*24</f>
        <v>0</v>
      </c>
      <c r="AG17" s="186"/>
      <c r="AH17" s="184"/>
      <c r="AI17" s="185"/>
      <c r="AJ17" s="184"/>
      <c r="AK17" s="185"/>
      <c r="AL17" s="184"/>
      <c r="AM17" s="185"/>
      <c r="AN17" s="183">
        <f t="shared" ref="AN17" si="70">IF($AH$6="OJO H.E. AL 100%",0,(AI17-AH17)*24+(AK17-AJ17)*24+(AM17-AL17)*24)</f>
        <v>0</v>
      </c>
      <c r="AO17" s="186"/>
      <c r="AP17" s="184"/>
      <c r="AQ17" s="185"/>
      <c r="AR17" s="184"/>
      <c r="AS17" s="185"/>
      <c r="AT17" s="188">
        <f t="shared" ref="AT17" si="71">(+AQ17-AP17)*24+(AS17-AR17)*24</f>
        <v>0</v>
      </c>
      <c r="AU17" s="186"/>
      <c r="AV17" s="184"/>
      <c r="AW17" s="185"/>
      <c r="AX17" s="184"/>
      <c r="AY17" s="185"/>
      <c r="AZ17" s="184"/>
      <c r="BA17" s="185"/>
      <c r="BB17" s="183">
        <f t="shared" ref="BB17" si="72">IF($AV$6="OJO H.E. AL 100%",0,(AW17-AV17)*24+(AY17-AX17)*24+(BA17-AZ17)*24)</f>
        <v>0</v>
      </c>
      <c r="BC17" s="186"/>
      <c r="BD17" s="184"/>
      <c r="BE17" s="185"/>
      <c r="BF17" s="184"/>
      <c r="BG17" s="185"/>
      <c r="BH17" s="188">
        <f t="shared" ref="BH17" si="73">(+BE17-BD17)*24+(BG17-BF17)*24</f>
        <v>0</v>
      </c>
      <c r="BI17" s="186"/>
      <c r="BJ17" s="184"/>
      <c r="BK17" s="185"/>
      <c r="BL17" s="184"/>
      <c r="BM17" s="185"/>
      <c r="BN17" s="184"/>
      <c r="BO17" s="185"/>
      <c r="BP17" s="183">
        <f t="shared" ref="BP17" si="74">IF($BJ$6="OJO H.E. AL 100%",0,(BK17-BJ17)*24+(BM17-BL17)*24+(BO17-BN17)*24)</f>
        <v>0</v>
      </c>
      <c r="BQ17" s="186"/>
      <c r="BR17" s="184"/>
      <c r="BS17" s="185"/>
      <c r="BT17" s="184"/>
      <c r="BU17" s="185"/>
      <c r="BV17" s="188">
        <f t="shared" ref="BV17" si="75">(+BS17-BR17)*24+(BU17-BT17)*24</f>
        <v>0</v>
      </c>
      <c r="BW17" s="186"/>
      <c r="BX17" s="184"/>
      <c r="BY17" s="185"/>
      <c r="BZ17" s="184"/>
      <c r="CA17" s="185"/>
      <c r="CB17" s="184"/>
      <c r="CC17" s="185"/>
      <c r="CD17" s="183">
        <f t="shared" ref="CD17" si="76">IF($BX$6="OJO H.E. AL 100%",0,(BY17-BX17)*24+(CA17-BZ17)*24+(CC17-CB17)*24)</f>
        <v>0</v>
      </c>
      <c r="CE17" s="186"/>
      <c r="CF17" s="184"/>
      <c r="CG17" s="185"/>
      <c r="CH17" s="184"/>
      <c r="CI17" s="185"/>
      <c r="CJ17" s="188">
        <f t="shared" ref="CJ17" si="77">(+CG17-CF17)*24+(CI17-CH17)*24</f>
        <v>0</v>
      </c>
      <c r="CK17" s="186"/>
      <c r="CL17" s="184"/>
      <c r="CM17" s="185"/>
      <c r="CN17" s="184"/>
      <c r="CO17" s="185"/>
      <c r="CP17" s="184"/>
      <c r="CQ17" s="185"/>
      <c r="CR17" s="183">
        <f t="shared" ref="CR17" si="78">IF($CL$6="OJO H.E. AL 100%",0,(CM17-CL17)*24+(CO17-CN17)*24+(CQ17-CP17)*24)</f>
        <v>0</v>
      </c>
      <c r="CS17" s="186"/>
      <c r="CT17" s="184"/>
      <c r="CU17" s="185"/>
      <c r="CV17" s="184"/>
      <c r="CW17" s="185"/>
      <c r="CX17" s="188">
        <f t="shared" ref="CX17" si="79">(+CU17-CT17)*24+(CW17-CV17)*24</f>
        <v>0</v>
      </c>
      <c r="CY17" s="186"/>
      <c r="CZ17" s="184"/>
      <c r="DA17" s="185"/>
      <c r="DB17" s="184"/>
      <c r="DC17" s="185"/>
      <c r="DD17" s="184"/>
      <c r="DE17" s="185"/>
      <c r="DF17" s="183">
        <f t="shared" ref="DF17" si="80">IF($CZ$6="OJO H.E. AL 100%",0,(DA17-CZ17)*24+(DC17-DB17)*24+(DE17-DD17)*24)</f>
        <v>0</v>
      </c>
      <c r="DG17" s="186"/>
      <c r="DH17" s="184"/>
      <c r="DI17" s="185"/>
      <c r="DJ17" s="184"/>
      <c r="DK17" s="185"/>
      <c r="DL17" s="188">
        <f t="shared" ref="DL17" si="81">(+DI17-DH17)*24+(DK17-DJ17)*24</f>
        <v>0</v>
      </c>
      <c r="DM17" s="186"/>
      <c r="DN17" s="184"/>
      <c r="DO17" s="185"/>
      <c r="DP17" s="184"/>
      <c r="DQ17" s="185"/>
      <c r="DR17" s="184"/>
      <c r="DS17" s="185"/>
      <c r="DT17" s="183">
        <f t="shared" ref="DT17" si="82">IF($DN$6="OJO H.E. AL 100%",0,(DO17-DN17)*24+(DQ17-DP17)*24+(DS17-DR17)*24)</f>
        <v>0</v>
      </c>
      <c r="DU17" s="186"/>
      <c r="DV17" s="184"/>
      <c r="DW17" s="185"/>
      <c r="DX17" s="184"/>
      <c r="DY17" s="185"/>
      <c r="DZ17" s="188">
        <f t="shared" ref="DZ17" si="83">(+DW17-DV17)*24+(DY17-DX17)*24</f>
        <v>0</v>
      </c>
      <c r="EA17" s="186"/>
      <c r="EB17" s="184"/>
      <c r="EC17" s="185"/>
      <c r="ED17" s="184"/>
      <c r="EE17" s="185"/>
      <c r="EF17" s="184"/>
      <c r="EG17" s="185"/>
      <c r="EH17" s="183">
        <f t="shared" ref="EH17" si="84">IF($EB$6="OJO H.E. AL 100%",0,(EC17-EB17)*24+(EE17-ED17)*24+(EG17-EF17)*24)</f>
        <v>0</v>
      </c>
      <c r="EI17" s="186"/>
      <c r="EJ17" s="184"/>
      <c r="EK17" s="185"/>
      <c r="EL17" s="184"/>
      <c r="EM17" s="185"/>
      <c r="EN17" s="188">
        <f t="shared" ref="EN17" si="85">(+EK17-EJ17)*24+(EM17-EL17)*24</f>
        <v>0</v>
      </c>
      <c r="EO17" s="186"/>
      <c r="EP17" s="192">
        <f t="shared" ref="EP17" si="86">L17+Z17+AN17+BB17+BP17+CD17+CR17+DF17+DT17+EH17</f>
        <v>0</v>
      </c>
      <c r="EQ17" s="193">
        <f t="shared" ref="EQ17" si="87">R17+AF17+AT17+BH17+BV17+CJ17+CX17+DL17+DZ17+EN17</f>
        <v>0</v>
      </c>
    </row>
    <row r="18" spans="2:147" ht="21" x14ac:dyDescent="0.3">
      <c r="B18" s="22">
        <f>'Reporte Asistencia Laboral'!B19</f>
        <v>9</v>
      </c>
      <c r="C18" s="75" t="str">
        <f>IFERROR(VLOOKUP(D18,EMPLEADO!C:Q,15,0),"")</f>
        <v>CALLE RAMOS JHONNY RENE</v>
      </c>
      <c r="D18" s="6" t="str">
        <f>'Reporte Asistencia Laboral'!D19</f>
        <v>110525109-2</v>
      </c>
      <c r="E18" s="142"/>
      <c r="F18" s="184"/>
      <c r="G18" s="185"/>
      <c r="H18" s="184"/>
      <c r="I18" s="185"/>
      <c r="J18" s="184"/>
      <c r="K18" s="185"/>
      <c r="L18" s="183">
        <f t="shared" ref="L18" si="88">IF($F$6="OJO H.E. AL 100%",0,(G18-F18)*24+(I18-H18)*24+(K18-J18)*24)</f>
        <v>0</v>
      </c>
      <c r="M18" s="186"/>
      <c r="N18" s="184"/>
      <c r="O18" s="185"/>
      <c r="P18" s="184"/>
      <c r="Q18" s="185"/>
      <c r="R18" s="187">
        <f t="shared" ref="R18" si="89">(+O18-N18)*24+(Q18-P18)*24</f>
        <v>0</v>
      </c>
      <c r="S18" s="186"/>
      <c r="T18" s="184"/>
      <c r="U18" s="185"/>
      <c r="V18" s="184"/>
      <c r="W18" s="185"/>
      <c r="X18" s="184"/>
      <c r="Y18" s="185"/>
      <c r="Z18" s="183">
        <f t="shared" ref="Z18" si="90">IF($T$6="OJO H.E. AL 100%",0,(U18-T18)*24+(W18-V18)*24+(Y18-X18)*24)</f>
        <v>0</v>
      </c>
      <c r="AA18" s="186"/>
      <c r="AB18" s="184"/>
      <c r="AC18" s="185"/>
      <c r="AD18" s="184"/>
      <c r="AE18" s="185"/>
      <c r="AF18" s="187">
        <f t="shared" ref="AF18" si="91">(+AC18-AB18)*24+(AE18-AD18)*24</f>
        <v>0</v>
      </c>
      <c r="AG18" s="186"/>
      <c r="AH18" s="184"/>
      <c r="AI18" s="185"/>
      <c r="AJ18" s="184"/>
      <c r="AK18" s="185"/>
      <c r="AL18" s="184"/>
      <c r="AM18" s="185"/>
      <c r="AN18" s="183">
        <f t="shared" ref="AN18" si="92">IF($AH$6="OJO H.E. AL 100%",0,(AI18-AH18)*24+(AK18-AJ18)*24+(AM18-AL18)*24)</f>
        <v>0</v>
      </c>
      <c r="AO18" s="186"/>
      <c r="AP18" s="184"/>
      <c r="AQ18" s="185"/>
      <c r="AR18" s="184"/>
      <c r="AS18" s="185"/>
      <c r="AT18" s="188">
        <f t="shared" ref="AT18" si="93">(+AQ18-AP18)*24+(AS18-AR18)*24</f>
        <v>0</v>
      </c>
      <c r="AU18" s="186"/>
      <c r="AV18" s="184"/>
      <c r="AW18" s="185"/>
      <c r="AX18" s="184"/>
      <c r="AY18" s="185"/>
      <c r="AZ18" s="184"/>
      <c r="BA18" s="185"/>
      <c r="BB18" s="183">
        <f t="shared" ref="BB18" si="94">IF($AV$6="OJO H.E. AL 100%",0,(AW18-AV18)*24+(AY18-AX18)*24+(BA18-AZ18)*24)</f>
        <v>0</v>
      </c>
      <c r="BC18" s="186"/>
      <c r="BD18" s="184"/>
      <c r="BE18" s="185"/>
      <c r="BF18" s="184"/>
      <c r="BG18" s="185"/>
      <c r="BH18" s="188">
        <f t="shared" ref="BH18" si="95">(+BE18-BD18)*24+(BG18-BF18)*24</f>
        <v>0</v>
      </c>
      <c r="BI18" s="186"/>
      <c r="BJ18" s="184"/>
      <c r="BK18" s="185"/>
      <c r="BL18" s="184"/>
      <c r="BM18" s="185"/>
      <c r="BN18" s="184"/>
      <c r="BO18" s="185"/>
      <c r="BP18" s="183">
        <f t="shared" ref="BP18" si="96">IF($BJ$6="OJO H.E. AL 100%",0,(BK18-BJ18)*24+(BM18-BL18)*24+(BO18-BN18)*24)</f>
        <v>0</v>
      </c>
      <c r="BQ18" s="186"/>
      <c r="BR18" s="184"/>
      <c r="BS18" s="185"/>
      <c r="BT18" s="184"/>
      <c r="BU18" s="185"/>
      <c r="BV18" s="188">
        <f t="shared" ref="BV18" si="97">(+BS18-BR18)*24+(BU18-BT18)*24</f>
        <v>0</v>
      </c>
      <c r="BW18" s="186"/>
      <c r="BX18" s="184"/>
      <c r="BY18" s="185"/>
      <c r="BZ18" s="184"/>
      <c r="CA18" s="185"/>
      <c r="CB18" s="184"/>
      <c r="CC18" s="185"/>
      <c r="CD18" s="183">
        <f t="shared" ref="CD18" si="98">IF($BX$6="OJO H.E. AL 100%",0,(BY18-BX18)*24+(CA18-BZ18)*24+(CC18-CB18)*24)</f>
        <v>0</v>
      </c>
      <c r="CE18" s="186"/>
      <c r="CF18" s="184"/>
      <c r="CG18" s="185"/>
      <c r="CH18" s="184"/>
      <c r="CI18" s="185"/>
      <c r="CJ18" s="188">
        <f t="shared" ref="CJ18" si="99">(+CG18-CF18)*24+(CI18-CH18)*24</f>
        <v>0</v>
      </c>
      <c r="CK18" s="186"/>
      <c r="CL18" s="184"/>
      <c r="CM18" s="185"/>
      <c r="CN18" s="184"/>
      <c r="CO18" s="185"/>
      <c r="CP18" s="184"/>
      <c r="CQ18" s="185"/>
      <c r="CR18" s="183">
        <f t="shared" ref="CR18" si="100">IF($CL$6="OJO H.E. AL 100%",0,(CM18-CL18)*24+(CO18-CN18)*24+(CQ18-CP18)*24)</f>
        <v>0</v>
      </c>
      <c r="CS18" s="186"/>
      <c r="CT18" s="184"/>
      <c r="CU18" s="185"/>
      <c r="CV18" s="184"/>
      <c r="CW18" s="185"/>
      <c r="CX18" s="188">
        <f t="shared" ref="CX18" si="101">(+CU18-CT18)*24+(CW18-CV18)*24</f>
        <v>0</v>
      </c>
      <c r="CY18" s="186"/>
      <c r="CZ18" s="184"/>
      <c r="DA18" s="185"/>
      <c r="DB18" s="184"/>
      <c r="DC18" s="185"/>
      <c r="DD18" s="184"/>
      <c r="DE18" s="185"/>
      <c r="DF18" s="183">
        <f t="shared" ref="DF18" si="102">IF($CZ$6="OJO H.E. AL 100%",0,(DA18-CZ18)*24+(DC18-DB18)*24+(DE18-DD18)*24)</f>
        <v>0</v>
      </c>
      <c r="DG18" s="186"/>
      <c r="DH18" s="184"/>
      <c r="DI18" s="185"/>
      <c r="DJ18" s="184"/>
      <c r="DK18" s="185"/>
      <c r="DL18" s="188">
        <f t="shared" ref="DL18" si="103">(+DI18-DH18)*24+(DK18-DJ18)*24</f>
        <v>0</v>
      </c>
      <c r="DM18" s="186"/>
      <c r="DN18" s="184"/>
      <c r="DO18" s="185"/>
      <c r="DP18" s="184"/>
      <c r="DQ18" s="185"/>
      <c r="DR18" s="184"/>
      <c r="DS18" s="185"/>
      <c r="DT18" s="183">
        <f t="shared" ref="DT18" si="104">IF($DN$6="OJO H.E. AL 100%",0,(DO18-DN18)*24+(DQ18-DP18)*24+(DS18-DR18)*24)</f>
        <v>0</v>
      </c>
      <c r="DU18" s="186"/>
      <c r="DV18" s="184"/>
      <c r="DW18" s="185"/>
      <c r="DX18" s="184"/>
      <c r="DY18" s="185"/>
      <c r="DZ18" s="188">
        <f t="shared" ref="DZ18" si="105">(+DW18-DV18)*24+(DY18-DX18)*24</f>
        <v>0</v>
      </c>
      <c r="EA18" s="186"/>
      <c r="EB18" s="184"/>
      <c r="EC18" s="185"/>
      <c r="ED18" s="184"/>
      <c r="EE18" s="185"/>
      <c r="EF18" s="184"/>
      <c r="EG18" s="185"/>
      <c r="EH18" s="183">
        <f t="shared" ref="EH18" si="106">IF($EB$6="OJO H.E. AL 100%",0,(EC18-EB18)*24+(EE18-ED18)*24+(EG18-EF18)*24)</f>
        <v>0</v>
      </c>
      <c r="EI18" s="186"/>
      <c r="EJ18" s="184"/>
      <c r="EK18" s="185"/>
      <c r="EL18" s="184"/>
      <c r="EM18" s="185"/>
      <c r="EN18" s="188">
        <f t="shared" ref="EN18" si="107">(+EK18-EJ18)*24+(EM18-EL18)*24</f>
        <v>0</v>
      </c>
      <c r="EO18" s="186"/>
      <c r="EP18" s="192">
        <f t="shared" ref="EP18" si="108">L18+Z18+AN18+BB18+BP18+CD18+CR18+DF18+DT18+EH18</f>
        <v>0</v>
      </c>
      <c r="EQ18" s="193">
        <f t="shared" ref="EQ18" si="109">R18+AF18+AT18+BH18+BV18+CJ18+CX18+DL18+DZ18+EN18</f>
        <v>0</v>
      </c>
    </row>
    <row r="19" spans="2:147" ht="21" x14ac:dyDescent="0.3">
      <c r="B19" s="22">
        <f>'Reporte Asistencia Laboral'!B20</f>
        <v>10</v>
      </c>
      <c r="C19" s="75" t="str">
        <f>IFERROR(VLOOKUP(D19,EMPLEADO!C:Q,15,0),"")</f>
        <v>MARQUEZ LASCANO EDISON JOEL</v>
      </c>
      <c r="D19" s="6" t="str">
        <f>'Reporte Asistencia Laboral'!D20</f>
        <v>095620199-0</v>
      </c>
      <c r="E19" s="142"/>
      <c r="F19" s="184"/>
      <c r="G19" s="185"/>
      <c r="H19" s="184"/>
      <c r="I19" s="185"/>
      <c r="J19" s="184"/>
      <c r="K19" s="185"/>
      <c r="L19" s="183">
        <f t="shared" ref="L19" si="110">IF($F$6="OJO H.E. AL 100%",0,(G19-F19)*24+(I19-H19)*24+(K19-J19)*24)</f>
        <v>0</v>
      </c>
      <c r="M19" s="186"/>
      <c r="N19" s="184"/>
      <c r="O19" s="185"/>
      <c r="P19" s="184"/>
      <c r="Q19" s="185"/>
      <c r="R19" s="187">
        <f t="shared" ref="R19" si="111">(+O19-N19)*24+(Q19-P19)*24</f>
        <v>0</v>
      </c>
      <c r="S19" s="186"/>
      <c r="T19" s="184"/>
      <c r="U19" s="185"/>
      <c r="V19" s="184"/>
      <c r="W19" s="185"/>
      <c r="X19" s="184"/>
      <c r="Y19" s="185"/>
      <c r="Z19" s="183">
        <f t="shared" ref="Z19" si="112">IF($T$6="OJO H.E. AL 100%",0,(U19-T19)*24+(W19-V19)*24+(Y19-X19)*24)</f>
        <v>0</v>
      </c>
      <c r="AA19" s="186"/>
      <c r="AB19" s="184"/>
      <c r="AC19" s="185"/>
      <c r="AD19" s="184"/>
      <c r="AE19" s="185"/>
      <c r="AF19" s="187">
        <f t="shared" ref="AF19" si="113">(+AC19-AB19)*24+(AE19-AD19)*24</f>
        <v>0</v>
      </c>
      <c r="AG19" s="186"/>
      <c r="AH19" s="184"/>
      <c r="AI19" s="185"/>
      <c r="AJ19" s="184"/>
      <c r="AK19" s="185"/>
      <c r="AL19" s="184"/>
      <c r="AM19" s="185"/>
      <c r="AN19" s="183">
        <f t="shared" ref="AN19" si="114">IF($AH$6="OJO H.E. AL 100%",0,(AI19-AH19)*24+(AK19-AJ19)*24+(AM19-AL19)*24)</f>
        <v>0</v>
      </c>
      <c r="AO19" s="186"/>
      <c r="AP19" s="184"/>
      <c r="AQ19" s="185"/>
      <c r="AR19" s="184"/>
      <c r="AS19" s="185"/>
      <c r="AT19" s="188">
        <f t="shared" ref="AT19" si="115">(+AQ19-AP19)*24+(AS19-AR19)*24</f>
        <v>0</v>
      </c>
      <c r="AU19" s="186"/>
      <c r="AV19" s="184"/>
      <c r="AW19" s="185"/>
      <c r="AX19" s="184"/>
      <c r="AY19" s="185"/>
      <c r="AZ19" s="184"/>
      <c r="BA19" s="185"/>
      <c r="BB19" s="183">
        <f t="shared" ref="BB19" si="116">IF($AV$6="OJO H.E. AL 100%",0,(AW19-AV19)*24+(AY19-AX19)*24+(BA19-AZ19)*24)</f>
        <v>0</v>
      </c>
      <c r="BC19" s="186"/>
      <c r="BD19" s="184"/>
      <c r="BE19" s="185"/>
      <c r="BF19" s="184"/>
      <c r="BG19" s="185"/>
      <c r="BH19" s="188">
        <f t="shared" ref="BH19" si="117">(+BE19-BD19)*24+(BG19-BF19)*24</f>
        <v>0</v>
      </c>
      <c r="BI19" s="186"/>
      <c r="BJ19" s="184"/>
      <c r="BK19" s="185"/>
      <c r="BL19" s="184"/>
      <c r="BM19" s="185"/>
      <c r="BN19" s="184"/>
      <c r="BO19" s="185"/>
      <c r="BP19" s="183">
        <f t="shared" ref="BP19" si="118">IF($BJ$6="OJO H.E. AL 100%",0,(BK19-BJ19)*24+(BM19-BL19)*24+(BO19-BN19)*24)</f>
        <v>0</v>
      </c>
      <c r="BQ19" s="186"/>
      <c r="BR19" s="184"/>
      <c r="BS19" s="185"/>
      <c r="BT19" s="184"/>
      <c r="BU19" s="185"/>
      <c r="BV19" s="188">
        <f t="shared" ref="BV19" si="119">(+BS19-BR19)*24+(BU19-BT19)*24</f>
        <v>0</v>
      </c>
      <c r="BW19" s="186"/>
      <c r="BX19" s="184"/>
      <c r="BY19" s="185"/>
      <c r="BZ19" s="184"/>
      <c r="CA19" s="185"/>
      <c r="CB19" s="184"/>
      <c r="CC19" s="185"/>
      <c r="CD19" s="183">
        <f t="shared" ref="CD19" si="120">IF($BX$6="OJO H.E. AL 100%",0,(BY19-BX19)*24+(CA19-BZ19)*24+(CC19-CB19)*24)</f>
        <v>0</v>
      </c>
      <c r="CE19" s="186"/>
      <c r="CF19" s="184"/>
      <c r="CG19" s="185"/>
      <c r="CH19" s="184"/>
      <c r="CI19" s="185"/>
      <c r="CJ19" s="188">
        <f t="shared" ref="CJ19" si="121">(+CG19-CF19)*24+(CI19-CH19)*24</f>
        <v>0</v>
      </c>
      <c r="CK19" s="186"/>
      <c r="CL19" s="184"/>
      <c r="CM19" s="185"/>
      <c r="CN19" s="184"/>
      <c r="CO19" s="185"/>
      <c r="CP19" s="184"/>
      <c r="CQ19" s="185"/>
      <c r="CR19" s="183">
        <f t="shared" ref="CR19" si="122">IF($CL$6="OJO H.E. AL 100%",0,(CM19-CL19)*24+(CO19-CN19)*24+(CQ19-CP19)*24)</f>
        <v>0</v>
      </c>
      <c r="CS19" s="186"/>
      <c r="CT19" s="184"/>
      <c r="CU19" s="185"/>
      <c r="CV19" s="184"/>
      <c r="CW19" s="185"/>
      <c r="CX19" s="188">
        <f t="shared" ref="CX19" si="123">(+CU19-CT19)*24+(CW19-CV19)*24</f>
        <v>0</v>
      </c>
      <c r="CY19" s="186"/>
      <c r="CZ19" s="184"/>
      <c r="DA19" s="185"/>
      <c r="DB19" s="184"/>
      <c r="DC19" s="185"/>
      <c r="DD19" s="184"/>
      <c r="DE19" s="185"/>
      <c r="DF19" s="183">
        <f t="shared" ref="DF19" si="124">IF($CZ$6="OJO H.E. AL 100%",0,(DA19-CZ19)*24+(DC19-DB19)*24+(DE19-DD19)*24)</f>
        <v>0</v>
      </c>
      <c r="DG19" s="186"/>
      <c r="DH19" s="184"/>
      <c r="DI19" s="185"/>
      <c r="DJ19" s="184"/>
      <c r="DK19" s="185"/>
      <c r="DL19" s="188">
        <f t="shared" ref="DL19" si="125">(+DI19-DH19)*24+(DK19-DJ19)*24</f>
        <v>0</v>
      </c>
      <c r="DM19" s="186"/>
      <c r="DN19" s="184"/>
      <c r="DO19" s="185"/>
      <c r="DP19" s="184"/>
      <c r="DQ19" s="185"/>
      <c r="DR19" s="184"/>
      <c r="DS19" s="185"/>
      <c r="DT19" s="183">
        <f t="shared" ref="DT19" si="126">IF($DN$6="OJO H.E. AL 100%",0,(DO19-DN19)*24+(DQ19-DP19)*24+(DS19-DR19)*24)</f>
        <v>0</v>
      </c>
      <c r="DU19" s="186"/>
      <c r="DV19" s="184"/>
      <c r="DW19" s="185"/>
      <c r="DX19" s="184"/>
      <c r="DY19" s="185"/>
      <c r="DZ19" s="188">
        <f t="shared" ref="DZ19" si="127">(+DW19-DV19)*24+(DY19-DX19)*24</f>
        <v>0</v>
      </c>
      <c r="EA19" s="186"/>
      <c r="EB19" s="184"/>
      <c r="EC19" s="185"/>
      <c r="ED19" s="184"/>
      <c r="EE19" s="185"/>
      <c r="EF19" s="184"/>
      <c r="EG19" s="185"/>
      <c r="EH19" s="183">
        <f t="shared" ref="EH19" si="128">IF($EB$6="OJO H.E. AL 100%",0,(EC19-EB19)*24+(EE19-ED19)*24+(EG19-EF19)*24)</f>
        <v>0</v>
      </c>
      <c r="EI19" s="186"/>
      <c r="EJ19" s="184"/>
      <c r="EK19" s="185"/>
      <c r="EL19" s="184"/>
      <c r="EM19" s="185"/>
      <c r="EN19" s="188">
        <f t="shared" ref="EN19" si="129">(+EK19-EJ19)*24+(EM19-EL19)*24</f>
        <v>0</v>
      </c>
      <c r="EO19" s="186"/>
      <c r="EP19" s="192">
        <f t="shared" ref="EP19" si="130">L19+Z19+AN19+BB19+BP19+CD19+CR19+DF19+DT19+EH19</f>
        <v>0</v>
      </c>
      <c r="EQ19" s="193">
        <f t="shared" ref="EQ19" si="131">R19+AF19+AT19+BH19+BV19+CJ19+CX19+DL19+DZ19+EN19</f>
        <v>0</v>
      </c>
    </row>
    <row r="20" spans="2:147" ht="21" x14ac:dyDescent="0.3">
      <c r="B20" s="22">
        <f>'Reporte Asistencia Laboral'!B21</f>
        <v>11</v>
      </c>
      <c r="C20" s="75" t="str">
        <f>IFERROR(VLOOKUP(D20,EMPLEADO!C:Q,15,0),"")</f>
        <v>CEDEÑO JURADO JEFFERSON MANUEL</v>
      </c>
      <c r="D20" s="6" t="str">
        <f>'Reporte Asistencia Laboral'!D21</f>
        <v>131617781-3</v>
      </c>
      <c r="E20" s="142"/>
      <c r="F20" s="184"/>
      <c r="G20" s="185"/>
      <c r="H20" s="184"/>
      <c r="I20" s="185"/>
      <c r="J20" s="184"/>
      <c r="K20" s="185"/>
      <c r="L20" s="183">
        <f t="shared" ref="L20" si="132">IF($F$6="OJO H.E. AL 100%",0,(G20-F20)*24+(I20-H20)*24+(K20-J20)*24)</f>
        <v>0</v>
      </c>
      <c r="M20" s="186"/>
      <c r="N20" s="184"/>
      <c r="O20" s="185"/>
      <c r="P20" s="184"/>
      <c r="Q20" s="185"/>
      <c r="R20" s="187">
        <f t="shared" ref="R20" si="133">(+O20-N20)*24+(Q20-P20)*24</f>
        <v>0</v>
      </c>
      <c r="S20" s="186"/>
      <c r="T20" s="184"/>
      <c r="U20" s="185"/>
      <c r="V20" s="184"/>
      <c r="W20" s="185"/>
      <c r="X20" s="184"/>
      <c r="Y20" s="185"/>
      <c r="Z20" s="183">
        <f t="shared" ref="Z20" si="134">IF($T$6="OJO H.E. AL 100%",0,(U20-T20)*24+(W20-V20)*24+(Y20-X20)*24)</f>
        <v>0</v>
      </c>
      <c r="AA20" s="186"/>
      <c r="AB20" s="184"/>
      <c r="AC20" s="185"/>
      <c r="AD20" s="184"/>
      <c r="AE20" s="185"/>
      <c r="AF20" s="187">
        <f t="shared" ref="AF20" si="135">(+AC20-AB20)*24+(AE20-AD20)*24</f>
        <v>0</v>
      </c>
      <c r="AG20" s="186"/>
      <c r="AH20" s="184"/>
      <c r="AI20" s="185"/>
      <c r="AJ20" s="184"/>
      <c r="AK20" s="185"/>
      <c r="AL20" s="184"/>
      <c r="AM20" s="185"/>
      <c r="AN20" s="183">
        <f t="shared" ref="AN20" si="136">IF($AH$6="OJO H.E. AL 100%",0,(AI20-AH20)*24+(AK20-AJ20)*24+(AM20-AL20)*24)</f>
        <v>0</v>
      </c>
      <c r="AO20" s="186"/>
      <c r="AP20" s="184"/>
      <c r="AQ20" s="185"/>
      <c r="AR20" s="184"/>
      <c r="AS20" s="185"/>
      <c r="AT20" s="188">
        <f t="shared" ref="AT20" si="137">(+AQ20-AP20)*24+(AS20-AR20)*24</f>
        <v>0</v>
      </c>
      <c r="AU20" s="186"/>
      <c r="AV20" s="184"/>
      <c r="AW20" s="185"/>
      <c r="AX20" s="184"/>
      <c r="AY20" s="185"/>
      <c r="AZ20" s="184"/>
      <c r="BA20" s="185"/>
      <c r="BB20" s="183">
        <f t="shared" ref="BB20" si="138">IF($AV$6="OJO H.E. AL 100%",0,(AW20-AV20)*24+(AY20-AX20)*24+(BA20-AZ20)*24)</f>
        <v>0</v>
      </c>
      <c r="BC20" s="186"/>
      <c r="BD20" s="184"/>
      <c r="BE20" s="185"/>
      <c r="BF20" s="184"/>
      <c r="BG20" s="185"/>
      <c r="BH20" s="188">
        <f t="shared" ref="BH20" si="139">(+BE20-BD20)*24+(BG20-BF20)*24</f>
        <v>0</v>
      </c>
      <c r="BI20" s="186"/>
      <c r="BJ20" s="184"/>
      <c r="BK20" s="185"/>
      <c r="BL20" s="184"/>
      <c r="BM20" s="185"/>
      <c r="BN20" s="184"/>
      <c r="BO20" s="185"/>
      <c r="BP20" s="183">
        <f t="shared" ref="BP20" si="140">IF($BJ$6="OJO H.E. AL 100%",0,(BK20-BJ20)*24+(BM20-BL20)*24+(BO20-BN20)*24)</f>
        <v>0</v>
      </c>
      <c r="BQ20" s="186"/>
      <c r="BR20" s="184"/>
      <c r="BS20" s="185"/>
      <c r="BT20" s="184"/>
      <c r="BU20" s="185"/>
      <c r="BV20" s="188">
        <f t="shared" ref="BV20" si="141">(+BS20-BR20)*24+(BU20-BT20)*24</f>
        <v>0</v>
      </c>
      <c r="BW20" s="186"/>
      <c r="BX20" s="184"/>
      <c r="BY20" s="185"/>
      <c r="BZ20" s="184"/>
      <c r="CA20" s="185"/>
      <c r="CB20" s="184"/>
      <c r="CC20" s="185"/>
      <c r="CD20" s="183">
        <f t="shared" ref="CD20" si="142">IF($BX$6="OJO H.E. AL 100%",0,(BY20-BX20)*24+(CA20-BZ20)*24+(CC20-CB20)*24)</f>
        <v>0</v>
      </c>
      <c r="CE20" s="186"/>
      <c r="CF20" s="184"/>
      <c r="CG20" s="185"/>
      <c r="CH20" s="184"/>
      <c r="CI20" s="185"/>
      <c r="CJ20" s="188">
        <f t="shared" ref="CJ20" si="143">(+CG20-CF20)*24+(CI20-CH20)*24</f>
        <v>0</v>
      </c>
      <c r="CK20" s="186"/>
      <c r="CL20" s="184"/>
      <c r="CM20" s="185"/>
      <c r="CN20" s="184"/>
      <c r="CO20" s="185"/>
      <c r="CP20" s="184"/>
      <c r="CQ20" s="185"/>
      <c r="CR20" s="183">
        <f t="shared" ref="CR20" si="144">IF($CL$6="OJO H.E. AL 100%",0,(CM20-CL20)*24+(CO20-CN20)*24+(CQ20-CP20)*24)</f>
        <v>0</v>
      </c>
      <c r="CS20" s="186"/>
      <c r="CT20" s="184"/>
      <c r="CU20" s="185"/>
      <c r="CV20" s="184"/>
      <c r="CW20" s="185"/>
      <c r="CX20" s="188">
        <f t="shared" ref="CX20" si="145">(+CU20-CT20)*24+(CW20-CV20)*24</f>
        <v>0</v>
      </c>
      <c r="CY20" s="186"/>
      <c r="CZ20" s="184"/>
      <c r="DA20" s="185"/>
      <c r="DB20" s="184"/>
      <c r="DC20" s="185"/>
      <c r="DD20" s="184"/>
      <c r="DE20" s="185"/>
      <c r="DF20" s="183">
        <f t="shared" ref="DF20" si="146">IF($CZ$6="OJO H.E. AL 100%",0,(DA20-CZ20)*24+(DC20-DB20)*24+(DE20-DD20)*24)</f>
        <v>0</v>
      </c>
      <c r="DG20" s="186"/>
      <c r="DH20" s="184"/>
      <c r="DI20" s="185"/>
      <c r="DJ20" s="184"/>
      <c r="DK20" s="185"/>
      <c r="DL20" s="188">
        <f t="shared" ref="DL20" si="147">(+DI20-DH20)*24+(DK20-DJ20)*24</f>
        <v>0</v>
      </c>
      <c r="DM20" s="186"/>
      <c r="DN20" s="184"/>
      <c r="DO20" s="185"/>
      <c r="DP20" s="184"/>
      <c r="DQ20" s="185"/>
      <c r="DR20" s="184"/>
      <c r="DS20" s="185"/>
      <c r="DT20" s="183">
        <f t="shared" ref="DT20" si="148">IF($DN$6="OJO H.E. AL 100%",0,(DO20-DN20)*24+(DQ20-DP20)*24+(DS20-DR20)*24)</f>
        <v>0</v>
      </c>
      <c r="DU20" s="186"/>
      <c r="DV20" s="184"/>
      <c r="DW20" s="185"/>
      <c r="DX20" s="184"/>
      <c r="DY20" s="185"/>
      <c r="DZ20" s="188">
        <f t="shared" ref="DZ20" si="149">(+DW20-DV20)*24+(DY20-DX20)*24</f>
        <v>0</v>
      </c>
      <c r="EA20" s="186"/>
      <c r="EB20" s="184"/>
      <c r="EC20" s="185"/>
      <c r="ED20" s="184"/>
      <c r="EE20" s="185"/>
      <c r="EF20" s="184"/>
      <c r="EG20" s="185"/>
      <c r="EH20" s="183">
        <f t="shared" ref="EH20" si="150">IF($EB$6="OJO H.E. AL 100%",0,(EC20-EB20)*24+(EE20-ED20)*24+(EG20-EF20)*24)</f>
        <v>0</v>
      </c>
      <c r="EI20" s="186"/>
      <c r="EJ20" s="184"/>
      <c r="EK20" s="185"/>
      <c r="EL20" s="184"/>
      <c r="EM20" s="185"/>
      <c r="EN20" s="188">
        <f t="shared" ref="EN20" si="151">(+EK20-EJ20)*24+(EM20-EL20)*24</f>
        <v>0</v>
      </c>
      <c r="EO20" s="186"/>
      <c r="EP20" s="192">
        <f t="shared" ref="EP20" si="152">L20+Z20+AN20+BB20+BP20+CD20+CR20+DF20+DT20+EH20</f>
        <v>0</v>
      </c>
      <c r="EQ20" s="193">
        <f t="shared" ref="EQ20" si="153">R20+AF20+AT20+BH20+BV20+CJ20+CX20+DL20+DZ20+EN20</f>
        <v>0</v>
      </c>
    </row>
    <row r="21" spans="2:147" ht="21" x14ac:dyDescent="0.3">
      <c r="B21" s="22">
        <f>'Reporte Asistencia Laboral'!B22</f>
        <v>12</v>
      </c>
      <c r="C21" s="75" t="str">
        <f>IFERROR(VLOOKUP(D21,EMPLEADO!C:Q,15,0),"")</f>
        <v>GUEVARA HERRERA NICOLAS ENRIQUE</v>
      </c>
      <c r="D21" s="6" t="str">
        <f>'Reporte Asistencia Laboral'!D22</f>
        <v>110606706-7</v>
      </c>
      <c r="E21" s="142"/>
      <c r="F21" s="184"/>
      <c r="G21" s="185"/>
      <c r="H21" s="184"/>
      <c r="I21" s="185"/>
      <c r="J21" s="184"/>
      <c r="K21" s="185"/>
      <c r="L21" s="183">
        <f t="shared" ref="L21" si="154">IF($F$6="OJO H.E. AL 100%",0,(G21-F21)*24+(I21-H21)*24+(K21-J21)*24)</f>
        <v>0</v>
      </c>
      <c r="M21" s="186"/>
      <c r="N21" s="184"/>
      <c r="O21" s="185"/>
      <c r="P21" s="184"/>
      <c r="Q21" s="185"/>
      <c r="R21" s="187">
        <f t="shared" ref="R21" si="155">(+O21-N21)*24+(Q21-P21)*24</f>
        <v>0</v>
      </c>
      <c r="S21" s="186"/>
      <c r="T21" s="184"/>
      <c r="U21" s="185"/>
      <c r="V21" s="184"/>
      <c r="W21" s="185"/>
      <c r="X21" s="184"/>
      <c r="Y21" s="185"/>
      <c r="Z21" s="183">
        <f t="shared" ref="Z21" si="156">IF($T$6="OJO H.E. AL 100%",0,(U21-T21)*24+(W21-V21)*24+(Y21-X21)*24)</f>
        <v>0</v>
      </c>
      <c r="AA21" s="186"/>
      <c r="AB21" s="184"/>
      <c r="AC21" s="185"/>
      <c r="AD21" s="184"/>
      <c r="AE21" s="185"/>
      <c r="AF21" s="187">
        <f t="shared" ref="AF21" si="157">(+AC21-AB21)*24+(AE21-AD21)*24</f>
        <v>0</v>
      </c>
      <c r="AG21" s="186"/>
      <c r="AH21" s="184"/>
      <c r="AI21" s="185"/>
      <c r="AJ21" s="184"/>
      <c r="AK21" s="185"/>
      <c r="AL21" s="184"/>
      <c r="AM21" s="185"/>
      <c r="AN21" s="183">
        <f t="shared" ref="AN21" si="158">IF($AH$6="OJO H.E. AL 100%",0,(AI21-AH21)*24+(AK21-AJ21)*24+(AM21-AL21)*24)</f>
        <v>0</v>
      </c>
      <c r="AO21" s="186"/>
      <c r="AP21" s="184"/>
      <c r="AQ21" s="185"/>
      <c r="AR21" s="184"/>
      <c r="AS21" s="185"/>
      <c r="AT21" s="188">
        <f t="shared" ref="AT21" si="159">(+AQ21-AP21)*24+(AS21-AR21)*24</f>
        <v>0</v>
      </c>
      <c r="AU21" s="186"/>
      <c r="AV21" s="184"/>
      <c r="AW21" s="185"/>
      <c r="AX21" s="184"/>
      <c r="AY21" s="185"/>
      <c r="AZ21" s="184"/>
      <c r="BA21" s="185"/>
      <c r="BB21" s="183">
        <f t="shared" ref="BB21" si="160">IF($AV$6="OJO H.E. AL 100%",0,(AW21-AV21)*24+(AY21-AX21)*24+(BA21-AZ21)*24)</f>
        <v>0</v>
      </c>
      <c r="BC21" s="186"/>
      <c r="BD21" s="184"/>
      <c r="BE21" s="185"/>
      <c r="BF21" s="184"/>
      <c r="BG21" s="185"/>
      <c r="BH21" s="188">
        <f t="shared" ref="BH21" si="161">(+BE21-BD21)*24+(BG21-BF21)*24</f>
        <v>0</v>
      </c>
      <c r="BI21" s="186"/>
      <c r="BJ21" s="184"/>
      <c r="BK21" s="185"/>
      <c r="BL21" s="184"/>
      <c r="BM21" s="185"/>
      <c r="BN21" s="184"/>
      <c r="BO21" s="185"/>
      <c r="BP21" s="183">
        <f t="shared" ref="BP21" si="162">IF($BJ$6="OJO H.E. AL 100%",0,(BK21-BJ21)*24+(BM21-BL21)*24+(BO21-BN21)*24)</f>
        <v>0</v>
      </c>
      <c r="BQ21" s="186"/>
      <c r="BR21" s="184"/>
      <c r="BS21" s="185"/>
      <c r="BT21" s="184"/>
      <c r="BU21" s="185"/>
      <c r="BV21" s="188">
        <f t="shared" ref="BV21" si="163">(+BS21-BR21)*24+(BU21-BT21)*24</f>
        <v>0</v>
      </c>
      <c r="BW21" s="186"/>
      <c r="BX21" s="184"/>
      <c r="BY21" s="185"/>
      <c r="BZ21" s="184"/>
      <c r="CA21" s="185"/>
      <c r="CB21" s="184"/>
      <c r="CC21" s="185"/>
      <c r="CD21" s="183">
        <f t="shared" ref="CD21" si="164">IF($BX$6="OJO H.E. AL 100%",0,(BY21-BX21)*24+(CA21-BZ21)*24+(CC21-CB21)*24)</f>
        <v>0</v>
      </c>
      <c r="CE21" s="186"/>
      <c r="CF21" s="184"/>
      <c r="CG21" s="185"/>
      <c r="CH21" s="184"/>
      <c r="CI21" s="185"/>
      <c r="CJ21" s="188">
        <f t="shared" ref="CJ21" si="165">(+CG21-CF21)*24+(CI21-CH21)*24</f>
        <v>0</v>
      </c>
      <c r="CK21" s="186"/>
      <c r="CL21" s="184"/>
      <c r="CM21" s="185"/>
      <c r="CN21" s="184"/>
      <c r="CO21" s="185"/>
      <c r="CP21" s="184"/>
      <c r="CQ21" s="185"/>
      <c r="CR21" s="183">
        <f t="shared" ref="CR21" si="166">IF($CL$6="OJO H.E. AL 100%",0,(CM21-CL21)*24+(CO21-CN21)*24+(CQ21-CP21)*24)</f>
        <v>0</v>
      </c>
      <c r="CS21" s="186"/>
      <c r="CT21" s="184"/>
      <c r="CU21" s="185"/>
      <c r="CV21" s="184"/>
      <c r="CW21" s="185"/>
      <c r="CX21" s="188">
        <f t="shared" ref="CX21" si="167">(+CU21-CT21)*24+(CW21-CV21)*24</f>
        <v>0</v>
      </c>
      <c r="CY21" s="186"/>
      <c r="CZ21" s="184"/>
      <c r="DA21" s="185"/>
      <c r="DB21" s="184"/>
      <c r="DC21" s="185"/>
      <c r="DD21" s="184"/>
      <c r="DE21" s="185"/>
      <c r="DF21" s="183">
        <f t="shared" ref="DF21" si="168">IF($CZ$6="OJO H.E. AL 100%",0,(DA21-CZ21)*24+(DC21-DB21)*24+(DE21-DD21)*24)</f>
        <v>0</v>
      </c>
      <c r="DG21" s="186"/>
      <c r="DH21" s="184"/>
      <c r="DI21" s="185"/>
      <c r="DJ21" s="184"/>
      <c r="DK21" s="185"/>
      <c r="DL21" s="188">
        <f t="shared" ref="DL21" si="169">(+DI21-DH21)*24+(DK21-DJ21)*24</f>
        <v>0</v>
      </c>
      <c r="DM21" s="186"/>
      <c r="DN21" s="184"/>
      <c r="DO21" s="185"/>
      <c r="DP21" s="184"/>
      <c r="DQ21" s="185"/>
      <c r="DR21" s="184"/>
      <c r="DS21" s="185"/>
      <c r="DT21" s="183">
        <f t="shared" ref="DT21" si="170">IF($DN$6="OJO H.E. AL 100%",0,(DO21-DN21)*24+(DQ21-DP21)*24+(DS21-DR21)*24)</f>
        <v>0</v>
      </c>
      <c r="DU21" s="186"/>
      <c r="DV21" s="184"/>
      <c r="DW21" s="185"/>
      <c r="DX21" s="184"/>
      <c r="DY21" s="185"/>
      <c r="DZ21" s="188">
        <f t="shared" ref="DZ21" si="171">(+DW21-DV21)*24+(DY21-DX21)*24</f>
        <v>0</v>
      </c>
      <c r="EA21" s="186"/>
      <c r="EB21" s="184"/>
      <c r="EC21" s="185"/>
      <c r="ED21" s="184"/>
      <c r="EE21" s="185"/>
      <c r="EF21" s="184"/>
      <c r="EG21" s="185"/>
      <c r="EH21" s="183">
        <f t="shared" ref="EH21" si="172">IF($EB$6="OJO H.E. AL 100%",0,(EC21-EB21)*24+(EE21-ED21)*24+(EG21-EF21)*24)</f>
        <v>0</v>
      </c>
      <c r="EI21" s="186"/>
      <c r="EJ21" s="184"/>
      <c r="EK21" s="185"/>
      <c r="EL21" s="184"/>
      <c r="EM21" s="185"/>
      <c r="EN21" s="188">
        <f t="shared" ref="EN21" si="173">(+EK21-EJ21)*24+(EM21-EL21)*24</f>
        <v>0</v>
      </c>
      <c r="EO21" s="186"/>
      <c r="EP21" s="192">
        <f t="shared" ref="EP21" si="174">L21+Z21+AN21+BB21+BP21+CD21+CR21+DF21+DT21+EH21</f>
        <v>0</v>
      </c>
      <c r="EQ21" s="193">
        <f t="shared" ref="EQ21" si="175">R21+AF21+AT21+BH21+BV21+CJ21+CX21+DL21+DZ21+EN21</f>
        <v>0</v>
      </c>
    </row>
    <row r="22" spans="2:147" ht="21" x14ac:dyDescent="0.3">
      <c r="B22" s="22">
        <f>'Reporte Asistencia Laboral'!B23</f>
        <v>13</v>
      </c>
      <c r="C22" s="75" t="str">
        <f>IFERROR(VLOOKUP(D22,EMPLEADO!C:Q,15,0),"")</f>
        <v>QUITO QUEVEDO JONATHAN GERMAN</v>
      </c>
      <c r="D22" s="6" t="str">
        <f>'Reporte Asistencia Laboral'!D23</f>
        <v>110577013-3</v>
      </c>
      <c r="E22" s="142"/>
      <c r="F22" s="184"/>
      <c r="G22" s="185"/>
      <c r="H22" s="184"/>
      <c r="I22" s="185"/>
      <c r="J22" s="184"/>
      <c r="K22" s="185"/>
      <c r="L22" s="183">
        <f t="shared" ref="L22:L23" si="176">IF($F$6="OJO H.E. AL 100%",0,(G22-F22)*24+(I22-H22)*24+(K22-J22)*24)</f>
        <v>0</v>
      </c>
      <c r="M22" s="186"/>
      <c r="N22" s="184"/>
      <c r="O22" s="185"/>
      <c r="P22" s="184"/>
      <c r="Q22" s="185"/>
      <c r="R22" s="187">
        <f t="shared" ref="R22:R23" si="177">(+O22-N22)*24+(Q22-P22)*24</f>
        <v>0</v>
      </c>
      <c r="S22" s="186"/>
      <c r="T22" s="184"/>
      <c r="U22" s="185"/>
      <c r="V22" s="184"/>
      <c r="W22" s="185"/>
      <c r="X22" s="184"/>
      <c r="Y22" s="185"/>
      <c r="Z22" s="183">
        <f t="shared" ref="Z22:Z23" si="178">IF($T$6="OJO H.E. AL 100%",0,(U22-T22)*24+(W22-V22)*24+(Y22-X22)*24)</f>
        <v>0</v>
      </c>
      <c r="AA22" s="186"/>
      <c r="AB22" s="184"/>
      <c r="AC22" s="185"/>
      <c r="AD22" s="184"/>
      <c r="AE22" s="185"/>
      <c r="AF22" s="187">
        <f t="shared" ref="AF22:AF23" si="179">(+AC22-AB22)*24+(AE22-AD22)*24</f>
        <v>0</v>
      </c>
      <c r="AG22" s="186"/>
      <c r="AH22" s="184"/>
      <c r="AI22" s="185"/>
      <c r="AJ22" s="184"/>
      <c r="AK22" s="185"/>
      <c r="AL22" s="184"/>
      <c r="AM22" s="185"/>
      <c r="AN22" s="183">
        <f t="shared" ref="AN22:AN23" si="180">IF($AH$6="OJO H.E. AL 100%",0,(AI22-AH22)*24+(AK22-AJ22)*24+(AM22-AL22)*24)</f>
        <v>0</v>
      </c>
      <c r="AO22" s="186"/>
      <c r="AP22" s="184"/>
      <c r="AQ22" s="185"/>
      <c r="AR22" s="184"/>
      <c r="AS22" s="185"/>
      <c r="AT22" s="188">
        <f t="shared" ref="AT22:AT23" si="181">(+AQ22-AP22)*24+(AS22-AR22)*24</f>
        <v>0</v>
      </c>
      <c r="AU22" s="186"/>
      <c r="AV22" s="184"/>
      <c r="AW22" s="185"/>
      <c r="AX22" s="184"/>
      <c r="AY22" s="185"/>
      <c r="AZ22" s="184"/>
      <c r="BA22" s="185"/>
      <c r="BB22" s="183">
        <f t="shared" ref="BB22:BB23" si="182">IF($AV$6="OJO H.E. AL 100%",0,(AW22-AV22)*24+(AY22-AX22)*24+(BA22-AZ22)*24)</f>
        <v>0</v>
      </c>
      <c r="BC22" s="186"/>
      <c r="BD22" s="184"/>
      <c r="BE22" s="185"/>
      <c r="BF22" s="184"/>
      <c r="BG22" s="185"/>
      <c r="BH22" s="188">
        <f t="shared" ref="BH22:BH23" si="183">(+BE22-BD22)*24+(BG22-BF22)*24</f>
        <v>0</v>
      </c>
      <c r="BI22" s="186"/>
      <c r="BJ22" s="184"/>
      <c r="BK22" s="185"/>
      <c r="BL22" s="184"/>
      <c r="BM22" s="185"/>
      <c r="BN22" s="184"/>
      <c r="BO22" s="185"/>
      <c r="BP22" s="183">
        <f t="shared" ref="BP22:BP23" si="184">IF($BJ$6="OJO H.E. AL 100%",0,(BK22-BJ22)*24+(BM22-BL22)*24+(BO22-BN22)*24)</f>
        <v>0</v>
      </c>
      <c r="BQ22" s="186"/>
      <c r="BR22" s="184"/>
      <c r="BS22" s="185"/>
      <c r="BT22" s="184"/>
      <c r="BU22" s="185"/>
      <c r="BV22" s="188">
        <f t="shared" ref="BV22:BV23" si="185">(+BS22-BR22)*24+(BU22-BT22)*24</f>
        <v>0</v>
      </c>
      <c r="BW22" s="186"/>
      <c r="BX22" s="184"/>
      <c r="BY22" s="185"/>
      <c r="BZ22" s="184"/>
      <c r="CA22" s="185"/>
      <c r="CB22" s="184"/>
      <c r="CC22" s="185"/>
      <c r="CD22" s="183">
        <f t="shared" ref="CD22:CD23" si="186">IF($BX$6="OJO H.E. AL 100%",0,(BY22-BX22)*24+(CA22-BZ22)*24+(CC22-CB22)*24)</f>
        <v>0</v>
      </c>
      <c r="CE22" s="186"/>
      <c r="CF22" s="184"/>
      <c r="CG22" s="185"/>
      <c r="CH22" s="184"/>
      <c r="CI22" s="185"/>
      <c r="CJ22" s="188">
        <f t="shared" ref="CJ22:CJ23" si="187">(+CG22-CF22)*24+(CI22-CH22)*24</f>
        <v>0</v>
      </c>
      <c r="CK22" s="186"/>
      <c r="CL22" s="184"/>
      <c r="CM22" s="185"/>
      <c r="CN22" s="184"/>
      <c r="CO22" s="185"/>
      <c r="CP22" s="184"/>
      <c r="CQ22" s="185"/>
      <c r="CR22" s="183">
        <f t="shared" ref="CR22:CR23" si="188">IF($CL$6="OJO H.E. AL 100%",0,(CM22-CL22)*24+(CO22-CN22)*24+(CQ22-CP22)*24)</f>
        <v>0</v>
      </c>
      <c r="CS22" s="186"/>
      <c r="CT22" s="184"/>
      <c r="CU22" s="185"/>
      <c r="CV22" s="184"/>
      <c r="CW22" s="185"/>
      <c r="CX22" s="188">
        <f t="shared" ref="CX22:CX23" si="189">(+CU22-CT22)*24+(CW22-CV22)*24</f>
        <v>0</v>
      </c>
      <c r="CY22" s="186"/>
      <c r="CZ22" s="184"/>
      <c r="DA22" s="185"/>
      <c r="DB22" s="184"/>
      <c r="DC22" s="185"/>
      <c r="DD22" s="184"/>
      <c r="DE22" s="185"/>
      <c r="DF22" s="183">
        <f t="shared" ref="DF22:DF23" si="190">IF($CZ$6="OJO H.E. AL 100%",0,(DA22-CZ22)*24+(DC22-DB22)*24+(DE22-DD22)*24)</f>
        <v>0</v>
      </c>
      <c r="DG22" s="186"/>
      <c r="DH22" s="184"/>
      <c r="DI22" s="185"/>
      <c r="DJ22" s="184"/>
      <c r="DK22" s="185"/>
      <c r="DL22" s="188">
        <f t="shared" ref="DL22:DL23" si="191">(+DI22-DH22)*24+(DK22-DJ22)*24</f>
        <v>0</v>
      </c>
      <c r="DM22" s="186"/>
      <c r="DN22" s="184"/>
      <c r="DO22" s="185"/>
      <c r="DP22" s="184"/>
      <c r="DQ22" s="185"/>
      <c r="DR22" s="184"/>
      <c r="DS22" s="185"/>
      <c r="DT22" s="183">
        <f t="shared" ref="DT22:DT23" si="192">IF($DN$6="OJO H.E. AL 100%",0,(DO22-DN22)*24+(DQ22-DP22)*24+(DS22-DR22)*24)</f>
        <v>0</v>
      </c>
      <c r="DU22" s="186"/>
      <c r="DV22" s="184"/>
      <c r="DW22" s="185"/>
      <c r="DX22" s="184"/>
      <c r="DY22" s="185"/>
      <c r="DZ22" s="188">
        <f t="shared" ref="DZ22:DZ23" si="193">(+DW22-DV22)*24+(DY22-DX22)*24</f>
        <v>0</v>
      </c>
      <c r="EA22" s="186"/>
      <c r="EB22" s="184"/>
      <c r="EC22" s="185"/>
      <c r="ED22" s="184"/>
      <c r="EE22" s="185"/>
      <c r="EF22" s="184"/>
      <c r="EG22" s="185"/>
      <c r="EH22" s="183">
        <f t="shared" ref="EH22:EH23" si="194">IF($EB$6="OJO H.E. AL 100%",0,(EC22-EB22)*24+(EE22-ED22)*24+(EG22-EF22)*24)</f>
        <v>0</v>
      </c>
      <c r="EI22" s="186"/>
      <c r="EJ22" s="184"/>
      <c r="EK22" s="185"/>
      <c r="EL22" s="184"/>
      <c r="EM22" s="185"/>
      <c r="EN22" s="188">
        <f t="shared" ref="EN22:EN23" si="195">(+EK22-EJ22)*24+(EM22-EL22)*24</f>
        <v>0</v>
      </c>
      <c r="EO22" s="186"/>
      <c r="EP22" s="192">
        <f t="shared" ref="EP22:EP23" si="196">L22+Z22+AN22+BB22+BP22+CD22+CR22+DF22+DT22+EH22</f>
        <v>0</v>
      </c>
      <c r="EQ22" s="193">
        <f t="shared" ref="EQ22:EQ23" si="197">R22+AF22+AT22+BH22+BV22+CJ22+CX22+DL22+DZ22+EN22</f>
        <v>0</v>
      </c>
    </row>
    <row r="23" spans="2:147" ht="21" x14ac:dyDescent="0.3">
      <c r="B23" s="22">
        <f>'Reporte Asistencia Laboral'!B24</f>
        <v>14</v>
      </c>
      <c r="C23" s="75" t="str">
        <f>IFERROR(VLOOKUP(D23,EMPLEADO!C:Q,15,0),"")</f>
        <v>CABRERA PASACA JONATHAN EDUARDO</v>
      </c>
      <c r="D23" s="6" t="str">
        <f>'Reporte Asistencia Laboral'!D24</f>
        <v>110576859-0</v>
      </c>
      <c r="E23" s="142"/>
      <c r="F23" s="184"/>
      <c r="G23" s="185"/>
      <c r="H23" s="184"/>
      <c r="I23" s="185"/>
      <c r="J23" s="184"/>
      <c r="K23" s="185"/>
      <c r="L23" s="183">
        <f t="shared" si="176"/>
        <v>0</v>
      </c>
      <c r="M23" s="186"/>
      <c r="N23" s="184"/>
      <c r="O23" s="185"/>
      <c r="P23" s="184"/>
      <c r="Q23" s="185"/>
      <c r="R23" s="187">
        <f t="shared" si="177"/>
        <v>0</v>
      </c>
      <c r="S23" s="186"/>
      <c r="T23" s="184"/>
      <c r="U23" s="185"/>
      <c r="V23" s="184"/>
      <c r="W23" s="185"/>
      <c r="X23" s="184"/>
      <c r="Y23" s="185"/>
      <c r="Z23" s="183">
        <f t="shared" si="178"/>
        <v>0</v>
      </c>
      <c r="AA23" s="186"/>
      <c r="AB23" s="184"/>
      <c r="AC23" s="185"/>
      <c r="AD23" s="184"/>
      <c r="AE23" s="185"/>
      <c r="AF23" s="187">
        <f t="shared" si="179"/>
        <v>0</v>
      </c>
      <c r="AG23" s="186"/>
      <c r="AH23" s="184"/>
      <c r="AI23" s="185"/>
      <c r="AJ23" s="184"/>
      <c r="AK23" s="185"/>
      <c r="AL23" s="184"/>
      <c r="AM23" s="185"/>
      <c r="AN23" s="183">
        <f t="shared" si="180"/>
        <v>0</v>
      </c>
      <c r="AO23" s="186"/>
      <c r="AP23" s="184"/>
      <c r="AQ23" s="185"/>
      <c r="AR23" s="184"/>
      <c r="AS23" s="185"/>
      <c r="AT23" s="188">
        <f t="shared" si="181"/>
        <v>0</v>
      </c>
      <c r="AU23" s="186"/>
      <c r="AV23" s="184"/>
      <c r="AW23" s="185"/>
      <c r="AX23" s="184"/>
      <c r="AY23" s="185"/>
      <c r="AZ23" s="184"/>
      <c r="BA23" s="185"/>
      <c r="BB23" s="183">
        <f t="shared" si="182"/>
        <v>0</v>
      </c>
      <c r="BC23" s="186"/>
      <c r="BD23" s="184"/>
      <c r="BE23" s="185"/>
      <c r="BF23" s="184"/>
      <c r="BG23" s="185"/>
      <c r="BH23" s="188">
        <f t="shared" si="183"/>
        <v>0</v>
      </c>
      <c r="BI23" s="186"/>
      <c r="BJ23" s="184"/>
      <c r="BK23" s="185"/>
      <c r="BL23" s="184"/>
      <c r="BM23" s="185"/>
      <c r="BN23" s="184"/>
      <c r="BO23" s="185"/>
      <c r="BP23" s="183">
        <f t="shared" si="184"/>
        <v>0</v>
      </c>
      <c r="BQ23" s="186"/>
      <c r="BR23" s="184"/>
      <c r="BS23" s="185"/>
      <c r="BT23" s="184"/>
      <c r="BU23" s="185"/>
      <c r="BV23" s="188">
        <f t="shared" si="185"/>
        <v>0</v>
      </c>
      <c r="BW23" s="186"/>
      <c r="BX23" s="184"/>
      <c r="BY23" s="185"/>
      <c r="BZ23" s="184"/>
      <c r="CA23" s="185"/>
      <c r="CB23" s="184"/>
      <c r="CC23" s="185"/>
      <c r="CD23" s="183">
        <f t="shared" si="186"/>
        <v>0</v>
      </c>
      <c r="CE23" s="186"/>
      <c r="CF23" s="184"/>
      <c r="CG23" s="185"/>
      <c r="CH23" s="184"/>
      <c r="CI23" s="185"/>
      <c r="CJ23" s="188">
        <f t="shared" si="187"/>
        <v>0</v>
      </c>
      <c r="CK23" s="186"/>
      <c r="CL23" s="184"/>
      <c r="CM23" s="185"/>
      <c r="CN23" s="184"/>
      <c r="CO23" s="185"/>
      <c r="CP23" s="184"/>
      <c r="CQ23" s="185"/>
      <c r="CR23" s="183">
        <f t="shared" si="188"/>
        <v>0</v>
      </c>
      <c r="CS23" s="186"/>
      <c r="CT23" s="184"/>
      <c r="CU23" s="185"/>
      <c r="CV23" s="184"/>
      <c r="CW23" s="185"/>
      <c r="CX23" s="188">
        <f t="shared" si="189"/>
        <v>0</v>
      </c>
      <c r="CY23" s="186"/>
      <c r="CZ23" s="184"/>
      <c r="DA23" s="185"/>
      <c r="DB23" s="184"/>
      <c r="DC23" s="185"/>
      <c r="DD23" s="184"/>
      <c r="DE23" s="185"/>
      <c r="DF23" s="183">
        <f t="shared" si="190"/>
        <v>0</v>
      </c>
      <c r="DG23" s="186"/>
      <c r="DH23" s="184"/>
      <c r="DI23" s="185"/>
      <c r="DJ23" s="184"/>
      <c r="DK23" s="185"/>
      <c r="DL23" s="188">
        <f t="shared" si="191"/>
        <v>0</v>
      </c>
      <c r="DM23" s="186"/>
      <c r="DN23" s="184"/>
      <c r="DO23" s="185"/>
      <c r="DP23" s="184"/>
      <c r="DQ23" s="185"/>
      <c r="DR23" s="184"/>
      <c r="DS23" s="185"/>
      <c r="DT23" s="183">
        <f t="shared" si="192"/>
        <v>0</v>
      </c>
      <c r="DU23" s="186"/>
      <c r="DV23" s="184"/>
      <c r="DW23" s="185"/>
      <c r="DX23" s="184"/>
      <c r="DY23" s="185"/>
      <c r="DZ23" s="188">
        <f t="shared" si="193"/>
        <v>0</v>
      </c>
      <c r="EA23" s="186"/>
      <c r="EB23" s="184"/>
      <c r="EC23" s="185"/>
      <c r="ED23" s="184"/>
      <c r="EE23" s="185"/>
      <c r="EF23" s="184"/>
      <c r="EG23" s="185"/>
      <c r="EH23" s="183">
        <f t="shared" si="194"/>
        <v>0</v>
      </c>
      <c r="EI23" s="186"/>
      <c r="EJ23" s="184"/>
      <c r="EK23" s="185"/>
      <c r="EL23" s="184"/>
      <c r="EM23" s="185"/>
      <c r="EN23" s="188">
        <f t="shared" si="195"/>
        <v>0</v>
      </c>
      <c r="EO23" s="186"/>
      <c r="EP23" s="192">
        <f t="shared" si="196"/>
        <v>0</v>
      </c>
      <c r="EQ23" s="193">
        <f t="shared" si="197"/>
        <v>0</v>
      </c>
    </row>
    <row r="24" spans="2:147" ht="21.75" thickBot="1" x14ac:dyDescent="0.35">
      <c r="B24" s="22">
        <f>'Reporte Asistencia Laboral'!B25</f>
        <v>15</v>
      </c>
      <c r="C24" s="75" t="str">
        <f>IFERROR(VLOOKUP(D24,EMPLEADO!C:Q,15,0),"")</f>
        <v/>
      </c>
      <c r="D24" s="6" t="str">
        <f>'Reporte Asistencia Laboral'!D25</f>
        <v/>
      </c>
      <c r="E24" s="142"/>
      <c r="F24" s="184"/>
      <c r="G24" s="185"/>
      <c r="H24" s="184"/>
      <c r="I24" s="185"/>
      <c r="J24" s="184"/>
      <c r="K24" s="185"/>
      <c r="L24" s="183">
        <f t="shared" ref="L24" si="198">IF($F$6="OJO H.E. AL 100%",0,(G24-F24)*24+(I24-H24)*24+(K24-J24)*24)</f>
        <v>0</v>
      </c>
      <c r="M24" s="186"/>
      <c r="N24" s="184"/>
      <c r="O24" s="185"/>
      <c r="P24" s="184"/>
      <c r="Q24" s="185"/>
      <c r="R24" s="187">
        <f t="shared" ref="R24" si="199">(+O24-N24)*24+(Q24-P24)*24</f>
        <v>0</v>
      </c>
      <c r="S24" s="186"/>
      <c r="T24" s="184"/>
      <c r="U24" s="185"/>
      <c r="V24" s="184"/>
      <c r="W24" s="185"/>
      <c r="X24" s="184"/>
      <c r="Y24" s="185"/>
      <c r="Z24" s="183">
        <f t="shared" ref="Z24" si="200">IF($T$6="OJO H.E. AL 100%",0,(U24-T24)*24+(W24-V24)*24+(Y24-X24)*24)</f>
        <v>0</v>
      </c>
      <c r="AA24" s="186"/>
      <c r="AB24" s="184"/>
      <c r="AC24" s="185"/>
      <c r="AD24" s="184"/>
      <c r="AE24" s="185"/>
      <c r="AF24" s="187">
        <f t="shared" ref="AF24" si="201">(+AC24-AB24)*24+(AE24-AD24)*24</f>
        <v>0</v>
      </c>
      <c r="AG24" s="186"/>
      <c r="AH24" s="184"/>
      <c r="AI24" s="185"/>
      <c r="AJ24" s="184"/>
      <c r="AK24" s="185"/>
      <c r="AL24" s="184"/>
      <c r="AM24" s="185"/>
      <c r="AN24" s="183">
        <f t="shared" ref="AN24" si="202">IF($AH$6="OJO H.E. AL 100%",0,(AI24-AH24)*24+(AK24-AJ24)*24+(AM24-AL24)*24)</f>
        <v>0</v>
      </c>
      <c r="AO24" s="186"/>
      <c r="AP24" s="184"/>
      <c r="AQ24" s="185"/>
      <c r="AR24" s="184"/>
      <c r="AS24" s="185"/>
      <c r="AT24" s="188">
        <f t="shared" ref="AT24" si="203">(+AQ24-AP24)*24+(AS24-AR24)*24</f>
        <v>0</v>
      </c>
      <c r="AU24" s="186"/>
      <c r="AV24" s="184"/>
      <c r="AW24" s="185"/>
      <c r="AX24" s="184"/>
      <c r="AY24" s="185"/>
      <c r="AZ24" s="184"/>
      <c r="BA24" s="185"/>
      <c r="BB24" s="183">
        <f t="shared" ref="BB24" si="204">IF($AV$6="OJO H.E. AL 100%",0,(AW24-AV24)*24+(AY24-AX24)*24+(BA24-AZ24)*24)</f>
        <v>0</v>
      </c>
      <c r="BC24" s="186"/>
      <c r="BD24" s="184"/>
      <c r="BE24" s="185"/>
      <c r="BF24" s="184"/>
      <c r="BG24" s="185"/>
      <c r="BH24" s="188">
        <f t="shared" ref="BH24" si="205">(+BE24-BD24)*24+(BG24-BF24)*24</f>
        <v>0</v>
      </c>
      <c r="BI24" s="186"/>
      <c r="BJ24" s="184"/>
      <c r="BK24" s="185"/>
      <c r="BL24" s="184"/>
      <c r="BM24" s="185"/>
      <c r="BN24" s="184"/>
      <c r="BO24" s="185"/>
      <c r="BP24" s="183">
        <f t="shared" ref="BP24" si="206">IF($BJ$6="OJO H.E. AL 100%",0,(BK24-BJ24)*24+(BM24-BL24)*24+(BO24-BN24)*24)</f>
        <v>0</v>
      </c>
      <c r="BQ24" s="186"/>
      <c r="BR24" s="184"/>
      <c r="BS24" s="185"/>
      <c r="BT24" s="184"/>
      <c r="BU24" s="185"/>
      <c r="BV24" s="188">
        <f t="shared" ref="BV24" si="207">(+BS24-BR24)*24+(BU24-BT24)*24</f>
        <v>0</v>
      </c>
      <c r="BW24" s="186"/>
      <c r="BX24" s="184"/>
      <c r="BY24" s="185"/>
      <c r="BZ24" s="184"/>
      <c r="CA24" s="185"/>
      <c r="CB24" s="184"/>
      <c r="CC24" s="185"/>
      <c r="CD24" s="183">
        <f t="shared" ref="CD24" si="208">IF($BX$6="OJO H.E. AL 100%",0,(BY24-BX24)*24+(CA24-BZ24)*24+(CC24-CB24)*24)</f>
        <v>0</v>
      </c>
      <c r="CE24" s="186"/>
      <c r="CF24" s="184"/>
      <c r="CG24" s="185"/>
      <c r="CH24" s="184"/>
      <c r="CI24" s="185"/>
      <c r="CJ24" s="188">
        <f t="shared" ref="CJ24" si="209">(+CG24-CF24)*24+(CI24-CH24)*24</f>
        <v>0</v>
      </c>
      <c r="CK24" s="186"/>
      <c r="CL24" s="184"/>
      <c r="CM24" s="185"/>
      <c r="CN24" s="184"/>
      <c r="CO24" s="185"/>
      <c r="CP24" s="184"/>
      <c r="CQ24" s="185"/>
      <c r="CR24" s="183">
        <f t="shared" ref="CR24" si="210">IF($CL$6="OJO H.E. AL 100%",0,(CM24-CL24)*24+(CO24-CN24)*24+(CQ24-CP24)*24)</f>
        <v>0</v>
      </c>
      <c r="CS24" s="186"/>
      <c r="CT24" s="184"/>
      <c r="CU24" s="185"/>
      <c r="CV24" s="184"/>
      <c r="CW24" s="185"/>
      <c r="CX24" s="188">
        <f t="shared" ref="CX24" si="211">(+CU24-CT24)*24+(CW24-CV24)*24</f>
        <v>0</v>
      </c>
      <c r="CY24" s="186"/>
      <c r="CZ24" s="184"/>
      <c r="DA24" s="185"/>
      <c r="DB24" s="184"/>
      <c r="DC24" s="185"/>
      <c r="DD24" s="184"/>
      <c r="DE24" s="185"/>
      <c r="DF24" s="183">
        <f t="shared" ref="DF24" si="212">IF($CZ$6="OJO H.E. AL 100%",0,(DA24-CZ24)*24+(DC24-DB24)*24+(DE24-DD24)*24)</f>
        <v>0</v>
      </c>
      <c r="DG24" s="186"/>
      <c r="DH24" s="184"/>
      <c r="DI24" s="185"/>
      <c r="DJ24" s="184"/>
      <c r="DK24" s="185"/>
      <c r="DL24" s="188">
        <f t="shared" ref="DL24" si="213">(+DI24-DH24)*24+(DK24-DJ24)*24</f>
        <v>0</v>
      </c>
      <c r="DM24" s="186"/>
      <c r="DN24" s="184"/>
      <c r="DO24" s="185"/>
      <c r="DP24" s="184"/>
      <c r="DQ24" s="185"/>
      <c r="DR24" s="184"/>
      <c r="DS24" s="185"/>
      <c r="DT24" s="183">
        <f t="shared" ref="DT24" si="214">IF($DN$6="OJO H.E. AL 100%",0,(DO24-DN24)*24+(DQ24-DP24)*24+(DS24-DR24)*24)</f>
        <v>0</v>
      </c>
      <c r="DU24" s="186"/>
      <c r="DV24" s="184"/>
      <c r="DW24" s="185"/>
      <c r="DX24" s="184"/>
      <c r="DY24" s="185"/>
      <c r="DZ24" s="188">
        <f t="shared" ref="DZ24" si="215">(+DW24-DV24)*24+(DY24-DX24)*24</f>
        <v>0</v>
      </c>
      <c r="EA24" s="186"/>
      <c r="EB24" s="184"/>
      <c r="EC24" s="185"/>
      <c r="ED24" s="184"/>
      <c r="EE24" s="185"/>
      <c r="EF24" s="184"/>
      <c r="EG24" s="185"/>
      <c r="EH24" s="183">
        <f t="shared" ref="EH24" si="216">IF($EB$6="OJO H.E. AL 100%",0,(EC24-EB24)*24+(EE24-ED24)*24+(EG24-EF24)*24)</f>
        <v>0</v>
      </c>
      <c r="EI24" s="186"/>
      <c r="EJ24" s="184"/>
      <c r="EK24" s="185"/>
      <c r="EL24" s="184"/>
      <c r="EM24" s="185"/>
      <c r="EN24" s="188">
        <f t="shared" ref="EN24" si="217">(+EK24-EJ24)*24+(EM24-EL24)*24</f>
        <v>0</v>
      </c>
      <c r="EO24" s="186"/>
      <c r="EP24" s="192">
        <f t="shared" ref="EP24" si="218">L24+Z24+AN24+BB24+BP24+CD24+CR24+DF24+DT24+EH24</f>
        <v>0</v>
      </c>
      <c r="EQ24" s="193">
        <f t="shared" ref="EQ24" si="219">R24+AF24+AT24+BH24+BV24+CJ24+CX24+DL24+DZ24+EN24</f>
        <v>0</v>
      </c>
    </row>
    <row r="25" spans="2:147" ht="15" customHeight="1" x14ac:dyDescent="0.3">
      <c r="C25" s="68" t="s">
        <v>121</v>
      </c>
      <c r="D25" s="28"/>
      <c r="F25" s="341"/>
      <c r="G25" s="342"/>
      <c r="H25" s="342"/>
      <c r="I25" s="342"/>
      <c r="J25" s="342"/>
      <c r="K25" s="342"/>
      <c r="L25" s="342"/>
      <c r="M25" s="343"/>
      <c r="N25" s="341"/>
      <c r="O25" s="342"/>
      <c r="P25" s="342"/>
      <c r="Q25" s="342"/>
      <c r="R25" s="342"/>
      <c r="S25" s="343"/>
      <c r="T25" s="341"/>
      <c r="U25" s="342"/>
      <c r="V25" s="342"/>
      <c r="W25" s="342"/>
      <c r="X25" s="342"/>
      <c r="Y25" s="342"/>
      <c r="Z25" s="342"/>
      <c r="AA25" s="343"/>
      <c r="AB25" s="341"/>
      <c r="AC25" s="342"/>
      <c r="AD25" s="342"/>
      <c r="AE25" s="342"/>
      <c r="AF25" s="342"/>
      <c r="AG25" s="343"/>
      <c r="AH25" s="341"/>
      <c r="AI25" s="342"/>
      <c r="AJ25" s="342"/>
      <c r="AK25" s="342"/>
      <c r="AL25" s="342"/>
      <c r="AM25" s="342"/>
      <c r="AN25" s="342"/>
      <c r="AO25" s="343"/>
      <c r="AP25" s="341"/>
      <c r="AQ25" s="342"/>
      <c r="AR25" s="342"/>
      <c r="AS25" s="342"/>
      <c r="AT25" s="342"/>
      <c r="AU25" s="343"/>
      <c r="AV25" s="341"/>
      <c r="AW25" s="342"/>
      <c r="AX25" s="342"/>
      <c r="AY25" s="342"/>
      <c r="AZ25" s="342"/>
      <c r="BA25" s="342"/>
      <c r="BB25" s="342"/>
      <c r="BC25" s="343"/>
      <c r="BD25" s="341"/>
      <c r="BE25" s="342"/>
      <c r="BF25" s="342"/>
      <c r="BG25" s="342"/>
      <c r="BH25" s="342"/>
      <c r="BI25" s="343"/>
      <c r="BJ25" s="341"/>
      <c r="BK25" s="342"/>
      <c r="BL25" s="342"/>
      <c r="BM25" s="342"/>
      <c r="BN25" s="342"/>
      <c r="BO25" s="342"/>
      <c r="BP25" s="342"/>
      <c r="BQ25" s="343"/>
      <c r="BR25" s="341"/>
      <c r="BS25" s="342"/>
      <c r="BT25" s="342"/>
      <c r="BU25" s="342"/>
      <c r="BV25" s="342"/>
      <c r="BW25" s="343"/>
      <c r="BX25" s="341"/>
      <c r="BY25" s="342"/>
      <c r="BZ25" s="342"/>
      <c r="CA25" s="342"/>
      <c r="CB25" s="342"/>
      <c r="CC25" s="342"/>
      <c r="CD25" s="342"/>
      <c r="CE25" s="343"/>
      <c r="CF25" s="341"/>
      <c r="CG25" s="342"/>
      <c r="CH25" s="342"/>
      <c r="CI25" s="342"/>
      <c r="CJ25" s="342"/>
      <c r="CK25" s="343"/>
      <c r="CL25" s="341"/>
      <c r="CM25" s="342"/>
      <c r="CN25" s="342"/>
      <c r="CO25" s="342"/>
      <c r="CP25" s="342"/>
      <c r="CQ25" s="342"/>
      <c r="CR25" s="342"/>
      <c r="CS25" s="343"/>
      <c r="CT25" s="341"/>
      <c r="CU25" s="342"/>
      <c r="CV25" s="342"/>
      <c r="CW25" s="342"/>
      <c r="CX25" s="342"/>
      <c r="CY25" s="343"/>
      <c r="CZ25" s="341"/>
      <c r="DA25" s="342"/>
      <c r="DB25" s="342"/>
      <c r="DC25" s="342"/>
      <c r="DD25" s="342"/>
      <c r="DE25" s="342"/>
      <c r="DF25" s="342"/>
      <c r="DG25" s="343"/>
      <c r="DH25" s="341"/>
      <c r="DI25" s="342"/>
      <c r="DJ25" s="342"/>
      <c r="DK25" s="342"/>
      <c r="DL25" s="342"/>
      <c r="DM25" s="343"/>
      <c r="DN25" s="341"/>
      <c r="DO25" s="342"/>
      <c r="DP25" s="342"/>
      <c r="DQ25" s="342"/>
      <c r="DR25" s="342"/>
      <c r="DS25" s="342"/>
      <c r="DT25" s="342"/>
      <c r="DU25" s="343"/>
      <c r="DV25" s="341"/>
      <c r="DW25" s="342"/>
      <c r="DX25" s="342"/>
      <c r="DY25" s="342"/>
      <c r="DZ25" s="342"/>
      <c r="EA25" s="343"/>
      <c r="EB25" s="341"/>
      <c r="EC25" s="342"/>
      <c r="ED25" s="342"/>
      <c r="EE25" s="342"/>
      <c r="EF25" s="342"/>
      <c r="EG25" s="342"/>
      <c r="EH25" s="342"/>
      <c r="EI25" s="343"/>
      <c r="EJ25" s="341"/>
      <c r="EK25" s="342"/>
      <c r="EL25" s="342"/>
      <c r="EM25" s="342"/>
      <c r="EN25" s="342"/>
      <c r="EO25" s="343"/>
    </row>
    <row r="26" spans="2:147" x14ac:dyDescent="0.25">
      <c r="B26" s="34" t="s">
        <v>169</v>
      </c>
      <c r="F26" s="344"/>
      <c r="G26" s="345"/>
      <c r="H26" s="345"/>
      <c r="I26" s="345"/>
      <c r="J26" s="345"/>
      <c r="K26" s="345"/>
      <c r="L26" s="345"/>
      <c r="M26" s="346"/>
      <c r="N26" s="344"/>
      <c r="O26" s="345"/>
      <c r="P26" s="345"/>
      <c r="Q26" s="345"/>
      <c r="R26" s="345"/>
      <c r="S26" s="346"/>
      <c r="T26" s="344"/>
      <c r="U26" s="345"/>
      <c r="V26" s="345"/>
      <c r="W26" s="345"/>
      <c r="X26" s="345"/>
      <c r="Y26" s="345"/>
      <c r="Z26" s="345"/>
      <c r="AA26" s="346"/>
      <c r="AB26" s="344"/>
      <c r="AC26" s="345"/>
      <c r="AD26" s="345"/>
      <c r="AE26" s="345"/>
      <c r="AF26" s="345"/>
      <c r="AG26" s="346"/>
      <c r="AH26" s="344"/>
      <c r="AI26" s="345"/>
      <c r="AJ26" s="345"/>
      <c r="AK26" s="345"/>
      <c r="AL26" s="345"/>
      <c r="AM26" s="345"/>
      <c r="AN26" s="345"/>
      <c r="AO26" s="346"/>
      <c r="AP26" s="344"/>
      <c r="AQ26" s="345"/>
      <c r="AR26" s="345"/>
      <c r="AS26" s="345"/>
      <c r="AT26" s="345"/>
      <c r="AU26" s="346"/>
      <c r="AV26" s="344"/>
      <c r="AW26" s="345"/>
      <c r="AX26" s="345"/>
      <c r="AY26" s="345"/>
      <c r="AZ26" s="345"/>
      <c r="BA26" s="345"/>
      <c r="BB26" s="345"/>
      <c r="BC26" s="346"/>
      <c r="BD26" s="344"/>
      <c r="BE26" s="345"/>
      <c r="BF26" s="345"/>
      <c r="BG26" s="345"/>
      <c r="BH26" s="345"/>
      <c r="BI26" s="346"/>
      <c r="BJ26" s="344"/>
      <c r="BK26" s="345"/>
      <c r="BL26" s="345"/>
      <c r="BM26" s="345"/>
      <c r="BN26" s="345"/>
      <c r="BO26" s="345"/>
      <c r="BP26" s="345"/>
      <c r="BQ26" s="346"/>
      <c r="BR26" s="344"/>
      <c r="BS26" s="345"/>
      <c r="BT26" s="345"/>
      <c r="BU26" s="345"/>
      <c r="BV26" s="345"/>
      <c r="BW26" s="346"/>
      <c r="BX26" s="344"/>
      <c r="BY26" s="345"/>
      <c r="BZ26" s="345"/>
      <c r="CA26" s="345"/>
      <c r="CB26" s="345"/>
      <c r="CC26" s="345"/>
      <c r="CD26" s="345"/>
      <c r="CE26" s="346"/>
      <c r="CF26" s="344"/>
      <c r="CG26" s="345"/>
      <c r="CH26" s="345"/>
      <c r="CI26" s="345"/>
      <c r="CJ26" s="345"/>
      <c r="CK26" s="346"/>
      <c r="CL26" s="344"/>
      <c r="CM26" s="345"/>
      <c r="CN26" s="345"/>
      <c r="CO26" s="345"/>
      <c r="CP26" s="345"/>
      <c r="CQ26" s="345"/>
      <c r="CR26" s="345"/>
      <c r="CS26" s="346"/>
      <c r="CT26" s="344"/>
      <c r="CU26" s="345"/>
      <c r="CV26" s="345"/>
      <c r="CW26" s="345"/>
      <c r="CX26" s="345"/>
      <c r="CY26" s="346"/>
      <c r="CZ26" s="344"/>
      <c r="DA26" s="345"/>
      <c r="DB26" s="345"/>
      <c r="DC26" s="345"/>
      <c r="DD26" s="345"/>
      <c r="DE26" s="345"/>
      <c r="DF26" s="345"/>
      <c r="DG26" s="346"/>
      <c r="DH26" s="344"/>
      <c r="DI26" s="345"/>
      <c r="DJ26" s="345"/>
      <c r="DK26" s="345"/>
      <c r="DL26" s="345"/>
      <c r="DM26" s="346"/>
      <c r="DN26" s="344"/>
      <c r="DO26" s="345"/>
      <c r="DP26" s="345"/>
      <c r="DQ26" s="345"/>
      <c r="DR26" s="345"/>
      <c r="DS26" s="345"/>
      <c r="DT26" s="345"/>
      <c r="DU26" s="346"/>
      <c r="DV26" s="344"/>
      <c r="DW26" s="345"/>
      <c r="DX26" s="345"/>
      <c r="DY26" s="345"/>
      <c r="DZ26" s="345"/>
      <c r="EA26" s="346"/>
      <c r="EB26" s="344"/>
      <c r="EC26" s="345"/>
      <c r="ED26" s="345"/>
      <c r="EE26" s="345"/>
      <c r="EF26" s="345"/>
      <c r="EG26" s="345"/>
      <c r="EH26" s="345"/>
      <c r="EI26" s="346"/>
      <c r="EJ26" s="344"/>
      <c r="EK26" s="345"/>
      <c r="EL26" s="345"/>
      <c r="EM26" s="345"/>
      <c r="EN26" s="345"/>
      <c r="EO26" s="346"/>
    </row>
    <row r="27" spans="2:147" x14ac:dyDescent="0.25">
      <c r="F27" s="344"/>
      <c r="G27" s="345"/>
      <c r="H27" s="345"/>
      <c r="I27" s="345"/>
      <c r="J27" s="345"/>
      <c r="K27" s="345"/>
      <c r="L27" s="345"/>
      <c r="M27" s="346"/>
      <c r="N27" s="344"/>
      <c r="O27" s="345"/>
      <c r="P27" s="345"/>
      <c r="Q27" s="345"/>
      <c r="R27" s="345"/>
      <c r="S27" s="346"/>
      <c r="T27" s="344"/>
      <c r="U27" s="345"/>
      <c r="V27" s="345"/>
      <c r="W27" s="345"/>
      <c r="X27" s="345"/>
      <c r="Y27" s="345"/>
      <c r="Z27" s="345"/>
      <c r="AA27" s="346"/>
      <c r="AB27" s="344"/>
      <c r="AC27" s="345"/>
      <c r="AD27" s="345"/>
      <c r="AE27" s="345"/>
      <c r="AF27" s="345"/>
      <c r="AG27" s="346"/>
      <c r="AH27" s="344"/>
      <c r="AI27" s="345"/>
      <c r="AJ27" s="345"/>
      <c r="AK27" s="345"/>
      <c r="AL27" s="345"/>
      <c r="AM27" s="345"/>
      <c r="AN27" s="345"/>
      <c r="AO27" s="346"/>
      <c r="AP27" s="344"/>
      <c r="AQ27" s="345"/>
      <c r="AR27" s="345"/>
      <c r="AS27" s="345"/>
      <c r="AT27" s="345"/>
      <c r="AU27" s="346"/>
      <c r="AV27" s="344"/>
      <c r="AW27" s="345"/>
      <c r="AX27" s="345"/>
      <c r="AY27" s="345"/>
      <c r="AZ27" s="345"/>
      <c r="BA27" s="345"/>
      <c r="BB27" s="345"/>
      <c r="BC27" s="346"/>
      <c r="BD27" s="344"/>
      <c r="BE27" s="345"/>
      <c r="BF27" s="345"/>
      <c r="BG27" s="345"/>
      <c r="BH27" s="345"/>
      <c r="BI27" s="346"/>
      <c r="BJ27" s="344"/>
      <c r="BK27" s="345"/>
      <c r="BL27" s="345"/>
      <c r="BM27" s="345"/>
      <c r="BN27" s="345"/>
      <c r="BO27" s="345"/>
      <c r="BP27" s="345"/>
      <c r="BQ27" s="346"/>
      <c r="BR27" s="344"/>
      <c r="BS27" s="345"/>
      <c r="BT27" s="345"/>
      <c r="BU27" s="345"/>
      <c r="BV27" s="345"/>
      <c r="BW27" s="346"/>
      <c r="BX27" s="344"/>
      <c r="BY27" s="345"/>
      <c r="BZ27" s="345"/>
      <c r="CA27" s="345"/>
      <c r="CB27" s="345"/>
      <c r="CC27" s="345"/>
      <c r="CD27" s="345"/>
      <c r="CE27" s="346"/>
      <c r="CF27" s="344"/>
      <c r="CG27" s="345"/>
      <c r="CH27" s="345"/>
      <c r="CI27" s="345"/>
      <c r="CJ27" s="345"/>
      <c r="CK27" s="346"/>
      <c r="CL27" s="344"/>
      <c r="CM27" s="345"/>
      <c r="CN27" s="345"/>
      <c r="CO27" s="345"/>
      <c r="CP27" s="345"/>
      <c r="CQ27" s="345"/>
      <c r="CR27" s="345"/>
      <c r="CS27" s="346"/>
      <c r="CT27" s="344"/>
      <c r="CU27" s="345"/>
      <c r="CV27" s="345"/>
      <c r="CW27" s="345"/>
      <c r="CX27" s="345"/>
      <c r="CY27" s="346"/>
      <c r="CZ27" s="344"/>
      <c r="DA27" s="345"/>
      <c r="DB27" s="345"/>
      <c r="DC27" s="345"/>
      <c r="DD27" s="345"/>
      <c r="DE27" s="345"/>
      <c r="DF27" s="345"/>
      <c r="DG27" s="346"/>
      <c r="DH27" s="344"/>
      <c r="DI27" s="345"/>
      <c r="DJ27" s="345"/>
      <c r="DK27" s="345"/>
      <c r="DL27" s="345"/>
      <c r="DM27" s="346"/>
      <c r="DN27" s="344"/>
      <c r="DO27" s="345"/>
      <c r="DP27" s="345"/>
      <c r="DQ27" s="345"/>
      <c r="DR27" s="345"/>
      <c r="DS27" s="345"/>
      <c r="DT27" s="345"/>
      <c r="DU27" s="346"/>
      <c r="DV27" s="344"/>
      <c r="DW27" s="345"/>
      <c r="DX27" s="345"/>
      <c r="DY27" s="345"/>
      <c r="DZ27" s="345"/>
      <c r="EA27" s="346"/>
      <c r="EB27" s="344"/>
      <c r="EC27" s="345"/>
      <c r="ED27" s="345"/>
      <c r="EE27" s="345"/>
      <c r="EF27" s="345"/>
      <c r="EG27" s="345"/>
      <c r="EH27" s="345"/>
      <c r="EI27" s="346"/>
      <c r="EJ27" s="344"/>
      <c r="EK27" s="345"/>
      <c r="EL27" s="345"/>
      <c r="EM27" s="345"/>
      <c r="EN27" s="345"/>
      <c r="EO27" s="346"/>
    </row>
    <row r="28" spans="2:147" x14ac:dyDescent="0.25">
      <c r="F28" s="344"/>
      <c r="G28" s="345"/>
      <c r="H28" s="345"/>
      <c r="I28" s="345"/>
      <c r="J28" s="345"/>
      <c r="K28" s="345"/>
      <c r="L28" s="345"/>
      <c r="M28" s="346"/>
      <c r="N28" s="344"/>
      <c r="O28" s="345"/>
      <c r="P28" s="345"/>
      <c r="Q28" s="345"/>
      <c r="R28" s="345"/>
      <c r="S28" s="346"/>
      <c r="T28" s="344"/>
      <c r="U28" s="345"/>
      <c r="V28" s="345"/>
      <c r="W28" s="345"/>
      <c r="X28" s="345"/>
      <c r="Y28" s="345"/>
      <c r="Z28" s="345"/>
      <c r="AA28" s="346"/>
      <c r="AB28" s="344"/>
      <c r="AC28" s="345"/>
      <c r="AD28" s="345"/>
      <c r="AE28" s="345"/>
      <c r="AF28" s="345"/>
      <c r="AG28" s="346"/>
      <c r="AH28" s="344"/>
      <c r="AI28" s="345"/>
      <c r="AJ28" s="345"/>
      <c r="AK28" s="345"/>
      <c r="AL28" s="345"/>
      <c r="AM28" s="345"/>
      <c r="AN28" s="345"/>
      <c r="AO28" s="346"/>
      <c r="AP28" s="344"/>
      <c r="AQ28" s="345"/>
      <c r="AR28" s="345"/>
      <c r="AS28" s="345"/>
      <c r="AT28" s="345"/>
      <c r="AU28" s="346"/>
      <c r="AV28" s="344"/>
      <c r="AW28" s="345"/>
      <c r="AX28" s="345"/>
      <c r="AY28" s="345"/>
      <c r="AZ28" s="345"/>
      <c r="BA28" s="345"/>
      <c r="BB28" s="345"/>
      <c r="BC28" s="346"/>
      <c r="BD28" s="344"/>
      <c r="BE28" s="345"/>
      <c r="BF28" s="345"/>
      <c r="BG28" s="345"/>
      <c r="BH28" s="345"/>
      <c r="BI28" s="346"/>
      <c r="BJ28" s="344"/>
      <c r="BK28" s="345"/>
      <c r="BL28" s="345"/>
      <c r="BM28" s="345"/>
      <c r="BN28" s="345"/>
      <c r="BO28" s="345"/>
      <c r="BP28" s="345"/>
      <c r="BQ28" s="346"/>
      <c r="BR28" s="344"/>
      <c r="BS28" s="345"/>
      <c r="BT28" s="345"/>
      <c r="BU28" s="345"/>
      <c r="BV28" s="345"/>
      <c r="BW28" s="346"/>
      <c r="BX28" s="344"/>
      <c r="BY28" s="345"/>
      <c r="BZ28" s="345"/>
      <c r="CA28" s="345"/>
      <c r="CB28" s="345"/>
      <c r="CC28" s="345"/>
      <c r="CD28" s="345"/>
      <c r="CE28" s="346"/>
      <c r="CF28" s="344"/>
      <c r="CG28" s="345"/>
      <c r="CH28" s="345"/>
      <c r="CI28" s="345"/>
      <c r="CJ28" s="345"/>
      <c r="CK28" s="346"/>
      <c r="CL28" s="344"/>
      <c r="CM28" s="345"/>
      <c r="CN28" s="345"/>
      <c r="CO28" s="345"/>
      <c r="CP28" s="345"/>
      <c r="CQ28" s="345"/>
      <c r="CR28" s="345"/>
      <c r="CS28" s="346"/>
      <c r="CT28" s="344"/>
      <c r="CU28" s="345"/>
      <c r="CV28" s="345"/>
      <c r="CW28" s="345"/>
      <c r="CX28" s="345"/>
      <c r="CY28" s="346"/>
      <c r="CZ28" s="344"/>
      <c r="DA28" s="345"/>
      <c r="DB28" s="345"/>
      <c r="DC28" s="345"/>
      <c r="DD28" s="345"/>
      <c r="DE28" s="345"/>
      <c r="DF28" s="345"/>
      <c r="DG28" s="346"/>
      <c r="DH28" s="344"/>
      <c r="DI28" s="345"/>
      <c r="DJ28" s="345"/>
      <c r="DK28" s="345"/>
      <c r="DL28" s="345"/>
      <c r="DM28" s="346"/>
      <c r="DN28" s="344"/>
      <c r="DO28" s="345"/>
      <c r="DP28" s="345"/>
      <c r="DQ28" s="345"/>
      <c r="DR28" s="345"/>
      <c r="DS28" s="345"/>
      <c r="DT28" s="345"/>
      <c r="DU28" s="346"/>
      <c r="DV28" s="344"/>
      <c r="DW28" s="345"/>
      <c r="DX28" s="345"/>
      <c r="DY28" s="345"/>
      <c r="DZ28" s="345"/>
      <c r="EA28" s="346"/>
      <c r="EB28" s="344"/>
      <c r="EC28" s="345"/>
      <c r="ED28" s="345"/>
      <c r="EE28" s="345"/>
      <c r="EF28" s="345"/>
      <c r="EG28" s="345"/>
      <c r="EH28" s="345"/>
      <c r="EI28" s="346"/>
      <c r="EJ28" s="344"/>
      <c r="EK28" s="345"/>
      <c r="EL28" s="345"/>
      <c r="EM28" s="345"/>
      <c r="EN28" s="345"/>
      <c r="EO28" s="346"/>
    </row>
    <row r="29" spans="2:147" ht="15.75" thickBot="1" x14ac:dyDescent="0.3">
      <c r="B29" s="34" t="s">
        <v>126</v>
      </c>
      <c r="D29" s="28" t="s">
        <v>127</v>
      </c>
      <c r="F29" s="347"/>
      <c r="G29" s="348"/>
      <c r="H29" s="348"/>
      <c r="I29" s="348"/>
      <c r="J29" s="348"/>
      <c r="K29" s="348"/>
      <c r="L29" s="348"/>
      <c r="M29" s="349"/>
      <c r="N29" s="347"/>
      <c r="O29" s="348"/>
      <c r="P29" s="348"/>
      <c r="Q29" s="348"/>
      <c r="R29" s="348"/>
      <c r="S29" s="349"/>
      <c r="T29" s="347"/>
      <c r="U29" s="348"/>
      <c r="V29" s="348"/>
      <c r="W29" s="348"/>
      <c r="X29" s="348"/>
      <c r="Y29" s="348"/>
      <c r="Z29" s="348"/>
      <c r="AA29" s="349"/>
      <c r="AB29" s="347"/>
      <c r="AC29" s="348"/>
      <c r="AD29" s="348"/>
      <c r="AE29" s="348"/>
      <c r="AF29" s="348"/>
      <c r="AG29" s="349"/>
      <c r="AH29" s="347"/>
      <c r="AI29" s="348"/>
      <c r="AJ29" s="348"/>
      <c r="AK29" s="348"/>
      <c r="AL29" s="348"/>
      <c r="AM29" s="348"/>
      <c r="AN29" s="348"/>
      <c r="AO29" s="349"/>
      <c r="AP29" s="347"/>
      <c r="AQ29" s="348"/>
      <c r="AR29" s="348"/>
      <c r="AS29" s="348"/>
      <c r="AT29" s="348"/>
      <c r="AU29" s="349"/>
      <c r="AV29" s="347"/>
      <c r="AW29" s="348"/>
      <c r="AX29" s="348"/>
      <c r="AY29" s="348"/>
      <c r="AZ29" s="348"/>
      <c r="BA29" s="348"/>
      <c r="BB29" s="348"/>
      <c r="BC29" s="349"/>
      <c r="BD29" s="347"/>
      <c r="BE29" s="348"/>
      <c r="BF29" s="348"/>
      <c r="BG29" s="348"/>
      <c r="BH29" s="348"/>
      <c r="BI29" s="349"/>
      <c r="BJ29" s="347"/>
      <c r="BK29" s="348"/>
      <c r="BL29" s="348"/>
      <c r="BM29" s="348"/>
      <c r="BN29" s="348"/>
      <c r="BO29" s="348"/>
      <c r="BP29" s="348"/>
      <c r="BQ29" s="349"/>
      <c r="BR29" s="347"/>
      <c r="BS29" s="348"/>
      <c r="BT29" s="348"/>
      <c r="BU29" s="348"/>
      <c r="BV29" s="348"/>
      <c r="BW29" s="349"/>
      <c r="BX29" s="347"/>
      <c r="BY29" s="348"/>
      <c r="BZ29" s="348"/>
      <c r="CA29" s="348"/>
      <c r="CB29" s="348"/>
      <c r="CC29" s="348"/>
      <c r="CD29" s="348"/>
      <c r="CE29" s="349"/>
      <c r="CF29" s="347"/>
      <c r="CG29" s="348"/>
      <c r="CH29" s="348"/>
      <c r="CI29" s="348"/>
      <c r="CJ29" s="348"/>
      <c r="CK29" s="349"/>
      <c r="CL29" s="347"/>
      <c r="CM29" s="348"/>
      <c r="CN29" s="348"/>
      <c r="CO29" s="348"/>
      <c r="CP29" s="348"/>
      <c r="CQ29" s="348"/>
      <c r="CR29" s="348"/>
      <c r="CS29" s="349"/>
      <c r="CT29" s="347"/>
      <c r="CU29" s="348"/>
      <c r="CV29" s="348"/>
      <c r="CW29" s="348"/>
      <c r="CX29" s="348"/>
      <c r="CY29" s="349"/>
      <c r="CZ29" s="347"/>
      <c r="DA29" s="348"/>
      <c r="DB29" s="348"/>
      <c r="DC29" s="348"/>
      <c r="DD29" s="348"/>
      <c r="DE29" s="348"/>
      <c r="DF29" s="348"/>
      <c r="DG29" s="349"/>
      <c r="DH29" s="347"/>
      <c r="DI29" s="348"/>
      <c r="DJ29" s="348"/>
      <c r="DK29" s="348"/>
      <c r="DL29" s="348"/>
      <c r="DM29" s="349"/>
      <c r="DN29" s="347"/>
      <c r="DO29" s="348"/>
      <c r="DP29" s="348"/>
      <c r="DQ29" s="348"/>
      <c r="DR29" s="348"/>
      <c r="DS29" s="348"/>
      <c r="DT29" s="348"/>
      <c r="DU29" s="349"/>
      <c r="DV29" s="347"/>
      <c r="DW29" s="348"/>
      <c r="DX29" s="348"/>
      <c r="DY29" s="348"/>
      <c r="DZ29" s="348"/>
      <c r="EA29" s="349"/>
      <c r="EB29" s="347"/>
      <c r="EC29" s="348"/>
      <c r="ED29" s="348"/>
      <c r="EE29" s="348"/>
      <c r="EF29" s="348"/>
      <c r="EG29" s="348"/>
      <c r="EH29" s="348"/>
      <c r="EI29" s="349"/>
      <c r="EJ29" s="347"/>
      <c r="EK29" s="348"/>
      <c r="EL29" s="348"/>
      <c r="EM29" s="348"/>
      <c r="EN29" s="348"/>
      <c r="EO29" s="349"/>
    </row>
  </sheetData>
  <mergeCells count="75">
    <mergeCell ref="EB25:EI29"/>
    <mergeCell ref="EJ25:EO29"/>
    <mergeCell ref="H1:AG1"/>
    <mergeCell ref="EB5:EO5"/>
    <mergeCell ref="EB6:EO6"/>
    <mergeCell ref="EB7:EO7"/>
    <mergeCell ref="EB8:EI8"/>
    <mergeCell ref="EJ8:EO8"/>
    <mergeCell ref="CZ25:DG29"/>
    <mergeCell ref="DH25:DM29"/>
    <mergeCell ref="DN5:EA5"/>
    <mergeCell ref="DN6:EA6"/>
    <mergeCell ref="DN7:EA7"/>
    <mergeCell ref="DN8:DU8"/>
    <mergeCell ref="DV8:EA8"/>
    <mergeCell ref="DN25:DU29"/>
    <mergeCell ref="DV25:EA29"/>
    <mergeCell ref="CZ5:DM5"/>
    <mergeCell ref="CZ6:DM6"/>
    <mergeCell ref="CZ7:DM7"/>
    <mergeCell ref="CZ8:DG8"/>
    <mergeCell ref="DH8:DM8"/>
    <mergeCell ref="CL25:CS29"/>
    <mergeCell ref="CT25:CY29"/>
    <mergeCell ref="BX5:CK5"/>
    <mergeCell ref="BX6:CK6"/>
    <mergeCell ref="BX7:CK7"/>
    <mergeCell ref="BX8:CE8"/>
    <mergeCell ref="CF8:CK8"/>
    <mergeCell ref="CL5:CY5"/>
    <mergeCell ref="CL6:CY6"/>
    <mergeCell ref="CL7:CY7"/>
    <mergeCell ref="CL8:CS8"/>
    <mergeCell ref="CT8:CY8"/>
    <mergeCell ref="BJ5:BW5"/>
    <mergeCell ref="BJ6:BW6"/>
    <mergeCell ref="BJ7:BW7"/>
    <mergeCell ref="BJ8:BQ8"/>
    <mergeCell ref="BR8:BW8"/>
    <mergeCell ref="T5:AG5"/>
    <mergeCell ref="T6:AG6"/>
    <mergeCell ref="T7:AG7"/>
    <mergeCell ref="AV25:BC29"/>
    <mergeCell ref="BD25:BI29"/>
    <mergeCell ref="AV5:BI5"/>
    <mergeCell ref="AV6:BI6"/>
    <mergeCell ref="AV7:BI7"/>
    <mergeCell ref="AV8:BC8"/>
    <mergeCell ref="BD8:BI8"/>
    <mergeCell ref="AH5:AU5"/>
    <mergeCell ref="AH6:AU6"/>
    <mergeCell ref="AH7:AU7"/>
    <mergeCell ref="AH8:AO8"/>
    <mergeCell ref="AP8:AU8"/>
    <mergeCell ref="C2:E2"/>
    <mergeCell ref="C3:E3"/>
    <mergeCell ref="F5:S5"/>
    <mergeCell ref="F2:S2"/>
    <mergeCell ref="F6:S6"/>
    <mergeCell ref="EP7:EQ7"/>
    <mergeCell ref="F8:M8"/>
    <mergeCell ref="N8:S8"/>
    <mergeCell ref="F7:S7"/>
    <mergeCell ref="F25:M29"/>
    <mergeCell ref="N25:S29"/>
    <mergeCell ref="T25:AA29"/>
    <mergeCell ref="AB25:AG29"/>
    <mergeCell ref="AH25:AO29"/>
    <mergeCell ref="AP25:AU29"/>
    <mergeCell ref="T8:AA8"/>
    <mergeCell ref="AB8:AG8"/>
    <mergeCell ref="BJ25:BQ29"/>
    <mergeCell ref="BR25:BW29"/>
    <mergeCell ref="BX25:CE29"/>
    <mergeCell ref="CF25:CK29"/>
  </mergeCells>
  <conditionalFormatting sqref="F6:G6 L6:O6 R6:S6">
    <cfRule type="cellIs" dxfId="158" priority="182" operator="equal">
      <formula>"OJO H.E. AL 100%"</formula>
    </cfRule>
    <cfRule type="cellIs" dxfId="157" priority="183" operator="equal">
      <formula>"""OJO H.E. AL 100%"""</formula>
    </cfRule>
  </conditionalFormatting>
  <conditionalFormatting sqref="F4">
    <cfRule type="cellIs" dxfId="156" priority="181" operator="equal">
      <formula>"F"</formula>
    </cfRule>
  </conditionalFormatting>
  <conditionalFormatting sqref="C5">
    <cfRule type="containsBlanks" dxfId="155" priority="162">
      <formula>LEN(TRIM(C5))=0</formula>
    </cfRule>
  </conditionalFormatting>
  <conditionalFormatting sqref="C6">
    <cfRule type="containsBlanks" dxfId="154" priority="161">
      <formula>LEN(TRIM(C6))=0</formula>
    </cfRule>
  </conditionalFormatting>
  <conditionalFormatting sqref="J6:K6">
    <cfRule type="cellIs" dxfId="153" priority="156" operator="equal">
      <formula>"OJO H.E. AL 100%"</formula>
    </cfRule>
    <cfRule type="cellIs" dxfId="152" priority="157" operator="equal">
      <formula>"""OJO H.E. AL 100%"""</formula>
    </cfRule>
  </conditionalFormatting>
  <conditionalFormatting sqref="H6:I6">
    <cfRule type="cellIs" dxfId="151" priority="159" operator="equal">
      <formula>"OJO H.E. AL 100%"</formula>
    </cfRule>
    <cfRule type="cellIs" dxfId="150" priority="160" operator="equal">
      <formula>"""OJO H.E. AL 100%"""</formula>
    </cfRule>
  </conditionalFormatting>
  <conditionalFormatting sqref="P6:Q6">
    <cfRule type="cellIs" dxfId="149" priority="154" operator="equal">
      <formula>"OJO H.E. AL 100%"</formula>
    </cfRule>
    <cfRule type="cellIs" dxfId="148" priority="155" operator="equal">
      <formula>"""OJO H.E. AL 100%"""</formula>
    </cfRule>
  </conditionalFormatting>
  <conditionalFormatting sqref="T4">
    <cfRule type="cellIs" dxfId="147" priority="151" operator="equal">
      <formula>"F"</formula>
    </cfRule>
  </conditionalFormatting>
  <conditionalFormatting sqref="T6:U6 Z6:AC6 AF6:AG6">
    <cfRule type="cellIs" dxfId="146" priority="71" operator="equal">
      <formula>"OJO H.E. AL 100%"</formula>
    </cfRule>
    <cfRule type="cellIs" dxfId="145" priority="72" operator="equal">
      <formula>"""OJO H.E. AL 100%"""</formula>
    </cfRule>
  </conditionalFormatting>
  <conditionalFormatting sqref="AH4">
    <cfRule type="cellIs" dxfId="144" priority="142" operator="equal">
      <formula>"F"</formula>
    </cfRule>
  </conditionalFormatting>
  <conditionalFormatting sqref="AV4">
    <cfRule type="cellIs" dxfId="143" priority="133" operator="equal">
      <formula>"F"</formula>
    </cfRule>
  </conditionalFormatting>
  <conditionalFormatting sqref="V6:W6">
    <cfRule type="cellIs" dxfId="142" priority="69" operator="equal">
      <formula>"OJO H.E. AL 100%"</formula>
    </cfRule>
    <cfRule type="cellIs" dxfId="141" priority="70" operator="equal">
      <formula>"""OJO H.E. AL 100%"""</formula>
    </cfRule>
  </conditionalFormatting>
  <conditionalFormatting sqref="BJ4">
    <cfRule type="cellIs" dxfId="140" priority="124" operator="equal">
      <formula>"F"</formula>
    </cfRule>
  </conditionalFormatting>
  <conditionalFormatting sqref="BX4">
    <cfRule type="cellIs" dxfId="139" priority="115" operator="equal">
      <formula>"F"</formula>
    </cfRule>
  </conditionalFormatting>
  <conditionalFormatting sqref="X6:Y6">
    <cfRule type="cellIs" dxfId="138" priority="67" operator="equal">
      <formula>"OJO H.E. AL 100%"</formula>
    </cfRule>
    <cfRule type="cellIs" dxfId="137" priority="68" operator="equal">
      <formula>"""OJO H.E. AL 100%"""</formula>
    </cfRule>
  </conditionalFormatting>
  <conditionalFormatting sqref="CL4">
    <cfRule type="cellIs" dxfId="136" priority="106" operator="equal">
      <formula>"F"</formula>
    </cfRule>
  </conditionalFormatting>
  <conditionalFormatting sqref="CZ4">
    <cfRule type="cellIs" dxfId="135" priority="97" operator="equal">
      <formula>"F"</formula>
    </cfRule>
  </conditionalFormatting>
  <conditionalFormatting sqref="DN4">
    <cfRule type="cellIs" dxfId="134" priority="88" operator="equal">
      <formula>"F"</formula>
    </cfRule>
  </conditionalFormatting>
  <conditionalFormatting sqref="AD6:AE6">
    <cfRule type="cellIs" dxfId="133" priority="65" operator="equal">
      <formula>"OJO H.E. AL 100%"</formula>
    </cfRule>
    <cfRule type="cellIs" dxfId="132" priority="66" operator="equal">
      <formula>"""OJO H.E. AL 100%"""</formula>
    </cfRule>
  </conditionalFormatting>
  <conditionalFormatting sqref="EB4">
    <cfRule type="cellIs" dxfId="131" priority="79" operator="equal">
      <formula>"F"</formula>
    </cfRule>
  </conditionalFormatting>
  <conditionalFormatting sqref="AH6:AI6 AN6:AQ6 AT6:AU6">
    <cfRule type="cellIs" dxfId="130" priority="63" operator="equal">
      <formula>"OJO H.E. AL 100%"</formula>
    </cfRule>
    <cfRule type="cellIs" dxfId="129" priority="64" operator="equal">
      <formula>"""OJO H.E. AL 100%"""</formula>
    </cfRule>
  </conditionalFormatting>
  <conditionalFormatting sqref="AL6:AM6">
    <cfRule type="cellIs" dxfId="128" priority="59" operator="equal">
      <formula>"OJO H.E. AL 100%"</formula>
    </cfRule>
    <cfRule type="cellIs" dxfId="127" priority="60" operator="equal">
      <formula>"""OJO H.E. AL 100%"""</formula>
    </cfRule>
  </conditionalFormatting>
  <conditionalFormatting sqref="AJ6:AK6">
    <cfRule type="cellIs" dxfId="126" priority="61" operator="equal">
      <formula>"OJO H.E. AL 100%"</formula>
    </cfRule>
    <cfRule type="cellIs" dxfId="125" priority="62" operator="equal">
      <formula>"""OJO H.E. AL 100%"""</formula>
    </cfRule>
  </conditionalFormatting>
  <conditionalFormatting sqref="AR6:AS6">
    <cfRule type="cellIs" dxfId="124" priority="57" operator="equal">
      <formula>"OJO H.E. AL 100%"</formula>
    </cfRule>
    <cfRule type="cellIs" dxfId="123" priority="58" operator="equal">
      <formula>"""OJO H.E. AL 100%"""</formula>
    </cfRule>
  </conditionalFormatting>
  <conditionalFormatting sqref="AV6:AW6 BB6:BE6 BH6:BI6">
    <cfRule type="cellIs" dxfId="122" priority="55" operator="equal">
      <formula>"OJO H.E. AL 100%"</formula>
    </cfRule>
    <cfRule type="cellIs" dxfId="121" priority="56" operator="equal">
      <formula>"""OJO H.E. AL 100%"""</formula>
    </cfRule>
  </conditionalFormatting>
  <conditionalFormatting sqref="AZ6:BA6">
    <cfRule type="cellIs" dxfId="120" priority="51" operator="equal">
      <formula>"OJO H.E. AL 100%"</formula>
    </cfRule>
    <cfRule type="cellIs" dxfId="119" priority="52" operator="equal">
      <formula>"""OJO H.E. AL 100%"""</formula>
    </cfRule>
  </conditionalFormatting>
  <conditionalFormatting sqref="AX6:AY6">
    <cfRule type="cellIs" dxfId="118" priority="53" operator="equal">
      <formula>"OJO H.E. AL 100%"</formula>
    </cfRule>
    <cfRule type="cellIs" dxfId="117" priority="54" operator="equal">
      <formula>"""OJO H.E. AL 100%"""</formula>
    </cfRule>
  </conditionalFormatting>
  <conditionalFormatting sqref="BF6:BG6">
    <cfRule type="cellIs" dxfId="116" priority="49" operator="equal">
      <formula>"OJO H.E. AL 100%"</formula>
    </cfRule>
    <cfRule type="cellIs" dxfId="115" priority="50" operator="equal">
      <formula>"""OJO H.E. AL 100%"""</formula>
    </cfRule>
  </conditionalFormatting>
  <conditionalFormatting sqref="BJ6:BK6 BP6:BS6 BV6:BW6">
    <cfRule type="cellIs" dxfId="114" priority="47" operator="equal">
      <formula>"OJO H.E. AL 100%"</formula>
    </cfRule>
    <cfRule type="cellIs" dxfId="113" priority="48" operator="equal">
      <formula>"""OJO H.E. AL 100%"""</formula>
    </cfRule>
  </conditionalFormatting>
  <conditionalFormatting sqref="BN6:BO6">
    <cfRule type="cellIs" dxfId="112" priority="43" operator="equal">
      <formula>"OJO H.E. AL 100%"</formula>
    </cfRule>
    <cfRule type="cellIs" dxfId="111" priority="44" operator="equal">
      <formula>"""OJO H.E. AL 100%"""</formula>
    </cfRule>
  </conditionalFormatting>
  <conditionalFormatting sqref="BL6:BM6">
    <cfRule type="cellIs" dxfId="110" priority="45" operator="equal">
      <formula>"OJO H.E. AL 100%"</formula>
    </cfRule>
    <cfRule type="cellIs" dxfId="109" priority="46" operator="equal">
      <formula>"""OJO H.E. AL 100%"""</formula>
    </cfRule>
  </conditionalFormatting>
  <conditionalFormatting sqref="BT6:BU6">
    <cfRule type="cellIs" dxfId="108" priority="41" operator="equal">
      <formula>"OJO H.E. AL 100%"</formula>
    </cfRule>
    <cfRule type="cellIs" dxfId="107" priority="42" operator="equal">
      <formula>"""OJO H.E. AL 100%"""</formula>
    </cfRule>
  </conditionalFormatting>
  <conditionalFormatting sqref="BX6:BY6 CD6:CG6 CJ6:CK6">
    <cfRule type="cellIs" dxfId="106" priority="39" operator="equal">
      <formula>"OJO H.E. AL 100%"</formula>
    </cfRule>
    <cfRule type="cellIs" dxfId="105" priority="40" operator="equal">
      <formula>"""OJO H.E. AL 100%"""</formula>
    </cfRule>
  </conditionalFormatting>
  <conditionalFormatting sqref="CB6:CC6">
    <cfRule type="cellIs" dxfId="104" priority="35" operator="equal">
      <formula>"OJO H.E. AL 100%"</formula>
    </cfRule>
    <cfRule type="cellIs" dxfId="103" priority="36" operator="equal">
      <formula>"""OJO H.E. AL 100%"""</formula>
    </cfRule>
  </conditionalFormatting>
  <conditionalFormatting sqref="BZ6:CA6">
    <cfRule type="cellIs" dxfId="102" priority="37" operator="equal">
      <formula>"OJO H.E. AL 100%"</formula>
    </cfRule>
    <cfRule type="cellIs" dxfId="101" priority="38" operator="equal">
      <formula>"""OJO H.E. AL 100%"""</formula>
    </cfRule>
  </conditionalFormatting>
  <conditionalFormatting sqref="CH6:CI6">
    <cfRule type="cellIs" dxfId="100" priority="33" operator="equal">
      <formula>"OJO H.E. AL 100%"</formula>
    </cfRule>
    <cfRule type="cellIs" dxfId="99" priority="34" operator="equal">
      <formula>"""OJO H.E. AL 100%"""</formula>
    </cfRule>
  </conditionalFormatting>
  <conditionalFormatting sqref="CL6:CM6 CR6:CU6 CX6:CY6">
    <cfRule type="cellIs" dxfId="98" priority="31" operator="equal">
      <formula>"OJO H.E. AL 100%"</formula>
    </cfRule>
    <cfRule type="cellIs" dxfId="97" priority="32" operator="equal">
      <formula>"""OJO H.E. AL 100%"""</formula>
    </cfRule>
  </conditionalFormatting>
  <conditionalFormatting sqref="CP6:CQ6">
    <cfRule type="cellIs" dxfId="96" priority="27" operator="equal">
      <formula>"OJO H.E. AL 100%"</formula>
    </cfRule>
    <cfRule type="cellIs" dxfId="95" priority="28" operator="equal">
      <formula>"""OJO H.E. AL 100%"""</formula>
    </cfRule>
  </conditionalFormatting>
  <conditionalFormatting sqref="CN6:CO6">
    <cfRule type="cellIs" dxfId="94" priority="29" operator="equal">
      <formula>"OJO H.E. AL 100%"</formula>
    </cfRule>
    <cfRule type="cellIs" dxfId="93" priority="30" operator="equal">
      <formula>"""OJO H.E. AL 100%"""</formula>
    </cfRule>
  </conditionalFormatting>
  <conditionalFormatting sqref="CV6:CW6">
    <cfRule type="cellIs" dxfId="92" priority="25" operator="equal">
      <formula>"OJO H.E. AL 100%"</formula>
    </cfRule>
    <cfRule type="cellIs" dxfId="91" priority="26" operator="equal">
      <formula>"""OJO H.E. AL 100%"""</formula>
    </cfRule>
  </conditionalFormatting>
  <conditionalFormatting sqref="CZ6:DA6 DF6:DI6 DL6:DM6">
    <cfRule type="cellIs" dxfId="90" priority="23" operator="equal">
      <formula>"OJO H.E. AL 100%"</formula>
    </cfRule>
    <cfRule type="cellIs" dxfId="89" priority="24" operator="equal">
      <formula>"""OJO H.E. AL 100%"""</formula>
    </cfRule>
  </conditionalFormatting>
  <conditionalFormatting sqref="DD6:DE6">
    <cfRule type="cellIs" dxfId="88" priority="19" operator="equal">
      <formula>"OJO H.E. AL 100%"</formula>
    </cfRule>
    <cfRule type="cellIs" dxfId="87" priority="20" operator="equal">
      <formula>"""OJO H.E. AL 100%"""</formula>
    </cfRule>
  </conditionalFormatting>
  <conditionalFormatting sqref="DB6:DC6">
    <cfRule type="cellIs" dxfId="86" priority="21" operator="equal">
      <formula>"OJO H.E. AL 100%"</formula>
    </cfRule>
    <cfRule type="cellIs" dxfId="85" priority="22" operator="equal">
      <formula>"""OJO H.E. AL 100%"""</formula>
    </cfRule>
  </conditionalFormatting>
  <conditionalFormatting sqref="DJ6:DK6">
    <cfRule type="cellIs" dxfId="84" priority="17" operator="equal">
      <formula>"OJO H.E. AL 100%"</formula>
    </cfRule>
    <cfRule type="cellIs" dxfId="83" priority="18" operator="equal">
      <formula>"""OJO H.E. AL 100%"""</formula>
    </cfRule>
  </conditionalFormatting>
  <conditionalFormatting sqref="DN6:DO6 DT6:DW6 DZ6:EA6">
    <cfRule type="cellIs" dxfId="82" priority="15" operator="equal">
      <formula>"OJO H.E. AL 100%"</formula>
    </cfRule>
    <cfRule type="cellIs" dxfId="81" priority="16" operator="equal">
      <formula>"""OJO H.E. AL 100%"""</formula>
    </cfRule>
  </conditionalFormatting>
  <conditionalFormatting sqref="DR6:DS6">
    <cfRule type="cellIs" dxfId="80" priority="11" operator="equal">
      <formula>"OJO H.E. AL 100%"</formula>
    </cfRule>
    <cfRule type="cellIs" dxfId="79" priority="12" operator="equal">
      <formula>"""OJO H.E. AL 100%"""</formula>
    </cfRule>
  </conditionalFormatting>
  <conditionalFormatting sqref="DP6:DQ6">
    <cfRule type="cellIs" dxfId="78" priority="13" operator="equal">
      <formula>"OJO H.E. AL 100%"</formula>
    </cfRule>
    <cfRule type="cellIs" dxfId="77" priority="14" operator="equal">
      <formula>"""OJO H.E. AL 100%"""</formula>
    </cfRule>
  </conditionalFormatting>
  <conditionalFormatting sqref="DX6:DY6">
    <cfRule type="cellIs" dxfId="76" priority="9" operator="equal">
      <formula>"OJO H.E. AL 100%"</formula>
    </cfRule>
    <cfRule type="cellIs" dxfId="75" priority="10" operator="equal">
      <formula>"""OJO H.E. AL 100%"""</formula>
    </cfRule>
  </conditionalFormatting>
  <conditionalFormatting sqref="EB6:EC6 EH6:EK6 EN6:EO6">
    <cfRule type="cellIs" dxfId="74" priority="7" operator="equal">
      <formula>"OJO H.E. AL 100%"</formula>
    </cfRule>
    <cfRule type="cellIs" dxfId="73" priority="8" operator="equal">
      <formula>"""OJO H.E. AL 100%"""</formula>
    </cfRule>
  </conditionalFormatting>
  <conditionalFormatting sqref="EF6:EG6">
    <cfRule type="cellIs" dxfId="72" priority="3" operator="equal">
      <formula>"OJO H.E. AL 100%"</formula>
    </cfRule>
    <cfRule type="cellIs" dxfId="71" priority="4" operator="equal">
      <formula>"""OJO H.E. AL 100%"""</formula>
    </cfRule>
  </conditionalFormatting>
  <conditionalFormatting sqref="ED6:EE6">
    <cfRule type="cellIs" dxfId="70" priority="5" operator="equal">
      <formula>"OJO H.E. AL 100%"</formula>
    </cfRule>
    <cfRule type="cellIs" dxfId="69" priority="6" operator="equal">
      <formula>"""OJO H.E. AL 100%"""</formula>
    </cfRule>
  </conditionalFormatting>
  <conditionalFormatting sqref="EL6:EM6">
    <cfRule type="cellIs" dxfId="68" priority="1" operator="equal">
      <formula>"OJO H.E. AL 100%"</formula>
    </cfRule>
    <cfRule type="cellIs" dxfId="67" priority="2" operator="equal">
      <formula>"""OJO H.E. AL 100%"""</formula>
    </cfRule>
  </conditionalFormatting>
  <pageMargins left="0.51181102362204722" right="0.11811023622047245" top="0.15748031496062992" bottom="0.15748031496062992" header="0.31496062992125984" footer="0.31496062992125984"/>
  <pageSetup scale="75" orientation="portrait" horizontalDpi="120" verticalDpi="72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NOCHE_PESC'!$B$16:$B$26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BV29"/>
  <sheetViews>
    <sheetView topLeftCell="B1" zoomScale="60" zoomScaleNormal="60" workbookViewId="0">
      <pane xSplit="4" ySplit="9" topLeftCell="AC10" activePane="bottomRight" state="frozen"/>
      <selection activeCell="D22" sqref="D22"/>
      <selection pane="topRight" activeCell="D22" sqref="D22"/>
      <selection pane="bottomLeft" activeCell="D22" sqref="D22"/>
      <selection pane="bottomRight" activeCell="B22" sqref="B22:BK24"/>
    </sheetView>
  </sheetViews>
  <sheetFormatPr baseColWidth="10" defaultRowHeight="15" x14ac:dyDescent="0.25"/>
  <cols>
    <col min="1" max="1" width="2.85546875" style="1" hidden="1" customWidth="1"/>
    <col min="2" max="2" width="7.85546875" style="1" customWidth="1"/>
    <col min="3" max="3" width="42.7109375" style="1" customWidth="1"/>
    <col min="4" max="4" width="14.7109375" style="1" customWidth="1"/>
    <col min="5" max="5" width="19" style="1" hidden="1" customWidth="1"/>
    <col min="6" max="7" width="7.7109375" style="1" customWidth="1"/>
    <col min="8" max="8" width="7.85546875" style="1" customWidth="1"/>
    <col min="9" max="9" width="9.7109375" style="1" customWidth="1"/>
    <col min="10" max="11" width="7.7109375" style="1" customWidth="1"/>
    <col min="12" max="12" width="6.7109375" style="1" customWidth="1"/>
    <col min="13" max="13" width="9.7109375" style="1" customWidth="1"/>
    <col min="14" max="14" width="7.7109375" style="1" customWidth="1"/>
    <col min="15" max="15" width="8.7109375" style="1" customWidth="1"/>
    <col min="16" max="16" width="6.7109375" style="1" customWidth="1"/>
    <col min="17" max="17" width="10" style="1" bestFit="1" customWidth="1"/>
    <col min="18" max="18" width="7.7109375" style="1" customWidth="1"/>
    <col min="19" max="19" width="8.140625" style="1" customWidth="1"/>
    <col min="20" max="20" width="6.7109375" style="1" customWidth="1"/>
    <col min="21" max="21" width="9.7109375" style="1" customWidth="1"/>
    <col min="22" max="23" width="7.7109375" style="1" customWidth="1"/>
    <col min="24" max="24" width="6.7109375" style="1" customWidth="1"/>
    <col min="25" max="25" width="10.7109375" style="1" customWidth="1"/>
    <col min="26" max="27" width="7.7109375" style="1" customWidth="1"/>
    <col min="28" max="28" width="6.7109375" style="1" customWidth="1"/>
    <col min="29" max="29" width="9.7109375" style="1" customWidth="1"/>
    <col min="30" max="31" width="7.7109375" style="1" customWidth="1"/>
    <col min="32" max="32" width="6.7109375" style="1" customWidth="1"/>
    <col min="33" max="33" width="10.7109375" style="1" customWidth="1"/>
    <col min="34" max="35" width="7.7109375" style="1" customWidth="1"/>
    <col min="36" max="36" width="6.7109375" style="1" customWidth="1"/>
    <col min="37" max="37" width="9.7109375" style="1" customWidth="1"/>
    <col min="38" max="39" width="7.7109375" style="1" customWidth="1"/>
    <col min="40" max="40" width="6.7109375" style="1" customWidth="1"/>
    <col min="41" max="41" width="10.7109375" style="1" customWidth="1"/>
    <col min="42" max="43" width="7.7109375" style="1" customWidth="1"/>
    <col min="44" max="44" width="6.7109375" style="1" customWidth="1"/>
    <col min="45" max="45" width="9.7109375" style="1" customWidth="1"/>
    <col min="46" max="47" width="7.7109375" style="1" customWidth="1"/>
    <col min="48" max="48" width="6.7109375" style="1" customWidth="1"/>
    <col min="49" max="49" width="10.7109375" style="1" customWidth="1"/>
    <col min="50" max="51" width="7.7109375" style="1" customWidth="1"/>
    <col min="52" max="52" width="6.7109375" style="1" customWidth="1"/>
    <col min="53" max="53" width="9.7109375" style="1" customWidth="1"/>
    <col min="54" max="55" width="7.7109375" style="1" customWidth="1"/>
    <col min="56" max="56" width="6.7109375" style="1" customWidth="1"/>
    <col min="57" max="57" width="10.7109375" style="1" customWidth="1"/>
    <col min="58" max="59" width="7.7109375" style="1" customWidth="1"/>
    <col min="60" max="60" width="6.7109375" style="1" customWidth="1"/>
    <col min="61" max="61" width="9.7109375" style="1" customWidth="1"/>
    <col min="62" max="62" width="15.42578125" style="9" bestFit="1" customWidth="1"/>
    <col min="63" max="63" width="11.5703125" style="9" bestFit="1" customWidth="1"/>
    <col min="64" max="64" width="4.7109375" style="9" customWidth="1"/>
    <col min="68" max="69" width="11.42578125" style="1"/>
    <col min="74" max="74" width="4.7109375" style="9" customWidth="1"/>
    <col min="75" max="16384" width="11.42578125" style="1"/>
  </cols>
  <sheetData>
    <row r="1" spans="2:74" ht="57.75" customHeight="1" x14ac:dyDescent="0.4">
      <c r="C1" s="360" t="s">
        <v>181</v>
      </c>
      <c r="D1" s="360"/>
      <c r="F1" s="159" t="s">
        <v>128</v>
      </c>
      <c r="G1" s="160"/>
      <c r="H1" s="361" t="s">
        <v>129</v>
      </c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  <c r="V1" s="361"/>
      <c r="W1" s="361"/>
      <c r="X1" s="361"/>
      <c r="Y1" s="361"/>
      <c r="Z1" s="361"/>
      <c r="AA1" s="361"/>
      <c r="AB1" s="361"/>
      <c r="AC1" s="361"/>
      <c r="AD1" s="361"/>
      <c r="AE1" s="361"/>
      <c r="AF1" s="361"/>
      <c r="AG1" s="361"/>
    </row>
    <row r="2" spans="2:74" ht="22.5" x14ac:dyDescent="0.4">
      <c r="C2" s="350" t="s">
        <v>44</v>
      </c>
      <c r="D2" s="350"/>
      <c r="E2" s="350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</row>
    <row r="3" spans="2:74" ht="23.25" thickBot="1" x14ac:dyDescent="0.45">
      <c r="C3" s="351" t="s">
        <v>101</v>
      </c>
      <c r="D3" s="351"/>
      <c r="E3" s="351"/>
    </row>
    <row r="4" spans="2:74" ht="25.5" customHeight="1" thickBot="1" x14ac:dyDescent="0.3">
      <c r="C4" s="34" t="str">
        <f>IF(VARIOS!B4&gt;=14,IF(C5=0," ",+VARIOS!B11)," ")</f>
        <v xml:space="preserve"> </v>
      </c>
      <c r="F4" s="98"/>
      <c r="H4" s="121"/>
      <c r="N4" s="98"/>
      <c r="V4" s="98"/>
      <c r="AD4" s="98"/>
      <c r="AL4" s="98"/>
      <c r="AT4" s="98"/>
      <c r="BB4" s="98"/>
    </row>
    <row r="5" spans="2:74" ht="21.95" customHeight="1" thickBot="1" x14ac:dyDescent="0.4">
      <c r="B5" s="65" t="s">
        <v>99</v>
      </c>
      <c r="C5" s="163">
        <f>+'CONTROL H.E.'!C5</f>
        <v>0</v>
      </c>
      <c r="D5" s="68"/>
      <c r="F5" s="379">
        <f>Dato_Transf!B2</f>
        <v>0</v>
      </c>
      <c r="G5" s="380"/>
      <c r="H5" s="380"/>
      <c r="I5" s="380"/>
      <c r="J5" s="380"/>
      <c r="K5" s="380"/>
      <c r="L5" s="380"/>
      <c r="M5" s="381"/>
      <c r="N5" s="379">
        <f>Dato_Transf!I2</f>
        <v>0</v>
      </c>
      <c r="O5" s="380"/>
      <c r="P5" s="380"/>
      <c r="Q5" s="380"/>
      <c r="R5" s="380"/>
      <c r="S5" s="380"/>
      <c r="T5" s="380"/>
      <c r="U5" s="381"/>
      <c r="V5" s="379">
        <f>Dato_Transf!P2</f>
        <v>0</v>
      </c>
      <c r="W5" s="380"/>
      <c r="X5" s="380"/>
      <c r="Y5" s="380"/>
      <c r="Z5" s="380"/>
      <c r="AA5" s="380"/>
      <c r="AB5" s="380"/>
      <c r="AC5" s="381"/>
      <c r="AD5" s="379">
        <f>Dato_Transf!W2</f>
        <v>0</v>
      </c>
      <c r="AE5" s="380"/>
      <c r="AF5" s="380"/>
      <c r="AG5" s="380"/>
      <c r="AH5" s="380"/>
      <c r="AI5" s="380"/>
      <c r="AJ5" s="380"/>
      <c r="AK5" s="381"/>
      <c r="AL5" s="379">
        <f>Dato_Transf!AD2</f>
        <v>0</v>
      </c>
      <c r="AM5" s="380"/>
      <c r="AN5" s="380"/>
      <c r="AO5" s="380"/>
      <c r="AP5" s="380"/>
      <c r="AQ5" s="380"/>
      <c r="AR5" s="380"/>
      <c r="AS5" s="381"/>
      <c r="AT5" s="379">
        <f>Dato_Transf!AK2</f>
        <v>0</v>
      </c>
      <c r="AU5" s="380"/>
      <c r="AV5" s="380"/>
      <c r="AW5" s="380"/>
      <c r="AX5" s="380"/>
      <c r="AY5" s="380"/>
      <c r="AZ5" s="380"/>
      <c r="BA5" s="381"/>
      <c r="BB5" s="379">
        <f>Dato_Transf!AR2</f>
        <v>0</v>
      </c>
      <c r="BC5" s="380"/>
      <c r="BD5" s="380"/>
      <c r="BE5" s="380"/>
      <c r="BF5" s="380"/>
      <c r="BG5" s="380"/>
      <c r="BH5" s="380"/>
      <c r="BI5" s="381"/>
    </row>
    <row r="6" spans="2:74" s="3" customFormat="1" ht="21.95" customHeight="1" thickBot="1" x14ac:dyDescent="0.35">
      <c r="B6" s="93" t="s">
        <v>100</v>
      </c>
      <c r="C6" s="163">
        <f>+'CONTROL H.E.'!C6</f>
        <v>0</v>
      </c>
      <c r="D6" s="79" t="s">
        <v>170</v>
      </c>
      <c r="F6" s="376" t="str">
        <f>IF(F5=0,"INGRESE DIA POR FAVOR",IF(WEEKDAY(F5)=7,"OJO H.E. AL 100%",IF(WEEKDAY(F5)=1,"OJO H.E. AL 100%",IF(F4="F","OJO H.E. AL 100%","INGRESAR HORAS EXTRAS"))))</f>
        <v>INGRESE DIA POR FAVOR</v>
      </c>
      <c r="G6" s="377"/>
      <c r="H6" s="377"/>
      <c r="I6" s="377"/>
      <c r="J6" s="377"/>
      <c r="K6" s="377"/>
      <c r="L6" s="377"/>
      <c r="M6" s="378"/>
      <c r="N6" s="376" t="str">
        <f>IF(N5=0,"INGRESE DIA POR FAVOR",IF(WEEKDAY(N5)=7,"OJO H.E. AL 100%",IF(WEEKDAY(N5)=1,"OJO H.E. AL 100%",IF(N4="F","OJO H.E. AL 100%","INGRESAR HORAS EXTRAS"))))</f>
        <v>INGRESE DIA POR FAVOR</v>
      </c>
      <c r="O6" s="377"/>
      <c r="P6" s="377"/>
      <c r="Q6" s="377"/>
      <c r="R6" s="377"/>
      <c r="S6" s="377"/>
      <c r="T6" s="377"/>
      <c r="U6" s="378"/>
      <c r="V6" s="376" t="str">
        <f>IF(V5=0,"INGRESE DIA POR FAVOR",IF(WEEKDAY(V5)=7,"OJO H.E. AL 100%",IF(WEEKDAY(V5)=1,"OJO H.E. AL 100%",IF(V4="F","OJO H.E. AL 100%","INGRESAR HORAS EXTRAS"))))</f>
        <v>INGRESE DIA POR FAVOR</v>
      </c>
      <c r="W6" s="377"/>
      <c r="X6" s="377"/>
      <c r="Y6" s="377"/>
      <c r="Z6" s="377"/>
      <c r="AA6" s="377"/>
      <c r="AB6" s="377"/>
      <c r="AC6" s="378"/>
      <c r="AD6" s="376" t="str">
        <f>IF(AD5=0,"INGRESE DIA POR FAVOR",IF(WEEKDAY(AD5)=7,"OJO H.E. AL 100%",IF(WEEKDAY(AD5)=1,"OJO H.E. AL 100%",IF(AD4="F","OJO H.E. AL 100%","INGRESAR HORAS EXTRAS"))))</f>
        <v>INGRESE DIA POR FAVOR</v>
      </c>
      <c r="AE6" s="377"/>
      <c r="AF6" s="377"/>
      <c r="AG6" s="377"/>
      <c r="AH6" s="377"/>
      <c r="AI6" s="377"/>
      <c r="AJ6" s="377"/>
      <c r="AK6" s="378"/>
      <c r="AL6" s="376" t="str">
        <f>IF(AL5=0,"INGRESE DIA POR FAVOR",IF(WEEKDAY(AL5)=7,"OJO H.E. AL 100%",IF(WEEKDAY(AL5)=1,"OJO H.E. AL 100%",IF(AL4="F","OJO H.E. AL 100%","INGRESAR HORAS EXTRAS"))))</f>
        <v>INGRESE DIA POR FAVOR</v>
      </c>
      <c r="AM6" s="377"/>
      <c r="AN6" s="377"/>
      <c r="AO6" s="377"/>
      <c r="AP6" s="377"/>
      <c r="AQ6" s="377"/>
      <c r="AR6" s="377"/>
      <c r="AS6" s="378"/>
      <c r="AT6" s="376" t="str">
        <f>IF(AT5=0,"INGRESE DIA POR FAVOR",IF(WEEKDAY(AT5)=7,"OJO H.E. AL 100%",IF(WEEKDAY(AT5)=1,"OJO H.E. AL 100%",IF(AT4="F","OJO H.E. AL 100%","INGRESAR HORAS EXTRAS"))))</f>
        <v>INGRESE DIA POR FAVOR</v>
      </c>
      <c r="AU6" s="377"/>
      <c r="AV6" s="377"/>
      <c r="AW6" s="377"/>
      <c r="AX6" s="377"/>
      <c r="AY6" s="377"/>
      <c r="AZ6" s="377"/>
      <c r="BA6" s="378"/>
      <c r="BB6" s="376" t="str">
        <f>IF(BB5=0,"INGRESE DIA POR FAVOR",IF(WEEKDAY(BB5)=7,"OJO H.E. AL 100%",IF(WEEKDAY(BB5)=1,"OJO H.E. AL 100%",IF(BB4="F","OJO H.E. AL 100%","INGRESAR HORAS EXTRAS"))))</f>
        <v>INGRESE DIA POR FAVOR</v>
      </c>
      <c r="BC6" s="377"/>
      <c r="BD6" s="377"/>
      <c r="BE6" s="377"/>
      <c r="BF6" s="377"/>
      <c r="BG6" s="377"/>
      <c r="BH6" s="377"/>
      <c r="BI6" s="378"/>
      <c r="BJ6" s="9"/>
      <c r="BK6" s="9"/>
      <c r="BL6" s="9"/>
      <c r="BV6" s="9"/>
    </row>
    <row r="7" spans="2:74" ht="19.5" thickBot="1" x14ac:dyDescent="0.3">
      <c r="B7" s="43" t="s">
        <v>89</v>
      </c>
      <c r="C7" s="82" t="e">
        <f>VLOOKUP(C5,VARIOS!B16:D40,3,0)</f>
        <v>#N/A</v>
      </c>
      <c r="F7" s="374" t="s">
        <v>12</v>
      </c>
      <c r="G7" s="374"/>
      <c r="H7" s="374"/>
      <c r="I7" s="374"/>
      <c r="J7" s="374"/>
      <c r="K7" s="374"/>
      <c r="L7" s="374"/>
      <c r="M7" s="375"/>
      <c r="N7" s="373" t="s">
        <v>12</v>
      </c>
      <c r="O7" s="374"/>
      <c r="P7" s="374"/>
      <c r="Q7" s="374"/>
      <c r="R7" s="374"/>
      <c r="S7" s="374"/>
      <c r="T7" s="374"/>
      <c r="U7" s="375"/>
      <c r="V7" s="373" t="s">
        <v>12</v>
      </c>
      <c r="W7" s="374"/>
      <c r="X7" s="374"/>
      <c r="Y7" s="374"/>
      <c r="Z7" s="374"/>
      <c r="AA7" s="374"/>
      <c r="AB7" s="374"/>
      <c r="AC7" s="375"/>
      <c r="AD7" s="373" t="s">
        <v>12</v>
      </c>
      <c r="AE7" s="374"/>
      <c r="AF7" s="374"/>
      <c r="AG7" s="374"/>
      <c r="AH7" s="374"/>
      <c r="AI7" s="374"/>
      <c r="AJ7" s="374"/>
      <c r="AK7" s="375"/>
      <c r="AL7" s="373" t="s">
        <v>12</v>
      </c>
      <c r="AM7" s="374"/>
      <c r="AN7" s="374"/>
      <c r="AO7" s="374"/>
      <c r="AP7" s="374"/>
      <c r="AQ7" s="374"/>
      <c r="AR7" s="374"/>
      <c r="AS7" s="375"/>
      <c r="AT7" s="373" t="s">
        <v>12</v>
      </c>
      <c r="AU7" s="374"/>
      <c r="AV7" s="374"/>
      <c r="AW7" s="374"/>
      <c r="AX7" s="374"/>
      <c r="AY7" s="374"/>
      <c r="AZ7" s="374"/>
      <c r="BA7" s="375"/>
      <c r="BB7" s="373" t="s">
        <v>12</v>
      </c>
      <c r="BC7" s="374"/>
      <c r="BD7" s="374"/>
      <c r="BE7" s="374"/>
      <c r="BF7" s="374"/>
      <c r="BG7" s="374"/>
      <c r="BH7" s="374"/>
      <c r="BI7" s="375"/>
      <c r="BJ7" s="368" t="s">
        <v>12</v>
      </c>
      <c r="BK7" s="369"/>
    </row>
    <row r="8" spans="2:74" ht="39.75" customHeight="1" thickBot="1" x14ac:dyDescent="0.3">
      <c r="F8" s="365" t="s">
        <v>95</v>
      </c>
      <c r="G8" s="366"/>
      <c r="H8" s="366"/>
      <c r="I8" s="367"/>
      <c r="J8" s="370" t="s">
        <v>120</v>
      </c>
      <c r="K8" s="371"/>
      <c r="L8" s="371"/>
      <c r="M8" s="372"/>
      <c r="N8" s="365" t="s">
        <v>95</v>
      </c>
      <c r="O8" s="366"/>
      <c r="P8" s="366"/>
      <c r="Q8" s="367"/>
      <c r="R8" s="365" t="s">
        <v>96</v>
      </c>
      <c r="S8" s="366"/>
      <c r="T8" s="366"/>
      <c r="U8" s="367"/>
      <c r="V8" s="365" t="s">
        <v>95</v>
      </c>
      <c r="W8" s="366"/>
      <c r="X8" s="366"/>
      <c r="Y8" s="367"/>
      <c r="Z8" s="365" t="s">
        <v>96</v>
      </c>
      <c r="AA8" s="366"/>
      <c r="AB8" s="366"/>
      <c r="AC8" s="367"/>
      <c r="AD8" s="365" t="s">
        <v>95</v>
      </c>
      <c r="AE8" s="366"/>
      <c r="AF8" s="366"/>
      <c r="AG8" s="367"/>
      <c r="AH8" s="365" t="s">
        <v>96</v>
      </c>
      <c r="AI8" s="366"/>
      <c r="AJ8" s="366"/>
      <c r="AK8" s="367"/>
      <c r="AL8" s="365" t="s">
        <v>95</v>
      </c>
      <c r="AM8" s="366"/>
      <c r="AN8" s="366"/>
      <c r="AO8" s="367"/>
      <c r="AP8" s="365" t="s">
        <v>96</v>
      </c>
      <c r="AQ8" s="366"/>
      <c r="AR8" s="366"/>
      <c r="AS8" s="367"/>
      <c r="AT8" s="365" t="s">
        <v>95</v>
      </c>
      <c r="AU8" s="366"/>
      <c r="AV8" s="366"/>
      <c r="AW8" s="367"/>
      <c r="AX8" s="365" t="s">
        <v>96</v>
      </c>
      <c r="AY8" s="366"/>
      <c r="AZ8" s="366"/>
      <c r="BA8" s="367"/>
      <c r="BB8" s="365" t="s">
        <v>95</v>
      </c>
      <c r="BC8" s="366"/>
      <c r="BD8" s="366"/>
      <c r="BE8" s="367"/>
      <c r="BF8" s="365" t="s">
        <v>96</v>
      </c>
      <c r="BG8" s="366"/>
      <c r="BH8" s="366"/>
      <c r="BI8" s="367"/>
      <c r="BJ8" s="168"/>
      <c r="BK8" s="169"/>
    </row>
    <row r="9" spans="2:74" ht="54.95" customHeight="1" x14ac:dyDescent="0.25">
      <c r="B9" s="10" t="s">
        <v>14</v>
      </c>
      <c r="C9" s="78" t="s">
        <v>0</v>
      </c>
      <c r="D9" s="77" t="s">
        <v>34</v>
      </c>
      <c r="E9" s="36" t="s">
        <v>1</v>
      </c>
      <c r="F9" s="164" t="s">
        <v>93</v>
      </c>
      <c r="G9" s="165" t="s">
        <v>94</v>
      </c>
      <c r="H9" s="166" t="s">
        <v>97</v>
      </c>
      <c r="I9" s="167" t="s">
        <v>92</v>
      </c>
      <c r="J9" s="164" t="s">
        <v>93</v>
      </c>
      <c r="K9" s="165" t="s">
        <v>94</v>
      </c>
      <c r="L9" s="166" t="s">
        <v>98</v>
      </c>
      <c r="M9" s="167" t="s">
        <v>92</v>
      </c>
      <c r="N9" s="164" t="s">
        <v>93</v>
      </c>
      <c r="O9" s="165" t="s">
        <v>94</v>
      </c>
      <c r="P9" s="166" t="s">
        <v>97</v>
      </c>
      <c r="Q9" s="167" t="s">
        <v>92</v>
      </c>
      <c r="R9" s="164" t="s">
        <v>93</v>
      </c>
      <c r="S9" s="165" t="s">
        <v>94</v>
      </c>
      <c r="T9" s="166" t="s">
        <v>98</v>
      </c>
      <c r="U9" s="167" t="s">
        <v>92</v>
      </c>
      <c r="V9" s="164" t="s">
        <v>93</v>
      </c>
      <c r="W9" s="165" t="s">
        <v>94</v>
      </c>
      <c r="X9" s="166" t="s">
        <v>97</v>
      </c>
      <c r="Y9" s="167" t="s">
        <v>92</v>
      </c>
      <c r="Z9" s="164" t="s">
        <v>93</v>
      </c>
      <c r="AA9" s="165" t="s">
        <v>94</v>
      </c>
      <c r="AB9" s="166" t="s">
        <v>98</v>
      </c>
      <c r="AC9" s="167" t="s">
        <v>92</v>
      </c>
      <c r="AD9" s="164" t="s">
        <v>93</v>
      </c>
      <c r="AE9" s="165" t="s">
        <v>94</v>
      </c>
      <c r="AF9" s="166" t="s">
        <v>97</v>
      </c>
      <c r="AG9" s="167" t="s">
        <v>92</v>
      </c>
      <c r="AH9" s="164" t="s">
        <v>93</v>
      </c>
      <c r="AI9" s="165" t="s">
        <v>94</v>
      </c>
      <c r="AJ9" s="166" t="s">
        <v>98</v>
      </c>
      <c r="AK9" s="167" t="s">
        <v>92</v>
      </c>
      <c r="AL9" s="164" t="s">
        <v>93</v>
      </c>
      <c r="AM9" s="165" t="s">
        <v>94</v>
      </c>
      <c r="AN9" s="166" t="s">
        <v>97</v>
      </c>
      <c r="AO9" s="167" t="s">
        <v>92</v>
      </c>
      <c r="AP9" s="164" t="s">
        <v>93</v>
      </c>
      <c r="AQ9" s="165" t="s">
        <v>94</v>
      </c>
      <c r="AR9" s="166" t="s">
        <v>98</v>
      </c>
      <c r="AS9" s="167" t="s">
        <v>92</v>
      </c>
      <c r="AT9" s="164" t="s">
        <v>93</v>
      </c>
      <c r="AU9" s="165" t="s">
        <v>94</v>
      </c>
      <c r="AV9" s="166" t="s">
        <v>97</v>
      </c>
      <c r="AW9" s="167" t="s">
        <v>92</v>
      </c>
      <c r="AX9" s="164" t="s">
        <v>93</v>
      </c>
      <c r="AY9" s="165" t="s">
        <v>94</v>
      </c>
      <c r="AZ9" s="166" t="s">
        <v>98</v>
      </c>
      <c r="BA9" s="167" t="s">
        <v>92</v>
      </c>
      <c r="BB9" s="164" t="s">
        <v>93</v>
      </c>
      <c r="BC9" s="165" t="s">
        <v>94</v>
      </c>
      <c r="BD9" s="166" t="s">
        <v>97</v>
      </c>
      <c r="BE9" s="167" t="s">
        <v>92</v>
      </c>
      <c r="BF9" s="164" t="s">
        <v>93</v>
      </c>
      <c r="BG9" s="165" t="s">
        <v>94</v>
      </c>
      <c r="BH9" s="166" t="s">
        <v>98</v>
      </c>
      <c r="BI9" s="167" t="s">
        <v>92</v>
      </c>
      <c r="BJ9" s="13" t="s">
        <v>46</v>
      </c>
      <c r="BK9" s="36" t="s">
        <v>47</v>
      </c>
      <c r="BL9" s="3"/>
      <c r="BV9" s="3"/>
    </row>
    <row r="10" spans="2:74" ht="30" customHeight="1" x14ac:dyDescent="0.3">
      <c r="B10" s="22">
        <f>'Reporte Asistencia Laboral'!B11</f>
        <v>1</v>
      </c>
      <c r="C10" s="75" t="str">
        <f>IFERROR(VLOOKUP(D10,EMPLEADO!C:Q,15,0),"")</f>
        <v>ARMIJOS MIÑAN ANGEL OSWALDO</v>
      </c>
      <c r="D10" s="6" t="str">
        <f>'Reporte Asistencia Laboral'!D11</f>
        <v>070219346-7</v>
      </c>
      <c r="E10" s="37" t="s">
        <v>57</v>
      </c>
      <c r="F10" s="51">
        <f>IFERROR(VLOOKUP($C10,Dato_Transf!$A:$G,3,FALSE()),0)</f>
        <v>0</v>
      </c>
      <c r="G10" s="51">
        <f>IFERROR(VLOOKUP($C10,Dato_Transf!$A:$G,4,FALSE()),0)</f>
        <v>0</v>
      </c>
      <c r="H10" s="97">
        <f t="shared" ref="H10" si="0">IF($F$6="OJO H.E. AL 100%",0,(G10-F10)*24)</f>
        <v>0</v>
      </c>
      <c r="I10" s="45" t="str">
        <f>IF(H10=0," ",VLOOKUP($C10,Dato_Transf!$A:$G,7,FALSE()))</f>
        <v xml:space="preserve"> </v>
      </c>
      <c r="J10" s="51">
        <f>IFERROR(VLOOKUP($C10,Dato_Transf!$A:$G,5,FALSE()),0)</f>
        <v>0</v>
      </c>
      <c r="K10" s="51">
        <f>IFERROR(VLOOKUP($C10,Dato_Transf!$A:$G,6,FALSE()),0)</f>
        <v>0</v>
      </c>
      <c r="L10" s="97">
        <f t="shared" ref="L10" si="1">(+K10-J10)*24</f>
        <v>0</v>
      </c>
      <c r="M10" s="45" t="str">
        <f>IF(L10=0," ",VLOOKUP($C10,Dato_Transf!$A:$G,7,FALSE()))</f>
        <v xml:space="preserve"> </v>
      </c>
      <c r="N10" s="51">
        <f>IFERROR(VLOOKUP($C10,Dato_Transf!$H:$N,3,FALSE()),0)</f>
        <v>0</v>
      </c>
      <c r="O10" s="51">
        <f>IFERROR(VLOOKUP($C10,Dato_Transf!$H:$N,4,FALSE()),0)</f>
        <v>0</v>
      </c>
      <c r="P10" s="97">
        <f t="shared" ref="P10" si="2">IF($F$6="OJO H.E. AL 100%",0,(O10-N10)*24)</f>
        <v>0</v>
      </c>
      <c r="Q10" s="45" t="str">
        <f>IF(P10=0," ",VLOOKUP($C10,Dato_Transf!$H:$N,7,FALSE()))</f>
        <v xml:space="preserve"> </v>
      </c>
      <c r="R10" s="51">
        <f>IFERROR(VLOOKUP($C10,Dato_Transf!$H:$N,5,FALSE()),0)</f>
        <v>0</v>
      </c>
      <c r="S10" s="51">
        <f>IFERROR(VLOOKUP($C10,Dato_Transf!$H:$N,6,FALSE()),0)</f>
        <v>0</v>
      </c>
      <c r="T10" s="97">
        <f t="shared" ref="T10" si="3">(+S10-R10)*24</f>
        <v>0</v>
      </c>
      <c r="U10" s="45" t="str">
        <f>IF(T10=0," ",VLOOKUP($C10,Dato_Transf!$H:$N,7,FALSE()))</f>
        <v xml:space="preserve"> </v>
      </c>
      <c r="V10" s="51">
        <f>IFERROR(VLOOKUP($C10,Dato_Transf!$O:$U,3,FALSE()),0)</f>
        <v>0</v>
      </c>
      <c r="W10" s="51">
        <f>IFERROR(VLOOKUP($C10,Dato_Transf!$O:$U,4,FALSE()),0)</f>
        <v>0</v>
      </c>
      <c r="X10" s="97">
        <f t="shared" ref="X10" si="4">IF($F$6="OJO H.E. AL 100%",0,(W10-V10)*24)</f>
        <v>0</v>
      </c>
      <c r="Y10" s="45" t="str">
        <f>IF(X10=0," ",VLOOKUP($C10,Dato_Transf!$O:$U,7,FALSE()))</f>
        <v xml:space="preserve"> </v>
      </c>
      <c r="Z10" s="51">
        <f>IFERROR(VLOOKUP($C10,Dato_Transf!$O:$U,5,FALSE()),0)</f>
        <v>0</v>
      </c>
      <c r="AA10" s="51">
        <f>IFERROR(VLOOKUP($C10,Dato_Transf!$O:$U,6,FALSE()),0)</f>
        <v>0</v>
      </c>
      <c r="AB10" s="97">
        <f t="shared" ref="AB10" si="5">(+AA10-Z10)*24</f>
        <v>0</v>
      </c>
      <c r="AC10" s="45" t="str">
        <f>IF(AB10=0," ",VLOOKUP($C10,Dato_Transf!$O:$U,7,FALSE()))</f>
        <v xml:space="preserve"> </v>
      </c>
      <c r="AD10" s="51">
        <f>IFERROR(VLOOKUP($C10,Dato_Transf!$V:$AB,3,FALSE()),0)</f>
        <v>0</v>
      </c>
      <c r="AE10" s="51">
        <f>IFERROR(VLOOKUP($C10,Dato_Transf!$V:$AB,4,FALSE()),0)</f>
        <v>0</v>
      </c>
      <c r="AF10" s="97">
        <f t="shared" ref="AF10" si="6">IF($F$6="OJO H.E. AL 100%",0,(AE10-AD10)*24)</f>
        <v>0</v>
      </c>
      <c r="AG10" s="45" t="str">
        <f>IF(AF10=0," ",VLOOKUP($C10,Dato_Transf!$V:$AB,7,FALSE()))</f>
        <v xml:space="preserve"> </v>
      </c>
      <c r="AH10" s="51">
        <f>IFERROR(VLOOKUP($C10,Dato_Transf!$V:$AB,5,FALSE()),0)</f>
        <v>0</v>
      </c>
      <c r="AI10" s="51">
        <f>IFERROR(VLOOKUP($C10,Dato_Transf!$V:$AB,6,FALSE()),0)</f>
        <v>0</v>
      </c>
      <c r="AJ10" s="97">
        <f t="shared" ref="AJ10" si="7">(+AI10-AH10)*24</f>
        <v>0</v>
      </c>
      <c r="AK10" s="45" t="str">
        <f>IF(AJ10=0," ",VLOOKUP($C10,Dato_Transf!$V:$AB,7,FALSE()))</f>
        <v xml:space="preserve"> </v>
      </c>
      <c r="AL10" s="51">
        <f>IFERROR(VLOOKUP($C10,Dato_Transf!$AC:$AI,3,FALSE()),0)</f>
        <v>0</v>
      </c>
      <c r="AM10" s="51">
        <f>IFERROR(VLOOKUP($C10,Dato_Transf!$AC:$AI,4,FALSE()),0)</f>
        <v>0</v>
      </c>
      <c r="AN10" s="97">
        <f t="shared" ref="AN10" si="8">IF($F$6="OJO H.E. AL 100%",0,(AM10-AL10)*24)</f>
        <v>0</v>
      </c>
      <c r="AO10" s="45" t="str">
        <f>IF(AN10=0," ",VLOOKUP($C10,Dato_Transf!$AC:$AI,7,FALSE()))</f>
        <v xml:space="preserve"> </v>
      </c>
      <c r="AP10" s="51">
        <f>IFERROR(VLOOKUP($C10,Dato_Transf!$AC:$AI,5,FALSE()),0)</f>
        <v>0</v>
      </c>
      <c r="AQ10" s="51">
        <f>IFERROR(VLOOKUP($C10,Dato_Transf!$AC:$AI,6,FALSE()),0)</f>
        <v>0</v>
      </c>
      <c r="AR10" s="97">
        <f t="shared" ref="AR10" si="9">(+AQ10-AP10)*24</f>
        <v>0</v>
      </c>
      <c r="AS10" s="45" t="str">
        <f>IF(AR10=0," ",VLOOKUP($C10,Dato_Transf!$AC:$AI,7,FALSE()))</f>
        <v xml:space="preserve"> </v>
      </c>
      <c r="AT10" s="51">
        <f>IFERROR(VLOOKUP($C10,Dato_Transf!$AJ:$AP,3,FALSE()),0)</f>
        <v>0</v>
      </c>
      <c r="AU10" s="51">
        <f>IFERROR(VLOOKUP($C10,Dato_Transf!$AJ:$AP,4,FALSE()),0)</f>
        <v>0</v>
      </c>
      <c r="AV10" s="97">
        <f t="shared" ref="AV10" si="10">IF($F$6="OJO H.E. AL 100%",0,(AU10-AT10)*24)</f>
        <v>0</v>
      </c>
      <c r="AW10" s="45" t="str">
        <f>IF(AV10=0," ",VLOOKUP($C10,Dato_Transf!$AJ:$AP,7,FALSE()))</f>
        <v xml:space="preserve"> </v>
      </c>
      <c r="AX10" s="51">
        <f>IFERROR(VLOOKUP($C10,Dato_Transf!$AJ:$AP,5,FALSE()),0)</f>
        <v>0</v>
      </c>
      <c r="AY10" s="51">
        <f>IFERROR(VLOOKUP($C10,Dato_Transf!$AJ:$AP,6,FALSE()),0)</f>
        <v>0</v>
      </c>
      <c r="AZ10" s="97">
        <f t="shared" ref="AZ10" si="11">(+AY10-AX10)*24</f>
        <v>0</v>
      </c>
      <c r="BA10" s="45" t="str">
        <f>IF(AZ10=0," ",VLOOKUP($C10,Dato_Transf!$AJ:$AP,7,FALSE()))</f>
        <v xml:space="preserve"> </v>
      </c>
      <c r="BB10" s="51">
        <f>IFERROR(VLOOKUP($C10,Dato_Transf!$AQ:$AW,3,FALSE()),0)</f>
        <v>0</v>
      </c>
      <c r="BC10" s="51">
        <f>IFERROR(VLOOKUP($C10,Dato_Transf!$AQ:$AW,4,FALSE()),0)</f>
        <v>0</v>
      </c>
      <c r="BD10" s="97">
        <f t="shared" ref="BD10" si="12">IF($F$6="OJO H.E. AL 100%",0,(BC10-BB10)*24)</f>
        <v>0</v>
      </c>
      <c r="BE10" s="45" t="str">
        <f>IF(BD10=0," ",VLOOKUP($C10,Dato_Transf!$AQ:$AW,7,FALSE()))</f>
        <v xml:space="preserve"> </v>
      </c>
      <c r="BF10" s="51">
        <f>IFERROR(VLOOKUP($C10,Dato_Transf!$AQ:$AW,5,FALSE()),0)</f>
        <v>0</v>
      </c>
      <c r="BG10" s="51">
        <f>IFERROR(VLOOKUP($C10,Dato_Transf!$AQ:$AW,6,FALSE()),0)</f>
        <v>0</v>
      </c>
      <c r="BH10" s="97">
        <f t="shared" ref="BH10" si="13">(+BG10-BF10)*24</f>
        <v>0</v>
      </c>
      <c r="BI10" s="45" t="str">
        <f>IF(BH10=0," ",VLOOKUP($C10,Dato_Transf!$AQ:$AW,7,FALSE()))</f>
        <v xml:space="preserve"> </v>
      </c>
      <c r="BJ10" s="95">
        <f>H10+P10+X10+AF10+AN10+AV10+BD10</f>
        <v>0</v>
      </c>
      <c r="BK10" s="96">
        <f>L10+T10+AB10+AJ10+AR10+AZ10+BH10</f>
        <v>0</v>
      </c>
      <c r="BL10" s="35"/>
      <c r="BV10" s="35"/>
    </row>
    <row r="11" spans="2:74" ht="30" customHeight="1" x14ac:dyDescent="0.3">
      <c r="B11" s="22">
        <f>'Reporte Asistencia Laboral'!B12</f>
        <v>2</v>
      </c>
      <c r="C11" s="75" t="str">
        <f>IFERROR(VLOOKUP(D11,EMPLEADO!C:Q,15,0),"")</f>
        <v>ORTIZ CORONEL WILMER ALBERTO</v>
      </c>
      <c r="D11" s="6" t="str">
        <f>'Reporte Asistencia Laboral'!D12</f>
        <v>110558140-7</v>
      </c>
      <c r="E11" s="37" t="s">
        <v>18</v>
      </c>
      <c r="F11" s="51">
        <f>IFERROR(VLOOKUP($C11,Dato_Transf!$A:$G,3,FALSE()),0)</f>
        <v>0</v>
      </c>
      <c r="G11" s="51">
        <f>IFERROR(VLOOKUP($C11,Dato_Transf!$A:$G,4,FALSE()),0)</f>
        <v>0</v>
      </c>
      <c r="H11" s="97">
        <f t="shared" ref="H11" si="14">IF($F$6="OJO H.E. AL 100%",0,(G11-F11)*24)</f>
        <v>0</v>
      </c>
      <c r="I11" s="45" t="str">
        <f>IF(H11=0," ",VLOOKUP($C11,Dato_Transf!$A:$G,7,FALSE))</f>
        <v xml:space="preserve"> </v>
      </c>
      <c r="J11" s="51">
        <f>IFERROR(VLOOKUP($C11,Dato_Transf!$A:$G,5,FALSE()),0)</f>
        <v>0</v>
      </c>
      <c r="K11" s="51">
        <f>IFERROR(VLOOKUP($C11,Dato_Transf!$A:$G,6,FALSE()),0)</f>
        <v>0</v>
      </c>
      <c r="L11" s="97">
        <f t="shared" ref="L11" si="15">(+K11-J11)*24</f>
        <v>0</v>
      </c>
      <c r="M11" s="45" t="str">
        <f>IF(L11=0," ",VLOOKUP($C11,Dato_Transf!$A:$G,7,FALSE))</f>
        <v xml:space="preserve"> </v>
      </c>
      <c r="N11" s="51">
        <f>IFERROR(VLOOKUP($C11,Dato_Transf!$H:$N,3,FALSE()),0)</f>
        <v>0</v>
      </c>
      <c r="O11" s="51">
        <f>IFERROR(VLOOKUP($C11,Dato_Transf!$H:$N,4,FALSE()),0)</f>
        <v>0</v>
      </c>
      <c r="P11" s="97">
        <f t="shared" ref="P11" si="16">IF($F$6="OJO H.E. AL 100%",0,(O11-N11)*24)</f>
        <v>0</v>
      </c>
      <c r="Q11" s="45" t="str">
        <f>IF(P11=0," ",VLOOKUP($C11,Dato_Transf!$H:$N,7,FALSE()))</f>
        <v xml:space="preserve"> </v>
      </c>
      <c r="R11" s="51">
        <f>IFERROR(VLOOKUP($C11,Dato_Transf!$H:$N,5,FALSE()),0)</f>
        <v>0</v>
      </c>
      <c r="S11" s="51">
        <f>IFERROR(VLOOKUP($C11,Dato_Transf!$H:$N,6,FALSE()),0)</f>
        <v>0</v>
      </c>
      <c r="T11" s="97">
        <f t="shared" ref="T11" si="17">(+S11-R11)*24</f>
        <v>0</v>
      </c>
      <c r="U11" s="45" t="str">
        <f>IF(T11=0," ",VLOOKUP($C11,Dato_Transf!$H:$N,7,FALSE()))</f>
        <v xml:space="preserve"> </v>
      </c>
      <c r="V11" s="51">
        <f>IFERROR(VLOOKUP($C11,Dato_Transf!$O:$U,3,FALSE()),0)</f>
        <v>0</v>
      </c>
      <c r="W11" s="51">
        <f>IFERROR(VLOOKUP($C11,Dato_Transf!$O:$U,4,FALSE()),0)</f>
        <v>0</v>
      </c>
      <c r="X11" s="97">
        <f t="shared" ref="X11" si="18">IF($F$6="OJO H.E. AL 100%",0,(W11-V11)*24)</f>
        <v>0</v>
      </c>
      <c r="Y11" s="45" t="str">
        <f>IF(X11=0," ",VLOOKUP($C11,Dato_Transf!$O:$U,7,FALSE()))</f>
        <v xml:space="preserve"> </v>
      </c>
      <c r="Z11" s="51">
        <f>IFERROR(VLOOKUP($C11,Dato_Transf!$O:$U,5,FALSE()),0)</f>
        <v>0</v>
      </c>
      <c r="AA11" s="51">
        <f>IFERROR(VLOOKUP($C11,Dato_Transf!$O:$U,6,FALSE()),0)</f>
        <v>0</v>
      </c>
      <c r="AB11" s="97">
        <f t="shared" ref="AB11" si="19">(+AA11-Z11)*24</f>
        <v>0</v>
      </c>
      <c r="AC11" s="45" t="str">
        <f>IF(AB11=0," ",VLOOKUP($C11,Dato_Transf!$O:$U,7,FALSE()))</f>
        <v xml:space="preserve"> </v>
      </c>
      <c r="AD11" s="51">
        <f>IFERROR(VLOOKUP($C11,Dato_Transf!$V:$AB,3,FALSE()),0)</f>
        <v>0</v>
      </c>
      <c r="AE11" s="51">
        <f>IFERROR(VLOOKUP($C11,Dato_Transf!$V:$AB,4,FALSE()),0)</f>
        <v>0</v>
      </c>
      <c r="AF11" s="97">
        <f t="shared" ref="AF11" si="20">IF($F$6="OJO H.E. AL 100%",0,(AE11-AD11)*24)</f>
        <v>0</v>
      </c>
      <c r="AG11" s="45" t="str">
        <f>IF(AF11=0," ",VLOOKUP($C11,Dato_Transf!$V:$AB,7,FALSE()))</f>
        <v xml:space="preserve"> </v>
      </c>
      <c r="AH11" s="51">
        <f>IFERROR(VLOOKUP($C11,Dato_Transf!$V:$AB,5,FALSE()),0)</f>
        <v>0</v>
      </c>
      <c r="AI11" s="51">
        <f>IFERROR(VLOOKUP($C11,Dato_Transf!$V:$AB,6,FALSE()),0)</f>
        <v>0</v>
      </c>
      <c r="AJ11" s="97">
        <f t="shared" ref="AJ11" si="21">(+AI11-AH11)*24</f>
        <v>0</v>
      </c>
      <c r="AK11" s="45" t="str">
        <f>IF(AJ11=0," ",VLOOKUP($C11,Dato_Transf!$V:$AB,7,FALSE()))</f>
        <v xml:space="preserve"> </v>
      </c>
      <c r="AL11" s="51">
        <f>IFERROR(VLOOKUP($C11,Dato_Transf!$AC:$AI,3,FALSE()),0)</f>
        <v>0</v>
      </c>
      <c r="AM11" s="51">
        <f>IFERROR(VLOOKUP($C11,Dato_Transf!$AC:$AI,4,FALSE()),0)</f>
        <v>0</v>
      </c>
      <c r="AN11" s="97">
        <f t="shared" ref="AN11" si="22">IF($F$6="OJO H.E. AL 100%",0,(AM11-AL11)*24)</f>
        <v>0</v>
      </c>
      <c r="AO11" s="45" t="str">
        <f>IF(AN11=0," ",VLOOKUP($C11,Dato_Transf!$AC:$AI,7,FALSE()))</f>
        <v xml:space="preserve"> </v>
      </c>
      <c r="AP11" s="51">
        <f>IFERROR(VLOOKUP($C11,Dato_Transf!$AC:$AI,5,FALSE()),0)</f>
        <v>0</v>
      </c>
      <c r="AQ11" s="51">
        <f>IFERROR(VLOOKUP($C11,Dato_Transf!$AC:$AI,6,FALSE()),0)</f>
        <v>0</v>
      </c>
      <c r="AR11" s="97">
        <f t="shared" ref="AR11" si="23">(+AQ11-AP11)*24</f>
        <v>0</v>
      </c>
      <c r="AS11" s="45" t="str">
        <f>IF(AR11=0," ",VLOOKUP($C11,Dato_Transf!$AC:$AI,7,FALSE()))</f>
        <v xml:space="preserve"> </v>
      </c>
      <c r="AT11" s="51">
        <f>IFERROR(VLOOKUP($C11,Dato_Transf!$AJ:$AP,3,FALSE()),0)</f>
        <v>0</v>
      </c>
      <c r="AU11" s="51">
        <f>IFERROR(VLOOKUP($C11,Dato_Transf!$AJ:$AP,4,FALSE()),0)</f>
        <v>0</v>
      </c>
      <c r="AV11" s="97">
        <f t="shared" ref="AV11" si="24">IF($F$6="OJO H.E. AL 100%",0,(AU11-AT11)*24)</f>
        <v>0</v>
      </c>
      <c r="AW11" s="45" t="str">
        <f>IF(AV11=0," ",VLOOKUP($C11,Dato_Transf!$AJ:$AP,7,FALSE()))</f>
        <v xml:space="preserve"> </v>
      </c>
      <c r="AX11" s="51">
        <f>IFERROR(VLOOKUP($C11,Dato_Transf!$AJ:$AP,5,FALSE()),0)</f>
        <v>0</v>
      </c>
      <c r="AY11" s="51">
        <f>IFERROR(VLOOKUP($C11,Dato_Transf!$AJ:$AP,6,FALSE()),0)</f>
        <v>0</v>
      </c>
      <c r="AZ11" s="97">
        <f t="shared" ref="AZ11" si="25">(+AY11-AX11)*24</f>
        <v>0</v>
      </c>
      <c r="BA11" s="45" t="str">
        <f>IF(AZ11=0," ",VLOOKUP($C11,Dato_Transf!$AJ:$AP,7,FALSE()))</f>
        <v xml:space="preserve"> </v>
      </c>
      <c r="BB11" s="51">
        <f>IFERROR(VLOOKUP($C11,Dato_Transf!$AQ:$AW,3,FALSE()),0)</f>
        <v>0</v>
      </c>
      <c r="BC11" s="51">
        <f>IFERROR(VLOOKUP($C11,Dato_Transf!$AQ:$AW,4,FALSE()),0)</f>
        <v>0</v>
      </c>
      <c r="BD11" s="97">
        <f t="shared" ref="BD11" si="26">IF($F$6="OJO H.E. AL 100%",0,(BC11-BB11)*24)</f>
        <v>0</v>
      </c>
      <c r="BE11" s="45" t="str">
        <f>IF(BD11=0," ",VLOOKUP($C11,Dato_Transf!$AQ:$AW,7,FALSE()))</f>
        <v xml:space="preserve"> </v>
      </c>
      <c r="BF11" s="51">
        <f>IFERROR(VLOOKUP($C11,Dato_Transf!$AQ:$AW,5,FALSE()),0)</f>
        <v>0</v>
      </c>
      <c r="BG11" s="51">
        <f>IFERROR(VLOOKUP($C11,Dato_Transf!$AQ:$AW,6,FALSE()),0)</f>
        <v>0</v>
      </c>
      <c r="BH11" s="97">
        <f t="shared" ref="BH11" si="27">(+BG11-BF11)*24</f>
        <v>0</v>
      </c>
      <c r="BI11" s="45" t="str">
        <f>IF(BH11=0," ",VLOOKUP($C11,Dato_Transf!$AQ:$AW,7,FALSE()))</f>
        <v xml:space="preserve"> </v>
      </c>
      <c r="BJ11" s="95">
        <f t="shared" ref="BJ11" si="28">H11+P11+X11+AF11+AN11+AV11+BD11</f>
        <v>0</v>
      </c>
      <c r="BK11" s="96">
        <f t="shared" ref="BK11" si="29">L11+T11+AB11+AJ11+AR11+AZ11+BH11</f>
        <v>0</v>
      </c>
      <c r="BL11" s="35"/>
      <c r="BV11" s="35"/>
    </row>
    <row r="12" spans="2:74" ht="30" customHeight="1" x14ac:dyDescent="0.3">
      <c r="B12" s="22">
        <f>'Reporte Asistencia Laboral'!B13</f>
        <v>3</v>
      </c>
      <c r="C12" s="75" t="str">
        <f>IFERROR(VLOOKUP(D12,EMPLEADO!C:Q,15,0),"")</f>
        <v>MERECI MOREIRA LUIS FERNANDO</v>
      </c>
      <c r="D12" s="6" t="str">
        <f>'Reporte Asistencia Laboral'!D13</f>
        <v>115043410-6</v>
      </c>
      <c r="E12" s="142"/>
      <c r="F12" s="51">
        <f>IFERROR(VLOOKUP($C12,Dato_Transf!$A:$G,3,FALSE()),0)</f>
        <v>0</v>
      </c>
      <c r="G12" s="51">
        <f>IFERROR(VLOOKUP($C12,Dato_Transf!$A:$G,4,FALSE()),0)</f>
        <v>0</v>
      </c>
      <c r="H12" s="97">
        <f t="shared" ref="H12" si="30">IF($F$6="OJO H.E. AL 100%",0,(G12-F12)*24)</f>
        <v>0</v>
      </c>
      <c r="I12" s="45" t="str">
        <f>IF(H12=0," ",VLOOKUP($C12,Dato_Transf!$A:$G,7,FALSE))</f>
        <v xml:space="preserve"> </v>
      </c>
      <c r="J12" s="51">
        <f>IFERROR(VLOOKUP($C12,Dato_Transf!$A:$G,5,FALSE()),0)</f>
        <v>0</v>
      </c>
      <c r="K12" s="51">
        <f>IFERROR(VLOOKUP($C12,Dato_Transf!$A:$G,6,FALSE()),0)</f>
        <v>0</v>
      </c>
      <c r="L12" s="97">
        <f t="shared" ref="L12" si="31">(+K12-J12)*24</f>
        <v>0</v>
      </c>
      <c r="M12" s="45" t="str">
        <f>IF(L12=0," ",VLOOKUP($C12,Dato_Transf!$A:$G,7,FALSE))</f>
        <v xml:space="preserve"> </v>
      </c>
      <c r="N12" s="51">
        <f>IFERROR(VLOOKUP($C12,Dato_Transf!$H:$N,3,FALSE()),0)</f>
        <v>0</v>
      </c>
      <c r="O12" s="51">
        <f>IFERROR(VLOOKUP($C12,Dato_Transf!$H:$N,4,FALSE()),0)</f>
        <v>0</v>
      </c>
      <c r="P12" s="97">
        <f t="shared" ref="P12" si="32">IF($F$6="OJO H.E. AL 100%",0,(O12-N12)*24)</f>
        <v>0</v>
      </c>
      <c r="Q12" s="45" t="str">
        <f>IF(P12=0," ",VLOOKUP($C12,Dato_Transf!$H:$N,7,FALSE()))</f>
        <v xml:space="preserve"> </v>
      </c>
      <c r="R12" s="51">
        <f>IFERROR(VLOOKUP($C12,Dato_Transf!$H:$N,5,FALSE()),0)</f>
        <v>0</v>
      </c>
      <c r="S12" s="51">
        <f>IFERROR(VLOOKUP($C12,Dato_Transf!$H:$N,6,FALSE()),0)</f>
        <v>0</v>
      </c>
      <c r="T12" s="97">
        <f t="shared" ref="T12" si="33">(+S12-R12)*24</f>
        <v>0</v>
      </c>
      <c r="U12" s="45" t="str">
        <f>IF(T12=0," ",VLOOKUP($C12,Dato_Transf!$H:$N,7,FALSE()))</f>
        <v xml:space="preserve"> </v>
      </c>
      <c r="V12" s="51">
        <f>IFERROR(VLOOKUP($C12,Dato_Transf!$O:$U,3,FALSE()),0)</f>
        <v>0</v>
      </c>
      <c r="W12" s="51">
        <f>IFERROR(VLOOKUP($C12,Dato_Transf!$O:$U,4,FALSE()),0)</f>
        <v>0</v>
      </c>
      <c r="X12" s="97">
        <f t="shared" ref="X12" si="34">IF($F$6="OJO H.E. AL 100%",0,(W12-V12)*24)</f>
        <v>0</v>
      </c>
      <c r="Y12" s="45" t="str">
        <f>IF(X12=0," ",VLOOKUP($C12,Dato_Transf!$O:$U,7,FALSE()))</f>
        <v xml:space="preserve"> </v>
      </c>
      <c r="Z12" s="51">
        <f>IFERROR(VLOOKUP($C12,Dato_Transf!$O:$U,5,FALSE()),0)</f>
        <v>0</v>
      </c>
      <c r="AA12" s="51">
        <f>IFERROR(VLOOKUP($C12,Dato_Transf!$O:$U,6,FALSE()),0)</f>
        <v>0</v>
      </c>
      <c r="AB12" s="97">
        <f t="shared" ref="AB12" si="35">(+AA12-Z12)*24</f>
        <v>0</v>
      </c>
      <c r="AC12" s="45" t="str">
        <f>IF(AB12=0," ",VLOOKUP($C12,Dato_Transf!$O:$U,7,FALSE()))</f>
        <v xml:space="preserve"> </v>
      </c>
      <c r="AD12" s="51">
        <f>IFERROR(VLOOKUP($C12,Dato_Transf!$V:$AB,3,FALSE()),0)</f>
        <v>0</v>
      </c>
      <c r="AE12" s="51">
        <f>IFERROR(VLOOKUP($C12,Dato_Transf!$V:$AB,4,FALSE()),0)</f>
        <v>0</v>
      </c>
      <c r="AF12" s="97">
        <f t="shared" ref="AF12" si="36">IF($F$6="OJO H.E. AL 100%",0,(AE12-AD12)*24)</f>
        <v>0</v>
      </c>
      <c r="AG12" s="45" t="str">
        <f>IF(AF12=0," ",VLOOKUP($C12,Dato_Transf!$V:$AB,7,FALSE()))</f>
        <v xml:space="preserve"> </v>
      </c>
      <c r="AH12" s="51">
        <f>IFERROR(VLOOKUP($C12,Dato_Transf!$V:$AB,5,FALSE()),0)</f>
        <v>0</v>
      </c>
      <c r="AI12" s="51">
        <f>IFERROR(VLOOKUP($C12,Dato_Transf!$V:$AB,6,FALSE()),0)</f>
        <v>0</v>
      </c>
      <c r="AJ12" s="97">
        <f t="shared" ref="AJ12" si="37">(+AI12-AH12)*24</f>
        <v>0</v>
      </c>
      <c r="AK12" s="45" t="str">
        <f>IF(AJ12=0," ",VLOOKUP($C12,Dato_Transf!$V:$AB,7,FALSE()))</f>
        <v xml:space="preserve"> </v>
      </c>
      <c r="AL12" s="51">
        <f>IFERROR(VLOOKUP($C12,Dato_Transf!$AC:$AI,3,FALSE()),0)</f>
        <v>0</v>
      </c>
      <c r="AM12" s="51">
        <f>IFERROR(VLOOKUP($C12,Dato_Transf!$AC:$AI,4,FALSE()),0)</f>
        <v>0</v>
      </c>
      <c r="AN12" s="97">
        <f t="shared" ref="AN12" si="38">IF($F$6="OJO H.E. AL 100%",0,(AM12-AL12)*24)</f>
        <v>0</v>
      </c>
      <c r="AO12" s="45" t="str">
        <f>IF(AN12=0," ",VLOOKUP($C12,Dato_Transf!$AC:$AI,7,FALSE()))</f>
        <v xml:space="preserve"> </v>
      </c>
      <c r="AP12" s="51">
        <f>IFERROR(VLOOKUP($C12,Dato_Transf!$AC:$AI,5,FALSE()),0)</f>
        <v>0</v>
      </c>
      <c r="AQ12" s="51">
        <f>IFERROR(VLOOKUP($C12,Dato_Transf!$AC:$AI,6,FALSE()),0)</f>
        <v>0</v>
      </c>
      <c r="AR12" s="97">
        <f t="shared" ref="AR12" si="39">(+AQ12-AP12)*24</f>
        <v>0</v>
      </c>
      <c r="AS12" s="45" t="str">
        <f>IF(AR12=0," ",VLOOKUP($C12,Dato_Transf!$AC:$AI,7,FALSE()))</f>
        <v xml:space="preserve"> </v>
      </c>
      <c r="AT12" s="51">
        <f>IFERROR(VLOOKUP($C12,Dato_Transf!$AJ:$AP,3,FALSE()),0)</f>
        <v>0</v>
      </c>
      <c r="AU12" s="51">
        <f>IFERROR(VLOOKUP($C12,Dato_Transf!$AJ:$AP,4,FALSE()),0)</f>
        <v>0</v>
      </c>
      <c r="AV12" s="97">
        <f t="shared" ref="AV12" si="40">IF($F$6="OJO H.E. AL 100%",0,(AU12-AT12)*24)</f>
        <v>0</v>
      </c>
      <c r="AW12" s="45" t="str">
        <f>IF(AV12=0," ",VLOOKUP($C12,Dato_Transf!$AJ:$AP,7,FALSE()))</f>
        <v xml:space="preserve"> </v>
      </c>
      <c r="AX12" s="51">
        <f>IFERROR(VLOOKUP($C12,Dato_Transf!$AJ:$AP,5,FALSE()),0)</f>
        <v>0</v>
      </c>
      <c r="AY12" s="51">
        <f>IFERROR(VLOOKUP($C12,Dato_Transf!$AJ:$AP,6,FALSE()),0)</f>
        <v>0</v>
      </c>
      <c r="AZ12" s="97">
        <f t="shared" ref="AZ12" si="41">(+AY12-AX12)*24</f>
        <v>0</v>
      </c>
      <c r="BA12" s="45" t="str">
        <f>IF(AZ12=0," ",VLOOKUP($C12,Dato_Transf!$AJ:$AP,7,FALSE()))</f>
        <v xml:space="preserve"> </v>
      </c>
      <c r="BB12" s="51">
        <f>IFERROR(VLOOKUP($C12,Dato_Transf!$AQ:$AW,3,FALSE()),0)</f>
        <v>0</v>
      </c>
      <c r="BC12" s="51">
        <f>IFERROR(VLOOKUP($C12,Dato_Transf!$AQ:$AW,4,FALSE()),0)</f>
        <v>0</v>
      </c>
      <c r="BD12" s="97">
        <f t="shared" ref="BD12" si="42">IF($F$6="OJO H.E. AL 100%",0,(BC12-BB12)*24)</f>
        <v>0</v>
      </c>
      <c r="BE12" s="45" t="str">
        <f>IF(BD12=0," ",VLOOKUP($C12,Dato_Transf!$AQ:$AW,7,FALSE()))</f>
        <v xml:space="preserve"> </v>
      </c>
      <c r="BF12" s="51">
        <f>IFERROR(VLOOKUP($C12,Dato_Transf!$AQ:$AW,5,FALSE()),0)</f>
        <v>0</v>
      </c>
      <c r="BG12" s="51">
        <f>IFERROR(VLOOKUP($C12,Dato_Transf!$AQ:$AW,6,FALSE()),0)</f>
        <v>0</v>
      </c>
      <c r="BH12" s="97">
        <f t="shared" ref="BH12" si="43">(+BG12-BF12)*24</f>
        <v>0</v>
      </c>
      <c r="BI12" s="45" t="str">
        <f>IF(BH12=0," ",VLOOKUP($C12,Dato_Transf!$AQ:$AW,7,FALSE()))</f>
        <v xml:space="preserve"> </v>
      </c>
      <c r="BJ12" s="95">
        <f t="shared" ref="BJ12" si="44">H12+P12+X12+AF12+AN12+AV12+BD12</f>
        <v>0</v>
      </c>
      <c r="BK12" s="96">
        <f t="shared" ref="BK12" si="45">L12+T12+AB12+AJ12+AR12+AZ12+BH12</f>
        <v>0</v>
      </c>
      <c r="BV12" s="35"/>
    </row>
    <row r="13" spans="2:74" ht="30" customHeight="1" x14ac:dyDescent="0.3">
      <c r="B13" s="22">
        <f>'Reporte Asistencia Laboral'!B14</f>
        <v>4</v>
      </c>
      <c r="C13" s="75" t="str">
        <f>IFERROR(VLOOKUP(D13,EMPLEADO!C:Q,15,0),"")</f>
        <v>VELEZ PALACIOS RICARDO JOSE</v>
      </c>
      <c r="D13" s="6" t="str">
        <f>'Reporte Asistencia Laboral'!D14</f>
        <v>070432834-3</v>
      </c>
      <c r="E13" s="142"/>
      <c r="F13" s="51">
        <f>IFERROR(VLOOKUP($C13,Dato_Transf!$A:$G,3,FALSE()),0)</f>
        <v>0</v>
      </c>
      <c r="G13" s="51">
        <f>IFERROR(VLOOKUP($C13,Dato_Transf!$A:$G,4,FALSE()),0)</f>
        <v>0</v>
      </c>
      <c r="H13" s="97">
        <f t="shared" ref="H13" si="46">IF($F$6="OJO H.E. AL 100%",0,(G13-F13)*24)</f>
        <v>0</v>
      </c>
      <c r="I13" s="45" t="str">
        <f>IF(H13=0," ",VLOOKUP($C13,Dato_Transf!$A:$G,7,FALSE))</f>
        <v xml:space="preserve"> </v>
      </c>
      <c r="J13" s="51">
        <f>IFERROR(VLOOKUP($C13,Dato_Transf!$A:$G,5,FALSE()),0)</f>
        <v>0</v>
      </c>
      <c r="K13" s="51">
        <f>IFERROR(VLOOKUP($C13,Dato_Transf!$A:$G,6,FALSE()),0)</f>
        <v>0</v>
      </c>
      <c r="L13" s="97">
        <f t="shared" ref="L13" si="47">(+K13-J13)*24</f>
        <v>0</v>
      </c>
      <c r="M13" s="45" t="str">
        <f>IF(L13=0," ",VLOOKUP($C13,Dato_Transf!$A:$G,7,FALSE))</f>
        <v xml:space="preserve"> </v>
      </c>
      <c r="N13" s="51">
        <f>IFERROR(VLOOKUP($C13,Dato_Transf!$H:$N,3,FALSE()),0)</f>
        <v>0</v>
      </c>
      <c r="O13" s="51">
        <f>IFERROR(VLOOKUP($C13,Dato_Transf!$H:$N,4,FALSE()),0)</f>
        <v>0</v>
      </c>
      <c r="P13" s="97">
        <f t="shared" ref="P13" si="48">IF($F$6="OJO H.E. AL 100%",0,(O13-N13)*24)</f>
        <v>0</v>
      </c>
      <c r="Q13" s="45" t="str">
        <f>IF(P13=0," ",VLOOKUP($C13,Dato_Transf!$H:$N,7,FALSE()))</f>
        <v xml:space="preserve"> </v>
      </c>
      <c r="R13" s="51">
        <f>IFERROR(VLOOKUP($C13,Dato_Transf!$H:$N,5,FALSE()),0)</f>
        <v>0</v>
      </c>
      <c r="S13" s="51">
        <f>IFERROR(VLOOKUP($C13,Dato_Transf!$H:$N,6,FALSE()),0)</f>
        <v>0</v>
      </c>
      <c r="T13" s="97">
        <f t="shared" ref="T13" si="49">(+S13-R13)*24</f>
        <v>0</v>
      </c>
      <c r="U13" s="45" t="str">
        <f>IF(T13=0," ",VLOOKUP($C13,Dato_Transf!$H:$N,7,FALSE()))</f>
        <v xml:space="preserve"> </v>
      </c>
      <c r="V13" s="51">
        <f>IFERROR(VLOOKUP($C13,Dato_Transf!$O:$U,3,FALSE()),0)</f>
        <v>0</v>
      </c>
      <c r="W13" s="51">
        <f>IFERROR(VLOOKUP($C13,Dato_Transf!$O:$U,4,FALSE()),0)</f>
        <v>0</v>
      </c>
      <c r="X13" s="97">
        <f t="shared" ref="X13" si="50">IF($F$6="OJO H.E. AL 100%",0,(W13-V13)*24)</f>
        <v>0</v>
      </c>
      <c r="Y13" s="45" t="str">
        <f>IF(X13=0," ",VLOOKUP($C13,Dato_Transf!$O:$U,7,FALSE()))</f>
        <v xml:space="preserve"> </v>
      </c>
      <c r="Z13" s="51">
        <f>IFERROR(VLOOKUP($C13,Dato_Transf!$O:$U,5,FALSE()),0)</f>
        <v>0</v>
      </c>
      <c r="AA13" s="51">
        <f>IFERROR(VLOOKUP($C13,Dato_Transf!$O:$U,6,FALSE()),0)</f>
        <v>0</v>
      </c>
      <c r="AB13" s="97">
        <f t="shared" ref="AB13" si="51">(+AA13-Z13)*24</f>
        <v>0</v>
      </c>
      <c r="AC13" s="45" t="str">
        <f>IF(AB13=0," ",VLOOKUP($C13,Dato_Transf!$O:$U,7,FALSE()))</f>
        <v xml:space="preserve"> </v>
      </c>
      <c r="AD13" s="51">
        <f>IFERROR(VLOOKUP($C13,Dato_Transf!$V:$AB,3,FALSE()),0)</f>
        <v>0</v>
      </c>
      <c r="AE13" s="51">
        <f>IFERROR(VLOOKUP($C13,Dato_Transf!$V:$AB,4,FALSE()),0)</f>
        <v>0</v>
      </c>
      <c r="AF13" s="97">
        <f t="shared" ref="AF13" si="52">IF($F$6="OJO H.E. AL 100%",0,(AE13-AD13)*24)</f>
        <v>0</v>
      </c>
      <c r="AG13" s="45" t="str">
        <f>IF(AF13=0," ",VLOOKUP($C13,Dato_Transf!$V:$AB,7,FALSE()))</f>
        <v xml:space="preserve"> </v>
      </c>
      <c r="AH13" s="51">
        <f>IFERROR(VLOOKUP($C13,Dato_Transf!$V:$AB,5,FALSE()),0)</f>
        <v>0</v>
      </c>
      <c r="AI13" s="51">
        <f>IFERROR(VLOOKUP($C13,Dato_Transf!$V:$AB,6,FALSE()),0)</f>
        <v>0</v>
      </c>
      <c r="AJ13" s="97">
        <f t="shared" ref="AJ13" si="53">(+AI13-AH13)*24</f>
        <v>0</v>
      </c>
      <c r="AK13" s="45" t="str">
        <f>IF(AJ13=0," ",VLOOKUP($C13,Dato_Transf!$V:$AB,7,FALSE()))</f>
        <v xml:space="preserve"> </v>
      </c>
      <c r="AL13" s="51">
        <f>IFERROR(VLOOKUP($C13,Dato_Transf!$AC:$AI,3,FALSE()),0)</f>
        <v>0</v>
      </c>
      <c r="AM13" s="51">
        <f>IFERROR(VLOOKUP($C13,Dato_Transf!$AC:$AI,4,FALSE()),0)</f>
        <v>0</v>
      </c>
      <c r="AN13" s="97">
        <f t="shared" ref="AN13" si="54">IF($F$6="OJO H.E. AL 100%",0,(AM13-AL13)*24)</f>
        <v>0</v>
      </c>
      <c r="AO13" s="45" t="str">
        <f>IF(AN13=0," ",VLOOKUP($C13,Dato_Transf!$AC:$AI,7,FALSE()))</f>
        <v xml:space="preserve"> </v>
      </c>
      <c r="AP13" s="51">
        <f>IFERROR(VLOOKUP($C13,Dato_Transf!$AC:$AI,5,FALSE()),0)</f>
        <v>0</v>
      </c>
      <c r="AQ13" s="51">
        <f>IFERROR(VLOOKUP($C13,Dato_Transf!$AC:$AI,6,FALSE()),0)</f>
        <v>0</v>
      </c>
      <c r="AR13" s="97">
        <f t="shared" ref="AR13" si="55">(+AQ13-AP13)*24</f>
        <v>0</v>
      </c>
      <c r="AS13" s="45" t="str">
        <f>IF(AR13=0," ",VLOOKUP($C13,Dato_Transf!$AC:$AI,7,FALSE()))</f>
        <v xml:space="preserve"> </v>
      </c>
      <c r="AT13" s="51">
        <f>IFERROR(VLOOKUP($C13,Dato_Transf!$AJ:$AP,3,FALSE()),0)</f>
        <v>0</v>
      </c>
      <c r="AU13" s="51">
        <f>IFERROR(VLOOKUP($C13,Dato_Transf!$AJ:$AP,4,FALSE()),0)</f>
        <v>0</v>
      </c>
      <c r="AV13" s="97">
        <f t="shared" ref="AV13" si="56">IF($F$6="OJO H.E. AL 100%",0,(AU13-AT13)*24)</f>
        <v>0</v>
      </c>
      <c r="AW13" s="45" t="str">
        <f>IF(AV13=0," ",VLOOKUP($C13,Dato_Transf!$AJ:$AP,7,FALSE()))</f>
        <v xml:space="preserve"> </v>
      </c>
      <c r="AX13" s="51">
        <f>IFERROR(VLOOKUP($C13,Dato_Transf!$AJ:$AP,5,FALSE()),0)</f>
        <v>0</v>
      </c>
      <c r="AY13" s="51">
        <f>IFERROR(VLOOKUP($C13,Dato_Transf!$AJ:$AP,6,FALSE()),0)</f>
        <v>0</v>
      </c>
      <c r="AZ13" s="97">
        <f t="shared" ref="AZ13" si="57">(+AY13-AX13)*24</f>
        <v>0</v>
      </c>
      <c r="BA13" s="45" t="str">
        <f>IF(AZ13=0," ",VLOOKUP($C13,Dato_Transf!$AJ:$AP,7,FALSE()))</f>
        <v xml:space="preserve"> </v>
      </c>
      <c r="BB13" s="51">
        <f>IFERROR(VLOOKUP($C13,Dato_Transf!$AQ:$AW,3,FALSE()),0)</f>
        <v>0</v>
      </c>
      <c r="BC13" s="51">
        <f>IFERROR(VLOOKUP($C13,Dato_Transf!$AQ:$AW,4,FALSE()),0)</f>
        <v>0</v>
      </c>
      <c r="BD13" s="97">
        <f t="shared" ref="BD13" si="58">IF($F$6="OJO H.E. AL 100%",0,(BC13-BB13)*24)</f>
        <v>0</v>
      </c>
      <c r="BE13" s="45" t="str">
        <f>IF(BD13=0," ",VLOOKUP($C13,Dato_Transf!$AQ:$AW,7,FALSE()))</f>
        <v xml:space="preserve"> </v>
      </c>
      <c r="BF13" s="51">
        <f>IFERROR(VLOOKUP($C13,Dato_Transf!$AQ:$AW,5,FALSE()),0)</f>
        <v>0</v>
      </c>
      <c r="BG13" s="51">
        <f>IFERROR(VLOOKUP($C13,Dato_Transf!$AQ:$AW,6,FALSE()),0)</f>
        <v>0</v>
      </c>
      <c r="BH13" s="97">
        <f t="shared" ref="BH13" si="59">(+BG13-BF13)*24</f>
        <v>0</v>
      </c>
      <c r="BI13" s="45" t="str">
        <f>IF(BH13=0," ",VLOOKUP($C13,Dato_Transf!$AQ:$AW,7,FALSE()))</f>
        <v xml:space="preserve"> </v>
      </c>
      <c r="BJ13" s="95">
        <f t="shared" ref="BJ13" si="60">H13+P13+X13+AF13+AN13+AV13+BD13</f>
        <v>0</v>
      </c>
      <c r="BK13" s="96">
        <f t="shared" ref="BK13" si="61">L13+T13+AB13+AJ13+AR13+AZ13+BH13</f>
        <v>0</v>
      </c>
      <c r="BV13" s="35"/>
    </row>
    <row r="14" spans="2:74" ht="29.25" customHeight="1" x14ac:dyDescent="0.3">
      <c r="B14" s="22">
        <f>'Reporte Asistencia Laboral'!B15</f>
        <v>5</v>
      </c>
      <c r="C14" s="75" t="str">
        <f>IFERROR(VLOOKUP(D14,EMPLEADO!C:Q,15,0),"")</f>
        <v>FERNANDEZ VELEZ OSCAR FORTUNATO</v>
      </c>
      <c r="D14" s="6" t="str">
        <f>'Reporte Asistencia Laboral'!D15</f>
        <v>131244670-9</v>
      </c>
      <c r="E14" s="142"/>
      <c r="F14" s="51">
        <f>IFERROR(VLOOKUP($C14,Dato_Transf!$A:$G,3,FALSE()),0)</f>
        <v>0</v>
      </c>
      <c r="G14" s="51">
        <f>IFERROR(VLOOKUP($C14,Dato_Transf!$A:$G,4,FALSE()),0)</f>
        <v>0</v>
      </c>
      <c r="H14" s="97">
        <f t="shared" ref="H14" si="62">IF($F$6="OJO H.E. AL 100%",0,(G14-F14)*24)</f>
        <v>0</v>
      </c>
      <c r="I14" s="45" t="str">
        <f>IF(H14=0," ",VLOOKUP($C14,Dato_Transf!$A:$G,7,FALSE))</f>
        <v xml:space="preserve"> </v>
      </c>
      <c r="J14" s="51">
        <f>IFERROR(VLOOKUP($C14,Dato_Transf!$A:$G,5,FALSE()),0)</f>
        <v>0</v>
      </c>
      <c r="K14" s="51">
        <f>IFERROR(VLOOKUP($C14,Dato_Transf!$A:$G,6,FALSE()),0)</f>
        <v>0</v>
      </c>
      <c r="L14" s="97">
        <f t="shared" ref="L14" si="63">(+K14-J14)*24</f>
        <v>0</v>
      </c>
      <c r="M14" s="45" t="str">
        <f>IF(L14=0," ",VLOOKUP($C14,Dato_Transf!$A:$G,7,FALSE))</f>
        <v xml:space="preserve"> </v>
      </c>
      <c r="N14" s="51">
        <f>IFERROR(VLOOKUP($C14,Dato_Transf!$H:$N,3,FALSE()),0)</f>
        <v>0</v>
      </c>
      <c r="O14" s="51">
        <f>IFERROR(VLOOKUP($C14,Dato_Transf!$H:$N,4,FALSE()),0)</f>
        <v>0</v>
      </c>
      <c r="P14" s="97">
        <f t="shared" ref="P14" si="64">IF($F$6="OJO H.E. AL 100%",0,(O14-N14)*24)</f>
        <v>0</v>
      </c>
      <c r="Q14" s="45" t="str">
        <f>IF(P14=0," ",VLOOKUP($C14,Dato_Transf!$H:$N,7,FALSE()))</f>
        <v xml:space="preserve"> </v>
      </c>
      <c r="R14" s="51">
        <f>IFERROR(VLOOKUP($C14,Dato_Transf!$H:$N,5,FALSE()),0)</f>
        <v>0</v>
      </c>
      <c r="S14" s="51">
        <f>IFERROR(VLOOKUP($C14,Dato_Transf!$H:$N,6,FALSE()),0)</f>
        <v>0</v>
      </c>
      <c r="T14" s="97">
        <f t="shared" ref="T14" si="65">(+S14-R14)*24</f>
        <v>0</v>
      </c>
      <c r="U14" s="45" t="str">
        <f>IF(T14=0," ",VLOOKUP($C14,Dato_Transf!$H:$N,7,FALSE()))</f>
        <v xml:space="preserve"> </v>
      </c>
      <c r="V14" s="51">
        <f>IFERROR(VLOOKUP($C14,Dato_Transf!$O:$U,3,FALSE()),0)</f>
        <v>0</v>
      </c>
      <c r="W14" s="51">
        <f>IFERROR(VLOOKUP($C14,Dato_Transf!$O:$U,4,FALSE()),0)</f>
        <v>0</v>
      </c>
      <c r="X14" s="97">
        <f t="shared" ref="X14" si="66">IF($F$6="OJO H.E. AL 100%",0,(W14-V14)*24)</f>
        <v>0</v>
      </c>
      <c r="Y14" s="45" t="str">
        <f>IF(X14=0," ",VLOOKUP($C14,Dato_Transf!$O:$U,7,FALSE()))</f>
        <v xml:space="preserve"> </v>
      </c>
      <c r="Z14" s="51">
        <f>IFERROR(VLOOKUP($C14,Dato_Transf!$O:$U,5,FALSE()),0)</f>
        <v>0</v>
      </c>
      <c r="AA14" s="51">
        <f>IFERROR(VLOOKUP($C14,Dato_Transf!$O:$U,6,FALSE()),0)</f>
        <v>0</v>
      </c>
      <c r="AB14" s="97">
        <f t="shared" ref="AB14" si="67">(+AA14-Z14)*24</f>
        <v>0</v>
      </c>
      <c r="AC14" s="45" t="str">
        <f>IF(AB14=0," ",VLOOKUP($C14,Dato_Transf!$O:$U,7,FALSE()))</f>
        <v xml:space="preserve"> </v>
      </c>
      <c r="AD14" s="51">
        <f>IFERROR(VLOOKUP($C14,Dato_Transf!$V:$AB,3,FALSE()),0)</f>
        <v>0</v>
      </c>
      <c r="AE14" s="51">
        <f>IFERROR(VLOOKUP($C14,Dato_Transf!$V:$AB,4,FALSE()),0)</f>
        <v>0</v>
      </c>
      <c r="AF14" s="97">
        <f t="shared" ref="AF14" si="68">IF($F$6="OJO H.E. AL 100%",0,(AE14-AD14)*24)</f>
        <v>0</v>
      </c>
      <c r="AG14" s="45" t="str">
        <f>IF(AF14=0," ",VLOOKUP($C14,Dato_Transf!$V:$AB,7,FALSE()))</f>
        <v xml:space="preserve"> </v>
      </c>
      <c r="AH14" s="51">
        <f>IFERROR(VLOOKUP($C14,Dato_Transf!$V:$AB,5,FALSE()),0)</f>
        <v>0</v>
      </c>
      <c r="AI14" s="51">
        <f>IFERROR(VLOOKUP($C14,Dato_Transf!$V:$AB,6,FALSE()),0)</f>
        <v>0</v>
      </c>
      <c r="AJ14" s="97">
        <f t="shared" ref="AJ14" si="69">(+AI14-AH14)*24</f>
        <v>0</v>
      </c>
      <c r="AK14" s="45" t="str">
        <f>IF(AJ14=0," ",VLOOKUP($C14,Dato_Transf!$V:$AB,7,FALSE()))</f>
        <v xml:space="preserve"> </v>
      </c>
      <c r="AL14" s="51">
        <f>IFERROR(VLOOKUP($C14,Dato_Transf!$AC:$AI,3,FALSE()),0)</f>
        <v>0</v>
      </c>
      <c r="AM14" s="51">
        <f>IFERROR(VLOOKUP($C14,Dato_Transf!$AC:$AI,4,FALSE()),0)</f>
        <v>0</v>
      </c>
      <c r="AN14" s="97">
        <f t="shared" ref="AN14" si="70">IF($F$6="OJO H.E. AL 100%",0,(AM14-AL14)*24)</f>
        <v>0</v>
      </c>
      <c r="AO14" s="45" t="str">
        <f>IF(AN14=0," ",VLOOKUP($C14,Dato_Transf!$AC:$AI,7,FALSE()))</f>
        <v xml:space="preserve"> </v>
      </c>
      <c r="AP14" s="51">
        <f>IFERROR(VLOOKUP($C14,Dato_Transf!$AC:$AI,5,FALSE()),0)</f>
        <v>0</v>
      </c>
      <c r="AQ14" s="51">
        <f>IFERROR(VLOOKUP($C14,Dato_Transf!$AC:$AI,6,FALSE()),0)</f>
        <v>0</v>
      </c>
      <c r="AR14" s="97">
        <f t="shared" ref="AR14" si="71">(+AQ14-AP14)*24</f>
        <v>0</v>
      </c>
      <c r="AS14" s="45" t="str">
        <f>IF(AR14=0," ",VLOOKUP($C14,Dato_Transf!$AC:$AI,7,FALSE()))</f>
        <v xml:space="preserve"> </v>
      </c>
      <c r="AT14" s="51">
        <f>IFERROR(VLOOKUP($C14,Dato_Transf!$AJ:$AP,3,FALSE()),0)</f>
        <v>0</v>
      </c>
      <c r="AU14" s="51">
        <f>IFERROR(VLOOKUP($C14,Dato_Transf!$AJ:$AP,4,FALSE()),0)</f>
        <v>0</v>
      </c>
      <c r="AV14" s="97">
        <f t="shared" ref="AV14" si="72">IF($F$6="OJO H.E. AL 100%",0,(AU14-AT14)*24)</f>
        <v>0</v>
      </c>
      <c r="AW14" s="45" t="str">
        <f>IF(AV14=0," ",VLOOKUP($C14,Dato_Transf!$AJ:$AP,7,FALSE()))</f>
        <v xml:space="preserve"> </v>
      </c>
      <c r="AX14" s="51">
        <f>IFERROR(VLOOKUP($C14,Dato_Transf!$AJ:$AP,5,FALSE()),0)</f>
        <v>0</v>
      </c>
      <c r="AY14" s="51">
        <f>IFERROR(VLOOKUP($C14,Dato_Transf!$AJ:$AP,6,FALSE()),0)</f>
        <v>0</v>
      </c>
      <c r="AZ14" s="97">
        <f t="shared" ref="AZ14" si="73">(+AY14-AX14)*24</f>
        <v>0</v>
      </c>
      <c r="BA14" s="45" t="str">
        <f>IF(AZ14=0," ",VLOOKUP($C14,Dato_Transf!$AJ:$AP,7,FALSE()))</f>
        <v xml:space="preserve"> </v>
      </c>
      <c r="BB14" s="51">
        <f>IFERROR(VLOOKUP($C14,Dato_Transf!$AQ:$AW,3,FALSE()),0)</f>
        <v>0</v>
      </c>
      <c r="BC14" s="51">
        <f>IFERROR(VLOOKUP($C14,Dato_Transf!$AQ:$AW,4,FALSE()),0)</f>
        <v>0</v>
      </c>
      <c r="BD14" s="97">
        <f t="shared" ref="BD14" si="74">IF($F$6="OJO H.E. AL 100%",0,(BC14-BB14)*24)</f>
        <v>0</v>
      </c>
      <c r="BE14" s="45" t="str">
        <f>IF(BD14=0," ",VLOOKUP($C14,Dato_Transf!$AQ:$AW,7,FALSE()))</f>
        <v xml:space="preserve"> </v>
      </c>
      <c r="BF14" s="51">
        <f>IFERROR(VLOOKUP($C14,Dato_Transf!$AQ:$AW,5,FALSE()),0)</f>
        <v>0</v>
      </c>
      <c r="BG14" s="51">
        <f>IFERROR(VLOOKUP($C14,Dato_Transf!$AQ:$AW,6,FALSE()),0)</f>
        <v>0</v>
      </c>
      <c r="BH14" s="97">
        <f t="shared" ref="BH14" si="75">(+BG14-BF14)*24</f>
        <v>0</v>
      </c>
      <c r="BI14" s="45" t="str">
        <f>IF(BH14=0," ",VLOOKUP($C14,Dato_Transf!$AQ:$AW,7,FALSE()))</f>
        <v xml:space="preserve"> </v>
      </c>
      <c r="BJ14" s="95">
        <f t="shared" ref="BJ14" si="76">H14+P14+X14+AF14+AN14+AV14+BD14</f>
        <v>0</v>
      </c>
      <c r="BK14" s="96">
        <f t="shared" ref="BK14" si="77">L14+T14+AB14+AJ14+AR14+AZ14+BH14</f>
        <v>0</v>
      </c>
    </row>
    <row r="15" spans="2:74" ht="29.25" customHeight="1" x14ac:dyDescent="0.3">
      <c r="B15" s="22">
        <f>'Reporte Asistencia Laboral'!B16</f>
        <v>6</v>
      </c>
      <c r="C15" s="75" t="str">
        <f>IFERROR(VLOOKUP(D15,EMPLEADO!C:Q,15,0),"")</f>
        <v>CAMACHO CAMACHO CHRISTIAN EDUARDO</v>
      </c>
      <c r="D15" s="6" t="str">
        <f>'Reporte Asistencia Laboral'!D16</f>
        <v>115087646-2</v>
      </c>
      <c r="E15" s="142"/>
      <c r="F15" s="51">
        <f>IFERROR(VLOOKUP($C15,Dato_Transf!$A:$G,3,FALSE()),0)</f>
        <v>0</v>
      </c>
      <c r="G15" s="51">
        <f>IFERROR(VLOOKUP($C15,Dato_Transf!$A:$G,4,FALSE()),0)</f>
        <v>0</v>
      </c>
      <c r="H15" s="97">
        <f t="shared" ref="H15" si="78">IF($F$6="OJO H.E. AL 100%",0,(G15-F15)*24)</f>
        <v>0</v>
      </c>
      <c r="I15" s="45" t="str">
        <f>IF(H15=0," ",VLOOKUP($C15,Dato_Transf!$A:$G,7,FALSE))</f>
        <v xml:space="preserve"> </v>
      </c>
      <c r="J15" s="51">
        <f>IFERROR(VLOOKUP($C15,Dato_Transf!$A:$G,5,FALSE()),0)</f>
        <v>0</v>
      </c>
      <c r="K15" s="51">
        <f>IFERROR(VLOOKUP($C15,Dato_Transf!$A:$G,6,FALSE()),0)</f>
        <v>0</v>
      </c>
      <c r="L15" s="97">
        <f t="shared" ref="L15" si="79">(+K15-J15)*24</f>
        <v>0</v>
      </c>
      <c r="M15" s="45" t="str">
        <f>IF(L15=0," ",VLOOKUP($C15,Dato_Transf!$A:$G,7,FALSE))</f>
        <v xml:space="preserve"> </v>
      </c>
      <c r="N15" s="51">
        <f>IFERROR(VLOOKUP($C15,Dato_Transf!$H:$N,3,FALSE()),0)</f>
        <v>0</v>
      </c>
      <c r="O15" s="51">
        <f>IFERROR(VLOOKUP($C15,Dato_Transf!$H:$N,4,FALSE()),0)</f>
        <v>0</v>
      </c>
      <c r="P15" s="97">
        <f t="shared" ref="P15" si="80">IF($F$6="OJO H.E. AL 100%",0,(O15-N15)*24)</f>
        <v>0</v>
      </c>
      <c r="Q15" s="45" t="str">
        <f>IF(P15=0," ",VLOOKUP($C15,Dato_Transf!$H:$N,7,FALSE()))</f>
        <v xml:space="preserve"> </v>
      </c>
      <c r="R15" s="51">
        <f>IFERROR(VLOOKUP($C15,Dato_Transf!$H:$N,5,FALSE()),0)</f>
        <v>0</v>
      </c>
      <c r="S15" s="51">
        <f>IFERROR(VLOOKUP($C15,Dato_Transf!$H:$N,6,FALSE()),0)</f>
        <v>0</v>
      </c>
      <c r="T15" s="97">
        <f t="shared" ref="T15" si="81">(+S15-R15)*24</f>
        <v>0</v>
      </c>
      <c r="U15" s="45" t="str">
        <f>IF(T15=0," ",VLOOKUP($C15,Dato_Transf!$H:$N,7,FALSE()))</f>
        <v xml:space="preserve"> </v>
      </c>
      <c r="V15" s="51">
        <f>IFERROR(VLOOKUP($C15,Dato_Transf!$O:$U,3,FALSE()),0)</f>
        <v>0</v>
      </c>
      <c r="W15" s="51">
        <f>IFERROR(VLOOKUP($C15,Dato_Transf!$O:$U,4,FALSE()),0)</f>
        <v>0</v>
      </c>
      <c r="X15" s="97">
        <f t="shared" ref="X15" si="82">IF($F$6="OJO H.E. AL 100%",0,(W15-V15)*24)</f>
        <v>0</v>
      </c>
      <c r="Y15" s="45" t="str">
        <f>IF(X15=0," ",VLOOKUP($C15,Dato_Transf!$O:$U,7,FALSE()))</f>
        <v xml:space="preserve"> </v>
      </c>
      <c r="Z15" s="51">
        <f>IFERROR(VLOOKUP($C15,Dato_Transf!$O:$U,5,FALSE()),0)</f>
        <v>0</v>
      </c>
      <c r="AA15" s="51">
        <f>IFERROR(VLOOKUP($C15,Dato_Transf!$O:$U,6,FALSE()),0)</f>
        <v>0</v>
      </c>
      <c r="AB15" s="97">
        <f t="shared" ref="AB15" si="83">(+AA15-Z15)*24</f>
        <v>0</v>
      </c>
      <c r="AC15" s="45" t="str">
        <f>IF(AB15=0," ",VLOOKUP($C15,Dato_Transf!$O:$U,7,FALSE()))</f>
        <v xml:space="preserve"> </v>
      </c>
      <c r="AD15" s="51">
        <f>IFERROR(VLOOKUP($C15,Dato_Transf!$V:$AB,3,FALSE()),0)</f>
        <v>0</v>
      </c>
      <c r="AE15" s="51">
        <f>IFERROR(VLOOKUP($C15,Dato_Transf!$V:$AB,4,FALSE()),0)</f>
        <v>0</v>
      </c>
      <c r="AF15" s="97">
        <f t="shared" ref="AF15" si="84">IF($F$6="OJO H.E. AL 100%",0,(AE15-AD15)*24)</f>
        <v>0</v>
      </c>
      <c r="AG15" s="45" t="str">
        <f>IF(AF15=0," ",VLOOKUP($C15,Dato_Transf!$V:$AB,7,FALSE()))</f>
        <v xml:space="preserve"> </v>
      </c>
      <c r="AH15" s="51">
        <f>IFERROR(VLOOKUP($C15,Dato_Transf!$V:$AB,5,FALSE()),0)</f>
        <v>0</v>
      </c>
      <c r="AI15" s="51">
        <f>IFERROR(VLOOKUP($C15,Dato_Transf!$V:$AB,6,FALSE()),0)</f>
        <v>0</v>
      </c>
      <c r="AJ15" s="97">
        <f t="shared" ref="AJ15" si="85">(+AI15-AH15)*24</f>
        <v>0</v>
      </c>
      <c r="AK15" s="45" t="str">
        <f>IF(AJ15=0," ",VLOOKUP($C15,Dato_Transf!$V:$AB,7,FALSE()))</f>
        <v xml:space="preserve"> </v>
      </c>
      <c r="AL15" s="51">
        <f>IFERROR(VLOOKUP($C15,Dato_Transf!$AC:$AI,3,FALSE()),0)</f>
        <v>0</v>
      </c>
      <c r="AM15" s="51">
        <f>IFERROR(VLOOKUP($C15,Dato_Transf!$AC:$AI,4,FALSE()),0)</f>
        <v>0</v>
      </c>
      <c r="AN15" s="97">
        <f t="shared" ref="AN15" si="86">IF($F$6="OJO H.E. AL 100%",0,(AM15-AL15)*24)</f>
        <v>0</v>
      </c>
      <c r="AO15" s="45" t="str">
        <f>IF(AN15=0," ",VLOOKUP($C15,Dato_Transf!$AC:$AI,7,FALSE()))</f>
        <v xml:space="preserve"> </v>
      </c>
      <c r="AP15" s="51">
        <f>IFERROR(VLOOKUP($C15,Dato_Transf!$AC:$AI,5,FALSE()),0)</f>
        <v>0</v>
      </c>
      <c r="AQ15" s="51">
        <f>IFERROR(VLOOKUP($C15,Dato_Transf!$AC:$AI,6,FALSE()),0)</f>
        <v>0</v>
      </c>
      <c r="AR15" s="97">
        <f t="shared" ref="AR15" si="87">(+AQ15-AP15)*24</f>
        <v>0</v>
      </c>
      <c r="AS15" s="45" t="str">
        <f>IF(AR15=0," ",VLOOKUP($C15,Dato_Transf!$AC:$AI,7,FALSE()))</f>
        <v xml:space="preserve"> </v>
      </c>
      <c r="AT15" s="51">
        <f>IFERROR(VLOOKUP($C15,Dato_Transf!$AJ:$AP,3,FALSE()),0)</f>
        <v>0</v>
      </c>
      <c r="AU15" s="51">
        <f>IFERROR(VLOOKUP($C15,Dato_Transf!$AJ:$AP,4,FALSE()),0)</f>
        <v>0</v>
      </c>
      <c r="AV15" s="97">
        <f t="shared" ref="AV15" si="88">IF($F$6="OJO H.E. AL 100%",0,(AU15-AT15)*24)</f>
        <v>0</v>
      </c>
      <c r="AW15" s="45" t="str">
        <f>IF(AV15=0," ",VLOOKUP($C15,Dato_Transf!$AJ:$AP,7,FALSE()))</f>
        <v xml:space="preserve"> </v>
      </c>
      <c r="AX15" s="51">
        <f>IFERROR(VLOOKUP($C15,Dato_Transf!$AJ:$AP,5,FALSE()),0)</f>
        <v>0</v>
      </c>
      <c r="AY15" s="51">
        <f>IFERROR(VLOOKUP($C15,Dato_Transf!$AJ:$AP,6,FALSE()),0)</f>
        <v>0</v>
      </c>
      <c r="AZ15" s="97">
        <f t="shared" ref="AZ15" si="89">(+AY15-AX15)*24</f>
        <v>0</v>
      </c>
      <c r="BA15" s="45" t="str">
        <f>IF(AZ15=0," ",VLOOKUP($C15,Dato_Transf!$AJ:$AP,7,FALSE()))</f>
        <v xml:space="preserve"> </v>
      </c>
      <c r="BB15" s="51">
        <f>IFERROR(VLOOKUP($C15,Dato_Transf!$AQ:$AW,3,FALSE()),0)</f>
        <v>0</v>
      </c>
      <c r="BC15" s="51">
        <f>IFERROR(VLOOKUP($C15,Dato_Transf!$AQ:$AW,4,FALSE()),0)</f>
        <v>0</v>
      </c>
      <c r="BD15" s="97">
        <f t="shared" ref="BD15" si="90">IF($F$6="OJO H.E. AL 100%",0,(BC15-BB15)*24)</f>
        <v>0</v>
      </c>
      <c r="BE15" s="45" t="str">
        <f>IF(BD15=0," ",VLOOKUP($C15,Dato_Transf!$AQ:$AW,7,FALSE()))</f>
        <v xml:space="preserve"> </v>
      </c>
      <c r="BF15" s="51">
        <f>IFERROR(VLOOKUP($C15,Dato_Transf!$AQ:$AW,5,FALSE()),0)</f>
        <v>0</v>
      </c>
      <c r="BG15" s="51">
        <f>IFERROR(VLOOKUP($C15,Dato_Transf!$AQ:$AW,6,FALSE()),0)</f>
        <v>0</v>
      </c>
      <c r="BH15" s="97">
        <f t="shared" ref="BH15" si="91">(+BG15-BF15)*24</f>
        <v>0</v>
      </c>
      <c r="BI15" s="45" t="str">
        <f>IF(BH15=0," ",VLOOKUP($C15,Dato_Transf!$AQ:$AW,7,FALSE()))</f>
        <v xml:space="preserve"> </v>
      </c>
      <c r="BJ15" s="95">
        <f t="shared" ref="BJ15" si="92">H15+P15+X15+AF15+AN15+AV15+BD15</f>
        <v>0</v>
      </c>
      <c r="BK15" s="96">
        <f t="shared" ref="BK15" si="93">L15+T15+AB15+AJ15+AR15+AZ15+BH15</f>
        <v>0</v>
      </c>
    </row>
    <row r="16" spans="2:74" ht="29.25" customHeight="1" x14ac:dyDescent="0.3">
      <c r="B16" s="22">
        <f>'Reporte Asistencia Laboral'!B17</f>
        <v>7</v>
      </c>
      <c r="C16" s="75" t="str">
        <f>IFERROR(VLOOKUP(D16,EMPLEADO!C:Q,15,0),"")</f>
        <v>HERRERA ORDOÑEZ ELVIS ANTONIO</v>
      </c>
      <c r="D16" s="6" t="str">
        <f>'Reporte Asistencia Laboral'!D17</f>
        <v>110579002-4</v>
      </c>
      <c r="E16" s="142"/>
      <c r="F16" s="51">
        <f>IFERROR(VLOOKUP($C16,Dato_Transf!$A:$G,3,FALSE()),0)</f>
        <v>0</v>
      </c>
      <c r="G16" s="51">
        <f>IFERROR(VLOOKUP($C16,Dato_Transf!$A:$G,4,FALSE()),0)</f>
        <v>0</v>
      </c>
      <c r="H16" s="97">
        <f t="shared" ref="H16" si="94">IF($F$6="OJO H.E. AL 100%",0,(G16-F16)*24)</f>
        <v>0</v>
      </c>
      <c r="I16" s="45" t="str">
        <f>IF(H16=0," ",VLOOKUP($C16,Dato_Transf!$A:$G,7,FALSE))</f>
        <v xml:space="preserve"> </v>
      </c>
      <c r="J16" s="51">
        <f>IFERROR(VLOOKUP($C16,Dato_Transf!$A:$G,5,FALSE()),0)</f>
        <v>0</v>
      </c>
      <c r="K16" s="51">
        <f>IFERROR(VLOOKUP($C16,Dato_Transf!$A:$G,6,FALSE()),0)</f>
        <v>0</v>
      </c>
      <c r="L16" s="97">
        <f t="shared" ref="L16" si="95">(+K16-J16)*24</f>
        <v>0</v>
      </c>
      <c r="M16" s="45" t="str">
        <f>IF(L16=0," ",VLOOKUP($C16,Dato_Transf!$A:$G,7,FALSE))</f>
        <v xml:space="preserve"> </v>
      </c>
      <c r="N16" s="51">
        <f>IFERROR(VLOOKUP($C16,Dato_Transf!$H:$N,3,FALSE()),0)</f>
        <v>0</v>
      </c>
      <c r="O16" s="51">
        <f>IFERROR(VLOOKUP($C16,Dato_Transf!$H:$N,4,FALSE()),0)</f>
        <v>0</v>
      </c>
      <c r="P16" s="97">
        <f t="shared" ref="P16" si="96">IF($F$6="OJO H.E. AL 100%",0,(O16-N16)*24)</f>
        <v>0</v>
      </c>
      <c r="Q16" s="45" t="str">
        <f>IF(P16=0," ",VLOOKUP($C16,Dato_Transf!$H:$N,7,FALSE()))</f>
        <v xml:space="preserve"> </v>
      </c>
      <c r="R16" s="51">
        <f>IFERROR(VLOOKUP($C16,Dato_Transf!$H:$N,5,FALSE()),0)</f>
        <v>0</v>
      </c>
      <c r="S16" s="51">
        <f>IFERROR(VLOOKUP($C16,Dato_Transf!$H:$N,6,FALSE()),0)</f>
        <v>0</v>
      </c>
      <c r="T16" s="97">
        <f t="shared" ref="T16" si="97">(+S16-R16)*24</f>
        <v>0</v>
      </c>
      <c r="U16" s="45" t="str">
        <f>IF(T16=0," ",VLOOKUP($C16,Dato_Transf!$H:$N,7,FALSE()))</f>
        <v xml:space="preserve"> </v>
      </c>
      <c r="V16" s="51">
        <f>IFERROR(VLOOKUP($C16,Dato_Transf!$O:$U,3,FALSE()),0)</f>
        <v>0</v>
      </c>
      <c r="W16" s="51">
        <f>IFERROR(VLOOKUP($C16,Dato_Transf!$O:$U,4,FALSE()),0)</f>
        <v>0</v>
      </c>
      <c r="X16" s="97">
        <f t="shared" ref="X16" si="98">IF($F$6="OJO H.E. AL 100%",0,(W16-V16)*24)</f>
        <v>0</v>
      </c>
      <c r="Y16" s="45" t="str">
        <f>IF(X16=0," ",VLOOKUP($C16,Dato_Transf!$O:$U,7,FALSE()))</f>
        <v xml:space="preserve"> </v>
      </c>
      <c r="Z16" s="51">
        <f>IFERROR(VLOOKUP($C16,Dato_Transf!$O:$U,5,FALSE()),0)</f>
        <v>0</v>
      </c>
      <c r="AA16" s="51">
        <f>IFERROR(VLOOKUP($C16,Dato_Transf!$O:$U,6,FALSE()),0)</f>
        <v>0</v>
      </c>
      <c r="AB16" s="97">
        <f t="shared" ref="AB16" si="99">(+AA16-Z16)*24</f>
        <v>0</v>
      </c>
      <c r="AC16" s="45" t="str">
        <f>IF(AB16=0," ",VLOOKUP($C16,Dato_Transf!$O:$U,7,FALSE()))</f>
        <v xml:space="preserve"> </v>
      </c>
      <c r="AD16" s="51">
        <f>IFERROR(VLOOKUP($C16,Dato_Transf!$V:$AB,3,FALSE()),0)</f>
        <v>0</v>
      </c>
      <c r="AE16" s="51">
        <f>IFERROR(VLOOKUP($C16,Dato_Transf!$V:$AB,4,FALSE()),0)</f>
        <v>0</v>
      </c>
      <c r="AF16" s="97">
        <f t="shared" ref="AF16" si="100">IF($F$6="OJO H.E. AL 100%",0,(AE16-AD16)*24)</f>
        <v>0</v>
      </c>
      <c r="AG16" s="45" t="str">
        <f>IF(AF16=0," ",VLOOKUP($C16,Dato_Transf!$V:$AB,7,FALSE()))</f>
        <v xml:space="preserve"> </v>
      </c>
      <c r="AH16" s="51">
        <f>IFERROR(VLOOKUP($C16,Dato_Transf!$V:$AB,5,FALSE()),0)</f>
        <v>0</v>
      </c>
      <c r="AI16" s="51">
        <f>IFERROR(VLOOKUP($C16,Dato_Transf!$V:$AB,6,FALSE()),0)</f>
        <v>0</v>
      </c>
      <c r="AJ16" s="97">
        <f t="shared" ref="AJ16" si="101">(+AI16-AH16)*24</f>
        <v>0</v>
      </c>
      <c r="AK16" s="45" t="str">
        <f>IF(AJ16=0," ",VLOOKUP($C16,Dato_Transf!$V:$AB,7,FALSE()))</f>
        <v xml:space="preserve"> </v>
      </c>
      <c r="AL16" s="51">
        <f>IFERROR(VLOOKUP($C16,Dato_Transf!$AC:$AI,3,FALSE()),0)</f>
        <v>0</v>
      </c>
      <c r="AM16" s="51">
        <f>IFERROR(VLOOKUP($C16,Dato_Transf!$AC:$AI,4,FALSE()),0)</f>
        <v>0</v>
      </c>
      <c r="AN16" s="97">
        <f t="shared" ref="AN16" si="102">IF($F$6="OJO H.E. AL 100%",0,(AM16-AL16)*24)</f>
        <v>0</v>
      </c>
      <c r="AO16" s="45" t="str">
        <f>IF(AN16=0," ",VLOOKUP($C16,Dato_Transf!$AC:$AI,7,FALSE()))</f>
        <v xml:space="preserve"> </v>
      </c>
      <c r="AP16" s="51">
        <f>IFERROR(VLOOKUP($C16,Dato_Transf!$AC:$AI,5,FALSE()),0)</f>
        <v>0</v>
      </c>
      <c r="AQ16" s="51">
        <f>IFERROR(VLOOKUP($C16,Dato_Transf!$AC:$AI,6,FALSE()),0)</f>
        <v>0</v>
      </c>
      <c r="AR16" s="97">
        <f t="shared" ref="AR16" si="103">(+AQ16-AP16)*24</f>
        <v>0</v>
      </c>
      <c r="AS16" s="45" t="str">
        <f>IF(AR16=0," ",VLOOKUP($C16,Dato_Transf!$AC:$AI,7,FALSE()))</f>
        <v xml:space="preserve"> </v>
      </c>
      <c r="AT16" s="51">
        <f>IFERROR(VLOOKUP($C16,Dato_Transf!$AJ:$AP,3,FALSE()),0)</f>
        <v>0</v>
      </c>
      <c r="AU16" s="51">
        <f>IFERROR(VLOOKUP($C16,Dato_Transf!$AJ:$AP,4,FALSE()),0)</f>
        <v>0</v>
      </c>
      <c r="AV16" s="97">
        <f t="shared" ref="AV16" si="104">IF($F$6="OJO H.E. AL 100%",0,(AU16-AT16)*24)</f>
        <v>0</v>
      </c>
      <c r="AW16" s="45" t="str">
        <f>IF(AV16=0," ",VLOOKUP($C16,Dato_Transf!$AJ:$AP,7,FALSE()))</f>
        <v xml:space="preserve"> </v>
      </c>
      <c r="AX16" s="51">
        <f>IFERROR(VLOOKUP($C16,Dato_Transf!$AJ:$AP,5,FALSE()),0)</f>
        <v>0</v>
      </c>
      <c r="AY16" s="51">
        <f>IFERROR(VLOOKUP($C16,Dato_Transf!$AJ:$AP,6,FALSE()),0)</f>
        <v>0</v>
      </c>
      <c r="AZ16" s="97">
        <f t="shared" ref="AZ16" si="105">(+AY16-AX16)*24</f>
        <v>0</v>
      </c>
      <c r="BA16" s="45" t="str">
        <f>IF(AZ16=0," ",VLOOKUP($C16,Dato_Transf!$AJ:$AP,7,FALSE()))</f>
        <v xml:space="preserve"> </v>
      </c>
      <c r="BB16" s="51">
        <f>IFERROR(VLOOKUP($C16,Dato_Transf!$AQ:$AW,3,FALSE()),0)</f>
        <v>0</v>
      </c>
      <c r="BC16" s="51">
        <f>IFERROR(VLOOKUP($C16,Dato_Transf!$AQ:$AW,4,FALSE()),0)</f>
        <v>0</v>
      </c>
      <c r="BD16" s="97">
        <f t="shared" ref="BD16" si="106">IF($F$6="OJO H.E. AL 100%",0,(BC16-BB16)*24)</f>
        <v>0</v>
      </c>
      <c r="BE16" s="45" t="str">
        <f>IF(BD16=0," ",VLOOKUP($C16,Dato_Transf!$AQ:$AW,7,FALSE()))</f>
        <v xml:space="preserve"> </v>
      </c>
      <c r="BF16" s="51">
        <f>IFERROR(VLOOKUP($C16,Dato_Transf!$AQ:$AW,5,FALSE()),0)</f>
        <v>0</v>
      </c>
      <c r="BG16" s="51">
        <f>IFERROR(VLOOKUP($C16,Dato_Transf!$AQ:$AW,6,FALSE()),0)</f>
        <v>0</v>
      </c>
      <c r="BH16" s="97">
        <f t="shared" ref="BH16" si="107">(+BG16-BF16)*24</f>
        <v>0</v>
      </c>
      <c r="BI16" s="45" t="str">
        <f>IF(BH16=0," ",VLOOKUP($C16,Dato_Transf!$AQ:$AW,7,FALSE()))</f>
        <v xml:space="preserve"> </v>
      </c>
      <c r="BJ16" s="95">
        <f t="shared" ref="BJ16" si="108">H16+P16+X16+AF16+AN16+AV16+BD16</f>
        <v>0</v>
      </c>
      <c r="BK16" s="96">
        <f t="shared" ref="BK16" si="109">L16+T16+AB16+AJ16+AR16+AZ16+BH16</f>
        <v>0</v>
      </c>
    </row>
    <row r="17" spans="2:63" ht="29.25" customHeight="1" x14ac:dyDescent="0.3">
      <c r="B17" s="22">
        <f>'Reporte Asistencia Laboral'!B18</f>
        <v>8</v>
      </c>
      <c r="C17" s="75" t="str">
        <f>IFERROR(VLOOKUP(D17,EMPLEADO!C:Q,15,0),"")</f>
        <v>AREVALO SANCHEZ MAURICIO RAFAEL</v>
      </c>
      <c r="D17" s="6" t="str">
        <f>'Reporte Asistencia Laboral'!D18</f>
        <v>110606565-7</v>
      </c>
      <c r="E17" s="142"/>
      <c r="F17" s="51">
        <f>IFERROR(VLOOKUP($C17,Dato_Transf!$A:$G,3,FALSE()),0)</f>
        <v>0</v>
      </c>
      <c r="G17" s="51">
        <f>IFERROR(VLOOKUP($C17,Dato_Transf!$A:$G,4,FALSE()),0)</f>
        <v>0</v>
      </c>
      <c r="H17" s="97">
        <f t="shared" ref="H17" si="110">IF($F$6="OJO H.E. AL 100%",0,(G17-F17)*24)</f>
        <v>0</v>
      </c>
      <c r="I17" s="45" t="str">
        <f>IF(H17=0," ",VLOOKUP($C17,Dato_Transf!$A:$G,7,FALSE))</f>
        <v xml:space="preserve"> </v>
      </c>
      <c r="J17" s="51">
        <f>IFERROR(VLOOKUP($C17,Dato_Transf!$A:$G,5,FALSE()),0)</f>
        <v>0</v>
      </c>
      <c r="K17" s="51">
        <f>IFERROR(VLOOKUP($C17,Dato_Transf!$A:$G,6,FALSE()),0)</f>
        <v>0</v>
      </c>
      <c r="L17" s="97">
        <f t="shared" ref="L17" si="111">(+K17-J17)*24</f>
        <v>0</v>
      </c>
      <c r="M17" s="45" t="str">
        <f>IF(L17=0," ",VLOOKUP($C17,Dato_Transf!$A:$G,7,FALSE))</f>
        <v xml:space="preserve"> </v>
      </c>
      <c r="N17" s="51">
        <f>IFERROR(VLOOKUP($C17,Dato_Transf!$H:$N,3,FALSE()),0)</f>
        <v>0</v>
      </c>
      <c r="O17" s="51">
        <f>IFERROR(VLOOKUP($C17,Dato_Transf!$H:$N,4,FALSE()),0)</f>
        <v>0</v>
      </c>
      <c r="P17" s="97">
        <f t="shared" ref="P17" si="112">IF($F$6="OJO H.E. AL 100%",0,(O17-N17)*24)</f>
        <v>0</v>
      </c>
      <c r="Q17" s="45" t="str">
        <f>IF(P17=0," ",VLOOKUP($C17,Dato_Transf!$H:$N,7,FALSE()))</f>
        <v xml:space="preserve"> </v>
      </c>
      <c r="R17" s="51">
        <f>IFERROR(VLOOKUP($C17,Dato_Transf!$H:$N,5,FALSE()),0)</f>
        <v>0</v>
      </c>
      <c r="S17" s="51">
        <f>IFERROR(VLOOKUP($C17,Dato_Transf!$H:$N,6,FALSE()),0)</f>
        <v>0</v>
      </c>
      <c r="T17" s="97">
        <f t="shared" ref="T17" si="113">(+S17-R17)*24</f>
        <v>0</v>
      </c>
      <c r="U17" s="45" t="str">
        <f>IF(T17=0," ",VLOOKUP($C17,Dato_Transf!$H:$N,7,FALSE()))</f>
        <v xml:space="preserve"> </v>
      </c>
      <c r="V17" s="51">
        <f>IFERROR(VLOOKUP($C17,Dato_Transf!$O:$U,3,FALSE()),0)</f>
        <v>0</v>
      </c>
      <c r="W17" s="51">
        <f>IFERROR(VLOOKUP($C17,Dato_Transf!$O:$U,4,FALSE()),0)</f>
        <v>0</v>
      </c>
      <c r="X17" s="97">
        <f t="shared" ref="X17" si="114">IF($F$6="OJO H.E. AL 100%",0,(W17-V17)*24)</f>
        <v>0</v>
      </c>
      <c r="Y17" s="45" t="str">
        <f>IF(X17=0," ",VLOOKUP($C17,Dato_Transf!$O:$U,7,FALSE()))</f>
        <v xml:space="preserve"> </v>
      </c>
      <c r="Z17" s="51">
        <f>IFERROR(VLOOKUP($C17,Dato_Transf!$O:$U,5,FALSE()),0)</f>
        <v>0</v>
      </c>
      <c r="AA17" s="51">
        <f>IFERROR(VLOOKUP($C17,Dato_Transf!$O:$U,6,FALSE()),0)</f>
        <v>0</v>
      </c>
      <c r="AB17" s="97">
        <f t="shared" ref="AB17" si="115">(+AA17-Z17)*24</f>
        <v>0</v>
      </c>
      <c r="AC17" s="45" t="str">
        <f>IF(AB17=0," ",VLOOKUP($C17,Dato_Transf!$O:$U,7,FALSE()))</f>
        <v xml:space="preserve"> </v>
      </c>
      <c r="AD17" s="51">
        <f>IFERROR(VLOOKUP($C17,Dato_Transf!$V:$AB,3,FALSE()),0)</f>
        <v>0</v>
      </c>
      <c r="AE17" s="51">
        <f>IFERROR(VLOOKUP($C17,Dato_Transf!$V:$AB,4,FALSE()),0)</f>
        <v>0</v>
      </c>
      <c r="AF17" s="97">
        <f t="shared" ref="AF17" si="116">IF($F$6="OJO H.E. AL 100%",0,(AE17-AD17)*24)</f>
        <v>0</v>
      </c>
      <c r="AG17" s="45" t="str">
        <f>IF(AF17=0," ",VLOOKUP($C17,Dato_Transf!$V:$AB,7,FALSE()))</f>
        <v xml:space="preserve"> </v>
      </c>
      <c r="AH17" s="51">
        <f>IFERROR(VLOOKUP($C17,Dato_Transf!$V:$AB,5,FALSE()),0)</f>
        <v>0</v>
      </c>
      <c r="AI17" s="51">
        <f>IFERROR(VLOOKUP($C17,Dato_Transf!$V:$AB,6,FALSE()),0)</f>
        <v>0</v>
      </c>
      <c r="AJ17" s="97">
        <f t="shared" ref="AJ17" si="117">(+AI17-AH17)*24</f>
        <v>0</v>
      </c>
      <c r="AK17" s="45" t="str">
        <f>IF(AJ17=0," ",VLOOKUP($C17,Dato_Transf!$V:$AB,7,FALSE()))</f>
        <v xml:space="preserve"> </v>
      </c>
      <c r="AL17" s="51">
        <f>IFERROR(VLOOKUP($C17,Dato_Transf!$AC:$AI,3,FALSE()),0)</f>
        <v>0</v>
      </c>
      <c r="AM17" s="51">
        <f>IFERROR(VLOOKUP($C17,Dato_Transf!$AC:$AI,4,FALSE()),0)</f>
        <v>0</v>
      </c>
      <c r="AN17" s="97">
        <f t="shared" ref="AN17" si="118">IF($F$6="OJO H.E. AL 100%",0,(AM17-AL17)*24)</f>
        <v>0</v>
      </c>
      <c r="AO17" s="45" t="str">
        <f>IF(AN17=0," ",VLOOKUP($C17,Dato_Transf!$AC:$AI,7,FALSE()))</f>
        <v xml:space="preserve"> </v>
      </c>
      <c r="AP17" s="51">
        <f>IFERROR(VLOOKUP($C17,Dato_Transf!$AC:$AI,5,FALSE()),0)</f>
        <v>0</v>
      </c>
      <c r="AQ17" s="51">
        <f>IFERROR(VLOOKUP($C17,Dato_Transf!$AC:$AI,6,FALSE()),0)</f>
        <v>0</v>
      </c>
      <c r="AR17" s="97">
        <f t="shared" ref="AR17" si="119">(+AQ17-AP17)*24</f>
        <v>0</v>
      </c>
      <c r="AS17" s="45" t="str">
        <f>IF(AR17=0," ",VLOOKUP($C17,Dato_Transf!$AC:$AI,7,FALSE()))</f>
        <v xml:space="preserve"> </v>
      </c>
      <c r="AT17" s="51">
        <f>IFERROR(VLOOKUP($C17,Dato_Transf!$AJ:$AP,3,FALSE()),0)</f>
        <v>0</v>
      </c>
      <c r="AU17" s="51">
        <f>IFERROR(VLOOKUP($C17,Dato_Transf!$AJ:$AP,4,FALSE()),0)</f>
        <v>0</v>
      </c>
      <c r="AV17" s="97">
        <f t="shared" ref="AV17" si="120">IF($F$6="OJO H.E. AL 100%",0,(AU17-AT17)*24)</f>
        <v>0</v>
      </c>
      <c r="AW17" s="45" t="str">
        <f>IF(AV17=0," ",VLOOKUP($C17,Dato_Transf!$AJ:$AP,7,FALSE()))</f>
        <v xml:space="preserve"> </v>
      </c>
      <c r="AX17" s="51">
        <f>IFERROR(VLOOKUP($C17,Dato_Transf!$AJ:$AP,5,FALSE()),0)</f>
        <v>0</v>
      </c>
      <c r="AY17" s="51">
        <f>IFERROR(VLOOKUP($C17,Dato_Transf!$AJ:$AP,6,FALSE()),0)</f>
        <v>0</v>
      </c>
      <c r="AZ17" s="97">
        <f t="shared" ref="AZ17" si="121">(+AY17-AX17)*24</f>
        <v>0</v>
      </c>
      <c r="BA17" s="45" t="str">
        <f>IF(AZ17=0," ",VLOOKUP($C17,Dato_Transf!$AJ:$AP,7,FALSE()))</f>
        <v xml:space="preserve"> </v>
      </c>
      <c r="BB17" s="51">
        <f>IFERROR(VLOOKUP($C17,Dato_Transf!$AQ:$AW,3,FALSE()),0)</f>
        <v>0</v>
      </c>
      <c r="BC17" s="51">
        <f>IFERROR(VLOOKUP($C17,Dato_Transf!$AQ:$AW,4,FALSE()),0)</f>
        <v>0</v>
      </c>
      <c r="BD17" s="97">
        <f t="shared" ref="BD17" si="122">IF($F$6="OJO H.E. AL 100%",0,(BC17-BB17)*24)</f>
        <v>0</v>
      </c>
      <c r="BE17" s="45" t="str">
        <f>IF(BD17=0," ",VLOOKUP($C17,Dato_Transf!$AQ:$AW,7,FALSE()))</f>
        <v xml:space="preserve"> </v>
      </c>
      <c r="BF17" s="51">
        <f>IFERROR(VLOOKUP($C17,Dato_Transf!$AQ:$AW,5,FALSE()),0)</f>
        <v>0</v>
      </c>
      <c r="BG17" s="51">
        <f>IFERROR(VLOOKUP($C17,Dato_Transf!$AQ:$AW,6,FALSE()),0)</f>
        <v>0</v>
      </c>
      <c r="BH17" s="97">
        <f t="shared" ref="BH17" si="123">(+BG17-BF17)*24</f>
        <v>0</v>
      </c>
      <c r="BI17" s="45" t="str">
        <f>IF(BH17=0," ",VLOOKUP($C17,Dato_Transf!$AQ:$AW,7,FALSE()))</f>
        <v xml:space="preserve"> </v>
      </c>
      <c r="BJ17" s="95">
        <f t="shared" ref="BJ17" si="124">H17+P17+X17+AF17+AN17+AV17+BD17</f>
        <v>0</v>
      </c>
      <c r="BK17" s="96">
        <f t="shared" ref="BK17" si="125">L17+T17+AB17+AJ17+AR17+AZ17+BH17</f>
        <v>0</v>
      </c>
    </row>
    <row r="18" spans="2:63" ht="29.25" customHeight="1" x14ac:dyDescent="0.3">
      <c r="B18" s="22">
        <f>'Reporte Asistencia Laboral'!B19</f>
        <v>9</v>
      </c>
      <c r="C18" s="75" t="str">
        <f>IFERROR(VLOOKUP(D18,EMPLEADO!C:Q,15,0),"")</f>
        <v>CALLE RAMOS JHONNY RENE</v>
      </c>
      <c r="D18" s="6" t="str">
        <f>'Reporte Asistencia Laboral'!D19</f>
        <v>110525109-2</v>
      </c>
      <c r="E18" s="142"/>
      <c r="F18" s="51">
        <f>IFERROR(VLOOKUP($C18,Dato_Transf!$A:$G,3,FALSE()),0)</f>
        <v>0</v>
      </c>
      <c r="G18" s="51">
        <f>IFERROR(VLOOKUP($C18,Dato_Transf!$A:$G,4,FALSE()),0)</f>
        <v>0</v>
      </c>
      <c r="H18" s="97">
        <f t="shared" ref="H18" si="126">IF($F$6="OJO H.E. AL 100%",0,(G18-F18)*24)</f>
        <v>0</v>
      </c>
      <c r="I18" s="45" t="str">
        <f>IF(H18=0," ",VLOOKUP($C18,Dato_Transf!$A:$G,7,FALSE))</f>
        <v xml:space="preserve"> </v>
      </c>
      <c r="J18" s="51">
        <f>IFERROR(VLOOKUP($C18,Dato_Transf!$A:$G,5,FALSE()),0)</f>
        <v>0</v>
      </c>
      <c r="K18" s="51">
        <f>IFERROR(VLOOKUP($C18,Dato_Transf!$A:$G,6,FALSE()),0)</f>
        <v>0</v>
      </c>
      <c r="L18" s="97">
        <f t="shared" ref="L18" si="127">(+K18-J18)*24</f>
        <v>0</v>
      </c>
      <c r="M18" s="45" t="str">
        <f>IF(L18=0," ",VLOOKUP($C18,Dato_Transf!$A:$G,7,FALSE))</f>
        <v xml:space="preserve"> </v>
      </c>
      <c r="N18" s="51">
        <f>IFERROR(VLOOKUP($C18,Dato_Transf!$H:$N,3,FALSE()),0)</f>
        <v>0</v>
      </c>
      <c r="O18" s="51">
        <f>IFERROR(VLOOKUP($C18,Dato_Transf!$H:$N,4,FALSE()),0)</f>
        <v>0</v>
      </c>
      <c r="P18" s="97">
        <f t="shared" ref="P18" si="128">IF($F$6="OJO H.E. AL 100%",0,(O18-N18)*24)</f>
        <v>0</v>
      </c>
      <c r="Q18" s="45" t="str">
        <f>IF(P18=0," ",VLOOKUP($C18,Dato_Transf!$H:$N,7,FALSE()))</f>
        <v xml:space="preserve"> </v>
      </c>
      <c r="R18" s="51">
        <f>IFERROR(VLOOKUP($C18,Dato_Transf!$H:$N,5,FALSE()),0)</f>
        <v>0</v>
      </c>
      <c r="S18" s="51">
        <f>IFERROR(VLOOKUP($C18,Dato_Transf!$H:$N,6,FALSE()),0)</f>
        <v>0</v>
      </c>
      <c r="T18" s="97">
        <f t="shared" ref="T18" si="129">(+S18-R18)*24</f>
        <v>0</v>
      </c>
      <c r="U18" s="45" t="str">
        <f>IF(T18=0," ",VLOOKUP($C18,Dato_Transf!$H:$N,7,FALSE()))</f>
        <v xml:space="preserve"> </v>
      </c>
      <c r="V18" s="51">
        <f>IFERROR(VLOOKUP($C18,Dato_Transf!$O:$U,3,FALSE()),0)</f>
        <v>0</v>
      </c>
      <c r="W18" s="51">
        <f>IFERROR(VLOOKUP($C18,Dato_Transf!$O:$U,4,FALSE()),0)</f>
        <v>0</v>
      </c>
      <c r="X18" s="97">
        <f t="shared" ref="X18" si="130">IF($F$6="OJO H.E. AL 100%",0,(W18-V18)*24)</f>
        <v>0</v>
      </c>
      <c r="Y18" s="45" t="str">
        <f>IF(X18=0," ",VLOOKUP($C18,Dato_Transf!$O:$U,7,FALSE()))</f>
        <v xml:space="preserve"> </v>
      </c>
      <c r="Z18" s="51">
        <f>IFERROR(VLOOKUP($C18,Dato_Transf!$O:$U,5,FALSE()),0)</f>
        <v>0</v>
      </c>
      <c r="AA18" s="51">
        <f>IFERROR(VLOOKUP($C18,Dato_Transf!$O:$U,6,FALSE()),0)</f>
        <v>0</v>
      </c>
      <c r="AB18" s="97">
        <f t="shared" ref="AB18" si="131">(+AA18-Z18)*24</f>
        <v>0</v>
      </c>
      <c r="AC18" s="45" t="str">
        <f>IF(AB18=0," ",VLOOKUP($C18,Dato_Transf!$O:$U,7,FALSE()))</f>
        <v xml:space="preserve"> </v>
      </c>
      <c r="AD18" s="51">
        <f>IFERROR(VLOOKUP($C18,Dato_Transf!$V:$AB,3,FALSE()),0)</f>
        <v>0</v>
      </c>
      <c r="AE18" s="51">
        <f>IFERROR(VLOOKUP($C18,Dato_Transf!$V:$AB,4,FALSE()),0)</f>
        <v>0</v>
      </c>
      <c r="AF18" s="97">
        <f t="shared" ref="AF18" si="132">IF($F$6="OJO H.E. AL 100%",0,(AE18-AD18)*24)</f>
        <v>0</v>
      </c>
      <c r="AG18" s="45" t="str">
        <f>IF(AF18=0," ",VLOOKUP($C18,Dato_Transf!$V:$AB,7,FALSE()))</f>
        <v xml:space="preserve"> </v>
      </c>
      <c r="AH18" s="51">
        <f>IFERROR(VLOOKUP($C18,Dato_Transf!$V:$AB,5,FALSE()),0)</f>
        <v>0</v>
      </c>
      <c r="AI18" s="51">
        <f>IFERROR(VLOOKUP($C18,Dato_Transf!$V:$AB,6,FALSE()),0)</f>
        <v>0</v>
      </c>
      <c r="AJ18" s="97">
        <f t="shared" ref="AJ18" si="133">(+AI18-AH18)*24</f>
        <v>0</v>
      </c>
      <c r="AK18" s="45" t="str">
        <f>IF(AJ18=0," ",VLOOKUP($C18,Dato_Transf!$V:$AB,7,FALSE()))</f>
        <v xml:space="preserve"> </v>
      </c>
      <c r="AL18" s="51">
        <f>IFERROR(VLOOKUP($C18,Dato_Transf!$AC:$AI,3,FALSE()),0)</f>
        <v>0</v>
      </c>
      <c r="AM18" s="51">
        <f>IFERROR(VLOOKUP($C18,Dato_Transf!$AC:$AI,4,FALSE()),0)</f>
        <v>0</v>
      </c>
      <c r="AN18" s="97">
        <f t="shared" ref="AN18" si="134">IF($F$6="OJO H.E. AL 100%",0,(AM18-AL18)*24)</f>
        <v>0</v>
      </c>
      <c r="AO18" s="45" t="str">
        <f>IF(AN18=0," ",VLOOKUP($C18,Dato_Transf!$AC:$AI,7,FALSE()))</f>
        <v xml:space="preserve"> </v>
      </c>
      <c r="AP18" s="51">
        <f>IFERROR(VLOOKUP($C18,Dato_Transf!$AC:$AI,5,FALSE()),0)</f>
        <v>0</v>
      </c>
      <c r="AQ18" s="51">
        <f>IFERROR(VLOOKUP($C18,Dato_Transf!$AC:$AI,6,FALSE()),0)</f>
        <v>0</v>
      </c>
      <c r="AR18" s="97">
        <f t="shared" ref="AR18" si="135">(+AQ18-AP18)*24</f>
        <v>0</v>
      </c>
      <c r="AS18" s="45" t="str">
        <f>IF(AR18=0," ",VLOOKUP($C18,Dato_Transf!$AC:$AI,7,FALSE()))</f>
        <v xml:space="preserve"> </v>
      </c>
      <c r="AT18" s="51">
        <f>IFERROR(VLOOKUP($C18,Dato_Transf!$AJ:$AP,3,FALSE()),0)</f>
        <v>0</v>
      </c>
      <c r="AU18" s="51">
        <f>IFERROR(VLOOKUP($C18,Dato_Transf!$AJ:$AP,4,FALSE()),0)</f>
        <v>0</v>
      </c>
      <c r="AV18" s="97">
        <f t="shared" ref="AV18" si="136">IF($F$6="OJO H.E. AL 100%",0,(AU18-AT18)*24)</f>
        <v>0</v>
      </c>
      <c r="AW18" s="45" t="str">
        <f>IF(AV18=0," ",VLOOKUP($C18,Dato_Transf!$AJ:$AP,7,FALSE()))</f>
        <v xml:space="preserve"> </v>
      </c>
      <c r="AX18" s="51">
        <f>IFERROR(VLOOKUP($C18,Dato_Transf!$AJ:$AP,5,FALSE()),0)</f>
        <v>0</v>
      </c>
      <c r="AY18" s="51">
        <f>IFERROR(VLOOKUP($C18,Dato_Transf!$AJ:$AP,6,FALSE()),0)</f>
        <v>0</v>
      </c>
      <c r="AZ18" s="97">
        <f t="shared" ref="AZ18" si="137">(+AY18-AX18)*24</f>
        <v>0</v>
      </c>
      <c r="BA18" s="45" t="str">
        <f>IF(AZ18=0," ",VLOOKUP($C18,Dato_Transf!$AJ:$AP,7,FALSE()))</f>
        <v xml:space="preserve"> </v>
      </c>
      <c r="BB18" s="51">
        <f>IFERROR(VLOOKUP($C18,Dato_Transf!$AQ:$AW,3,FALSE()),0)</f>
        <v>0</v>
      </c>
      <c r="BC18" s="51">
        <f>IFERROR(VLOOKUP($C18,Dato_Transf!$AQ:$AW,4,FALSE()),0)</f>
        <v>0</v>
      </c>
      <c r="BD18" s="97">
        <f t="shared" ref="BD18" si="138">IF($F$6="OJO H.E. AL 100%",0,(BC18-BB18)*24)</f>
        <v>0</v>
      </c>
      <c r="BE18" s="45" t="str">
        <f>IF(BD18=0," ",VLOOKUP($C18,Dato_Transf!$AQ:$AW,7,FALSE()))</f>
        <v xml:space="preserve"> </v>
      </c>
      <c r="BF18" s="51">
        <f>IFERROR(VLOOKUP($C18,Dato_Transf!$AQ:$AW,5,FALSE()),0)</f>
        <v>0</v>
      </c>
      <c r="BG18" s="51">
        <f>IFERROR(VLOOKUP($C18,Dato_Transf!$AQ:$AW,6,FALSE()),0)</f>
        <v>0</v>
      </c>
      <c r="BH18" s="97">
        <f t="shared" ref="BH18" si="139">(+BG18-BF18)*24</f>
        <v>0</v>
      </c>
      <c r="BI18" s="45" t="str">
        <f>IF(BH18=0," ",VLOOKUP($C18,Dato_Transf!$AQ:$AW,7,FALSE()))</f>
        <v xml:space="preserve"> </v>
      </c>
      <c r="BJ18" s="95">
        <f t="shared" ref="BJ18" si="140">H18+P18+X18+AF18+AN18+AV18+BD18</f>
        <v>0</v>
      </c>
      <c r="BK18" s="96">
        <f t="shared" ref="BK18" si="141">L18+T18+AB18+AJ18+AR18+AZ18+BH18</f>
        <v>0</v>
      </c>
    </row>
    <row r="19" spans="2:63" ht="29.25" customHeight="1" x14ac:dyDescent="0.3">
      <c r="B19" s="22">
        <f>'Reporte Asistencia Laboral'!B20</f>
        <v>10</v>
      </c>
      <c r="C19" s="75" t="str">
        <f>IFERROR(VLOOKUP(D19,EMPLEADO!C:Q,15,0),"")</f>
        <v>MARQUEZ LASCANO EDISON JOEL</v>
      </c>
      <c r="D19" s="6" t="str">
        <f>'Reporte Asistencia Laboral'!D20</f>
        <v>095620199-0</v>
      </c>
      <c r="E19" s="142"/>
      <c r="F19" s="51">
        <f>IFERROR(VLOOKUP($C19,Dato_Transf!$A:$G,3,FALSE()),0)</f>
        <v>0</v>
      </c>
      <c r="G19" s="51">
        <f>IFERROR(VLOOKUP($C19,Dato_Transf!$A:$G,4,FALSE()),0)</f>
        <v>0</v>
      </c>
      <c r="H19" s="97">
        <f t="shared" ref="H19" si="142">IF($F$6="OJO H.E. AL 100%",0,(G19-F19)*24)</f>
        <v>0</v>
      </c>
      <c r="I19" s="45" t="str">
        <f>IF(H19=0," ",VLOOKUP($C19,Dato_Transf!$A:$G,7,FALSE))</f>
        <v xml:space="preserve"> </v>
      </c>
      <c r="J19" s="51">
        <f>IFERROR(VLOOKUP($C19,Dato_Transf!$A:$G,5,FALSE()),0)</f>
        <v>0</v>
      </c>
      <c r="K19" s="51">
        <f>IFERROR(VLOOKUP($C19,Dato_Transf!$A:$G,6,FALSE()),0)</f>
        <v>0</v>
      </c>
      <c r="L19" s="97">
        <f t="shared" ref="L19" si="143">(+K19-J19)*24</f>
        <v>0</v>
      </c>
      <c r="M19" s="45" t="str">
        <f>IF(L19=0," ",VLOOKUP($C19,Dato_Transf!$A:$G,7,FALSE))</f>
        <v xml:space="preserve"> </v>
      </c>
      <c r="N19" s="51">
        <f>IFERROR(VLOOKUP($C19,Dato_Transf!$H:$N,3,FALSE()),0)</f>
        <v>0</v>
      </c>
      <c r="O19" s="51">
        <f>IFERROR(VLOOKUP($C19,Dato_Transf!$H:$N,4,FALSE()),0)</f>
        <v>0</v>
      </c>
      <c r="P19" s="97">
        <f t="shared" ref="P19" si="144">IF($F$6="OJO H.E. AL 100%",0,(O19-N19)*24)</f>
        <v>0</v>
      </c>
      <c r="Q19" s="45" t="str">
        <f>IF(P19=0," ",VLOOKUP($C19,Dato_Transf!$H:$N,7,FALSE()))</f>
        <v xml:space="preserve"> </v>
      </c>
      <c r="R19" s="51">
        <f>IFERROR(VLOOKUP($C19,Dato_Transf!$H:$N,5,FALSE()),0)</f>
        <v>0</v>
      </c>
      <c r="S19" s="51">
        <f>IFERROR(VLOOKUP($C19,Dato_Transf!$H:$N,6,FALSE()),0)</f>
        <v>0</v>
      </c>
      <c r="T19" s="97">
        <f t="shared" ref="T19" si="145">(+S19-R19)*24</f>
        <v>0</v>
      </c>
      <c r="U19" s="45" t="str">
        <f>IF(T19=0," ",VLOOKUP($C19,Dato_Transf!$H:$N,7,FALSE()))</f>
        <v xml:space="preserve"> </v>
      </c>
      <c r="V19" s="51">
        <f>IFERROR(VLOOKUP($C19,Dato_Transf!$O:$U,3,FALSE()),0)</f>
        <v>0</v>
      </c>
      <c r="W19" s="51">
        <f>IFERROR(VLOOKUP($C19,Dato_Transf!$O:$U,4,FALSE()),0)</f>
        <v>0</v>
      </c>
      <c r="X19" s="97">
        <f t="shared" ref="X19" si="146">IF($F$6="OJO H.E. AL 100%",0,(W19-V19)*24)</f>
        <v>0</v>
      </c>
      <c r="Y19" s="45" t="str">
        <f>IF(X19=0," ",VLOOKUP($C19,Dato_Transf!$O:$U,7,FALSE()))</f>
        <v xml:space="preserve"> </v>
      </c>
      <c r="Z19" s="51">
        <f>IFERROR(VLOOKUP($C19,Dato_Transf!$O:$U,5,FALSE()),0)</f>
        <v>0</v>
      </c>
      <c r="AA19" s="51">
        <f>IFERROR(VLOOKUP($C19,Dato_Transf!$O:$U,6,FALSE()),0)</f>
        <v>0</v>
      </c>
      <c r="AB19" s="97">
        <f t="shared" ref="AB19" si="147">(+AA19-Z19)*24</f>
        <v>0</v>
      </c>
      <c r="AC19" s="45" t="str">
        <f>IF(AB19=0," ",VLOOKUP($C19,Dato_Transf!$O:$U,7,FALSE()))</f>
        <v xml:space="preserve"> </v>
      </c>
      <c r="AD19" s="51">
        <f>IFERROR(VLOOKUP($C19,Dato_Transf!$V:$AB,3,FALSE()),0)</f>
        <v>0</v>
      </c>
      <c r="AE19" s="51">
        <f>IFERROR(VLOOKUP($C19,Dato_Transf!$V:$AB,4,FALSE()),0)</f>
        <v>0</v>
      </c>
      <c r="AF19" s="97">
        <f t="shared" ref="AF19" si="148">IF($F$6="OJO H.E. AL 100%",0,(AE19-AD19)*24)</f>
        <v>0</v>
      </c>
      <c r="AG19" s="45" t="str">
        <f>IF(AF19=0," ",VLOOKUP($C19,Dato_Transf!$V:$AB,7,FALSE()))</f>
        <v xml:space="preserve"> </v>
      </c>
      <c r="AH19" s="51">
        <f>IFERROR(VLOOKUP($C19,Dato_Transf!$V:$AB,5,FALSE()),0)</f>
        <v>0</v>
      </c>
      <c r="AI19" s="51">
        <f>IFERROR(VLOOKUP($C19,Dato_Transf!$V:$AB,6,FALSE()),0)</f>
        <v>0</v>
      </c>
      <c r="AJ19" s="97">
        <f t="shared" ref="AJ19" si="149">(+AI19-AH19)*24</f>
        <v>0</v>
      </c>
      <c r="AK19" s="45" t="str">
        <f>IF(AJ19=0," ",VLOOKUP($C19,Dato_Transf!$V:$AB,7,FALSE()))</f>
        <v xml:space="preserve"> </v>
      </c>
      <c r="AL19" s="51">
        <f>IFERROR(VLOOKUP($C19,Dato_Transf!$AC:$AI,3,FALSE()),0)</f>
        <v>0</v>
      </c>
      <c r="AM19" s="51">
        <f>IFERROR(VLOOKUP($C19,Dato_Transf!$AC:$AI,4,FALSE()),0)</f>
        <v>0</v>
      </c>
      <c r="AN19" s="97">
        <f t="shared" ref="AN19" si="150">IF($F$6="OJO H.E. AL 100%",0,(AM19-AL19)*24)</f>
        <v>0</v>
      </c>
      <c r="AO19" s="45" t="str">
        <f>IF(AN19=0," ",VLOOKUP($C19,Dato_Transf!$AC:$AI,7,FALSE()))</f>
        <v xml:space="preserve"> </v>
      </c>
      <c r="AP19" s="51">
        <f>IFERROR(VLOOKUP($C19,Dato_Transf!$AC:$AI,5,FALSE()),0)</f>
        <v>0</v>
      </c>
      <c r="AQ19" s="51">
        <f>IFERROR(VLOOKUP($C19,Dato_Transf!$AC:$AI,6,FALSE()),0)</f>
        <v>0</v>
      </c>
      <c r="AR19" s="97">
        <f t="shared" ref="AR19" si="151">(+AQ19-AP19)*24</f>
        <v>0</v>
      </c>
      <c r="AS19" s="45" t="str">
        <f>IF(AR19=0," ",VLOOKUP($C19,Dato_Transf!$AC:$AI,7,FALSE()))</f>
        <v xml:space="preserve"> </v>
      </c>
      <c r="AT19" s="51">
        <f>IFERROR(VLOOKUP($C19,Dato_Transf!$AJ:$AP,3,FALSE()),0)</f>
        <v>0</v>
      </c>
      <c r="AU19" s="51">
        <f>IFERROR(VLOOKUP($C19,Dato_Transf!$AJ:$AP,4,FALSE()),0)</f>
        <v>0</v>
      </c>
      <c r="AV19" s="97">
        <f t="shared" ref="AV19" si="152">IF($F$6="OJO H.E. AL 100%",0,(AU19-AT19)*24)</f>
        <v>0</v>
      </c>
      <c r="AW19" s="45" t="str">
        <f>IF(AV19=0," ",VLOOKUP($C19,Dato_Transf!$AJ:$AP,7,FALSE()))</f>
        <v xml:space="preserve"> </v>
      </c>
      <c r="AX19" s="51">
        <f>IFERROR(VLOOKUP($C19,Dato_Transf!$AJ:$AP,5,FALSE()),0)</f>
        <v>0</v>
      </c>
      <c r="AY19" s="51">
        <f>IFERROR(VLOOKUP($C19,Dato_Transf!$AJ:$AP,6,FALSE()),0)</f>
        <v>0</v>
      </c>
      <c r="AZ19" s="97">
        <f t="shared" ref="AZ19" si="153">(+AY19-AX19)*24</f>
        <v>0</v>
      </c>
      <c r="BA19" s="45" t="str">
        <f>IF(AZ19=0," ",VLOOKUP($C19,Dato_Transf!$AJ:$AP,7,FALSE()))</f>
        <v xml:space="preserve"> </v>
      </c>
      <c r="BB19" s="51">
        <f>IFERROR(VLOOKUP($C19,Dato_Transf!$AQ:$AW,3,FALSE()),0)</f>
        <v>0</v>
      </c>
      <c r="BC19" s="51">
        <f>IFERROR(VLOOKUP($C19,Dato_Transf!$AQ:$AW,4,FALSE()),0)</f>
        <v>0</v>
      </c>
      <c r="BD19" s="97">
        <f t="shared" ref="BD19" si="154">IF($F$6="OJO H.E. AL 100%",0,(BC19-BB19)*24)</f>
        <v>0</v>
      </c>
      <c r="BE19" s="45" t="str">
        <f>IF(BD19=0," ",VLOOKUP($C19,Dato_Transf!$AQ:$AW,7,FALSE()))</f>
        <v xml:space="preserve"> </v>
      </c>
      <c r="BF19" s="51">
        <f>IFERROR(VLOOKUP($C19,Dato_Transf!$AQ:$AW,5,FALSE()),0)</f>
        <v>0</v>
      </c>
      <c r="BG19" s="51">
        <f>IFERROR(VLOOKUP($C19,Dato_Transf!$AQ:$AW,6,FALSE()),0)</f>
        <v>0</v>
      </c>
      <c r="BH19" s="97">
        <f t="shared" ref="BH19" si="155">(+BG19-BF19)*24</f>
        <v>0</v>
      </c>
      <c r="BI19" s="45" t="str">
        <f>IF(BH19=0," ",VLOOKUP($C19,Dato_Transf!$AQ:$AW,7,FALSE()))</f>
        <v xml:space="preserve"> </v>
      </c>
      <c r="BJ19" s="95">
        <f t="shared" ref="BJ19" si="156">H19+P19+X19+AF19+AN19+AV19+BD19</f>
        <v>0</v>
      </c>
      <c r="BK19" s="96">
        <f t="shared" ref="BK19" si="157">L19+T19+AB19+AJ19+AR19+AZ19+BH19</f>
        <v>0</v>
      </c>
    </row>
    <row r="20" spans="2:63" ht="29.25" customHeight="1" x14ac:dyDescent="0.3">
      <c r="B20" s="22">
        <f>'Reporte Asistencia Laboral'!B21</f>
        <v>11</v>
      </c>
      <c r="C20" s="75" t="str">
        <f>IFERROR(VLOOKUP(D20,EMPLEADO!C:Q,15,0),"")</f>
        <v>CEDEÑO JURADO JEFFERSON MANUEL</v>
      </c>
      <c r="D20" s="6" t="str">
        <f>'Reporte Asistencia Laboral'!D21</f>
        <v>131617781-3</v>
      </c>
      <c r="E20" s="142"/>
      <c r="F20" s="51">
        <f>IFERROR(VLOOKUP($C20,Dato_Transf!$A:$G,3,FALSE()),0)</f>
        <v>0</v>
      </c>
      <c r="G20" s="51">
        <f>IFERROR(VLOOKUP($C20,Dato_Transf!$A:$G,4,FALSE()),0)</f>
        <v>0</v>
      </c>
      <c r="H20" s="97">
        <f t="shared" ref="H20" si="158">IF($F$6="OJO H.E. AL 100%",0,(G20-F20)*24)</f>
        <v>0</v>
      </c>
      <c r="I20" s="45" t="str">
        <f>IF(H20=0," ",VLOOKUP($C20,Dato_Transf!$A:$G,7,FALSE))</f>
        <v xml:space="preserve"> </v>
      </c>
      <c r="J20" s="51">
        <f>IFERROR(VLOOKUP($C20,Dato_Transf!$A:$G,5,FALSE()),0)</f>
        <v>0</v>
      </c>
      <c r="K20" s="51">
        <f>IFERROR(VLOOKUP($C20,Dato_Transf!$A:$G,6,FALSE()),0)</f>
        <v>0</v>
      </c>
      <c r="L20" s="97">
        <f t="shared" ref="L20" si="159">(+K20-J20)*24</f>
        <v>0</v>
      </c>
      <c r="M20" s="45" t="str">
        <f>IF(L20=0," ",VLOOKUP($C20,Dato_Transf!$A:$G,7,FALSE))</f>
        <v xml:space="preserve"> </v>
      </c>
      <c r="N20" s="51">
        <f>IFERROR(VLOOKUP($C20,Dato_Transf!$H:$N,3,FALSE()),0)</f>
        <v>0</v>
      </c>
      <c r="O20" s="51">
        <f>IFERROR(VLOOKUP($C20,Dato_Transf!$H:$N,4,FALSE()),0)</f>
        <v>0</v>
      </c>
      <c r="P20" s="97">
        <f t="shared" ref="P20" si="160">IF($F$6="OJO H.E. AL 100%",0,(O20-N20)*24)</f>
        <v>0</v>
      </c>
      <c r="Q20" s="45" t="str">
        <f>IF(P20=0," ",VLOOKUP($C20,Dato_Transf!$H:$N,7,FALSE()))</f>
        <v xml:space="preserve"> </v>
      </c>
      <c r="R20" s="51">
        <f>IFERROR(VLOOKUP($C20,Dato_Transf!$H:$N,5,FALSE()),0)</f>
        <v>0</v>
      </c>
      <c r="S20" s="51">
        <f>IFERROR(VLOOKUP($C20,Dato_Transf!$H:$N,6,FALSE()),0)</f>
        <v>0</v>
      </c>
      <c r="T20" s="97">
        <f t="shared" ref="T20" si="161">(+S20-R20)*24</f>
        <v>0</v>
      </c>
      <c r="U20" s="45" t="str">
        <f>IF(T20=0," ",VLOOKUP($C20,Dato_Transf!$H:$N,7,FALSE()))</f>
        <v xml:space="preserve"> </v>
      </c>
      <c r="V20" s="51">
        <f>IFERROR(VLOOKUP($C20,Dato_Transf!$O:$U,3,FALSE()),0)</f>
        <v>0</v>
      </c>
      <c r="W20" s="51">
        <f>IFERROR(VLOOKUP($C20,Dato_Transf!$O:$U,4,FALSE()),0)</f>
        <v>0</v>
      </c>
      <c r="X20" s="97">
        <f t="shared" ref="X20" si="162">IF($F$6="OJO H.E. AL 100%",0,(W20-V20)*24)</f>
        <v>0</v>
      </c>
      <c r="Y20" s="45" t="str">
        <f>IF(X20=0," ",VLOOKUP($C20,Dato_Transf!$O:$U,7,FALSE()))</f>
        <v xml:space="preserve"> </v>
      </c>
      <c r="Z20" s="51">
        <f>IFERROR(VLOOKUP($C20,Dato_Transf!$O:$U,5,FALSE()),0)</f>
        <v>0</v>
      </c>
      <c r="AA20" s="51">
        <f>IFERROR(VLOOKUP($C20,Dato_Transf!$O:$U,6,FALSE()),0)</f>
        <v>0</v>
      </c>
      <c r="AB20" s="97">
        <f t="shared" ref="AB20" si="163">(+AA20-Z20)*24</f>
        <v>0</v>
      </c>
      <c r="AC20" s="45" t="str">
        <f>IF(AB20=0," ",VLOOKUP($C20,Dato_Transf!$O:$U,7,FALSE()))</f>
        <v xml:space="preserve"> </v>
      </c>
      <c r="AD20" s="51">
        <f>IFERROR(VLOOKUP($C20,Dato_Transf!$V:$AB,3,FALSE()),0)</f>
        <v>0</v>
      </c>
      <c r="AE20" s="51">
        <f>IFERROR(VLOOKUP($C20,Dato_Transf!$V:$AB,4,FALSE()),0)</f>
        <v>0</v>
      </c>
      <c r="AF20" s="97">
        <f t="shared" ref="AF20" si="164">IF($F$6="OJO H.E. AL 100%",0,(AE20-AD20)*24)</f>
        <v>0</v>
      </c>
      <c r="AG20" s="45" t="str">
        <f>IF(AF20=0," ",VLOOKUP($C20,Dato_Transf!$V:$AB,7,FALSE()))</f>
        <v xml:space="preserve"> </v>
      </c>
      <c r="AH20" s="51">
        <f>IFERROR(VLOOKUP($C20,Dato_Transf!$V:$AB,5,FALSE()),0)</f>
        <v>0</v>
      </c>
      <c r="AI20" s="51">
        <f>IFERROR(VLOOKUP($C20,Dato_Transf!$V:$AB,6,FALSE()),0)</f>
        <v>0</v>
      </c>
      <c r="AJ20" s="97">
        <f t="shared" ref="AJ20" si="165">(+AI20-AH20)*24</f>
        <v>0</v>
      </c>
      <c r="AK20" s="45" t="str">
        <f>IF(AJ20=0," ",VLOOKUP($C20,Dato_Transf!$V:$AB,7,FALSE()))</f>
        <v xml:space="preserve"> </v>
      </c>
      <c r="AL20" s="51">
        <f>IFERROR(VLOOKUP($C20,Dato_Transf!$AC:$AI,3,FALSE()),0)</f>
        <v>0</v>
      </c>
      <c r="AM20" s="51">
        <f>IFERROR(VLOOKUP($C20,Dato_Transf!$AC:$AI,4,FALSE()),0)</f>
        <v>0</v>
      </c>
      <c r="AN20" s="97">
        <f t="shared" ref="AN20" si="166">IF($F$6="OJO H.E. AL 100%",0,(AM20-AL20)*24)</f>
        <v>0</v>
      </c>
      <c r="AO20" s="45" t="str">
        <f>IF(AN20=0," ",VLOOKUP($C20,Dato_Transf!$AC:$AI,7,FALSE()))</f>
        <v xml:space="preserve"> </v>
      </c>
      <c r="AP20" s="51">
        <f>IFERROR(VLOOKUP($C20,Dato_Transf!$AC:$AI,5,FALSE()),0)</f>
        <v>0</v>
      </c>
      <c r="AQ20" s="51">
        <f>IFERROR(VLOOKUP($C20,Dato_Transf!$AC:$AI,6,FALSE()),0)</f>
        <v>0</v>
      </c>
      <c r="AR20" s="97">
        <f t="shared" ref="AR20" si="167">(+AQ20-AP20)*24</f>
        <v>0</v>
      </c>
      <c r="AS20" s="45" t="str">
        <f>IF(AR20=0," ",VLOOKUP($C20,Dato_Transf!$AC:$AI,7,FALSE()))</f>
        <v xml:space="preserve"> </v>
      </c>
      <c r="AT20" s="51">
        <f>IFERROR(VLOOKUP($C20,Dato_Transf!$AJ:$AP,3,FALSE()),0)</f>
        <v>0</v>
      </c>
      <c r="AU20" s="51">
        <f>IFERROR(VLOOKUP($C20,Dato_Transf!$AJ:$AP,4,FALSE()),0)</f>
        <v>0</v>
      </c>
      <c r="AV20" s="97">
        <f t="shared" ref="AV20" si="168">IF($F$6="OJO H.E. AL 100%",0,(AU20-AT20)*24)</f>
        <v>0</v>
      </c>
      <c r="AW20" s="45" t="str">
        <f>IF(AV20=0," ",VLOOKUP($C20,Dato_Transf!$AJ:$AP,7,FALSE()))</f>
        <v xml:space="preserve"> </v>
      </c>
      <c r="AX20" s="51">
        <f>IFERROR(VLOOKUP($C20,Dato_Transf!$AJ:$AP,5,FALSE()),0)</f>
        <v>0</v>
      </c>
      <c r="AY20" s="51">
        <f>IFERROR(VLOOKUP($C20,Dato_Transf!$AJ:$AP,6,FALSE()),0)</f>
        <v>0</v>
      </c>
      <c r="AZ20" s="97">
        <f t="shared" ref="AZ20" si="169">(+AY20-AX20)*24</f>
        <v>0</v>
      </c>
      <c r="BA20" s="45" t="str">
        <f>IF(AZ20=0," ",VLOOKUP($C20,Dato_Transf!$AJ:$AP,7,FALSE()))</f>
        <v xml:space="preserve"> </v>
      </c>
      <c r="BB20" s="51">
        <f>IFERROR(VLOOKUP($C20,Dato_Transf!$AQ:$AW,3,FALSE()),0)</f>
        <v>0</v>
      </c>
      <c r="BC20" s="51">
        <f>IFERROR(VLOOKUP($C20,Dato_Transf!$AQ:$AW,4,FALSE()),0)</f>
        <v>0</v>
      </c>
      <c r="BD20" s="97">
        <f t="shared" ref="BD20" si="170">IF($F$6="OJO H.E. AL 100%",0,(BC20-BB20)*24)</f>
        <v>0</v>
      </c>
      <c r="BE20" s="45" t="str">
        <f>IF(BD20=0," ",VLOOKUP($C20,Dato_Transf!$AQ:$AW,7,FALSE()))</f>
        <v xml:space="preserve"> </v>
      </c>
      <c r="BF20" s="51">
        <f>IFERROR(VLOOKUP($C20,Dato_Transf!$AQ:$AW,5,FALSE()),0)</f>
        <v>0</v>
      </c>
      <c r="BG20" s="51">
        <f>IFERROR(VLOOKUP($C20,Dato_Transf!$AQ:$AW,6,FALSE()),0)</f>
        <v>0</v>
      </c>
      <c r="BH20" s="97">
        <f t="shared" ref="BH20" si="171">(+BG20-BF20)*24</f>
        <v>0</v>
      </c>
      <c r="BI20" s="45" t="str">
        <f>IF(BH20=0," ",VLOOKUP($C20,Dato_Transf!$AQ:$AW,7,FALSE()))</f>
        <v xml:space="preserve"> </v>
      </c>
      <c r="BJ20" s="95">
        <f t="shared" ref="BJ20" si="172">H20+P20+X20+AF20+AN20+AV20+BD20</f>
        <v>0</v>
      </c>
      <c r="BK20" s="96">
        <f t="shared" ref="BK20" si="173">L20+T20+AB20+AJ20+AR20+AZ20+BH20</f>
        <v>0</v>
      </c>
    </row>
    <row r="21" spans="2:63" ht="29.25" customHeight="1" x14ac:dyDescent="0.3">
      <c r="B21" s="22">
        <f>'Reporte Asistencia Laboral'!B22</f>
        <v>12</v>
      </c>
      <c r="C21" s="75" t="str">
        <f>IFERROR(VLOOKUP(D21,EMPLEADO!C:Q,15,0),"")</f>
        <v>GUEVARA HERRERA NICOLAS ENRIQUE</v>
      </c>
      <c r="D21" s="6" t="str">
        <f>'Reporte Asistencia Laboral'!D22</f>
        <v>110606706-7</v>
      </c>
      <c r="E21" s="142"/>
      <c r="F21" s="51">
        <f>IFERROR(VLOOKUP($C21,Dato_Transf!$A:$G,3,FALSE()),0)</f>
        <v>0</v>
      </c>
      <c r="G21" s="51">
        <f>IFERROR(VLOOKUP($C21,Dato_Transf!$A:$G,4,FALSE()),0)</f>
        <v>0</v>
      </c>
      <c r="H21" s="97">
        <f t="shared" ref="H21" si="174">IF($F$6="OJO H.E. AL 100%",0,(G21-F21)*24)</f>
        <v>0</v>
      </c>
      <c r="I21" s="45" t="str">
        <f>IF(H21=0," ",VLOOKUP($C21,Dato_Transf!$A:$G,7,FALSE))</f>
        <v xml:space="preserve"> </v>
      </c>
      <c r="J21" s="51">
        <f>IFERROR(VLOOKUP($C21,Dato_Transf!$A:$G,5,FALSE()),0)</f>
        <v>0</v>
      </c>
      <c r="K21" s="51">
        <f>IFERROR(VLOOKUP($C21,Dato_Transf!$A:$G,6,FALSE()),0)</f>
        <v>0</v>
      </c>
      <c r="L21" s="97">
        <f t="shared" ref="L21" si="175">(+K21-J21)*24</f>
        <v>0</v>
      </c>
      <c r="M21" s="45" t="str">
        <f>IF(L21=0," ",VLOOKUP($C21,Dato_Transf!$A:$G,7,FALSE))</f>
        <v xml:space="preserve"> </v>
      </c>
      <c r="N21" s="51">
        <f>IFERROR(VLOOKUP($C21,Dato_Transf!$H:$N,3,FALSE()),0)</f>
        <v>0</v>
      </c>
      <c r="O21" s="51">
        <f>IFERROR(VLOOKUP($C21,Dato_Transf!$H:$N,4,FALSE()),0)</f>
        <v>0</v>
      </c>
      <c r="P21" s="97">
        <f t="shared" ref="P21" si="176">IF($F$6="OJO H.E. AL 100%",0,(O21-N21)*24)</f>
        <v>0</v>
      </c>
      <c r="Q21" s="45" t="str">
        <f>IF(P21=0," ",VLOOKUP($C21,Dato_Transf!$H:$N,7,FALSE()))</f>
        <v xml:space="preserve"> </v>
      </c>
      <c r="R21" s="51">
        <f>IFERROR(VLOOKUP($C21,Dato_Transf!$H:$N,5,FALSE()),0)</f>
        <v>0</v>
      </c>
      <c r="S21" s="51">
        <f>IFERROR(VLOOKUP($C21,Dato_Transf!$H:$N,6,FALSE()),0)</f>
        <v>0</v>
      </c>
      <c r="T21" s="97">
        <f t="shared" ref="T21" si="177">(+S21-R21)*24</f>
        <v>0</v>
      </c>
      <c r="U21" s="45" t="str">
        <f>IF(T21=0," ",VLOOKUP($C21,Dato_Transf!$H:$N,7,FALSE()))</f>
        <v xml:space="preserve"> </v>
      </c>
      <c r="V21" s="51">
        <f>IFERROR(VLOOKUP($C21,Dato_Transf!$O:$U,3,FALSE()),0)</f>
        <v>0</v>
      </c>
      <c r="W21" s="51">
        <f>IFERROR(VLOOKUP($C21,Dato_Transf!$O:$U,4,FALSE()),0)</f>
        <v>0</v>
      </c>
      <c r="X21" s="97">
        <f t="shared" ref="X21" si="178">IF($F$6="OJO H.E. AL 100%",0,(W21-V21)*24)</f>
        <v>0</v>
      </c>
      <c r="Y21" s="45" t="str">
        <f>IF(X21=0," ",VLOOKUP($C21,Dato_Transf!$O:$U,7,FALSE()))</f>
        <v xml:space="preserve"> </v>
      </c>
      <c r="Z21" s="51">
        <f>IFERROR(VLOOKUP($C21,Dato_Transf!$O:$U,5,FALSE()),0)</f>
        <v>0</v>
      </c>
      <c r="AA21" s="51">
        <f>IFERROR(VLOOKUP($C21,Dato_Transf!$O:$U,6,FALSE()),0)</f>
        <v>0</v>
      </c>
      <c r="AB21" s="97">
        <f t="shared" ref="AB21" si="179">(+AA21-Z21)*24</f>
        <v>0</v>
      </c>
      <c r="AC21" s="45" t="str">
        <f>IF(AB21=0," ",VLOOKUP($C21,Dato_Transf!$O:$U,7,FALSE()))</f>
        <v xml:space="preserve"> </v>
      </c>
      <c r="AD21" s="51">
        <f>IFERROR(VLOOKUP($C21,Dato_Transf!$V:$AB,3,FALSE()),0)</f>
        <v>0</v>
      </c>
      <c r="AE21" s="51">
        <f>IFERROR(VLOOKUP($C21,Dato_Transf!$V:$AB,4,FALSE()),0)</f>
        <v>0</v>
      </c>
      <c r="AF21" s="97">
        <f t="shared" ref="AF21" si="180">IF($F$6="OJO H.E. AL 100%",0,(AE21-AD21)*24)</f>
        <v>0</v>
      </c>
      <c r="AG21" s="45" t="str">
        <f>IF(AF21=0," ",VLOOKUP($C21,Dato_Transf!$V:$AB,7,FALSE()))</f>
        <v xml:space="preserve"> </v>
      </c>
      <c r="AH21" s="51">
        <f>IFERROR(VLOOKUP($C21,Dato_Transf!$V:$AB,5,FALSE()),0)</f>
        <v>0</v>
      </c>
      <c r="AI21" s="51">
        <f>IFERROR(VLOOKUP($C21,Dato_Transf!$V:$AB,6,FALSE()),0)</f>
        <v>0</v>
      </c>
      <c r="AJ21" s="97">
        <f t="shared" ref="AJ21" si="181">(+AI21-AH21)*24</f>
        <v>0</v>
      </c>
      <c r="AK21" s="45" t="str">
        <f>IF(AJ21=0," ",VLOOKUP($C21,Dato_Transf!$V:$AB,7,FALSE()))</f>
        <v xml:space="preserve"> </v>
      </c>
      <c r="AL21" s="51">
        <f>IFERROR(VLOOKUP($C21,Dato_Transf!$AC:$AI,3,FALSE()),0)</f>
        <v>0</v>
      </c>
      <c r="AM21" s="51">
        <f>IFERROR(VLOOKUP($C21,Dato_Transf!$AC:$AI,4,FALSE()),0)</f>
        <v>0</v>
      </c>
      <c r="AN21" s="97">
        <f t="shared" ref="AN21" si="182">IF($F$6="OJO H.E. AL 100%",0,(AM21-AL21)*24)</f>
        <v>0</v>
      </c>
      <c r="AO21" s="45" t="str">
        <f>IF(AN21=0," ",VLOOKUP($C21,Dato_Transf!$AC:$AI,7,FALSE()))</f>
        <v xml:space="preserve"> </v>
      </c>
      <c r="AP21" s="51">
        <f>IFERROR(VLOOKUP($C21,Dato_Transf!$AC:$AI,5,FALSE()),0)</f>
        <v>0</v>
      </c>
      <c r="AQ21" s="51">
        <f>IFERROR(VLOOKUP($C21,Dato_Transf!$AC:$AI,6,FALSE()),0)</f>
        <v>0</v>
      </c>
      <c r="AR21" s="97">
        <f t="shared" ref="AR21" si="183">(+AQ21-AP21)*24</f>
        <v>0</v>
      </c>
      <c r="AS21" s="45" t="str">
        <f>IF(AR21=0," ",VLOOKUP($C21,Dato_Transf!$AC:$AI,7,FALSE()))</f>
        <v xml:space="preserve"> </v>
      </c>
      <c r="AT21" s="51">
        <f>IFERROR(VLOOKUP($C21,Dato_Transf!$AJ:$AP,3,FALSE()),0)</f>
        <v>0</v>
      </c>
      <c r="AU21" s="51">
        <f>IFERROR(VLOOKUP($C21,Dato_Transf!$AJ:$AP,4,FALSE()),0)</f>
        <v>0</v>
      </c>
      <c r="AV21" s="97">
        <f t="shared" ref="AV21" si="184">IF($F$6="OJO H.E. AL 100%",0,(AU21-AT21)*24)</f>
        <v>0</v>
      </c>
      <c r="AW21" s="45" t="str">
        <f>IF(AV21=0," ",VLOOKUP($C21,Dato_Transf!$AJ:$AP,7,FALSE()))</f>
        <v xml:space="preserve"> </v>
      </c>
      <c r="AX21" s="51">
        <f>IFERROR(VLOOKUP($C21,Dato_Transf!$AJ:$AP,5,FALSE()),0)</f>
        <v>0</v>
      </c>
      <c r="AY21" s="51">
        <f>IFERROR(VLOOKUP($C21,Dato_Transf!$AJ:$AP,6,FALSE()),0)</f>
        <v>0</v>
      </c>
      <c r="AZ21" s="97">
        <f t="shared" ref="AZ21" si="185">(+AY21-AX21)*24</f>
        <v>0</v>
      </c>
      <c r="BA21" s="45" t="str">
        <f>IF(AZ21=0," ",VLOOKUP($C21,Dato_Transf!$AJ:$AP,7,FALSE()))</f>
        <v xml:space="preserve"> </v>
      </c>
      <c r="BB21" s="51">
        <f>IFERROR(VLOOKUP($C21,Dato_Transf!$AQ:$AW,3,FALSE()),0)</f>
        <v>0</v>
      </c>
      <c r="BC21" s="51">
        <f>IFERROR(VLOOKUP($C21,Dato_Transf!$AQ:$AW,4,FALSE()),0)</f>
        <v>0</v>
      </c>
      <c r="BD21" s="97">
        <f t="shared" ref="BD21" si="186">IF($F$6="OJO H.E. AL 100%",0,(BC21-BB21)*24)</f>
        <v>0</v>
      </c>
      <c r="BE21" s="45" t="str">
        <f>IF(BD21=0," ",VLOOKUP($C21,Dato_Transf!$AQ:$AW,7,FALSE()))</f>
        <v xml:space="preserve"> </v>
      </c>
      <c r="BF21" s="51">
        <f>IFERROR(VLOOKUP($C21,Dato_Transf!$AQ:$AW,5,FALSE()),0)</f>
        <v>0</v>
      </c>
      <c r="BG21" s="51">
        <f>IFERROR(VLOOKUP($C21,Dato_Transf!$AQ:$AW,6,FALSE()),0)</f>
        <v>0</v>
      </c>
      <c r="BH21" s="97">
        <f t="shared" ref="BH21" si="187">(+BG21-BF21)*24</f>
        <v>0</v>
      </c>
      <c r="BI21" s="45" t="str">
        <f>IF(BH21=0," ",VLOOKUP($C21,Dato_Transf!$AQ:$AW,7,FALSE()))</f>
        <v xml:space="preserve"> </v>
      </c>
      <c r="BJ21" s="95">
        <f t="shared" ref="BJ21" si="188">H21+P21+X21+AF21+AN21+AV21+BD21</f>
        <v>0</v>
      </c>
      <c r="BK21" s="96">
        <f t="shared" ref="BK21" si="189">L21+T21+AB21+AJ21+AR21+AZ21+BH21</f>
        <v>0</v>
      </c>
    </row>
    <row r="22" spans="2:63" ht="29.25" customHeight="1" x14ac:dyDescent="0.3">
      <c r="B22" s="22">
        <f>'Reporte Asistencia Laboral'!B23</f>
        <v>13</v>
      </c>
      <c r="C22" s="75" t="str">
        <f>IFERROR(VLOOKUP(D22,EMPLEADO!C:Q,15,0),"")</f>
        <v>QUITO QUEVEDO JONATHAN GERMAN</v>
      </c>
      <c r="D22" s="6" t="str">
        <f>'Reporte Asistencia Laboral'!D23</f>
        <v>110577013-3</v>
      </c>
      <c r="E22" s="142"/>
      <c r="F22" s="51">
        <f>IFERROR(VLOOKUP($C22,Dato_Transf!$A:$G,3,FALSE()),0)</f>
        <v>0</v>
      </c>
      <c r="G22" s="51">
        <f>IFERROR(VLOOKUP($C22,Dato_Transf!$A:$G,4,FALSE()),0)</f>
        <v>0</v>
      </c>
      <c r="H22" s="97">
        <f t="shared" ref="H22" si="190">IF($F$6="OJO H.E. AL 100%",0,(G22-F22)*24)</f>
        <v>0</v>
      </c>
      <c r="I22" s="45" t="str">
        <f>IF(H22=0," ",VLOOKUP($C22,Dato_Transf!$A:$G,7,FALSE))</f>
        <v xml:space="preserve"> </v>
      </c>
      <c r="J22" s="51">
        <f>IFERROR(VLOOKUP($C22,Dato_Transf!$A:$G,5,FALSE()),0)</f>
        <v>0</v>
      </c>
      <c r="K22" s="51">
        <f>IFERROR(VLOOKUP($C22,Dato_Transf!$A:$G,6,FALSE()),0)</f>
        <v>0</v>
      </c>
      <c r="L22" s="97">
        <f t="shared" ref="L22" si="191">(+K22-J22)*24</f>
        <v>0</v>
      </c>
      <c r="M22" s="45" t="str">
        <f>IF(L22=0," ",VLOOKUP($C22,Dato_Transf!$A:$G,7,FALSE))</f>
        <v xml:space="preserve"> </v>
      </c>
      <c r="N22" s="51">
        <f>IFERROR(VLOOKUP($C22,Dato_Transf!$H:$N,3,FALSE()),0)</f>
        <v>0</v>
      </c>
      <c r="O22" s="51">
        <f>IFERROR(VLOOKUP($C22,Dato_Transf!$H:$N,4,FALSE()),0)</f>
        <v>0</v>
      </c>
      <c r="P22" s="97">
        <f t="shared" ref="P22" si="192">IF($F$6="OJO H.E. AL 100%",0,(O22-N22)*24)</f>
        <v>0</v>
      </c>
      <c r="Q22" s="45" t="str">
        <f>IF(P22=0," ",VLOOKUP($C22,Dato_Transf!$H:$N,7,FALSE()))</f>
        <v xml:space="preserve"> </v>
      </c>
      <c r="R22" s="51">
        <f>IFERROR(VLOOKUP($C22,Dato_Transf!$H:$N,5,FALSE()),0)</f>
        <v>0</v>
      </c>
      <c r="S22" s="51">
        <f>IFERROR(VLOOKUP($C22,Dato_Transf!$H:$N,6,FALSE()),0)</f>
        <v>0</v>
      </c>
      <c r="T22" s="97">
        <f t="shared" ref="T22" si="193">(+S22-R22)*24</f>
        <v>0</v>
      </c>
      <c r="U22" s="45" t="str">
        <f>IF(T22=0," ",VLOOKUP($C22,Dato_Transf!$H:$N,7,FALSE()))</f>
        <v xml:space="preserve"> </v>
      </c>
      <c r="V22" s="51">
        <f>IFERROR(VLOOKUP($C22,Dato_Transf!$O:$U,3,FALSE()),0)</f>
        <v>0</v>
      </c>
      <c r="W22" s="51">
        <f>IFERROR(VLOOKUP($C22,Dato_Transf!$O:$U,4,FALSE()),0)</f>
        <v>0</v>
      </c>
      <c r="X22" s="97">
        <f t="shared" ref="X22" si="194">IF($F$6="OJO H.E. AL 100%",0,(W22-V22)*24)</f>
        <v>0</v>
      </c>
      <c r="Y22" s="45" t="str">
        <f>IF(X22=0," ",VLOOKUP($C22,Dato_Transf!$O:$U,7,FALSE()))</f>
        <v xml:space="preserve"> </v>
      </c>
      <c r="Z22" s="51">
        <f>IFERROR(VLOOKUP($C22,Dato_Transf!$O:$U,5,FALSE()),0)</f>
        <v>0</v>
      </c>
      <c r="AA22" s="51">
        <f>IFERROR(VLOOKUP($C22,Dato_Transf!$O:$U,6,FALSE()),0)</f>
        <v>0</v>
      </c>
      <c r="AB22" s="97">
        <f t="shared" ref="AB22" si="195">(+AA22-Z22)*24</f>
        <v>0</v>
      </c>
      <c r="AC22" s="45" t="str">
        <f>IF(AB22=0," ",VLOOKUP($C22,Dato_Transf!$O:$U,7,FALSE()))</f>
        <v xml:space="preserve"> </v>
      </c>
      <c r="AD22" s="51">
        <f>IFERROR(VLOOKUP($C22,Dato_Transf!$V:$AB,3,FALSE()),0)</f>
        <v>0</v>
      </c>
      <c r="AE22" s="51">
        <f>IFERROR(VLOOKUP($C22,Dato_Transf!$V:$AB,4,FALSE()),0)</f>
        <v>0</v>
      </c>
      <c r="AF22" s="97">
        <f t="shared" ref="AF22" si="196">IF($F$6="OJO H.E. AL 100%",0,(AE22-AD22)*24)</f>
        <v>0</v>
      </c>
      <c r="AG22" s="45" t="str">
        <f>IF(AF22=0," ",VLOOKUP($C22,Dato_Transf!$V:$AB,7,FALSE()))</f>
        <v xml:space="preserve"> </v>
      </c>
      <c r="AH22" s="51">
        <f>IFERROR(VLOOKUP($C22,Dato_Transf!$V:$AB,5,FALSE()),0)</f>
        <v>0</v>
      </c>
      <c r="AI22" s="51">
        <f>IFERROR(VLOOKUP($C22,Dato_Transf!$V:$AB,6,FALSE()),0)</f>
        <v>0</v>
      </c>
      <c r="AJ22" s="97">
        <f t="shared" ref="AJ22" si="197">(+AI22-AH22)*24</f>
        <v>0</v>
      </c>
      <c r="AK22" s="45" t="str">
        <f>IF(AJ22=0," ",VLOOKUP($C22,Dato_Transf!$V:$AB,7,FALSE()))</f>
        <v xml:space="preserve"> </v>
      </c>
      <c r="AL22" s="51">
        <f>IFERROR(VLOOKUP($C22,Dato_Transf!$AC:$AI,3,FALSE()),0)</f>
        <v>0</v>
      </c>
      <c r="AM22" s="51">
        <f>IFERROR(VLOOKUP($C22,Dato_Transf!$AC:$AI,4,FALSE()),0)</f>
        <v>0</v>
      </c>
      <c r="AN22" s="97">
        <f t="shared" ref="AN22" si="198">IF($F$6="OJO H.E. AL 100%",0,(AM22-AL22)*24)</f>
        <v>0</v>
      </c>
      <c r="AO22" s="45" t="str">
        <f>IF(AN22=0," ",VLOOKUP($C22,Dato_Transf!$AC:$AI,7,FALSE()))</f>
        <v xml:space="preserve"> </v>
      </c>
      <c r="AP22" s="51">
        <f>IFERROR(VLOOKUP($C22,Dato_Transf!$AC:$AI,5,FALSE()),0)</f>
        <v>0</v>
      </c>
      <c r="AQ22" s="51">
        <f>IFERROR(VLOOKUP($C22,Dato_Transf!$AC:$AI,6,FALSE()),0)</f>
        <v>0</v>
      </c>
      <c r="AR22" s="97">
        <f t="shared" ref="AR22" si="199">(+AQ22-AP22)*24</f>
        <v>0</v>
      </c>
      <c r="AS22" s="45" t="str">
        <f>IF(AR22=0," ",VLOOKUP($C22,Dato_Transf!$AC:$AI,7,FALSE()))</f>
        <v xml:space="preserve"> </v>
      </c>
      <c r="AT22" s="51">
        <f>IFERROR(VLOOKUP($C22,Dato_Transf!$AJ:$AP,3,FALSE()),0)</f>
        <v>0</v>
      </c>
      <c r="AU22" s="51">
        <f>IFERROR(VLOOKUP($C22,Dato_Transf!$AJ:$AP,4,FALSE()),0)</f>
        <v>0</v>
      </c>
      <c r="AV22" s="97">
        <f t="shared" ref="AV22" si="200">IF($F$6="OJO H.E. AL 100%",0,(AU22-AT22)*24)</f>
        <v>0</v>
      </c>
      <c r="AW22" s="45" t="str">
        <f>IF(AV22=0," ",VLOOKUP($C22,Dato_Transf!$AJ:$AP,7,FALSE()))</f>
        <v xml:space="preserve"> </v>
      </c>
      <c r="AX22" s="51">
        <f>IFERROR(VLOOKUP($C22,Dato_Transf!$AJ:$AP,5,FALSE()),0)</f>
        <v>0</v>
      </c>
      <c r="AY22" s="51">
        <f>IFERROR(VLOOKUP($C22,Dato_Transf!$AJ:$AP,6,FALSE()),0)</f>
        <v>0</v>
      </c>
      <c r="AZ22" s="97">
        <f t="shared" ref="AZ22" si="201">(+AY22-AX22)*24</f>
        <v>0</v>
      </c>
      <c r="BA22" s="45" t="str">
        <f>IF(AZ22=0," ",VLOOKUP($C22,Dato_Transf!$AJ:$AP,7,FALSE()))</f>
        <v xml:space="preserve"> </v>
      </c>
      <c r="BB22" s="51">
        <f>IFERROR(VLOOKUP($C22,Dato_Transf!$AQ:$AW,3,FALSE()),0)</f>
        <v>0</v>
      </c>
      <c r="BC22" s="51">
        <f>IFERROR(VLOOKUP($C22,Dato_Transf!$AQ:$AW,4,FALSE()),0)</f>
        <v>0</v>
      </c>
      <c r="BD22" s="97">
        <f t="shared" ref="BD22" si="202">IF($F$6="OJO H.E. AL 100%",0,(BC22-BB22)*24)</f>
        <v>0</v>
      </c>
      <c r="BE22" s="45" t="str">
        <f>IF(BD22=0," ",VLOOKUP($C22,Dato_Transf!$AQ:$AW,7,FALSE()))</f>
        <v xml:space="preserve"> </v>
      </c>
      <c r="BF22" s="51">
        <f>IFERROR(VLOOKUP($C22,Dato_Transf!$AQ:$AW,5,FALSE()),0)</f>
        <v>0</v>
      </c>
      <c r="BG22" s="51">
        <f>IFERROR(VLOOKUP($C22,Dato_Transf!$AQ:$AW,6,FALSE()),0)</f>
        <v>0</v>
      </c>
      <c r="BH22" s="97">
        <f t="shared" ref="BH22" si="203">(+BG22-BF22)*24</f>
        <v>0</v>
      </c>
      <c r="BI22" s="45" t="str">
        <f>IF(BH22=0," ",VLOOKUP($C22,Dato_Transf!$AQ:$AW,7,FALSE()))</f>
        <v xml:space="preserve"> </v>
      </c>
      <c r="BJ22" s="95">
        <f t="shared" ref="BJ22" si="204">H22+P22+X22+AF22+AN22+AV22+BD22</f>
        <v>0</v>
      </c>
      <c r="BK22" s="96">
        <f t="shared" ref="BK22" si="205">L22+T22+AB22+AJ22+AR22+AZ22+BH22</f>
        <v>0</v>
      </c>
    </row>
    <row r="23" spans="2:63" ht="29.25" customHeight="1" x14ac:dyDescent="0.3">
      <c r="B23" s="22">
        <f>'Reporte Asistencia Laboral'!B24</f>
        <v>14</v>
      </c>
      <c r="C23" s="75" t="str">
        <f>IFERROR(VLOOKUP(D23,EMPLEADO!C:Q,15,0),"")</f>
        <v>CABRERA PASACA JONATHAN EDUARDO</v>
      </c>
      <c r="D23" s="6" t="str">
        <f>'Reporte Asistencia Laboral'!D24</f>
        <v>110576859-0</v>
      </c>
      <c r="E23" s="142"/>
      <c r="F23" s="51">
        <f>IFERROR(VLOOKUP($C23,Dato_Transf!$A:$G,3,FALSE()),0)</f>
        <v>0</v>
      </c>
      <c r="G23" s="51">
        <f>IFERROR(VLOOKUP($C23,Dato_Transf!$A:$G,4,FALSE()),0)</f>
        <v>0</v>
      </c>
      <c r="H23" s="97">
        <f t="shared" ref="H23:H24" si="206">IF($F$6="OJO H.E. AL 100%",0,(G23-F23)*24)</f>
        <v>0</v>
      </c>
      <c r="I23" s="45" t="str">
        <f>IF(H23=0," ",VLOOKUP($C23,Dato_Transf!$A:$G,7,FALSE))</f>
        <v xml:space="preserve"> </v>
      </c>
      <c r="J23" s="51">
        <f>IFERROR(VLOOKUP($C23,Dato_Transf!$A:$G,5,FALSE()),0)</f>
        <v>0</v>
      </c>
      <c r="K23" s="51">
        <f>IFERROR(VLOOKUP($C23,Dato_Transf!$A:$G,6,FALSE()),0)</f>
        <v>0</v>
      </c>
      <c r="L23" s="97">
        <f t="shared" ref="L23:L24" si="207">(+K23-J23)*24</f>
        <v>0</v>
      </c>
      <c r="M23" s="45" t="str">
        <f>IF(L23=0," ",VLOOKUP($C23,Dato_Transf!$A:$G,7,FALSE))</f>
        <v xml:space="preserve"> </v>
      </c>
      <c r="N23" s="51">
        <f>IFERROR(VLOOKUP($C23,Dato_Transf!$H:$N,3,FALSE()),0)</f>
        <v>0</v>
      </c>
      <c r="O23" s="51">
        <f>IFERROR(VLOOKUP($C23,Dato_Transf!$H:$N,4,FALSE()),0)</f>
        <v>0</v>
      </c>
      <c r="P23" s="97">
        <f t="shared" ref="P23:P24" si="208">IF($F$6="OJO H.E. AL 100%",0,(O23-N23)*24)</f>
        <v>0</v>
      </c>
      <c r="Q23" s="45" t="str">
        <f>IF(P23=0," ",VLOOKUP($C23,Dato_Transf!$H:$N,7,FALSE()))</f>
        <v xml:space="preserve"> </v>
      </c>
      <c r="R23" s="51">
        <f>IFERROR(VLOOKUP($C23,Dato_Transf!$H:$N,5,FALSE()),0)</f>
        <v>0</v>
      </c>
      <c r="S23" s="51">
        <f>IFERROR(VLOOKUP($C23,Dato_Transf!$H:$N,6,FALSE()),0)</f>
        <v>0</v>
      </c>
      <c r="T23" s="97">
        <f t="shared" ref="T23:T24" si="209">(+S23-R23)*24</f>
        <v>0</v>
      </c>
      <c r="U23" s="45" t="str">
        <f>IF(T23=0," ",VLOOKUP($C23,Dato_Transf!$H:$N,7,FALSE()))</f>
        <v xml:space="preserve"> </v>
      </c>
      <c r="V23" s="51">
        <f>IFERROR(VLOOKUP($C23,Dato_Transf!$O:$U,3,FALSE()),0)</f>
        <v>0</v>
      </c>
      <c r="W23" s="51">
        <f>IFERROR(VLOOKUP($C23,Dato_Transf!$O:$U,4,FALSE()),0)</f>
        <v>0</v>
      </c>
      <c r="X23" s="97">
        <f t="shared" ref="X23:X24" si="210">IF($F$6="OJO H.E. AL 100%",0,(W23-V23)*24)</f>
        <v>0</v>
      </c>
      <c r="Y23" s="45" t="str">
        <f>IF(X23=0," ",VLOOKUP($C23,Dato_Transf!$O:$U,7,FALSE()))</f>
        <v xml:space="preserve"> </v>
      </c>
      <c r="Z23" s="51">
        <f>IFERROR(VLOOKUP($C23,Dato_Transf!$O:$U,5,FALSE()),0)</f>
        <v>0</v>
      </c>
      <c r="AA23" s="51">
        <f>IFERROR(VLOOKUP($C23,Dato_Transf!$O:$U,6,FALSE()),0)</f>
        <v>0</v>
      </c>
      <c r="AB23" s="97">
        <f t="shared" ref="AB23:AB24" si="211">(+AA23-Z23)*24</f>
        <v>0</v>
      </c>
      <c r="AC23" s="45" t="str">
        <f>IF(AB23=0," ",VLOOKUP($C23,Dato_Transf!$O:$U,7,FALSE()))</f>
        <v xml:space="preserve"> </v>
      </c>
      <c r="AD23" s="51">
        <f>IFERROR(VLOOKUP($C23,Dato_Transf!$V:$AB,3,FALSE()),0)</f>
        <v>0</v>
      </c>
      <c r="AE23" s="51">
        <f>IFERROR(VLOOKUP($C23,Dato_Transf!$V:$AB,4,FALSE()),0)</f>
        <v>0</v>
      </c>
      <c r="AF23" s="97">
        <f t="shared" ref="AF23:AF24" si="212">IF($F$6="OJO H.E. AL 100%",0,(AE23-AD23)*24)</f>
        <v>0</v>
      </c>
      <c r="AG23" s="45" t="str">
        <f>IF(AF23=0," ",VLOOKUP($C23,Dato_Transf!$V:$AB,7,FALSE()))</f>
        <v xml:space="preserve"> </v>
      </c>
      <c r="AH23" s="51">
        <f>IFERROR(VLOOKUP($C23,Dato_Transf!$V:$AB,5,FALSE()),0)</f>
        <v>0</v>
      </c>
      <c r="AI23" s="51">
        <f>IFERROR(VLOOKUP($C23,Dato_Transf!$V:$AB,6,FALSE()),0)</f>
        <v>0</v>
      </c>
      <c r="AJ23" s="97">
        <f t="shared" ref="AJ23:AJ24" si="213">(+AI23-AH23)*24</f>
        <v>0</v>
      </c>
      <c r="AK23" s="45" t="str">
        <f>IF(AJ23=0," ",VLOOKUP($C23,Dato_Transf!$V:$AB,7,FALSE()))</f>
        <v xml:space="preserve"> </v>
      </c>
      <c r="AL23" s="51">
        <f>IFERROR(VLOOKUP($C23,Dato_Transf!$AC:$AI,3,FALSE()),0)</f>
        <v>0</v>
      </c>
      <c r="AM23" s="51">
        <f>IFERROR(VLOOKUP($C23,Dato_Transf!$AC:$AI,4,FALSE()),0)</f>
        <v>0</v>
      </c>
      <c r="AN23" s="97">
        <f t="shared" ref="AN23:AN24" si="214">IF($F$6="OJO H.E. AL 100%",0,(AM23-AL23)*24)</f>
        <v>0</v>
      </c>
      <c r="AO23" s="45" t="str">
        <f>IF(AN23=0," ",VLOOKUP($C23,Dato_Transf!$AC:$AI,7,FALSE()))</f>
        <v xml:space="preserve"> </v>
      </c>
      <c r="AP23" s="51">
        <f>IFERROR(VLOOKUP($C23,Dato_Transf!$AC:$AI,5,FALSE()),0)</f>
        <v>0</v>
      </c>
      <c r="AQ23" s="51">
        <f>IFERROR(VLOOKUP($C23,Dato_Transf!$AC:$AI,6,FALSE()),0)</f>
        <v>0</v>
      </c>
      <c r="AR23" s="97">
        <f t="shared" ref="AR23:AR24" si="215">(+AQ23-AP23)*24</f>
        <v>0</v>
      </c>
      <c r="AS23" s="45" t="str">
        <f>IF(AR23=0," ",VLOOKUP($C23,Dato_Transf!$AC:$AI,7,FALSE()))</f>
        <v xml:space="preserve"> </v>
      </c>
      <c r="AT23" s="51">
        <f>IFERROR(VLOOKUP($C23,Dato_Transf!$AJ:$AP,3,FALSE()),0)</f>
        <v>0</v>
      </c>
      <c r="AU23" s="51">
        <f>IFERROR(VLOOKUP($C23,Dato_Transf!$AJ:$AP,4,FALSE()),0)</f>
        <v>0</v>
      </c>
      <c r="AV23" s="97">
        <f t="shared" ref="AV23:AV24" si="216">IF($F$6="OJO H.E. AL 100%",0,(AU23-AT23)*24)</f>
        <v>0</v>
      </c>
      <c r="AW23" s="45" t="str">
        <f>IF(AV23=0," ",VLOOKUP($C23,Dato_Transf!$AJ:$AP,7,FALSE()))</f>
        <v xml:space="preserve"> </v>
      </c>
      <c r="AX23" s="51">
        <f>IFERROR(VLOOKUP($C23,Dato_Transf!$AJ:$AP,5,FALSE()),0)</f>
        <v>0</v>
      </c>
      <c r="AY23" s="51">
        <f>IFERROR(VLOOKUP($C23,Dato_Transf!$AJ:$AP,6,FALSE()),0)</f>
        <v>0</v>
      </c>
      <c r="AZ23" s="97">
        <f t="shared" ref="AZ23:AZ24" si="217">(+AY23-AX23)*24</f>
        <v>0</v>
      </c>
      <c r="BA23" s="45" t="str">
        <f>IF(AZ23=0," ",VLOOKUP($C23,Dato_Transf!$AJ:$AP,7,FALSE()))</f>
        <v xml:space="preserve"> </v>
      </c>
      <c r="BB23" s="51">
        <f>IFERROR(VLOOKUP($C23,Dato_Transf!$AQ:$AW,3,FALSE()),0)</f>
        <v>0</v>
      </c>
      <c r="BC23" s="51">
        <f>IFERROR(VLOOKUP($C23,Dato_Transf!$AQ:$AW,4,FALSE()),0)</f>
        <v>0</v>
      </c>
      <c r="BD23" s="97">
        <f t="shared" ref="BD23:BD24" si="218">IF($F$6="OJO H.E. AL 100%",0,(BC23-BB23)*24)</f>
        <v>0</v>
      </c>
      <c r="BE23" s="45" t="str">
        <f>IF(BD23=0," ",VLOOKUP($C23,Dato_Transf!$AQ:$AW,7,FALSE()))</f>
        <v xml:space="preserve"> </v>
      </c>
      <c r="BF23" s="51">
        <f>IFERROR(VLOOKUP($C23,Dato_Transf!$AQ:$AW,5,FALSE()),0)</f>
        <v>0</v>
      </c>
      <c r="BG23" s="51">
        <f>IFERROR(VLOOKUP($C23,Dato_Transf!$AQ:$AW,6,FALSE()),0)</f>
        <v>0</v>
      </c>
      <c r="BH23" s="97">
        <f t="shared" ref="BH23:BH24" si="219">(+BG23-BF23)*24</f>
        <v>0</v>
      </c>
      <c r="BI23" s="45" t="str">
        <f>IF(BH23=0," ",VLOOKUP($C23,Dato_Transf!$AQ:$AW,7,FALSE()))</f>
        <v xml:space="preserve"> </v>
      </c>
      <c r="BJ23" s="95">
        <f t="shared" ref="BJ23:BJ24" si="220">H23+P23+X23+AF23+AN23+AV23+BD23</f>
        <v>0</v>
      </c>
      <c r="BK23" s="96">
        <f t="shared" ref="BK23:BK24" si="221">L23+T23+AB23+AJ23+AR23+AZ23+BH23</f>
        <v>0</v>
      </c>
    </row>
    <row r="24" spans="2:63" ht="29.25" customHeight="1" thickBot="1" x14ac:dyDescent="0.35">
      <c r="B24" s="22">
        <f>'Reporte Asistencia Laboral'!B25</f>
        <v>15</v>
      </c>
      <c r="C24" s="75" t="str">
        <f>IFERROR(VLOOKUP(D24,EMPLEADO!C:Q,15,0),"")</f>
        <v/>
      </c>
      <c r="D24" s="6" t="str">
        <f>'Reporte Asistencia Laboral'!D25</f>
        <v/>
      </c>
      <c r="E24" s="142"/>
      <c r="F24" s="51">
        <f>IFERROR(VLOOKUP($C24,Dato_Transf!$A:$G,3,FALSE()),0)</f>
        <v>0</v>
      </c>
      <c r="G24" s="51">
        <f>IFERROR(VLOOKUP($C24,Dato_Transf!$A:$G,4,FALSE()),0)</f>
        <v>0</v>
      </c>
      <c r="H24" s="97">
        <f t="shared" si="206"/>
        <v>0</v>
      </c>
      <c r="I24" s="45" t="str">
        <f>IF(H24=0," ",VLOOKUP($C24,Dato_Transf!$A:$G,7,FALSE))</f>
        <v xml:space="preserve"> </v>
      </c>
      <c r="J24" s="51">
        <f>IFERROR(VLOOKUP($C24,Dato_Transf!$A:$G,5,FALSE()),0)</f>
        <v>0</v>
      </c>
      <c r="K24" s="51">
        <f>IFERROR(VLOOKUP($C24,Dato_Transf!$A:$G,6,FALSE()),0)</f>
        <v>0</v>
      </c>
      <c r="L24" s="97">
        <f t="shared" si="207"/>
        <v>0</v>
      </c>
      <c r="M24" s="45" t="str">
        <f>IF(L24=0," ",VLOOKUP($C24,Dato_Transf!$A:$G,7,FALSE))</f>
        <v xml:space="preserve"> </v>
      </c>
      <c r="N24" s="51">
        <f>IFERROR(VLOOKUP($C24,Dato_Transf!$H:$N,3,FALSE()),0)</f>
        <v>0</v>
      </c>
      <c r="O24" s="51">
        <f>IFERROR(VLOOKUP($C24,Dato_Transf!$H:$N,4,FALSE()),0)</f>
        <v>0</v>
      </c>
      <c r="P24" s="97">
        <f t="shared" si="208"/>
        <v>0</v>
      </c>
      <c r="Q24" s="45" t="str">
        <f>IF(P24=0," ",VLOOKUP($C24,Dato_Transf!$H:$N,7,FALSE()))</f>
        <v xml:space="preserve"> </v>
      </c>
      <c r="R24" s="51">
        <f>IFERROR(VLOOKUP($C24,Dato_Transf!$H:$N,5,FALSE()),0)</f>
        <v>0</v>
      </c>
      <c r="S24" s="51">
        <f>IFERROR(VLOOKUP($C24,Dato_Transf!$H:$N,6,FALSE()),0)</f>
        <v>0</v>
      </c>
      <c r="T24" s="97">
        <f t="shared" si="209"/>
        <v>0</v>
      </c>
      <c r="U24" s="45" t="str">
        <f>IF(T24=0," ",VLOOKUP($C24,Dato_Transf!$H:$N,7,FALSE()))</f>
        <v xml:space="preserve"> </v>
      </c>
      <c r="V24" s="51">
        <f>IFERROR(VLOOKUP($C24,Dato_Transf!$O:$U,3,FALSE()),0)</f>
        <v>0</v>
      </c>
      <c r="W24" s="51">
        <f>IFERROR(VLOOKUP($C24,Dato_Transf!$O:$U,4,FALSE()),0)</f>
        <v>0</v>
      </c>
      <c r="X24" s="97">
        <f t="shared" si="210"/>
        <v>0</v>
      </c>
      <c r="Y24" s="45" t="str">
        <f>IF(X24=0," ",VLOOKUP($C24,Dato_Transf!$O:$U,7,FALSE()))</f>
        <v xml:space="preserve"> </v>
      </c>
      <c r="Z24" s="51">
        <f>IFERROR(VLOOKUP($C24,Dato_Transf!$O:$U,5,FALSE()),0)</f>
        <v>0</v>
      </c>
      <c r="AA24" s="51">
        <f>IFERROR(VLOOKUP($C24,Dato_Transf!$O:$U,6,FALSE()),0)</f>
        <v>0</v>
      </c>
      <c r="AB24" s="97">
        <f t="shared" si="211"/>
        <v>0</v>
      </c>
      <c r="AC24" s="45" t="str">
        <f>IF(AB24=0," ",VLOOKUP($C24,Dato_Transf!$O:$U,7,FALSE()))</f>
        <v xml:space="preserve"> </v>
      </c>
      <c r="AD24" s="51">
        <f>IFERROR(VLOOKUP($C24,Dato_Transf!$V:$AB,3,FALSE()),0)</f>
        <v>0</v>
      </c>
      <c r="AE24" s="51">
        <f>IFERROR(VLOOKUP($C24,Dato_Transf!$V:$AB,4,FALSE()),0)</f>
        <v>0</v>
      </c>
      <c r="AF24" s="97">
        <f t="shared" si="212"/>
        <v>0</v>
      </c>
      <c r="AG24" s="45" t="str">
        <f>IF(AF24=0," ",VLOOKUP($C24,Dato_Transf!$V:$AB,7,FALSE()))</f>
        <v xml:space="preserve"> </v>
      </c>
      <c r="AH24" s="51">
        <f>IFERROR(VLOOKUP($C24,Dato_Transf!$V:$AB,5,FALSE()),0)</f>
        <v>0</v>
      </c>
      <c r="AI24" s="51">
        <f>IFERROR(VLOOKUP($C24,Dato_Transf!$V:$AB,6,FALSE()),0)</f>
        <v>0</v>
      </c>
      <c r="AJ24" s="97">
        <f t="shared" si="213"/>
        <v>0</v>
      </c>
      <c r="AK24" s="45" t="str">
        <f>IF(AJ24=0," ",VLOOKUP($C24,Dato_Transf!$V:$AB,7,FALSE()))</f>
        <v xml:space="preserve"> </v>
      </c>
      <c r="AL24" s="51">
        <f>IFERROR(VLOOKUP($C24,Dato_Transf!$AC:$AI,3,FALSE()),0)</f>
        <v>0</v>
      </c>
      <c r="AM24" s="51">
        <f>IFERROR(VLOOKUP($C24,Dato_Transf!$AC:$AI,4,FALSE()),0)</f>
        <v>0</v>
      </c>
      <c r="AN24" s="97">
        <f t="shared" si="214"/>
        <v>0</v>
      </c>
      <c r="AO24" s="45" t="str">
        <f>IF(AN24=0," ",VLOOKUP($C24,Dato_Transf!$AC:$AI,7,FALSE()))</f>
        <v xml:space="preserve"> </v>
      </c>
      <c r="AP24" s="51">
        <f>IFERROR(VLOOKUP($C24,Dato_Transf!$AC:$AI,5,FALSE()),0)</f>
        <v>0</v>
      </c>
      <c r="AQ24" s="51">
        <f>IFERROR(VLOOKUP($C24,Dato_Transf!$AC:$AI,6,FALSE()),0)</f>
        <v>0</v>
      </c>
      <c r="AR24" s="97">
        <f t="shared" si="215"/>
        <v>0</v>
      </c>
      <c r="AS24" s="45" t="str">
        <f>IF(AR24=0," ",VLOOKUP($C24,Dato_Transf!$AC:$AI,7,FALSE()))</f>
        <v xml:space="preserve"> </v>
      </c>
      <c r="AT24" s="51">
        <f>IFERROR(VLOOKUP($C24,Dato_Transf!$AJ:$AP,3,FALSE()),0)</f>
        <v>0</v>
      </c>
      <c r="AU24" s="51">
        <f>IFERROR(VLOOKUP($C24,Dato_Transf!$AJ:$AP,4,FALSE()),0)</f>
        <v>0</v>
      </c>
      <c r="AV24" s="97">
        <f t="shared" si="216"/>
        <v>0</v>
      </c>
      <c r="AW24" s="45" t="str">
        <f>IF(AV24=0," ",VLOOKUP($C24,Dato_Transf!$AJ:$AP,7,FALSE()))</f>
        <v xml:space="preserve"> </v>
      </c>
      <c r="AX24" s="51">
        <f>IFERROR(VLOOKUP($C24,Dato_Transf!$AJ:$AP,5,FALSE()),0)</f>
        <v>0</v>
      </c>
      <c r="AY24" s="51">
        <f>IFERROR(VLOOKUP($C24,Dato_Transf!$AJ:$AP,6,FALSE()),0)</f>
        <v>0</v>
      </c>
      <c r="AZ24" s="97">
        <f t="shared" si="217"/>
        <v>0</v>
      </c>
      <c r="BA24" s="45" t="str">
        <f>IF(AZ24=0," ",VLOOKUP($C24,Dato_Transf!$AJ:$AP,7,FALSE()))</f>
        <v xml:space="preserve"> </v>
      </c>
      <c r="BB24" s="51">
        <f>IFERROR(VLOOKUP($C24,Dato_Transf!$AQ:$AW,3,FALSE()),0)</f>
        <v>0</v>
      </c>
      <c r="BC24" s="51">
        <f>IFERROR(VLOOKUP($C24,Dato_Transf!$AQ:$AW,4,FALSE()),0)</f>
        <v>0</v>
      </c>
      <c r="BD24" s="97">
        <f t="shared" si="218"/>
        <v>0</v>
      </c>
      <c r="BE24" s="45" t="str">
        <f>IF(BD24=0," ",VLOOKUP($C24,Dato_Transf!$AQ:$AW,7,FALSE()))</f>
        <v xml:space="preserve"> </v>
      </c>
      <c r="BF24" s="51">
        <f>IFERROR(VLOOKUP($C24,Dato_Transf!$AQ:$AW,5,FALSE()),0)</f>
        <v>0</v>
      </c>
      <c r="BG24" s="51">
        <f>IFERROR(VLOOKUP($C24,Dato_Transf!$AQ:$AW,6,FALSE()),0)</f>
        <v>0</v>
      </c>
      <c r="BH24" s="97">
        <f t="shared" si="219"/>
        <v>0</v>
      </c>
      <c r="BI24" s="45" t="str">
        <f>IF(BH24=0," ",VLOOKUP($C24,Dato_Transf!$AQ:$AW,7,FALSE()))</f>
        <v xml:space="preserve"> </v>
      </c>
      <c r="BJ24" s="95">
        <f t="shared" si="220"/>
        <v>0</v>
      </c>
      <c r="BK24" s="96">
        <f t="shared" si="221"/>
        <v>0</v>
      </c>
    </row>
    <row r="25" spans="2:63" ht="21" customHeight="1" x14ac:dyDescent="0.3">
      <c r="C25" s="68" t="s">
        <v>121</v>
      </c>
      <c r="D25" s="28"/>
      <c r="F25" s="362"/>
      <c r="G25" s="362"/>
      <c r="H25" s="362"/>
      <c r="I25" s="362"/>
      <c r="J25" s="362"/>
      <c r="K25" s="362"/>
      <c r="L25" s="362"/>
      <c r="M25" s="362"/>
      <c r="N25" s="362"/>
      <c r="O25" s="362"/>
      <c r="P25" s="362"/>
      <c r="Q25" s="362"/>
      <c r="R25" s="362"/>
      <c r="S25" s="362"/>
      <c r="T25" s="362"/>
      <c r="U25" s="362"/>
      <c r="V25" s="362"/>
      <c r="W25" s="362"/>
      <c r="X25" s="362"/>
      <c r="Y25" s="362"/>
      <c r="Z25" s="362"/>
      <c r="AA25" s="362"/>
      <c r="AB25" s="362"/>
      <c r="AC25" s="362"/>
      <c r="AD25" s="362"/>
      <c r="AE25" s="362"/>
      <c r="AF25" s="362"/>
      <c r="AG25" s="362"/>
      <c r="AH25" s="362"/>
      <c r="AI25" s="362"/>
      <c r="AJ25" s="362"/>
      <c r="AK25" s="362"/>
      <c r="AL25" s="362"/>
      <c r="AM25" s="362"/>
      <c r="AN25" s="362"/>
      <c r="AO25" s="362"/>
      <c r="AP25" s="362"/>
      <c r="AQ25" s="362"/>
      <c r="AR25" s="362"/>
      <c r="AS25" s="362"/>
      <c r="AT25" s="362"/>
      <c r="AU25" s="362"/>
      <c r="AV25" s="362"/>
      <c r="AW25" s="362"/>
      <c r="AX25" s="362"/>
      <c r="AY25" s="362"/>
      <c r="AZ25" s="362"/>
      <c r="BA25" s="362"/>
      <c r="BB25" s="362"/>
      <c r="BC25" s="362"/>
      <c r="BD25" s="362"/>
      <c r="BE25" s="362"/>
      <c r="BF25" s="362"/>
      <c r="BG25" s="362"/>
      <c r="BH25" s="362"/>
      <c r="BI25" s="362"/>
      <c r="BJ25" s="126"/>
      <c r="BK25" s="126"/>
    </row>
    <row r="26" spans="2:63" x14ac:dyDescent="0.25">
      <c r="B26" s="34" t="s">
        <v>125</v>
      </c>
      <c r="F26" s="363"/>
      <c r="G26" s="363"/>
      <c r="H26" s="363"/>
      <c r="I26" s="363"/>
      <c r="J26" s="363"/>
      <c r="K26" s="363"/>
      <c r="L26" s="363"/>
      <c r="M26" s="363"/>
      <c r="N26" s="363"/>
      <c r="O26" s="363"/>
      <c r="P26" s="363"/>
      <c r="Q26" s="363"/>
      <c r="R26" s="363"/>
      <c r="S26" s="363"/>
      <c r="T26" s="363"/>
      <c r="U26" s="363"/>
      <c r="V26" s="363"/>
      <c r="W26" s="363"/>
      <c r="X26" s="363"/>
      <c r="Y26" s="363"/>
      <c r="Z26" s="363"/>
      <c r="AA26" s="363"/>
      <c r="AB26" s="363"/>
      <c r="AC26" s="363"/>
      <c r="AD26" s="363"/>
      <c r="AE26" s="363"/>
      <c r="AF26" s="363"/>
      <c r="AG26" s="363"/>
      <c r="AH26" s="363"/>
      <c r="AI26" s="363"/>
      <c r="AJ26" s="363"/>
      <c r="AK26" s="363"/>
      <c r="AL26" s="363"/>
      <c r="AM26" s="363"/>
      <c r="AN26" s="363"/>
      <c r="AO26" s="363"/>
      <c r="AP26" s="363"/>
      <c r="AQ26" s="363"/>
      <c r="AR26" s="363"/>
      <c r="AS26" s="363"/>
      <c r="AT26" s="363"/>
      <c r="AU26" s="363"/>
      <c r="AV26" s="363"/>
      <c r="AW26" s="363"/>
      <c r="AX26" s="363"/>
      <c r="AY26" s="363"/>
      <c r="AZ26" s="363"/>
      <c r="BA26" s="363"/>
      <c r="BB26" s="363"/>
      <c r="BC26" s="363"/>
      <c r="BD26" s="363"/>
      <c r="BE26" s="363"/>
      <c r="BF26" s="363"/>
      <c r="BG26" s="363"/>
      <c r="BH26" s="363"/>
      <c r="BI26" s="363"/>
    </row>
    <row r="27" spans="2:63" x14ac:dyDescent="0.25">
      <c r="F27" s="363"/>
      <c r="G27" s="363"/>
      <c r="H27" s="363"/>
      <c r="I27" s="363"/>
      <c r="J27" s="363"/>
      <c r="K27" s="363"/>
      <c r="L27" s="363"/>
      <c r="M27" s="363"/>
      <c r="N27" s="363"/>
      <c r="O27" s="363"/>
      <c r="P27" s="363"/>
      <c r="Q27" s="363"/>
      <c r="R27" s="363"/>
      <c r="S27" s="363"/>
      <c r="T27" s="363"/>
      <c r="U27" s="363"/>
      <c r="V27" s="363"/>
      <c r="W27" s="363"/>
      <c r="X27" s="363"/>
      <c r="Y27" s="363"/>
      <c r="Z27" s="363"/>
      <c r="AA27" s="363"/>
      <c r="AB27" s="363"/>
      <c r="AC27" s="363"/>
      <c r="AD27" s="363"/>
      <c r="AE27" s="363"/>
      <c r="AF27" s="363"/>
      <c r="AG27" s="363"/>
      <c r="AH27" s="363"/>
      <c r="AI27" s="363"/>
      <c r="AJ27" s="363"/>
      <c r="AK27" s="363"/>
      <c r="AL27" s="363"/>
      <c r="AM27" s="363"/>
      <c r="AN27" s="363"/>
      <c r="AO27" s="363"/>
      <c r="AP27" s="363"/>
      <c r="AQ27" s="363"/>
      <c r="AR27" s="363"/>
      <c r="AS27" s="363"/>
      <c r="AT27" s="363"/>
      <c r="AU27" s="363"/>
      <c r="AV27" s="363"/>
      <c r="AW27" s="363"/>
      <c r="AX27" s="363"/>
      <c r="AY27" s="363"/>
      <c r="AZ27" s="363"/>
      <c r="BA27" s="363"/>
      <c r="BB27" s="363"/>
      <c r="BC27" s="363"/>
      <c r="BD27" s="363"/>
      <c r="BE27" s="363"/>
      <c r="BF27" s="363"/>
      <c r="BG27" s="363"/>
      <c r="BH27" s="363"/>
      <c r="BI27" s="363"/>
    </row>
    <row r="28" spans="2:63" x14ac:dyDescent="0.25"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3"/>
      <c r="R28" s="363"/>
      <c r="S28" s="363"/>
      <c r="T28" s="363"/>
      <c r="U28" s="363"/>
      <c r="V28" s="363"/>
      <c r="W28" s="363"/>
      <c r="X28" s="363"/>
      <c r="Y28" s="363"/>
      <c r="Z28" s="363"/>
      <c r="AA28" s="363"/>
      <c r="AB28" s="363"/>
      <c r="AC28" s="363"/>
      <c r="AD28" s="363"/>
      <c r="AE28" s="363"/>
      <c r="AF28" s="363"/>
      <c r="AG28" s="363"/>
      <c r="AH28" s="363"/>
      <c r="AI28" s="363"/>
      <c r="AJ28" s="363"/>
      <c r="AK28" s="363"/>
      <c r="AL28" s="363"/>
      <c r="AM28" s="363"/>
      <c r="AN28" s="363"/>
      <c r="AO28" s="363"/>
      <c r="AP28" s="363"/>
      <c r="AQ28" s="363"/>
      <c r="AR28" s="363"/>
      <c r="AS28" s="363"/>
      <c r="AT28" s="363"/>
      <c r="AU28" s="363"/>
      <c r="AV28" s="363"/>
      <c r="AW28" s="363"/>
      <c r="AX28" s="363"/>
      <c r="AY28" s="363"/>
      <c r="AZ28" s="363"/>
      <c r="BA28" s="363"/>
      <c r="BB28" s="363"/>
      <c r="BC28" s="363"/>
      <c r="BD28" s="363"/>
      <c r="BE28" s="363"/>
      <c r="BF28" s="363"/>
      <c r="BG28" s="363"/>
      <c r="BH28" s="363"/>
      <c r="BI28" s="363"/>
    </row>
    <row r="29" spans="2:63" ht="15.75" thickBot="1" x14ac:dyDescent="0.3">
      <c r="B29" s="34" t="s">
        <v>126</v>
      </c>
      <c r="C29" s="28" t="s">
        <v>127</v>
      </c>
      <c r="F29" s="364"/>
      <c r="G29" s="364"/>
      <c r="H29" s="364"/>
      <c r="I29" s="364"/>
      <c r="J29" s="364"/>
      <c r="K29" s="364"/>
      <c r="L29" s="364"/>
      <c r="M29" s="364"/>
      <c r="N29" s="364"/>
      <c r="O29" s="364"/>
      <c r="P29" s="364"/>
      <c r="Q29" s="364"/>
      <c r="R29" s="364"/>
      <c r="S29" s="364"/>
      <c r="T29" s="364"/>
      <c r="U29" s="364"/>
      <c r="V29" s="364"/>
      <c r="W29" s="364"/>
      <c r="X29" s="364"/>
      <c r="Y29" s="364"/>
      <c r="Z29" s="364"/>
      <c r="AA29" s="364"/>
      <c r="AB29" s="364"/>
      <c r="AC29" s="364"/>
      <c r="AD29" s="364"/>
      <c r="AE29" s="364"/>
      <c r="AF29" s="364"/>
      <c r="AG29" s="364"/>
      <c r="AH29" s="364"/>
      <c r="AI29" s="364"/>
      <c r="AJ29" s="364"/>
      <c r="AK29" s="364"/>
      <c r="AL29" s="364"/>
      <c r="AM29" s="364"/>
      <c r="AN29" s="364"/>
      <c r="AO29" s="364"/>
      <c r="AP29" s="364"/>
      <c r="AQ29" s="364"/>
      <c r="AR29" s="364"/>
      <c r="AS29" s="364"/>
      <c r="AT29" s="364"/>
      <c r="AU29" s="364"/>
      <c r="AV29" s="364"/>
      <c r="AW29" s="364"/>
      <c r="AX29" s="364"/>
      <c r="AY29" s="364"/>
      <c r="AZ29" s="364"/>
      <c r="BA29" s="364"/>
      <c r="BB29" s="364"/>
      <c r="BC29" s="364"/>
      <c r="BD29" s="364"/>
      <c r="BE29" s="364"/>
      <c r="BF29" s="364"/>
      <c r="BG29" s="364"/>
      <c r="BH29" s="364"/>
      <c r="BI29" s="364"/>
    </row>
  </sheetData>
  <mergeCells count="54">
    <mergeCell ref="AL6:AS6"/>
    <mergeCell ref="AT6:BA6"/>
    <mergeCell ref="BB6:BI6"/>
    <mergeCell ref="C2:E2"/>
    <mergeCell ref="C3:E3"/>
    <mergeCell ref="F6:M6"/>
    <mergeCell ref="N6:U6"/>
    <mergeCell ref="V6:AC6"/>
    <mergeCell ref="AD6:AK6"/>
    <mergeCell ref="BB5:BI5"/>
    <mergeCell ref="F5:M5"/>
    <mergeCell ref="N5:U5"/>
    <mergeCell ref="V5:AC5"/>
    <mergeCell ref="AD5:AK5"/>
    <mergeCell ref="AL5:AS5"/>
    <mergeCell ref="AT5:BA5"/>
    <mergeCell ref="BJ7:BK7"/>
    <mergeCell ref="F8:I8"/>
    <mergeCell ref="J8:M8"/>
    <mergeCell ref="BB7:BI7"/>
    <mergeCell ref="AD7:AK7"/>
    <mergeCell ref="AL7:AS7"/>
    <mergeCell ref="AT7:BA7"/>
    <mergeCell ref="F7:M7"/>
    <mergeCell ref="N7:U7"/>
    <mergeCell ref="V7:AC7"/>
    <mergeCell ref="AD8:AG8"/>
    <mergeCell ref="AH8:AK8"/>
    <mergeCell ref="N8:Q8"/>
    <mergeCell ref="R8:U8"/>
    <mergeCell ref="V8:Y8"/>
    <mergeCell ref="Z8:AC8"/>
    <mergeCell ref="BB8:BE8"/>
    <mergeCell ref="BF8:BI8"/>
    <mergeCell ref="AL8:AO8"/>
    <mergeCell ref="AP8:AS8"/>
    <mergeCell ref="AT8:AW8"/>
    <mergeCell ref="AX8:BA8"/>
    <mergeCell ref="BB25:BI29"/>
    <mergeCell ref="F25:M29"/>
    <mergeCell ref="N25:U29"/>
    <mergeCell ref="V25:AC29"/>
    <mergeCell ref="AD25:AK29"/>
    <mergeCell ref="AL25:AS29"/>
    <mergeCell ref="AT25:BA29"/>
    <mergeCell ref="C1:D1"/>
    <mergeCell ref="AT2:BA2"/>
    <mergeCell ref="BB2:BI2"/>
    <mergeCell ref="F2:M2"/>
    <mergeCell ref="N2:U2"/>
    <mergeCell ref="V2:AC2"/>
    <mergeCell ref="AD2:AK2"/>
    <mergeCell ref="AL2:AS2"/>
    <mergeCell ref="H1:AG1"/>
  </mergeCells>
  <conditionalFormatting sqref="F6:BI6">
    <cfRule type="cellIs" dxfId="66" priority="27" operator="equal">
      <formula>"OJO H.E. AL 100%"</formula>
    </cfRule>
    <cfRule type="cellIs" dxfId="65" priority="28" operator="equal">
      <formula>"""OJO H.E. AL 100%"""</formula>
    </cfRule>
  </conditionalFormatting>
  <conditionalFormatting sqref="AT4 BB4 AL4 AD4 V4 N4 F4">
    <cfRule type="cellIs" dxfId="64" priority="26" operator="equal">
      <formula>"F"</formula>
    </cfRule>
  </conditionalFormatting>
  <conditionalFormatting sqref="F5:BI5">
    <cfRule type="cellIs" dxfId="63" priority="7" operator="equal">
      <formula>0</formula>
    </cfRule>
  </conditionalFormatting>
  <pageMargins left="0.51181102362204722" right="0.11811023622047245" top="0.15748031496062992" bottom="0.15748031496062992" header="0.31496062992125984" footer="0.31496062992125984"/>
  <pageSetup scale="75" orientation="portrait" horizontalDpi="120" verticalDpi="72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NOCHE_PESC'!$B$16:$B$26</xm:f>
          </x14:formula1>
          <xm:sqref>E10:E11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F0"/>
  </sheetPr>
  <dimension ref="A1:R34"/>
  <sheetViews>
    <sheetView topLeftCell="B1" zoomScale="70" zoomScaleNormal="70" workbookViewId="0">
      <selection activeCell="F5" sqref="F5:M5"/>
    </sheetView>
  </sheetViews>
  <sheetFormatPr baseColWidth="10" defaultRowHeight="15" x14ac:dyDescent="0.25"/>
  <cols>
    <col min="1" max="1" width="2.85546875" style="1" hidden="1" customWidth="1"/>
    <col min="2" max="2" width="4.7109375" style="1" customWidth="1"/>
    <col min="3" max="3" width="47.7109375" style="1" customWidth="1"/>
    <col min="4" max="4" width="18.5703125" style="1" customWidth="1"/>
    <col min="5" max="5" width="10.42578125" style="1" hidden="1" customWidth="1"/>
    <col min="6" max="7" width="7.7109375" style="1" customWidth="1"/>
    <col min="8" max="8" width="6.7109375" style="1" customWidth="1"/>
    <col min="9" max="9" width="9.7109375" style="1" customWidth="1"/>
    <col min="10" max="11" width="7.7109375" style="1" customWidth="1"/>
    <col min="12" max="12" width="6.7109375" style="1" customWidth="1"/>
    <col min="13" max="13" width="9.7109375" style="1" customWidth="1"/>
    <col min="14" max="14" width="21.140625" customWidth="1"/>
    <col min="18" max="18" width="4.7109375" style="9" customWidth="1"/>
    <col min="19" max="16384" width="11.42578125" style="1"/>
  </cols>
  <sheetData>
    <row r="1" spans="2:18" ht="15.75" customHeight="1" x14ac:dyDescent="0.25">
      <c r="F1"/>
      <c r="G1"/>
      <c r="H1"/>
      <c r="I1"/>
      <c r="J1"/>
      <c r="K1"/>
      <c r="L1"/>
      <c r="M1"/>
    </row>
    <row r="2" spans="2:18" ht="22.5" x14ac:dyDescent="0.4">
      <c r="C2" s="350" t="s">
        <v>44</v>
      </c>
      <c r="D2" s="350"/>
      <c r="E2" s="350"/>
      <c r="F2" s="355"/>
      <c r="G2" s="355"/>
      <c r="H2" s="355"/>
      <c r="I2" s="355"/>
      <c r="J2" s="355"/>
      <c r="K2" s="355"/>
      <c r="L2" s="355"/>
      <c r="M2" s="355"/>
      <c r="N2" s="355"/>
    </row>
    <row r="3" spans="2:18" ht="21.75" thickBot="1" x14ac:dyDescent="0.45">
      <c r="C3" s="388" t="s">
        <v>101</v>
      </c>
      <c r="D3" s="388"/>
      <c r="E3" s="388"/>
    </row>
    <row r="4" spans="2:18" ht="25.5" customHeight="1" thickBot="1" x14ac:dyDescent="0.3">
      <c r="C4" s="34" t="str">
        <f>IF(VARIOS!B4&gt;=14,IF(C5=0," ",+VARIOS!B11)," ")</f>
        <v xml:space="preserve"> </v>
      </c>
      <c r="F4" s="98"/>
    </row>
    <row r="5" spans="2:18" ht="21.95" customHeight="1" thickBot="1" x14ac:dyDescent="0.4">
      <c r="B5" s="65" t="s">
        <v>99</v>
      </c>
      <c r="C5" s="66">
        <f>'CONTROL H.E.'!C5</f>
        <v>0</v>
      </c>
      <c r="D5" s="68" t="s">
        <v>102</v>
      </c>
      <c r="F5" s="379"/>
      <c r="G5" s="380"/>
      <c r="H5" s="380"/>
      <c r="I5" s="380"/>
      <c r="J5" s="380"/>
      <c r="K5" s="380"/>
      <c r="L5" s="380"/>
      <c r="M5" s="381"/>
    </row>
    <row r="6" spans="2:18" s="3" customFormat="1" ht="21.95" customHeight="1" thickBot="1" x14ac:dyDescent="0.35">
      <c r="B6" s="93" t="s">
        <v>100</v>
      </c>
      <c r="C6" s="66">
        <f>'CONTROL H.E.'!C6</f>
        <v>0</v>
      </c>
      <c r="D6" s="79"/>
      <c r="F6" s="376" t="str">
        <f>IF(F5=0,"INGRESE DIA POR FAVOR",IF(WEEKDAY(F5)=7,"OJO H.E. AL 100%",IF(WEEKDAY(F5)=1,"OJO H.E. AL 100%",IF(F4="F","OJO H.E. AL 100%","INGRESAR HORAS EXTRAS"))))</f>
        <v>INGRESE DIA POR FAVOR</v>
      </c>
      <c r="G6" s="377"/>
      <c r="H6" s="377"/>
      <c r="I6" s="377"/>
      <c r="J6" s="377"/>
      <c r="K6" s="377"/>
      <c r="L6" s="377"/>
      <c r="M6" s="378"/>
      <c r="R6" s="9"/>
    </row>
    <row r="7" spans="2:18" ht="19.5" thickBot="1" x14ac:dyDescent="0.3">
      <c r="B7" s="110" t="s">
        <v>89</v>
      </c>
      <c r="C7" s="82">
        <v>3</v>
      </c>
      <c r="F7" s="389" t="s">
        <v>30</v>
      </c>
      <c r="G7" s="389"/>
      <c r="H7" s="389"/>
      <c r="I7" s="389"/>
      <c r="J7" s="389"/>
      <c r="K7" s="389"/>
      <c r="L7" s="389"/>
      <c r="M7" s="390"/>
    </row>
    <row r="8" spans="2:18" ht="39.75" customHeight="1" thickBot="1" x14ac:dyDescent="0.3">
      <c r="F8" s="382" t="s">
        <v>95</v>
      </c>
      <c r="G8" s="383"/>
      <c r="H8" s="383"/>
      <c r="I8" s="384"/>
      <c r="J8" s="385" t="s">
        <v>120</v>
      </c>
      <c r="K8" s="386"/>
      <c r="L8" s="386"/>
      <c r="M8" s="387"/>
    </row>
    <row r="9" spans="2:18" ht="54.95" customHeight="1" x14ac:dyDescent="0.25">
      <c r="B9" s="10" t="s">
        <v>14</v>
      </c>
      <c r="C9" s="78" t="s">
        <v>0</v>
      </c>
      <c r="D9" s="77" t="s">
        <v>34</v>
      </c>
      <c r="E9" s="36" t="s">
        <v>1</v>
      </c>
      <c r="F9" s="134" t="s">
        <v>93</v>
      </c>
      <c r="G9" s="135" t="s">
        <v>94</v>
      </c>
      <c r="H9" s="136" t="s">
        <v>97</v>
      </c>
      <c r="I9" s="137" t="s">
        <v>92</v>
      </c>
      <c r="J9" s="134" t="s">
        <v>93</v>
      </c>
      <c r="K9" s="135" t="s">
        <v>94</v>
      </c>
      <c r="L9" s="136" t="s">
        <v>98</v>
      </c>
      <c r="M9" s="137" t="s">
        <v>92</v>
      </c>
      <c r="N9" s="138" t="s">
        <v>146</v>
      </c>
      <c r="R9" s="3"/>
    </row>
    <row r="10" spans="2:18" ht="35.1" customHeight="1" x14ac:dyDescent="0.25">
      <c r="B10" s="22">
        <v>1</v>
      </c>
      <c r="C10" s="133" t="e">
        <f>VLOOKUP(D10,EMPLEADO!C:Q,15,FALSE)</f>
        <v>#N/A</v>
      </c>
      <c r="D10" s="6" t="s">
        <v>36</v>
      </c>
      <c r="E10" s="37" t="s">
        <v>57</v>
      </c>
      <c r="F10" s="102"/>
      <c r="G10" s="103"/>
      <c r="H10" s="97"/>
      <c r="I10" s="45"/>
      <c r="J10" s="102"/>
      <c r="K10" s="103"/>
      <c r="L10" s="97"/>
      <c r="M10" s="45"/>
      <c r="N10" s="108"/>
      <c r="R10" s="35"/>
    </row>
    <row r="11" spans="2:18" ht="35.1" customHeight="1" x14ac:dyDescent="0.25">
      <c r="B11" s="22">
        <v>2</v>
      </c>
      <c r="C11" s="133" t="str">
        <f>VLOOKUP(D11,EMPLEADO!C:Q,15,FALSE)</f>
        <v>ARMIJOS MIÑAN ANGEL OSWALDO</v>
      </c>
      <c r="D11" s="6" t="s">
        <v>35</v>
      </c>
      <c r="E11" s="37" t="s">
        <v>24</v>
      </c>
      <c r="F11" s="102"/>
      <c r="G11" s="103"/>
      <c r="H11" s="97"/>
      <c r="I11" s="45"/>
      <c r="J11" s="102"/>
      <c r="K11" s="103"/>
      <c r="L11" s="97"/>
      <c r="M11" s="45"/>
      <c r="N11" s="108"/>
      <c r="R11" s="35"/>
    </row>
    <row r="12" spans="2:18" ht="35.1" customHeight="1" x14ac:dyDescent="0.25">
      <c r="B12" s="22">
        <v>3</v>
      </c>
      <c r="C12" s="133" t="e">
        <f>VLOOKUP(D12,EMPLEADO!C:Q,15,FALSE)</f>
        <v>#N/A</v>
      </c>
      <c r="D12" s="6" t="s">
        <v>38</v>
      </c>
      <c r="E12" s="37" t="s">
        <v>18</v>
      </c>
      <c r="F12" s="102"/>
      <c r="G12" s="103"/>
      <c r="H12" s="97"/>
      <c r="I12" s="45"/>
      <c r="J12" s="102"/>
      <c r="K12" s="103"/>
      <c r="L12" s="97"/>
      <c r="M12" s="45"/>
      <c r="N12" s="108"/>
      <c r="R12" s="35"/>
    </row>
    <row r="13" spans="2:18" ht="35.1" customHeight="1" x14ac:dyDescent="0.25">
      <c r="B13" s="22">
        <v>4</v>
      </c>
      <c r="C13" s="133" t="e">
        <f>VLOOKUP(D13,EMPLEADO!C:Q,15,FALSE)</f>
        <v>#N/A</v>
      </c>
      <c r="D13" s="6" t="s">
        <v>39</v>
      </c>
      <c r="E13" s="37" t="s">
        <v>18</v>
      </c>
      <c r="F13" s="102"/>
      <c r="G13" s="103"/>
      <c r="H13" s="97"/>
      <c r="I13" s="45"/>
      <c r="J13" s="102"/>
      <c r="K13" s="103"/>
      <c r="L13" s="97"/>
      <c r="M13" s="45"/>
      <c r="N13" s="108"/>
      <c r="R13" s="35"/>
    </row>
    <row r="14" spans="2:18" ht="35.1" customHeight="1" x14ac:dyDescent="0.25">
      <c r="B14" s="22">
        <v>5</v>
      </c>
      <c r="C14" s="133" t="e">
        <f>VLOOKUP(D14,EMPLEADO!C:Q,15,FALSE)</f>
        <v>#N/A</v>
      </c>
      <c r="D14" s="6" t="s">
        <v>48</v>
      </c>
      <c r="E14" s="37" t="s">
        <v>21</v>
      </c>
      <c r="F14" s="102"/>
      <c r="G14" s="103"/>
      <c r="H14" s="97"/>
      <c r="I14" s="45"/>
      <c r="J14" s="102"/>
      <c r="K14" s="103"/>
      <c r="L14" s="97"/>
      <c r="M14" s="45"/>
      <c r="N14" s="108"/>
      <c r="R14" s="35"/>
    </row>
    <row r="15" spans="2:18" ht="35.1" customHeight="1" x14ac:dyDescent="0.25">
      <c r="B15" s="22">
        <v>6</v>
      </c>
      <c r="C15" s="133" t="e">
        <f>VLOOKUP(D15,EMPLEADO!C:Q,15,FALSE)</f>
        <v>#N/A</v>
      </c>
      <c r="D15" s="16" t="s">
        <v>51</v>
      </c>
      <c r="E15" s="38" t="s">
        <v>18</v>
      </c>
      <c r="F15" s="102"/>
      <c r="G15" s="103"/>
      <c r="H15" s="97"/>
      <c r="I15" s="45"/>
      <c r="J15" s="102"/>
      <c r="K15" s="103"/>
      <c r="L15" s="97"/>
      <c r="M15" s="45"/>
      <c r="N15" s="108"/>
      <c r="R15" s="35"/>
    </row>
    <row r="16" spans="2:18" ht="35.1" customHeight="1" x14ac:dyDescent="0.25">
      <c r="B16" s="22">
        <v>7</v>
      </c>
      <c r="C16" s="133" t="e">
        <f>VLOOKUP(D16,EMPLEADO!C:Q,15,FALSE)</f>
        <v>#N/A</v>
      </c>
      <c r="D16" s="15" t="s">
        <v>80</v>
      </c>
      <c r="E16" s="38" t="s">
        <v>18</v>
      </c>
      <c r="F16" s="102"/>
      <c r="G16" s="103"/>
      <c r="H16" s="97"/>
      <c r="I16" s="45"/>
      <c r="J16" s="102"/>
      <c r="K16" s="103"/>
      <c r="L16" s="97"/>
      <c r="M16" s="45"/>
      <c r="N16" s="108"/>
      <c r="R16" s="35"/>
    </row>
    <row r="17" spans="2:18" ht="35.1" customHeight="1" x14ac:dyDescent="0.25">
      <c r="B17" s="22">
        <v>8</v>
      </c>
      <c r="C17" s="133" t="e">
        <f>VLOOKUP(D17,EMPLEADO!C:Q,15,FALSE)</f>
        <v>#N/A</v>
      </c>
      <c r="D17" s="15" t="s">
        <v>81</v>
      </c>
      <c r="E17" s="39" t="s">
        <v>18</v>
      </c>
      <c r="F17" s="102"/>
      <c r="G17" s="103"/>
      <c r="H17" s="97"/>
      <c r="I17" s="45"/>
      <c r="J17" s="102"/>
      <c r="K17" s="103"/>
      <c r="L17" s="97"/>
      <c r="M17" s="45"/>
      <c r="N17" s="108"/>
      <c r="R17" s="35"/>
    </row>
    <row r="18" spans="2:18" ht="35.1" customHeight="1" x14ac:dyDescent="0.25">
      <c r="B18" s="22">
        <v>9</v>
      </c>
      <c r="C18" s="133" t="e">
        <f>VLOOKUP(D18,EMPLEADO!C:Q,15,FALSE)</f>
        <v>#N/A</v>
      </c>
      <c r="D18" s="15" t="s">
        <v>83</v>
      </c>
      <c r="E18" s="39" t="s">
        <v>18</v>
      </c>
      <c r="F18" s="102"/>
      <c r="G18" s="103"/>
      <c r="H18" s="97"/>
      <c r="I18" s="45"/>
      <c r="J18" s="102"/>
      <c r="K18" s="103"/>
      <c r="L18" s="97"/>
      <c r="M18" s="45"/>
      <c r="N18" s="108"/>
      <c r="R18" s="35"/>
    </row>
    <row r="19" spans="2:18" ht="35.1" customHeight="1" x14ac:dyDescent="0.25">
      <c r="B19" s="22">
        <v>10</v>
      </c>
      <c r="C19" s="133" t="e">
        <f>VLOOKUP(D19,EMPLEADO!C:Q,15,FALSE)</f>
        <v>#N/A</v>
      </c>
      <c r="D19" s="15" t="s">
        <v>88</v>
      </c>
      <c r="E19" s="39" t="s">
        <v>18</v>
      </c>
      <c r="F19" s="102"/>
      <c r="G19" s="103"/>
      <c r="H19" s="97"/>
      <c r="I19" s="45"/>
      <c r="J19" s="102"/>
      <c r="K19" s="103"/>
      <c r="L19" s="97"/>
      <c r="M19" s="45"/>
      <c r="N19" s="108"/>
      <c r="R19" s="35"/>
    </row>
    <row r="20" spans="2:18" ht="35.1" customHeight="1" x14ac:dyDescent="0.25">
      <c r="B20" s="22">
        <v>11</v>
      </c>
      <c r="C20" s="133" t="e">
        <f>VLOOKUP(D20,EMPLEADO!C:Q,15,FALSE)</f>
        <v>#N/A</v>
      </c>
      <c r="D20" s="15" t="s">
        <v>160</v>
      </c>
      <c r="E20" s="39" t="s">
        <v>18</v>
      </c>
      <c r="F20" s="102"/>
      <c r="G20" s="103"/>
      <c r="H20" s="97"/>
      <c r="I20" s="45"/>
      <c r="J20" s="102"/>
      <c r="K20" s="103"/>
      <c r="L20" s="97"/>
      <c r="M20" s="45"/>
      <c r="N20" s="108"/>
      <c r="R20" s="35"/>
    </row>
    <row r="21" spans="2:18" ht="35.1" customHeight="1" x14ac:dyDescent="0.25">
      <c r="B21" s="22">
        <v>12</v>
      </c>
      <c r="C21" s="133" t="e">
        <f>VLOOKUP(D21,EMPLEADO!C:Q,15,FALSE)</f>
        <v>#N/A</v>
      </c>
      <c r="D21" s="15" t="s">
        <v>161</v>
      </c>
      <c r="E21" s="39" t="s">
        <v>18</v>
      </c>
      <c r="F21" s="102"/>
      <c r="G21" s="103"/>
      <c r="H21" s="97"/>
      <c r="I21" s="45"/>
      <c r="J21" s="102"/>
      <c r="K21" s="103"/>
      <c r="L21" s="97"/>
      <c r="M21" s="45"/>
      <c r="N21" s="108"/>
      <c r="R21" s="35"/>
    </row>
    <row r="22" spans="2:18" ht="35.1" customHeight="1" x14ac:dyDescent="0.25">
      <c r="B22" s="22">
        <v>13</v>
      </c>
      <c r="C22" s="133" t="e">
        <f>VLOOKUP(D22,EMPLEADO!C:Q,15,FALSE)</f>
        <v>#N/A</v>
      </c>
      <c r="D22" s="15" t="s">
        <v>167</v>
      </c>
      <c r="E22" s="39"/>
      <c r="F22" s="102"/>
      <c r="G22" s="103"/>
      <c r="H22" s="97"/>
      <c r="I22" s="45"/>
      <c r="J22" s="102"/>
      <c r="K22" s="103"/>
      <c r="L22" s="97"/>
      <c r="M22" s="45"/>
      <c r="N22" s="108"/>
      <c r="R22" s="35"/>
    </row>
    <row r="23" spans="2:18" ht="35.1" customHeight="1" x14ac:dyDescent="0.25">
      <c r="B23" s="22">
        <v>14</v>
      </c>
      <c r="C23" s="133" t="e">
        <f>VLOOKUP(D23,EMPLEADO!C:Q,15,FALSE)</f>
        <v>#N/A</v>
      </c>
      <c r="D23" s="15" t="s">
        <v>168</v>
      </c>
      <c r="E23" s="39"/>
      <c r="F23" s="102"/>
      <c r="G23" s="103"/>
      <c r="H23" s="97"/>
      <c r="I23" s="45"/>
      <c r="J23" s="102"/>
      <c r="K23" s="103"/>
      <c r="L23" s="97"/>
      <c r="M23" s="45"/>
      <c r="N23" s="108"/>
      <c r="R23" s="35"/>
    </row>
    <row r="24" spans="2:18" ht="35.1" customHeight="1" x14ac:dyDescent="0.25">
      <c r="B24" s="22">
        <v>15</v>
      </c>
      <c r="C24" s="133" t="e">
        <f>VLOOKUP(D24,EMPLEADO!C:Q,15,FALSE)</f>
        <v>#N/A</v>
      </c>
      <c r="D24" s="145" t="s">
        <v>174</v>
      </c>
      <c r="E24" s="39"/>
      <c r="F24" s="102"/>
      <c r="G24" s="103"/>
      <c r="H24" s="97"/>
      <c r="I24" s="45"/>
      <c r="J24" s="102"/>
      <c r="K24" s="103"/>
      <c r="L24" s="97"/>
      <c r="M24" s="45"/>
      <c r="N24" s="108"/>
      <c r="R24" s="35"/>
    </row>
    <row r="25" spans="2:18" ht="35.1" customHeight="1" x14ac:dyDescent="0.25">
      <c r="B25" s="22">
        <v>16</v>
      </c>
      <c r="C25" s="133" t="e">
        <f>VLOOKUP(D25,EMPLEADO!C:Q,15,FALSE)</f>
        <v>#N/A</v>
      </c>
      <c r="D25" s="145" t="s">
        <v>176</v>
      </c>
      <c r="E25" s="39"/>
      <c r="F25" s="102"/>
      <c r="G25" s="103"/>
      <c r="H25" s="97"/>
      <c r="I25" s="45"/>
      <c r="J25" s="102"/>
      <c r="K25" s="103"/>
      <c r="L25" s="97"/>
      <c r="M25" s="45"/>
      <c r="N25" s="108"/>
      <c r="R25" s="35"/>
    </row>
    <row r="26" spans="2:18" ht="35.1" customHeight="1" x14ac:dyDescent="0.25">
      <c r="B26" s="22">
        <v>17</v>
      </c>
      <c r="C26" s="133" t="e">
        <f>VLOOKUP(D26,EMPLEADO!C:Q,15,FALSE)</f>
        <v>#N/A</v>
      </c>
      <c r="D26" s="145" t="s">
        <v>177</v>
      </c>
      <c r="E26" s="142"/>
      <c r="F26" s="102"/>
      <c r="G26" s="103"/>
      <c r="H26" s="97"/>
      <c r="I26" s="45"/>
      <c r="J26" s="102"/>
      <c r="K26" s="103"/>
      <c r="L26" s="97"/>
      <c r="M26" s="45"/>
      <c r="N26" s="108"/>
      <c r="R26" s="35"/>
    </row>
    <row r="27" spans="2:18" ht="35.1" customHeight="1" x14ac:dyDescent="0.25">
      <c r="B27" s="22">
        <v>18</v>
      </c>
      <c r="C27" s="133" t="e">
        <f>VLOOKUP(D27,EMPLEADO!C:Q,15,FALSE)</f>
        <v>#N/A</v>
      </c>
      <c r="D27" s="145" t="s">
        <v>178</v>
      </c>
      <c r="E27" s="142"/>
      <c r="F27" s="102"/>
      <c r="G27" s="103"/>
      <c r="H27" s="97"/>
      <c r="I27" s="45"/>
      <c r="J27" s="102"/>
      <c r="K27" s="103"/>
      <c r="L27" s="97"/>
      <c r="M27" s="45"/>
      <c r="N27" s="108"/>
      <c r="R27" s="35"/>
    </row>
    <row r="28" spans="2:18" ht="35.1" customHeight="1" x14ac:dyDescent="0.25">
      <c r="B28" s="22">
        <v>19</v>
      </c>
      <c r="C28" s="133" t="e">
        <f>VLOOKUP(D28,EMPLEADO!C:Q,15,FALSE)</f>
        <v>#N/A</v>
      </c>
      <c r="D28" s="145" t="s">
        <v>179</v>
      </c>
      <c r="E28" s="142"/>
      <c r="F28" s="102"/>
      <c r="G28" s="103"/>
      <c r="H28" s="97"/>
      <c r="I28" s="45"/>
      <c r="J28" s="102"/>
      <c r="K28" s="103"/>
      <c r="L28" s="97"/>
      <c r="M28" s="45"/>
      <c r="N28" s="108"/>
      <c r="R28" s="35"/>
    </row>
    <row r="29" spans="2:18" ht="15.75" thickBot="1" x14ac:dyDescent="0.3"/>
    <row r="30" spans="2:18" ht="15" customHeight="1" x14ac:dyDescent="0.3">
      <c r="D30" s="68" t="s">
        <v>121</v>
      </c>
      <c r="F30" s="341"/>
      <c r="G30" s="342"/>
      <c r="H30" s="342"/>
      <c r="I30" s="342"/>
      <c r="J30" s="342"/>
      <c r="K30" s="342"/>
      <c r="L30" s="342"/>
      <c r="M30" s="342"/>
      <c r="N30" s="343"/>
    </row>
    <row r="31" spans="2:18" x14ac:dyDescent="0.25">
      <c r="B31" s="34" t="s">
        <v>169</v>
      </c>
      <c r="F31" s="344"/>
      <c r="G31" s="345"/>
      <c r="H31" s="345"/>
      <c r="I31" s="345"/>
      <c r="J31" s="345"/>
      <c r="K31" s="345"/>
      <c r="L31" s="345"/>
      <c r="M31" s="345"/>
      <c r="N31" s="346"/>
    </row>
    <row r="32" spans="2:18" x14ac:dyDescent="0.25">
      <c r="F32" s="344"/>
      <c r="G32" s="345"/>
      <c r="H32" s="345"/>
      <c r="I32" s="345"/>
      <c r="J32" s="345"/>
      <c r="K32" s="345"/>
      <c r="L32" s="345"/>
      <c r="M32" s="345"/>
      <c r="N32" s="346"/>
    </row>
    <row r="33" spans="2:14" x14ac:dyDescent="0.25">
      <c r="F33" s="344"/>
      <c r="G33" s="345"/>
      <c r="H33" s="345"/>
      <c r="I33" s="345"/>
      <c r="J33" s="345"/>
      <c r="K33" s="345"/>
      <c r="L33" s="345"/>
      <c r="M33" s="345"/>
      <c r="N33" s="346"/>
    </row>
    <row r="34" spans="2:14" ht="15.75" thickBot="1" x14ac:dyDescent="0.3">
      <c r="B34" s="34" t="s">
        <v>126</v>
      </c>
      <c r="D34" s="28" t="s">
        <v>127</v>
      </c>
      <c r="F34" s="347"/>
      <c r="G34" s="348"/>
      <c r="H34" s="348"/>
      <c r="I34" s="348"/>
      <c r="J34" s="348"/>
      <c r="K34" s="348"/>
      <c r="L34" s="348"/>
      <c r="M34" s="348"/>
      <c r="N34" s="349"/>
    </row>
  </sheetData>
  <mergeCells count="9">
    <mergeCell ref="F30:N34"/>
    <mergeCell ref="F8:I8"/>
    <mergeCell ref="J8:M8"/>
    <mergeCell ref="C2:E2"/>
    <mergeCell ref="F2:N2"/>
    <mergeCell ref="C3:E3"/>
    <mergeCell ref="F5:M5"/>
    <mergeCell ref="F6:M6"/>
    <mergeCell ref="F7:M7"/>
  </mergeCells>
  <conditionalFormatting sqref="F6:M6">
    <cfRule type="cellIs" dxfId="62" priority="20" operator="equal">
      <formula>"OJO H.E. AL 100%"</formula>
    </cfRule>
    <cfRule type="cellIs" dxfId="61" priority="21" operator="equal">
      <formula>"""OJO H.E. AL 100%"""</formula>
    </cfRule>
  </conditionalFormatting>
  <conditionalFormatting sqref="F4">
    <cfRule type="cellIs" dxfId="60" priority="13" operator="equal">
      <formula>"F"</formula>
    </cfRule>
  </conditionalFormatting>
  <pageMargins left="0.11811023622047245" right="0.11811023622047245" top="0.35433070866141736" bottom="0.35433070866141736" header="0.31496062992125984" footer="0.31496062992125984"/>
  <pageSetup paperSize="9" scale="75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NOCHE_PESC'!$B$16:$B$26</xm:f>
          </x14:formula1>
          <xm:sqref>E10:E15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 tint="-0.249977111117893"/>
  </sheetPr>
  <dimension ref="A1:U34"/>
  <sheetViews>
    <sheetView topLeftCell="B1" zoomScale="80" zoomScaleNormal="80" workbookViewId="0">
      <selection activeCell="B29" sqref="B29"/>
    </sheetView>
  </sheetViews>
  <sheetFormatPr baseColWidth="10" defaultRowHeight="15" x14ac:dyDescent="0.25"/>
  <cols>
    <col min="1" max="1" width="2.85546875" style="1" hidden="1" customWidth="1"/>
    <col min="2" max="2" width="4.7109375" style="1" customWidth="1"/>
    <col min="3" max="3" width="39" style="1" customWidth="1"/>
    <col min="4" max="4" width="15" style="1" customWidth="1"/>
    <col min="5" max="5" width="10.42578125" style="1" hidden="1" customWidth="1"/>
    <col min="6" max="7" width="7.7109375" style="1" customWidth="1"/>
    <col min="8" max="8" width="6.7109375" style="1" customWidth="1"/>
    <col min="9" max="9" width="9.7109375" style="1" customWidth="1"/>
    <col min="10" max="11" width="7.7109375" style="1" customWidth="1"/>
    <col min="12" max="12" width="6.7109375" style="1" customWidth="1"/>
    <col min="13" max="13" width="9.7109375" style="1" customWidth="1"/>
    <col min="14" max="14" width="21.140625" customWidth="1"/>
    <col min="15" max="16" width="11.42578125" style="1"/>
    <col min="21" max="21" width="4.7109375" style="9" customWidth="1"/>
    <col min="22" max="16384" width="11.42578125" style="1"/>
  </cols>
  <sheetData>
    <row r="1" spans="2:21" ht="15.75" customHeight="1" x14ac:dyDescent="0.25">
      <c r="F1"/>
      <c r="G1"/>
      <c r="H1"/>
      <c r="I1"/>
      <c r="J1"/>
      <c r="K1"/>
      <c r="L1"/>
      <c r="M1"/>
    </row>
    <row r="2" spans="2:21" ht="22.5" x14ac:dyDescent="0.4">
      <c r="C2" s="350" t="s">
        <v>44</v>
      </c>
      <c r="D2" s="350"/>
      <c r="E2" s="350"/>
      <c r="F2" s="391"/>
      <c r="G2" s="391"/>
      <c r="H2" s="391"/>
      <c r="I2" s="391"/>
      <c r="J2" s="391"/>
      <c r="K2" s="391"/>
      <c r="L2" s="391"/>
      <c r="M2" s="391"/>
      <c r="N2" s="391"/>
    </row>
    <row r="3" spans="2:21" ht="23.25" thickBot="1" x14ac:dyDescent="0.45">
      <c r="C3" s="351" t="s">
        <v>101</v>
      </c>
      <c r="D3" s="351"/>
      <c r="E3" s="351"/>
    </row>
    <row r="4" spans="2:21" ht="25.5" customHeight="1" thickBot="1" x14ac:dyDescent="0.3">
      <c r="C4" s="34" t="str">
        <f>IF(VARIOS!B4&gt;=14,IF(C5=0," ",+VARIOS!B11)," ")</f>
        <v xml:space="preserve"> </v>
      </c>
      <c r="F4" s="98"/>
    </row>
    <row r="5" spans="2:21" ht="21.95" customHeight="1" thickBot="1" x14ac:dyDescent="0.4">
      <c r="B5" s="65" t="s">
        <v>99</v>
      </c>
      <c r="C5" s="66">
        <f>+'CONTROL H.E.'!C5</f>
        <v>0</v>
      </c>
      <c r="D5" s="68" t="s">
        <v>102</v>
      </c>
      <c r="F5" s="379"/>
      <c r="G5" s="380"/>
      <c r="H5" s="380"/>
      <c r="I5" s="380"/>
      <c r="J5" s="380"/>
      <c r="K5" s="380"/>
      <c r="L5" s="380"/>
      <c r="M5" s="381"/>
    </row>
    <row r="6" spans="2:21" s="3" customFormat="1" ht="21.95" customHeight="1" thickBot="1" x14ac:dyDescent="0.35">
      <c r="B6" s="93" t="s">
        <v>100</v>
      </c>
      <c r="C6" s="66">
        <f>+'CONTROL H.E.'!C6</f>
        <v>0</v>
      </c>
      <c r="D6" s="79"/>
      <c r="F6" s="376" t="str">
        <f>IF(F5=0,"INGRESE DIA POR FAVOR",IF(WEEKDAY(F5)=7,"OJO H.E. AL 100%",IF(WEEKDAY(F5)=1,"OJO H.E. AL 100%",IF(F4="F","OJO H.E. AL 100%","INGRESAR HORAS EXTRAS"))))</f>
        <v>INGRESE DIA POR FAVOR</v>
      </c>
      <c r="G6" s="377"/>
      <c r="H6" s="377"/>
      <c r="I6" s="377"/>
      <c r="J6" s="377"/>
      <c r="K6" s="377"/>
      <c r="L6" s="377"/>
      <c r="M6" s="378"/>
      <c r="U6" s="9"/>
    </row>
    <row r="7" spans="2:21" ht="19.5" thickBot="1" x14ac:dyDescent="0.3">
      <c r="B7" s="110" t="s">
        <v>89</v>
      </c>
      <c r="C7" s="82">
        <v>3</v>
      </c>
      <c r="F7" s="389" t="s">
        <v>12</v>
      </c>
      <c r="G7" s="389"/>
      <c r="H7" s="389"/>
      <c r="I7" s="389"/>
      <c r="J7" s="389"/>
      <c r="K7" s="389"/>
      <c r="L7" s="389"/>
      <c r="M7" s="390"/>
    </row>
    <row r="8" spans="2:21" ht="39.75" customHeight="1" thickBot="1" x14ac:dyDescent="0.3">
      <c r="F8" s="382" t="s">
        <v>95</v>
      </c>
      <c r="G8" s="383"/>
      <c r="H8" s="383"/>
      <c r="I8" s="384"/>
      <c r="J8" s="385" t="s">
        <v>120</v>
      </c>
      <c r="K8" s="386"/>
      <c r="L8" s="386"/>
      <c r="M8" s="387"/>
    </row>
    <row r="9" spans="2:21" ht="54.95" customHeight="1" x14ac:dyDescent="0.25">
      <c r="B9" s="10" t="s">
        <v>14</v>
      </c>
      <c r="C9" s="78" t="s">
        <v>0</v>
      </c>
      <c r="D9" s="77" t="s">
        <v>34</v>
      </c>
      <c r="E9" s="36" t="s">
        <v>1</v>
      </c>
      <c r="F9" s="134" t="s">
        <v>93</v>
      </c>
      <c r="G9" s="135" t="s">
        <v>94</v>
      </c>
      <c r="H9" s="136" t="s">
        <v>97</v>
      </c>
      <c r="I9" s="137" t="s">
        <v>92</v>
      </c>
      <c r="J9" s="134" t="s">
        <v>93</v>
      </c>
      <c r="K9" s="135" t="s">
        <v>94</v>
      </c>
      <c r="L9" s="136" t="s">
        <v>98</v>
      </c>
      <c r="M9" s="137" t="s">
        <v>92</v>
      </c>
      <c r="N9" s="138" t="s">
        <v>146</v>
      </c>
      <c r="U9" s="3"/>
    </row>
    <row r="10" spans="2:21" ht="30" customHeight="1" x14ac:dyDescent="0.25">
      <c r="B10" s="22">
        <v>1</v>
      </c>
      <c r="C10" s="109" t="e">
        <f>VLOOKUP(D10,EMPLEADO!C:Q,15,FALSE)</f>
        <v>#N/A</v>
      </c>
      <c r="D10" s="6" t="s">
        <v>36</v>
      </c>
      <c r="E10" s="37" t="s">
        <v>57</v>
      </c>
      <c r="F10" s="50"/>
      <c r="G10" s="51"/>
      <c r="H10" s="97"/>
      <c r="I10" s="45"/>
      <c r="J10" s="51"/>
      <c r="K10" s="51"/>
      <c r="L10" s="97"/>
      <c r="M10" s="45"/>
      <c r="N10" s="108"/>
      <c r="U10" s="35"/>
    </row>
    <row r="11" spans="2:21" ht="30" customHeight="1" x14ac:dyDescent="0.25">
      <c r="B11" s="22">
        <v>2</v>
      </c>
      <c r="C11" s="109" t="str">
        <f>VLOOKUP(D11,EMPLEADO!C:Q,15,FALSE)</f>
        <v>ARMIJOS MIÑAN ANGEL OSWALDO</v>
      </c>
      <c r="D11" s="6" t="s">
        <v>35</v>
      </c>
      <c r="E11" s="37" t="s">
        <v>24</v>
      </c>
      <c r="F11" s="48"/>
      <c r="G11" s="49"/>
      <c r="H11" s="97"/>
      <c r="I11" s="45"/>
      <c r="J11" s="51"/>
      <c r="K11" s="51"/>
      <c r="L11" s="97"/>
      <c r="M11" s="45"/>
      <c r="N11" s="108"/>
      <c r="U11" s="35"/>
    </row>
    <row r="12" spans="2:21" ht="30" customHeight="1" x14ac:dyDescent="0.25">
      <c r="B12" s="22">
        <v>3</v>
      </c>
      <c r="C12" s="109" t="e">
        <f>VLOOKUP(D12,EMPLEADO!C:Q,15,FALSE)</f>
        <v>#N/A</v>
      </c>
      <c r="D12" s="6" t="s">
        <v>38</v>
      </c>
      <c r="E12" s="37" t="s">
        <v>18</v>
      </c>
      <c r="F12" s="50"/>
      <c r="G12" s="51"/>
      <c r="H12" s="97"/>
      <c r="I12" s="45"/>
      <c r="J12" s="51"/>
      <c r="K12" s="51"/>
      <c r="L12" s="97"/>
      <c r="M12" s="45"/>
      <c r="N12" s="108"/>
      <c r="U12" s="35"/>
    </row>
    <row r="13" spans="2:21" ht="30" customHeight="1" x14ac:dyDescent="0.25">
      <c r="B13" s="22">
        <v>4</v>
      </c>
      <c r="C13" s="109" t="e">
        <f>VLOOKUP(D13,EMPLEADO!C:Q,15,FALSE)</f>
        <v>#N/A</v>
      </c>
      <c r="D13" s="6" t="s">
        <v>39</v>
      </c>
      <c r="E13" s="37" t="s">
        <v>18</v>
      </c>
      <c r="F13" s="50"/>
      <c r="G13" s="51"/>
      <c r="H13" s="97"/>
      <c r="I13" s="45"/>
      <c r="J13" s="51"/>
      <c r="K13" s="51"/>
      <c r="L13" s="97"/>
      <c r="M13" s="45"/>
      <c r="N13" s="108"/>
      <c r="U13" s="35"/>
    </row>
    <row r="14" spans="2:21" ht="30" customHeight="1" x14ac:dyDescent="0.25">
      <c r="B14" s="22">
        <v>5</v>
      </c>
      <c r="C14" s="109" t="e">
        <f>VLOOKUP(D14,EMPLEADO!C:Q,15,FALSE)</f>
        <v>#N/A</v>
      </c>
      <c r="D14" s="6" t="s">
        <v>48</v>
      </c>
      <c r="E14" s="37" t="s">
        <v>21</v>
      </c>
      <c r="F14" s="50"/>
      <c r="G14" s="51"/>
      <c r="H14" s="97"/>
      <c r="I14" s="45"/>
      <c r="J14" s="51"/>
      <c r="K14" s="51"/>
      <c r="L14" s="97"/>
      <c r="M14" s="45"/>
      <c r="N14" s="108"/>
      <c r="U14" s="35"/>
    </row>
    <row r="15" spans="2:21" ht="30" customHeight="1" x14ac:dyDescent="0.25">
      <c r="B15" s="22">
        <v>6</v>
      </c>
      <c r="C15" s="109" t="e">
        <f>VLOOKUP(D15,EMPLEADO!C:Q,15,FALSE)</f>
        <v>#N/A</v>
      </c>
      <c r="D15" s="16" t="s">
        <v>51</v>
      </c>
      <c r="E15" s="38" t="s">
        <v>18</v>
      </c>
      <c r="F15" s="50"/>
      <c r="G15" s="51"/>
      <c r="H15" s="97"/>
      <c r="I15" s="45"/>
      <c r="J15" s="51"/>
      <c r="K15" s="51"/>
      <c r="L15" s="97"/>
      <c r="M15" s="45"/>
      <c r="N15" s="108"/>
      <c r="U15" s="35"/>
    </row>
    <row r="16" spans="2:21" ht="30" customHeight="1" x14ac:dyDescent="0.25">
      <c r="B16" s="22">
        <v>7</v>
      </c>
      <c r="C16" s="109" t="e">
        <f>VLOOKUP(D16,EMPLEADO!C:Q,15,FALSE)</f>
        <v>#N/A</v>
      </c>
      <c r="D16" s="15" t="s">
        <v>80</v>
      </c>
      <c r="E16" s="38" t="s">
        <v>18</v>
      </c>
      <c r="F16" s="50"/>
      <c r="G16" s="51"/>
      <c r="H16" s="97"/>
      <c r="I16" s="45"/>
      <c r="J16" s="51"/>
      <c r="K16" s="51"/>
      <c r="L16" s="97"/>
      <c r="M16" s="45"/>
      <c r="N16" s="108"/>
      <c r="U16" s="35"/>
    </row>
    <row r="17" spans="2:21" ht="30" customHeight="1" x14ac:dyDescent="0.25">
      <c r="B17" s="22">
        <v>8</v>
      </c>
      <c r="C17" s="109" t="e">
        <f>VLOOKUP(D17,EMPLEADO!C:Q,15,FALSE)</f>
        <v>#N/A</v>
      </c>
      <c r="D17" s="15" t="s">
        <v>81</v>
      </c>
      <c r="E17" s="39" t="s">
        <v>18</v>
      </c>
      <c r="F17" s="50"/>
      <c r="G17" s="51"/>
      <c r="H17" s="97"/>
      <c r="I17" s="45"/>
      <c r="J17" s="51"/>
      <c r="K17" s="51"/>
      <c r="L17" s="97"/>
      <c r="M17" s="45"/>
      <c r="N17" s="108"/>
      <c r="U17" s="35"/>
    </row>
    <row r="18" spans="2:21" ht="30" customHeight="1" x14ac:dyDescent="0.25">
      <c r="B18" s="22">
        <v>9</v>
      </c>
      <c r="C18" s="109" t="e">
        <f>VLOOKUP(D18,EMPLEADO!C:Q,15,FALSE)</f>
        <v>#N/A</v>
      </c>
      <c r="D18" s="15" t="s">
        <v>83</v>
      </c>
      <c r="E18" s="39" t="s">
        <v>18</v>
      </c>
      <c r="F18" s="50"/>
      <c r="G18" s="51"/>
      <c r="H18" s="97"/>
      <c r="I18" s="45"/>
      <c r="J18" s="51"/>
      <c r="K18" s="51"/>
      <c r="L18" s="97"/>
      <c r="M18" s="45"/>
      <c r="N18" s="108"/>
      <c r="U18" s="35"/>
    </row>
    <row r="19" spans="2:21" ht="30" customHeight="1" x14ac:dyDescent="0.25">
      <c r="B19" s="22">
        <v>10</v>
      </c>
      <c r="C19" s="109" t="e">
        <f>VLOOKUP(D19,EMPLEADO!C:Q,15,FALSE)</f>
        <v>#N/A</v>
      </c>
      <c r="D19" s="15" t="s">
        <v>88</v>
      </c>
      <c r="E19" s="39" t="s">
        <v>18</v>
      </c>
      <c r="F19" s="50"/>
      <c r="G19" s="51"/>
      <c r="H19" s="97"/>
      <c r="I19" s="45"/>
      <c r="J19" s="51"/>
      <c r="K19" s="51"/>
      <c r="L19" s="97"/>
      <c r="M19" s="45"/>
      <c r="N19" s="108"/>
      <c r="U19" s="35"/>
    </row>
    <row r="20" spans="2:21" ht="30" customHeight="1" x14ac:dyDescent="0.25">
      <c r="B20" s="22">
        <v>11</v>
      </c>
      <c r="C20" s="109" t="e">
        <f>VLOOKUP(D20,EMPLEADO!C:Q,15,FALSE)</f>
        <v>#N/A</v>
      </c>
      <c r="D20" s="15" t="s">
        <v>160</v>
      </c>
      <c r="E20" s="39" t="s">
        <v>18</v>
      </c>
      <c r="F20" s="50"/>
      <c r="G20" s="51"/>
      <c r="H20" s="97"/>
      <c r="I20" s="45"/>
      <c r="J20" s="51"/>
      <c r="K20" s="51"/>
      <c r="L20" s="97"/>
      <c r="M20" s="45"/>
      <c r="N20" s="108"/>
      <c r="U20" s="35"/>
    </row>
    <row r="21" spans="2:21" ht="30" customHeight="1" x14ac:dyDescent="0.25">
      <c r="B21" s="22">
        <v>12</v>
      </c>
      <c r="C21" s="109" t="e">
        <f>VLOOKUP(D21,EMPLEADO!C:Q,15,FALSE)</f>
        <v>#N/A</v>
      </c>
      <c r="D21" s="15" t="s">
        <v>161</v>
      </c>
      <c r="E21" s="39" t="s">
        <v>18</v>
      </c>
      <c r="F21" s="50"/>
      <c r="G21" s="51"/>
      <c r="H21" s="97"/>
      <c r="I21" s="45"/>
      <c r="J21" s="51"/>
      <c r="K21" s="51"/>
      <c r="L21" s="97"/>
      <c r="M21" s="45"/>
      <c r="N21" s="108"/>
      <c r="U21" s="35"/>
    </row>
    <row r="22" spans="2:21" ht="30" customHeight="1" x14ac:dyDescent="0.25">
      <c r="B22" s="22">
        <v>13</v>
      </c>
      <c r="C22" s="109" t="e">
        <f>VLOOKUP(D22,EMPLEADO!C:Q,15,FALSE)</f>
        <v>#N/A</v>
      </c>
      <c r="D22" s="15" t="s">
        <v>167</v>
      </c>
      <c r="E22" s="39"/>
      <c r="F22" s="129"/>
      <c r="G22" s="128"/>
      <c r="H22" s="97"/>
      <c r="I22" s="127"/>
      <c r="J22" s="128"/>
      <c r="K22" s="128"/>
      <c r="L22" s="97"/>
      <c r="M22" s="127"/>
      <c r="N22" s="108"/>
      <c r="U22" s="35"/>
    </row>
    <row r="23" spans="2:21" ht="30" customHeight="1" x14ac:dyDescent="0.25">
      <c r="B23" s="22">
        <v>14</v>
      </c>
      <c r="C23" s="109" t="e">
        <f>VLOOKUP(D23,EMPLEADO!C:Q,15,FALSE)</f>
        <v>#N/A</v>
      </c>
      <c r="D23" s="15" t="s">
        <v>168</v>
      </c>
      <c r="E23" s="39"/>
      <c r="F23" s="129"/>
      <c r="G23" s="128"/>
      <c r="H23" s="97"/>
      <c r="I23" s="127"/>
      <c r="J23" s="128"/>
      <c r="K23" s="128"/>
      <c r="L23" s="97"/>
      <c r="M23" s="127"/>
      <c r="N23" s="108"/>
      <c r="U23" s="35"/>
    </row>
    <row r="24" spans="2:21" ht="30" customHeight="1" x14ac:dyDescent="0.25">
      <c r="B24" s="22">
        <v>15</v>
      </c>
      <c r="C24" s="109" t="e">
        <f>VLOOKUP(D24,EMPLEADO!C:Q,15,FALSE)</f>
        <v>#N/A</v>
      </c>
      <c r="D24" s="145" t="s">
        <v>174</v>
      </c>
      <c r="E24" s="39"/>
      <c r="F24" s="129"/>
      <c r="G24" s="128"/>
      <c r="H24" s="97"/>
      <c r="I24" s="127"/>
      <c r="J24" s="128"/>
      <c r="K24" s="128"/>
      <c r="L24" s="97"/>
      <c r="M24" s="127"/>
      <c r="N24" s="108"/>
      <c r="U24" s="35"/>
    </row>
    <row r="25" spans="2:21" ht="30" customHeight="1" x14ac:dyDescent="0.25">
      <c r="B25" s="22">
        <v>16</v>
      </c>
      <c r="C25" s="109" t="e">
        <f>VLOOKUP(D25,EMPLEADO!C:Q,15,FALSE)</f>
        <v>#N/A</v>
      </c>
      <c r="D25" s="145" t="s">
        <v>176</v>
      </c>
      <c r="E25" s="39"/>
      <c r="F25" s="129"/>
      <c r="G25" s="128"/>
      <c r="H25" s="97"/>
      <c r="I25" s="127"/>
      <c r="J25" s="128"/>
      <c r="K25" s="128"/>
      <c r="L25" s="97"/>
      <c r="M25" s="127"/>
      <c r="N25" s="108"/>
      <c r="U25" s="35"/>
    </row>
    <row r="26" spans="2:21" ht="30" customHeight="1" x14ac:dyDescent="0.25">
      <c r="B26" s="22">
        <v>17</v>
      </c>
      <c r="C26" s="109" t="e">
        <f>VLOOKUP(D26,EMPLEADO!C:Q,15,FALSE)</f>
        <v>#N/A</v>
      </c>
      <c r="D26" s="145" t="s">
        <v>177</v>
      </c>
      <c r="E26" s="39"/>
      <c r="F26" s="129"/>
      <c r="G26" s="128"/>
      <c r="H26" s="97"/>
      <c r="I26" s="127"/>
      <c r="J26" s="128"/>
      <c r="K26" s="128"/>
      <c r="L26" s="97"/>
      <c r="M26" s="127"/>
      <c r="N26" s="108"/>
      <c r="U26" s="35"/>
    </row>
    <row r="27" spans="2:21" ht="30" customHeight="1" x14ac:dyDescent="0.25">
      <c r="B27" s="22">
        <v>18</v>
      </c>
      <c r="C27" s="109" t="e">
        <f>VLOOKUP(D27,EMPLEADO!C:Q,15,FALSE)</f>
        <v>#N/A</v>
      </c>
      <c r="D27" s="145" t="s">
        <v>178</v>
      </c>
      <c r="E27" s="39"/>
      <c r="F27" s="129"/>
      <c r="G27" s="128"/>
      <c r="H27" s="97"/>
      <c r="I27" s="127"/>
      <c r="J27" s="128"/>
      <c r="K27" s="128"/>
      <c r="L27" s="97"/>
      <c r="M27" s="127"/>
      <c r="N27" s="108"/>
      <c r="U27" s="35"/>
    </row>
    <row r="28" spans="2:21" ht="30" customHeight="1" x14ac:dyDescent="0.25">
      <c r="B28" s="22">
        <v>19</v>
      </c>
      <c r="C28" s="109" t="e">
        <f>VLOOKUP(D28,EMPLEADO!C:Q,15,FALSE)</f>
        <v>#N/A</v>
      </c>
      <c r="D28" s="145" t="s">
        <v>179</v>
      </c>
      <c r="E28" s="39"/>
      <c r="F28" s="129"/>
      <c r="G28" s="128"/>
      <c r="H28" s="97"/>
      <c r="I28" s="127"/>
      <c r="J28" s="128"/>
      <c r="K28" s="128"/>
      <c r="L28" s="97"/>
      <c r="M28" s="127"/>
      <c r="N28" s="108"/>
      <c r="U28" s="35"/>
    </row>
    <row r="29" spans="2:21" ht="15.75" thickBot="1" x14ac:dyDescent="0.3"/>
    <row r="30" spans="2:21" ht="15" customHeight="1" x14ac:dyDescent="0.3">
      <c r="D30" s="68" t="s">
        <v>121</v>
      </c>
      <c r="F30" s="341"/>
      <c r="G30" s="342"/>
      <c r="H30" s="342"/>
      <c r="I30" s="342"/>
      <c r="J30" s="342"/>
      <c r="K30" s="342"/>
      <c r="L30" s="342"/>
      <c r="M30" s="342"/>
      <c r="N30" s="343"/>
    </row>
    <row r="31" spans="2:21" x14ac:dyDescent="0.25">
      <c r="B31" s="34" t="s">
        <v>125</v>
      </c>
      <c r="F31" s="344"/>
      <c r="G31" s="345"/>
      <c r="H31" s="345"/>
      <c r="I31" s="345"/>
      <c r="J31" s="345"/>
      <c r="K31" s="345"/>
      <c r="L31" s="345"/>
      <c r="M31" s="345"/>
      <c r="N31" s="346"/>
    </row>
    <row r="32" spans="2:21" x14ac:dyDescent="0.25">
      <c r="F32" s="344"/>
      <c r="G32" s="345"/>
      <c r="H32" s="345"/>
      <c r="I32" s="345"/>
      <c r="J32" s="345"/>
      <c r="K32" s="345"/>
      <c r="L32" s="345"/>
      <c r="M32" s="345"/>
      <c r="N32" s="346"/>
    </row>
    <row r="33" spans="2:14" x14ac:dyDescent="0.25">
      <c r="F33" s="344"/>
      <c r="G33" s="345"/>
      <c r="H33" s="345"/>
      <c r="I33" s="345"/>
      <c r="J33" s="345"/>
      <c r="K33" s="345"/>
      <c r="L33" s="345"/>
      <c r="M33" s="345"/>
      <c r="N33" s="346"/>
    </row>
    <row r="34" spans="2:14" ht="15.75" thickBot="1" x14ac:dyDescent="0.3">
      <c r="B34" s="34" t="s">
        <v>126</v>
      </c>
      <c r="C34" s="28" t="s">
        <v>127</v>
      </c>
      <c r="F34" s="347"/>
      <c r="G34" s="348"/>
      <c r="H34" s="348"/>
      <c r="I34" s="348"/>
      <c r="J34" s="348"/>
      <c r="K34" s="348"/>
      <c r="L34" s="348"/>
      <c r="M34" s="348"/>
      <c r="N34" s="349"/>
    </row>
  </sheetData>
  <mergeCells count="9">
    <mergeCell ref="C3:E3"/>
    <mergeCell ref="F5:M5"/>
    <mergeCell ref="C2:E2"/>
    <mergeCell ref="F2:N2"/>
    <mergeCell ref="F30:N34"/>
    <mergeCell ref="F8:I8"/>
    <mergeCell ref="J8:M8"/>
    <mergeCell ref="F7:M7"/>
    <mergeCell ref="F6:M6"/>
  </mergeCells>
  <conditionalFormatting sqref="F6:M6">
    <cfRule type="cellIs" dxfId="59" priority="20" operator="equal">
      <formula>"OJO H.E. AL 100%"</formula>
    </cfRule>
    <cfRule type="cellIs" dxfId="58" priority="21" operator="equal">
      <formula>"""OJO H.E. AL 100%"""</formula>
    </cfRule>
  </conditionalFormatting>
  <conditionalFormatting sqref="F4">
    <cfRule type="cellIs" dxfId="57" priority="13" operator="equal">
      <formula>"F"</formula>
    </cfRule>
  </conditionalFormatting>
  <pageMargins left="0.11811023622047245" right="0.11811023622047245" top="0.35433070866141736" bottom="0.15748031496062992" header="0.31496062992125984" footer="0.31496062992125984"/>
  <pageSetup paperSize="9" scale="75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'$ NOCHE_PESC'!$B$16:$B$26</xm:f>
          </x14:formula1>
          <xm:sqref>E10:E15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AF67"/>
  <sheetViews>
    <sheetView zoomScale="80" zoomScaleNormal="80" workbookViewId="0">
      <selection activeCell="B13" sqref="B13"/>
    </sheetView>
  </sheetViews>
  <sheetFormatPr baseColWidth="10" defaultRowHeight="15" x14ac:dyDescent="0.25"/>
  <cols>
    <col min="1" max="1" width="40.140625" customWidth="1"/>
    <col min="2" max="2" width="23" customWidth="1"/>
    <col min="3" max="3" width="19.140625" customWidth="1"/>
    <col min="4" max="4" width="5.28515625" customWidth="1"/>
    <col min="5" max="5" width="40.140625" bestFit="1" customWidth="1"/>
    <col min="6" max="6" width="15.5703125" bestFit="1" customWidth="1"/>
    <col min="7" max="7" width="6.28515625" bestFit="1" customWidth="1"/>
    <col min="8" max="8" width="34.28515625" bestFit="1" customWidth="1"/>
    <col min="9" max="9" width="13.7109375" customWidth="1"/>
    <col min="10" max="10" width="6.28515625" bestFit="1" customWidth="1"/>
    <col min="11" max="11" width="6.28515625" customWidth="1"/>
    <col min="12" max="12" width="40.140625" customWidth="1"/>
    <col min="13" max="13" width="23" customWidth="1"/>
    <col min="14" max="14" width="19.140625" customWidth="1"/>
    <col min="15" max="15" width="6.42578125" customWidth="1"/>
    <col min="16" max="16" width="40.140625" bestFit="1" customWidth="1"/>
    <col min="17" max="17" width="15.5703125" bestFit="1" customWidth="1"/>
    <col min="18" max="18" width="6.28515625" bestFit="1" customWidth="1"/>
    <col min="19" max="19" width="34.28515625" bestFit="1" customWidth="1"/>
    <col min="20" max="20" width="13.7109375" customWidth="1"/>
    <col min="21" max="21" width="6.28515625" bestFit="1" customWidth="1"/>
    <col min="22" max="22" width="5.5703125" customWidth="1"/>
    <col min="23" max="23" width="40.140625" customWidth="1"/>
    <col min="24" max="24" width="22.85546875" bestFit="1" customWidth="1"/>
    <col min="25" max="25" width="19.140625" customWidth="1"/>
    <col min="26" max="26" width="5.28515625" customWidth="1"/>
    <col min="27" max="27" width="40.140625" bestFit="1" customWidth="1"/>
    <col min="28" max="28" width="15.5703125" bestFit="1" customWidth="1"/>
    <col min="29" max="29" width="6.28515625" bestFit="1" customWidth="1"/>
    <col min="30" max="30" width="34.28515625" bestFit="1" customWidth="1"/>
    <col min="31" max="31" width="13.7109375" customWidth="1"/>
    <col min="32" max="32" width="6.28515625" bestFit="1" customWidth="1"/>
  </cols>
  <sheetData>
    <row r="1" spans="1:32" ht="15" customHeight="1" x14ac:dyDescent="0.25">
      <c r="A1" s="223" t="s">
        <v>207</v>
      </c>
      <c r="B1" t="s">
        <v>208</v>
      </c>
      <c r="F1" s="392" t="s">
        <v>190</v>
      </c>
      <c r="L1" s="223" t="s">
        <v>207</v>
      </c>
      <c r="M1" t="s">
        <v>208</v>
      </c>
      <c r="Q1" s="392" t="s">
        <v>195</v>
      </c>
      <c r="AB1" s="392" t="s">
        <v>198</v>
      </c>
    </row>
    <row r="2" spans="1:32" ht="15.75" customHeight="1" x14ac:dyDescent="0.25">
      <c r="A2" s="223" t="s">
        <v>209</v>
      </c>
      <c r="B2" t="s">
        <v>210</v>
      </c>
      <c r="E2" s="239" t="s">
        <v>191</v>
      </c>
      <c r="F2" s="392"/>
      <c r="L2" s="223" t="s">
        <v>209</v>
      </c>
      <c r="M2" t="s">
        <v>210</v>
      </c>
      <c r="P2" s="239" t="s">
        <v>196</v>
      </c>
      <c r="Q2" s="392"/>
      <c r="AA2" s="239" t="s">
        <v>197</v>
      </c>
      <c r="AB2" s="392"/>
    </row>
    <row r="4" spans="1:32" x14ac:dyDescent="0.25">
      <c r="A4" s="223" t="s">
        <v>171</v>
      </c>
      <c r="B4" s="223" t="s">
        <v>172</v>
      </c>
      <c r="C4" t="s">
        <v>211</v>
      </c>
      <c r="D4" s="224"/>
      <c r="E4" s="225" t="s">
        <v>171</v>
      </c>
      <c r="F4" s="226" t="s">
        <v>172</v>
      </c>
      <c r="G4" s="226" t="s">
        <v>173</v>
      </c>
      <c r="H4" s="225" t="s">
        <v>171</v>
      </c>
      <c r="I4" s="226" t="s">
        <v>172</v>
      </c>
      <c r="J4" s="227" t="s">
        <v>173</v>
      </c>
      <c r="K4" s="80"/>
      <c r="L4" s="223" t="s">
        <v>171</v>
      </c>
      <c r="M4" s="223" t="s">
        <v>172</v>
      </c>
      <c r="N4" t="s">
        <v>211</v>
      </c>
      <c r="O4" s="223"/>
      <c r="P4" s="225" t="s">
        <v>171</v>
      </c>
      <c r="Q4" s="226" t="s">
        <v>172</v>
      </c>
      <c r="R4" s="226" t="s">
        <v>173</v>
      </c>
      <c r="S4" s="225" t="s">
        <v>171</v>
      </c>
      <c r="T4" s="226" t="s">
        <v>172</v>
      </c>
      <c r="U4" s="226" t="s">
        <v>173</v>
      </c>
      <c r="AA4" s="255" t="s">
        <v>171</v>
      </c>
      <c r="AB4" s="256" t="s">
        <v>172</v>
      </c>
      <c r="AC4" s="256" t="s">
        <v>173</v>
      </c>
      <c r="AD4" s="255" t="s">
        <v>171</v>
      </c>
      <c r="AE4" s="256" t="s">
        <v>172</v>
      </c>
      <c r="AF4" s="256" t="s">
        <v>173</v>
      </c>
    </row>
    <row r="5" spans="1:32" x14ac:dyDescent="0.25">
      <c r="D5" s="118"/>
      <c r="E5" s="119">
        <f>A5</f>
        <v>0</v>
      </c>
      <c r="F5" s="119">
        <f t="shared" ref="F5:F36" si="0">IF(A5=E5,B5,0)</f>
        <v>0</v>
      </c>
      <c r="G5" s="119">
        <f t="shared" ref="G5:G36" si="1">IF(A5=E5,C5,0)</f>
        <v>0</v>
      </c>
      <c r="H5" s="119">
        <f t="shared" ref="H5:H36" si="2">IF(A5=E5,0,A5)</f>
        <v>0</v>
      </c>
      <c r="I5" s="119">
        <f t="shared" ref="I5:I36" si="3">IF(H5=A5,B5,0)</f>
        <v>0</v>
      </c>
      <c r="J5" s="119">
        <f t="shared" ref="J5:J36" si="4">IF(H5=A5,C5,0)</f>
        <v>0</v>
      </c>
      <c r="K5" s="118"/>
      <c r="P5" s="119">
        <f>L5</f>
        <v>0</v>
      </c>
      <c r="Q5" s="119">
        <f>IF(L5=P5,M5,0)</f>
        <v>0</v>
      </c>
      <c r="R5" s="119">
        <f>IF(L5=P5,N5,0)</f>
        <v>0</v>
      </c>
      <c r="S5" s="119">
        <f>IF(L5=P5,0,L5)</f>
        <v>0</v>
      </c>
      <c r="T5" s="119">
        <f>IF(S5=L5,M5,0)</f>
        <v>0</v>
      </c>
      <c r="U5" s="119">
        <f>IF(S5=L5,N5,0)</f>
        <v>0</v>
      </c>
      <c r="AA5" s="119">
        <f>W5</f>
        <v>0</v>
      </c>
      <c r="AB5" s="119">
        <f>IF(W5=AA5,X5,0)</f>
        <v>0</v>
      </c>
      <c r="AC5" s="119">
        <f>IF(W5=AA5,Y5,0)</f>
        <v>0</v>
      </c>
      <c r="AD5" s="119">
        <f>IF(W5=AA5,0,W5)</f>
        <v>0</v>
      </c>
      <c r="AE5" s="119">
        <f>IF(AD5=W5,X5,0)</f>
        <v>0</v>
      </c>
      <c r="AF5" s="119">
        <f>IF(AD5=W5,Y5,0)</f>
        <v>0</v>
      </c>
    </row>
    <row r="6" spans="1:32" x14ac:dyDescent="0.25">
      <c r="E6" s="119">
        <f t="shared" ref="E6:E37" si="5">IF(E5=A6,0,A6)</f>
        <v>0</v>
      </c>
      <c r="F6" s="119">
        <f t="shared" si="0"/>
        <v>0</v>
      </c>
      <c r="G6" s="119">
        <f t="shared" si="1"/>
        <v>0</v>
      </c>
      <c r="H6" s="119">
        <f t="shared" si="2"/>
        <v>0</v>
      </c>
      <c r="I6" s="119">
        <f t="shared" si="3"/>
        <v>0</v>
      </c>
      <c r="J6" s="119">
        <f t="shared" si="4"/>
        <v>0</v>
      </c>
      <c r="K6" s="118"/>
      <c r="P6" s="119">
        <f>IF(P5=L6,0,L6)</f>
        <v>0</v>
      </c>
      <c r="Q6" s="119">
        <f t="shared" ref="Q6:Q67" si="6">IF(L6=P6,M6,0)</f>
        <v>0</v>
      </c>
      <c r="R6" s="119">
        <f t="shared" ref="R6:R67" si="7">IF(L6=P6,N6,0)</f>
        <v>0</v>
      </c>
      <c r="S6" s="119">
        <f t="shared" ref="S6:S67" si="8">IF(L6=P6,0,L6)</f>
        <v>0</v>
      </c>
      <c r="T6" s="119">
        <f t="shared" ref="T6:T67" si="9">IF(S6=L6,M6,0)</f>
        <v>0</v>
      </c>
      <c r="U6" s="119">
        <f t="shared" ref="U6:U67" si="10">IF(S6=L6,N6,0)</f>
        <v>0</v>
      </c>
      <c r="AA6" s="119">
        <f>IF(AA5=W6,0,W6)</f>
        <v>0</v>
      </c>
      <c r="AB6" s="119">
        <f t="shared" ref="AB6:AB67" si="11">IF(W6=AA6,X6,0)</f>
        <v>0</v>
      </c>
      <c r="AC6" s="119">
        <f t="shared" ref="AC6:AC67" si="12">IF(W6=AA6,Y6,0)</f>
        <v>0</v>
      </c>
      <c r="AD6" s="119">
        <f t="shared" ref="AD6:AD67" si="13">IF(W6=AA6,0,W6)</f>
        <v>0</v>
      </c>
      <c r="AE6" s="119">
        <f t="shared" ref="AE6:AE67" si="14">IF(AD6=W6,X6,0)</f>
        <v>0</v>
      </c>
      <c r="AF6" s="119">
        <f t="shared" ref="AF6:AF67" si="15">IF(AD6=W6,Y6,0)</f>
        <v>0</v>
      </c>
    </row>
    <row r="7" spans="1:32" x14ac:dyDescent="0.25">
      <c r="E7" s="119">
        <f t="shared" si="5"/>
        <v>0</v>
      </c>
      <c r="F7" s="119">
        <f t="shared" si="0"/>
        <v>0</v>
      </c>
      <c r="G7" s="119">
        <f t="shared" si="1"/>
        <v>0</v>
      </c>
      <c r="H7" s="119">
        <f t="shared" si="2"/>
        <v>0</v>
      </c>
      <c r="I7" s="119">
        <f t="shared" si="3"/>
        <v>0</v>
      </c>
      <c r="J7" s="119">
        <f t="shared" si="4"/>
        <v>0</v>
      </c>
      <c r="K7" s="118"/>
      <c r="P7" s="119">
        <f t="shared" ref="P7:P45" si="16">IF(P6=L7,0,L7)</f>
        <v>0</v>
      </c>
      <c r="Q7" s="119">
        <f t="shared" si="6"/>
        <v>0</v>
      </c>
      <c r="R7" s="119">
        <f t="shared" si="7"/>
        <v>0</v>
      </c>
      <c r="S7" s="119">
        <f t="shared" si="8"/>
        <v>0</v>
      </c>
      <c r="T7" s="119">
        <f t="shared" si="9"/>
        <v>0</v>
      </c>
      <c r="U7" s="119">
        <f t="shared" si="10"/>
        <v>0</v>
      </c>
      <c r="AA7" s="119">
        <f t="shared" ref="AA7:AA45" si="17">IF(AA6=W7,0,W7)</f>
        <v>0</v>
      </c>
      <c r="AB7" s="119">
        <f t="shared" si="11"/>
        <v>0</v>
      </c>
      <c r="AC7" s="119">
        <f t="shared" si="12"/>
        <v>0</v>
      </c>
      <c r="AD7" s="119">
        <f t="shared" si="13"/>
        <v>0</v>
      </c>
      <c r="AE7" s="119">
        <f t="shared" si="14"/>
        <v>0</v>
      </c>
      <c r="AF7" s="119">
        <f t="shared" si="15"/>
        <v>0</v>
      </c>
    </row>
    <row r="8" spans="1:32" x14ac:dyDescent="0.25">
      <c r="E8" s="119">
        <f t="shared" si="5"/>
        <v>0</v>
      </c>
      <c r="F8" s="119">
        <f t="shared" si="0"/>
        <v>0</v>
      </c>
      <c r="G8" s="119">
        <f t="shared" si="1"/>
        <v>0</v>
      </c>
      <c r="H8" s="119">
        <f t="shared" si="2"/>
        <v>0</v>
      </c>
      <c r="I8" s="119">
        <f t="shared" si="3"/>
        <v>0</v>
      </c>
      <c r="J8" s="119">
        <f t="shared" si="4"/>
        <v>0</v>
      </c>
      <c r="K8" s="118"/>
      <c r="P8" s="119">
        <f t="shared" si="16"/>
        <v>0</v>
      </c>
      <c r="Q8" s="119">
        <f t="shared" si="6"/>
        <v>0</v>
      </c>
      <c r="R8" s="119">
        <f t="shared" si="7"/>
        <v>0</v>
      </c>
      <c r="S8" s="119">
        <f t="shared" si="8"/>
        <v>0</v>
      </c>
      <c r="T8" s="119">
        <f t="shared" si="9"/>
        <v>0</v>
      </c>
      <c r="U8" s="119">
        <f t="shared" si="10"/>
        <v>0</v>
      </c>
      <c r="AA8" s="119">
        <f t="shared" si="17"/>
        <v>0</v>
      </c>
      <c r="AB8" s="119">
        <f t="shared" si="11"/>
        <v>0</v>
      </c>
      <c r="AC8" s="119">
        <f t="shared" si="12"/>
        <v>0</v>
      </c>
      <c r="AD8" s="119">
        <f t="shared" si="13"/>
        <v>0</v>
      </c>
      <c r="AE8" s="119">
        <f t="shared" si="14"/>
        <v>0</v>
      </c>
      <c r="AF8" s="119">
        <f t="shared" si="15"/>
        <v>0</v>
      </c>
    </row>
    <row r="9" spans="1:32" x14ac:dyDescent="0.25">
      <c r="E9" s="119">
        <f t="shared" si="5"/>
        <v>0</v>
      </c>
      <c r="F9" s="119">
        <f t="shared" si="0"/>
        <v>0</v>
      </c>
      <c r="G9" s="119">
        <f t="shared" si="1"/>
        <v>0</v>
      </c>
      <c r="H9" s="119">
        <f t="shared" si="2"/>
        <v>0</v>
      </c>
      <c r="I9" s="119">
        <f t="shared" si="3"/>
        <v>0</v>
      </c>
      <c r="J9" s="119">
        <f t="shared" si="4"/>
        <v>0</v>
      </c>
      <c r="K9" s="118"/>
      <c r="P9" s="119">
        <f t="shared" si="16"/>
        <v>0</v>
      </c>
      <c r="Q9" s="119">
        <f t="shared" si="6"/>
        <v>0</v>
      </c>
      <c r="R9" s="119">
        <f t="shared" si="7"/>
        <v>0</v>
      </c>
      <c r="S9" s="119">
        <f t="shared" si="8"/>
        <v>0</v>
      </c>
      <c r="T9" s="119">
        <f t="shared" si="9"/>
        <v>0</v>
      </c>
      <c r="U9" s="119">
        <f t="shared" si="10"/>
        <v>0</v>
      </c>
      <c r="AA9" s="119">
        <f t="shared" si="17"/>
        <v>0</v>
      </c>
      <c r="AB9" s="119">
        <f t="shared" si="11"/>
        <v>0</v>
      </c>
      <c r="AC9" s="119">
        <f t="shared" si="12"/>
        <v>0</v>
      </c>
      <c r="AD9" s="119">
        <f t="shared" si="13"/>
        <v>0</v>
      </c>
      <c r="AE9" s="119">
        <f t="shared" si="14"/>
        <v>0</v>
      </c>
      <c r="AF9" s="119">
        <f t="shared" si="15"/>
        <v>0</v>
      </c>
    </row>
    <row r="10" spans="1:32" x14ac:dyDescent="0.25">
      <c r="E10" s="119">
        <f t="shared" si="5"/>
        <v>0</v>
      </c>
      <c r="F10" s="119">
        <f t="shared" si="0"/>
        <v>0</v>
      </c>
      <c r="G10" s="119">
        <f t="shared" si="1"/>
        <v>0</v>
      </c>
      <c r="H10" s="119">
        <f t="shared" si="2"/>
        <v>0</v>
      </c>
      <c r="I10" s="119">
        <f t="shared" si="3"/>
        <v>0</v>
      </c>
      <c r="J10" s="119">
        <f t="shared" si="4"/>
        <v>0</v>
      </c>
      <c r="K10" s="118"/>
      <c r="P10" s="119">
        <f t="shared" si="16"/>
        <v>0</v>
      </c>
      <c r="Q10" s="119">
        <f t="shared" si="6"/>
        <v>0</v>
      </c>
      <c r="R10" s="119">
        <f t="shared" si="7"/>
        <v>0</v>
      </c>
      <c r="S10" s="119">
        <f t="shared" si="8"/>
        <v>0</v>
      </c>
      <c r="T10" s="119">
        <f t="shared" si="9"/>
        <v>0</v>
      </c>
      <c r="U10" s="119">
        <f t="shared" si="10"/>
        <v>0</v>
      </c>
      <c r="AA10" s="119">
        <f t="shared" si="17"/>
        <v>0</v>
      </c>
      <c r="AB10" s="119">
        <f t="shared" si="11"/>
        <v>0</v>
      </c>
      <c r="AC10" s="119">
        <f t="shared" si="12"/>
        <v>0</v>
      </c>
      <c r="AD10" s="119">
        <f t="shared" si="13"/>
        <v>0</v>
      </c>
      <c r="AE10" s="119">
        <f t="shared" si="14"/>
        <v>0</v>
      </c>
      <c r="AF10" s="119">
        <f t="shared" si="15"/>
        <v>0</v>
      </c>
    </row>
    <row r="11" spans="1:32" x14ac:dyDescent="0.25">
      <c r="E11" s="119">
        <f t="shared" si="5"/>
        <v>0</v>
      </c>
      <c r="F11" s="119">
        <f t="shared" si="0"/>
        <v>0</v>
      </c>
      <c r="G11" s="119">
        <f t="shared" si="1"/>
        <v>0</v>
      </c>
      <c r="H11" s="119">
        <f t="shared" si="2"/>
        <v>0</v>
      </c>
      <c r="I11" s="119">
        <f t="shared" si="3"/>
        <v>0</v>
      </c>
      <c r="J11" s="119">
        <f t="shared" si="4"/>
        <v>0</v>
      </c>
      <c r="K11" s="118"/>
      <c r="P11" s="119">
        <f t="shared" si="16"/>
        <v>0</v>
      </c>
      <c r="Q11" s="119">
        <f t="shared" si="6"/>
        <v>0</v>
      </c>
      <c r="R11" s="119">
        <f t="shared" si="7"/>
        <v>0</v>
      </c>
      <c r="S11" s="119">
        <f t="shared" si="8"/>
        <v>0</v>
      </c>
      <c r="T11" s="119">
        <f t="shared" si="9"/>
        <v>0</v>
      </c>
      <c r="U11" s="119">
        <f t="shared" si="10"/>
        <v>0</v>
      </c>
      <c r="AA11" s="119">
        <f t="shared" si="17"/>
        <v>0</v>
      </c>
      <c r="AB11" s="119">
        <f t="shared" si="11"/>
        <v>0</v>
      </c>
      <c r="AC11" s="119">
        <f t="shared" si="12"/>
        <v>0</v>
      </c>
      <c r="AD11" s="119">
        <f t="shared" si="13"/>
        <v>0</v>
      </c>
      <c r="AE11" s="119">
        <f t="shared" si="14"/>
        <v>0</v>
      </c>
      <c r="AF11" s="119">
        <f t="shared" si="15"/>
        <v>0</v>
      </c>
    </row>
    <row r="12" spans="1:32" x14ac:dyDescent="0.25">
      <c r="E12" s="119">
        <f t="shared" si="5"/>
        <v>0</v>
      </c>
      <c r="F12" s="119">
        <f t="shared" si="0"/>
        <v>0</v>
      </c>
      <c r="G12" s="119">
        <f t="shared" si="1"/>
        <v>0</v>
      </c>
      <c r="H12" s="119">
        <f t="shared" si="2"/>
        <v>0</v>
      </c>
      <c r="I12" s="119">
        <f t="shared" si="3"/>
        <v>0</v>
      </c>
      <c r="J12" s="119">
        <f t="shared" si="4"/>
        <v>0</v>
      </c>
      <c r="K12" s="118"/>
      <c r="P12" s="119">
        <f t="shared" si="16"/>
        <v>0</v>
      </c>
      <c r="Q12" s="119">
        <f t="shared" si="6"/>
        <v>0</v>
      </c>
      <c r="R12" s="119">
        <f t="shared" si="7"/>
        <v>0</v>
      </c>
      <c r="S12" s="119">
        <f t="shared" si="8"/>
        <v>0</v>
      </c>
      <c r="T12" s="119">
        <f t="shared" si="9"/>
        <v>0</v>
      </c>
      <c r="U12" s="119">
        <f t="shared" si="10"/>
        <v>0</v>
      </c>
      <c r="AA12" s="119">
        <f t="shared" si="17"/>
        <v>0</v>
      </c>
      <c r="AB12" s="119">
        <f t="shared" si="11"/>
        <v>0</v>
      </c>
      <c r="AC12" s="119">
        <f t="shared" si="12"/>
        <v>0</v>
      </c>
      <c r="AD12" s="119">
        <f t="shared" si="13"/>
        <v>0</v>
      </c>
      <c r="AE12" s="119">
        <f t="shared" si="14"/>
        <v>0</v>
      </c>
      <c r="AF12" s="119">
        <f t="shared" si="15"/>
        <v>0</v>
      </c>
    </row>
    <row r="13" spans="1:32" x14ac:dyDescent="0.25">
      <c r="E13" s="119">
        <f t="shared" si="5"/>
        <v>0</v>
      </c>
      <c r="F13" s="119">
        <f t="shared" si="0"/>
        <v>0</v>
      </c>
      <c r="G13" s="119">
        <f t="shared" si="1"/>
        <v>0</v>
      </c>
      <c r="H13" s="119">
        <f t="shared" si="2"/>
        <v>0</v>
      </c>
      <c r="I13" s="119">
        <f t="shared" si="3"/>
        <v>0</v>
      </c>
      <c r="J13" s="119">
        <f t="shared" si="4"/>
        <v>0</v>
      </c>
      <c r="K13" s="118"/>
      <c r="P13" s="119">
        <f t="shared" si="16"/>
        <v>0</v>
      </c>
      <c r="Q13" s="119">
        <f t="shared" si="6"/>
        <v>0</v>
      </c>
      <c r="R13" s="119">
        <f t="shared" si="7"/>
        <v>0</v>
      </c>
      <c r="S13" s="119">
        <f t="shared" si="8"/>
        <v>0</v>
      </c>
      <c r="T13" s="119">
        <f t="shared" si="9"/>
        <v>0</v>
      </c>
      <c r="U13" s="119">
        <f t="shared" si="10"/>
        <v>0</v>
      </c>
      <c r="AA13" s="119">
        <f t="shared" si="17"/>
        <v>0</v>
      </c>
      <c r="AB13" s="119">
        <f t="shared" si="11"/>
        <v>0</v>
      </c>
      <c r="AC13" s="119">
        <f t="shared" si="12"/>
        <v>0</v>
      </c>
      <c r="AD13" s="119">
        <f t="shared" si="13"/>
        <v>0</v>
      </c>
      <c r="AE13" s="119">
        <f t="shared" si="14"/>
        <v>0</v>
      </c>
      <c r="AF13" s="119">
        <f t="shared" si="15"/>
        <v>0</v>
      </c>
    </row>
    <row r="14" spans="1:32" x14ac:dyDescent="0.25">
      <c r="E14" s="119">
        <f t="shared" si="5"/>
        <v>0</v>
      </c>
      <c r="F14" s="119">
        <f t="shared" si="0"/>
        <v>0</v>
      </c>
      <c r="G14" s="119">
        <f t="shared" si="1"/>
        <v>0</v>
      </c>
      <c r="H14" s="119">
        <f t="shared" si="2"/>
        <v>0</v>
      </c>
      <c r="I14" s="119">
        <f t="shared" si="3"/>
        <v>0</v>
      </c>
      <c r="J14" s="119">
        <f t="shared" si="4"/>
        <v>0</v>
      </c>
      <c r="K14" s="118"/>
      <c r="P14" s="119">
        <f t="shared" si="16"/>
        <v>0</v>
      </c>
      <c r="Q14" s="119">
        <f t="shared" si="6"/>
        <v>0</v>
      </c>
      <c r="R14" s="119">
        <f t="shared" si="7"/>
        <v>0</v>
      </c>
      <c r="S14" s="119">
        <f t="shared" si="8"/>
        <v>0</v>
      </c>
      <c r="T14" s="119">
        <f t="shared" si="9"/>
        <v>0</v>
      </c>
      <c r="U14" s="119">
        <f t="shared" si="10"/>
        <v>0</v>
      </c>
      <c r="AA14" s="119">
        <f t="shared" si="17"/>
        <v>0</v>
      </c>
      <c r="AB14" s="119">
        <f t="shared" si="11"/>
        <v>0</v>
      </c>
      <c r="AC14" s="119">
        <f t="shared" si="12"/>
        <v>0</v>
      </c>
      <c r="AD14" s="119">
        <f t="shared" si="13"/>
        <v>0</v>
      </c>
      <c r="AE14" s="119">
        <f t="shared" si="14"/>
        <v>0</v>
      </c>
      <c r="AF14" s="119">
        <f t="shared" si="15"/>
        <v>0</v>
      </c>
    </row>
    <row r="15" spans="1:32" x14ac:dyDescent="0.25">
      <c r="E15" s="119">
        <f t="shared" si="5"/>
        <v>0</v>
      </c>
      <c r="F15" s="119">
        <f t="shared" si="0"/>
        <v>0</v>
      </c>
      <c r="G15" s="119">
        <f t="shared" si="1"/>
        <v>0</v>
      </c>
      <c r="H15" s="119">
        <f t="shared" si="2"/>
        <v>0</v>
      </c>
      <c r="I15" s="119">
        <f t="shared" si="3"/>
        <v>0</v>
      </c>
      <c r="J15" s="119">
        <f t="shared" si="4"/>
        <v>0</v>
      </c>
      <c r="K15" s="118"/>
      <c r="P15" s="119">
        <f t="shared" si="16"/>
        <v>0</v>
      </c>
      <c r="Q15" s="119">
        <f t="shared" si="6"/>
        <v>0</v>
      </c>
      <c r="R15" s="119">
        <f t="shared" si="7"/>
        <v>0</v>
      </c>
      <c r="S15" s="119">
        <f t="shared" si="8"/>
        <v>0</v>
      </c>
      <c r="T15" s="119">
        <f t="shared" si="9"/>
        <v>0</v>
      </c>
      <c r="U15" s="119">
        <f t="shared" si="10"/>
        <v>0</v>
      </c>
      <c r="AA15" s="119">
        <f t="shared" si="17"/>
        <v>0</v>
      </c>
      <c r="AB15" s="119">
        <f t="shared" si="11"/>
        <v>0</v>
      </c>
      <c r="AC15" s="119">
        <f t="shared" si="12"/>
        <v>0</v>
      </c>
      <c r="AD15" s="119">
        <f t="shared" si="13"/>
        <v>0</v>
      </c>
      <c r="AE15" s="119">
        <f t="shared" si="14"/>
        <v>0</v>
      </c>
      <c r="AF15" s="119">
        <f t="shared" si="15"/>
        <v>0</v>
      </c>
    </row>
    <row r="16" spans="1:32" x14ac:dyDescent="0.25">
      <c r="E16" s="119">
        <f t="shared" si="5"/>
        <v>0</v>
      </c>
      <c r="F16" s="119">
        <f t="shared" si="0"/>
        <v>0</v>
      </c>
      <c r="G16" s="119">
        <f t="shared" si="1"/>
        <v>0</v>
      </c>
      <c r="H16" s="119">
        <f t="shared" si="2"/>
        <v>0</v>
      </c>
      <c r="I16" s="119">
        <f t="shared" si="3"/>
        <v>0</v>
      </c>
      <c r="J16" s="119">
        <f t="shared" si="4"/>
        <v>0</v>
      </c>
      <c r="K16" s="118"/>
      <c r="P16" s="119">
        <f t="shared" si="16"/>
        <v>0</v>
      </c>
      <c r="Q16" s="119">
        <f t="shared" si="6"/>
        <v>0</v>
      </c>
      <c r="R16" s="119">
        <f t="shared" si="7"/>
        <v>0</v>
      </c>
      <c r="S16" s="119">
        <f t="shared" si="8"/>
        <v>0</v>
      </c>
      <c r="T16" s="119">
        <f t="shared" si="9"/>
        <v>0</v>
      </c>
      <c r="U16" s="119">
        <f t="shared" si="10"/>
        <v>0</v>
      </c>
      <c r="AA16" s="119">
        <f t="shared" si="17"/>
        <v>0</v>
      </c>
      <c r="AB16" s="119">
        <f t="shared" si="11"/>
        <v>0</v>
      </c>
      <c r="AC16" s="119">
        <f t="shared" si="12"/>
        <v>0</v>
      </c>
      <c r="AD16" s="119">
        <f t="shared" si="13"/>
        <v>0</v>
      </c>
      <c r="AE16" s="119">
        <f t="shared" si="14"/>
        <v>0</v>
      </c>
      <c r="AF16" s="119">
        <f t="shared" si="15"/>
        <v>0</v>
      </c>
    </row>
    <row r="17" spans="5:32" x14ac:dyDescent="0.25">
      <c r="E17" s="119">
        <f t="shared" si="5"/>
        <v>0</v>
      </c>
      <c r="F17" s="119">
        <f t="shared" si="0"/>
        <v>0</v>
      </c>
      <c r="G17" s="119">
        <f t="shared" si="1"/>
        <v>0</v>
      </c>
      <c r="H17" s="119">
        <f t="shared" si="2"/>
        <v>0</v>
      </c>
      <c r="I17" s="119">
        <f t="shared" si="3"/>
        <v>0</v>
      </c>
      <c r="J17" s="119">
        <f t="shared" si="4"/>
        <v>0</v>
      </c>
      <c r="K17" s="118"/>
      <c r="P17" s="119">
        <f t="shared" si="16"/>
        <v>0</v>
      </c>
      <c r="Q17" s="119">
        <f t="shared" si="6"/>
        <v>0</v>
      </c>
      <c r="R17" s="119">
        <f t="shared" si="7"/>
        <v>0</v>
      </c>
      <c r="S17" s="119">
        <f t="shared" si="8"/>
        <v>0</v>
      </c>
      <c r="T17" s="119">
        <f t="shared" si="9"/>
        <v>0</v>
      </c>
      <c r="U17" s="119">
        <f t="shared" si="10"/>
        <v>0</v>
      </c>
      <c r="AA17" s="119">
        <f t="shared" si="17"/>
        <v>0</v>
      </c>
      <c r="AB17" s="119">
        <f t="shared" si="11"/>
        <v>0</v>
      </c>
      <c r="AC17" s="119">
        <f t="shared" si="12"/>
        <v>0</v>
      </c>
      <c r="AD17" s="119">
        <f t="shared" si="13"/>
        <v>0</v>
      </c>
      <c r="AE17" s="119">
        <f t="shared" si="14"/>
        <v>0</v>
      </c>
      <c r="AF17" s="119">
        <f t="shared" si="15"/>
        <v>0</v>
      </c>
    </row>
    <row r="18" spans="5:32" x14ac:dyDescent="0.25">
      <c r="E18" s="119">
        <f t="shared" si="5"/>
        <v>0</v>
      </c>
      <c r="F18" s="119">
        <f t="shared" si="0"/>
        <v>0</v>
      </c>
      <c r="G18" s="119">
        <f t="shared" si="1"/>
        <v>0</v>
      </c>
      <c r="H18" s="119">
        <f t="shared" si="2"/>
        <v>0</v>
      </c>
      <c r="I18" s="119">
        <f t="shared" si="3"/>
        <v>0</v>
      </c>
      <c r="J18" s="119">
        <f t="shared" si="4"/>
        <v>0</v>
      </c>
      <c r="K18" s="118"/>
      <c r="P18" s="119">
        <f t="shared" si="16"/>
        <v>0</v>
      </c>
      <c r="Q18" s="119">
        <f t="shared" si="6"/>
        <v>0</v>
      </c>
      <c r="R18" s="119">
        <f t="shared" si="7"/>
        <v>0</v>
      </c>
      <c r="S18" s="119">
        <f t="shared" si="8"/>
        <v>0</v>
      </c>
      <c r="T18" s="119">
        <f t="shared" si="9"/>
        <v>0</v>
      </c>
      <c r="U18" s="119">
        <f t="shared" si="10"/>
        <v>0</v>
      </c>
      <c r="AA18" s="119">
        <f t="shared" si="17"/>
        <v>0</v>
      </c>
      <c r="AB18" s="119">
        <f t="shared" si="11"/>
        <v>0</v>
      </c>
      <c r="AC18" s="119">
        <f t="shared" si="12"/>
        <v>0</v>
      </c>
      <c r="AD18" s="119">
        <f t="shared" si="13"/>
        <v>0</v>
      </c>
      <c r="AE18" s="119">
        <f t="shared" si="14"/>
        <v>0</v>
      </c>
      <c r="AF18" s="119">
        <f t="shared" si="15"/>
        <v>0</v>
      </c>
    </row>
    <row r="19" spans="5:32" x14ac:dyDescent="0.25">
      <c r="E19" s="119">
        <f t="shared" si="5"/>
        <v>0</v>
      </c>
      <c r="F19" s="119">
        <f t="shared" si="0"/>
        <v>0</v>
      </c>
      <c r="G19" s="119">
        <f t="shared" si="1"/>
        <v>0</v>
      </c>
      <c r="H19" s="119">
        <f t="shared" si="2"/>
        <v>0</v>
      </c>
      <c r="I19" s="119">
        <f t="shared" si="3"/>
        <v>0</v>
      </c>
      <c r="J19" s="119">
        <f t="shared" si="4"/>
        <v>0</v>
      </c>
      <c r="K19" s="118"/>
      <c r="P19" s="119">
        <f t="shared" si="16"/>
        <v>0</v>
      </c>
      <c r="Q19" s="119">
        <f t="shared" si="6"/>
        <v>0</v>
      </c>
      <c r="R19" s="119">
        <f t="shared" si="7"/>
        <v>0</v>
      </c>
      <c r="S19" s="119">
        <f t="shared" si="8"/>
        <v>0</v>
      </c>
      <c r="T19" s="119">
        <f t="shared" si="9"/>
        <v>0</v>
      </c>
      <c r="U19" s="119">
        <f t="shared" si="10"/>
        <v>0</v>
      </c>
      <c r="AA19" s="119">
        <f t="shared" si="17"/>
        <v>0</v>
      </c>
      <c r="AB19" s="119">
        <f t="shared" si="11"/>
        <v>0</v>
      </c>
      <c r="AC19" s="119">
        <f t="shared" si="12"/>
        <v>0</v>
      </c>
      <c r="AD19" s="119">
        <f t="shared" si="13"/>
        <v>0</v>
      </c>
      <c r="AE19" s="119">
        <f t="shared" si="14"/>
        <v>0</v>
      </c>
      <c r="AF19" s="119">
        <f t="shared" si="15"/>
        <v>0</v>
      </c>
    </row>
    <row r="20" spans="5:32" x14ac:dyDescent="0.25">
      <c r="E20" s="119">
        <f t="shared" si="5"/>
        <v>0</v>
      </c>
      <c r="F20" s="119">
        <f t="shared" si="0"/>
        <v>0</v>
      </c>
      <c r="G20" s="119">
        <f t="shared" si="1"/>
        <v>0</v>
      </c>
      <c r="H20" s="119">
        <f t="shared" si="2"/>
        <v>0</v>
      </c>
      <c r="I20" s="119">
        <f t="shared" si="3"/>
        <v>0</v>
      </c>
      <c r="J20" s="119">
        <f t="shared" si="4"/>
        <v>0</v>
      </c>
      <c r="K20" s="118"/>
      <c r="P20" s="119">
        <f t="shared" si="16"/>
        <v>0</v>
      </c>
      <c r="Q20" s="119">
        <f t="shared" si="6"/>
        <v>0</v>
      </c>
      <c r="R20" s="119">
        <f t="shared" si="7"/>
        <v>0</v>
      </c>
      <c r="S20" s="119">
        <f t="shared" si="8"/>
        <v>0</v>
      </c>
      <c r="T20" s="119">
        <f t="shared" si="9"/>
        <v>0</v>
      </c>
      <c r="U20" s="119">
        <f t="shared" si="10"/>
        <v>0</v>
      </c>
      <c r="AA20" s="119">
        <f t="shared" si="17"/>
        <v>0</v>
      </c>
      <c r="AB20" s="119">
        <f t="shared" si="11"/>
        <v>0</v>
      </c>
      <c r="AC20" s="119">
        <f t="shared" si="12"/>
        <v>0</v>
      </c>
      <c r="AD20" s="119">
        <f t="shared" si="13"/>
        <v>0</v>
      </c>
      <c r="AE20" s="119">
        <f t="shared" si="14"/>
        <v>0</v>
      </c>
      <c r="AF20" s="119">
        <f t="shared" si="15"/>
        <v>0</v>
      </c>
    </row>
    <row r="21" spans="5:32" x14ac:dyDescent="0.25">
      <c r="E21" s="119">
        <f t="shared" si="5"/>
        <v>0</v>
      </c>
      <c r="F21" s="119">
        <f t="shared" si="0"/>
        <v>0</v>
      </c>
      <c r="G21" s="119">
        <f t="shared" si="1"/>
        <v>0</v>
      </c>
      <c r="H21" s="119">
        <f t="shared" si="2"/>
        <v>0</v>
      </c>
      <c r="I21" s="119">
        <f t="shared" si="3"/>
        <v>0</v>
      </c>
      <c r="J21" s="119">
        <f t="shared" si="4"/>
        <v>0</v>
      </c>
      <c r="K21" s="118"/>
      <c r="P21" s="119">
        <f t="shared" si="16"/>
        <v>0</v>
      </c>
      <c r="Q21" s="119">
        <f t="shared" si="6"/>
        <v>0</v>
      </c>
      <c r="R21" s="119">
        <f t="shared" si="7"/>
        <v>0</v>
      </c>
      <c r="S21" s="119">
        <f t="shared" si="8"/>
        <v>0</v>
      </c>
      <c r="T21" s="119">
        <f t="shared" si="9"/>
        <v>0</v>
      </c>
      <c r="U21" s="119">
        <f t="shared" si="10"/>
        <v>0</v>
      </c>
      <c r="AA21" s="119">
        <f t="shared" si="17"/>
        <v>0</v>
      </c>
      <c r="AB21" s="119">
        <f t="shared" si="11"/>
        <v>0</v>
      </c>
      <c r="AC21" s="119">
        <f t="shared" si="12"/>
        <v>0</v>
      </c>
      <c r="AD21" s="119">
        <f t="shared" si="13"/>
        <v>0</v>
      </c>
      <c r="AE21" s="119">
        <f t="shared" si="14"/>
        <v>0</v>
      </c>
      <c r="AF21" s="119">
        <f t="shared" si="15"/>
        <v>0</v>
      </c>
    </row>
    <row r="22" spans="5:32" x14ac:dyDescent="0.25">
      <c r="E22" s="119">
        <f t="shared" si="5"/>
        <v>0</v>
      </c>
      <c r="F22" s="119">
        <f t="shared" si="0"/>
        <v>0</v>
      </c>
      <c r="G22" s="119">
        <f t="shared" si="1"/>
        <v>0</v>
      </c>
      <c r="H22" s="119">
        <f t="shared" si="2"/>
        <v>0</v>
      </c>
      <c r="I22" s="119">
        <f t="shared" si="3"/>
        <v>0</v>
      </c>
      <c r="J22" s="119">
        <f t="shared" si="4"/>
        <v>0</v>
      </c>
      <c r="K22" s="118"/>
      <c r="P22" s="119">
        <f t="shared" si="16"/>
        <v>0</v>
      </c>
      <c r="Q22" s="119">
        <f t="shared" si="6"/>
        <v>0</v>
      </c>
      <c r="R22" s="119">
        <f t="shared" si="7"/>
        <v>0</v>
      </c>
      <c r="S22" s="119">
        <f t="shared" si="8"/>
        <v>0</v>
      </c>
      <c r="T22" s="119">
        <f t="shared" si="9"/>
        <v>0</v>
      </c>
      <c r="U22" s="119">
        <f t="shared" si="10"/>
        <v>0</v>
      </c>
      <c r="AA22" s="119">
        <f t="shared" si="17"/>
        <v>0</v>
      </c>
      <c r="AB22" s="119">
        <f t="shared" si="11"/>
        <v>0</v>
      </c>
      <c r="AC22" s="119">
        <f t="shared" si="12"/>
        <v>0</v>
      </c>
      <c r="AD22" s="119">
        <f t="shared" si="13"/>
        <v>0</v>
      </c>
      <c r="AE22" s="119">
        <f t="shared" si="14"/>
        <v>0</v>
      </c>
      <c r="AF22" s="119">
        <f t="shared" si="15"/>
        <v>0</v>
      </c>
    </row>
    <row r="23" spans="5:32" x14ac:dyDescent="0.25">
      <c r="E23" s="119">
        <f t="shared" si="5"/>
        <v>0</v>
      </c>
      <c r="F23" s="119">
        <f t="shared" si="0"/>
        <v>0</v>
      </c>
      <c r="G23" s="119">
        <f t="shared" si="1"/>
        <v>0</v>
      </c>
      <c r="H23" s="119">
        <f t="shared" si="2"/>
        <v>0</v>
      </c>
      <c r="I23" s="119">
        <f t="shared" si="3"/>
        <v>0</v>
      </c>
      <c r="J23" s="119">
        <f t="shared" si="4"/>
        <v>0</v>
      </c>
      <c r="K23" s="118"/>
      <c r="P23" s="119">
        <f t="shared" si="16"/>
        <v>0</v>
      </c>
      <c r="Q23" s="119">
        <f t="shared" si="6"/>
        <v>0</v>
      </c>
      <c r="R23" s="119">
        <f t="shared" si="7"/>
        <v>0</v>
      </c>
      <c r="S23" s="119">
        <f t="shared" si="8"/>
        <v>0</v>
      </c>
      <c r="T23" s="119">
        <f t="shared" si="9"/>
        <v>0</v>
      </c>
      <c r="U23" s="119">
        <f t="shared" si="10"/>
        <v>0</v>
      </c>
      <c r="AA23" s="119">
        <f t="shared" si="17"/>
        <v>0</v>
      </c>
      <c r="AB23" s="119">
        <f t="shared" si="11"/>
        <v>0</v>
      </c>
      <c r="AC23" s="119">
        <f t="shared" si="12"/>
        <v>0</v>
      </c>
      <c r="AD23" s="119">
        <f t="shared" si="13"/>
        <v>0</v>
      </c>
      <c r="AE23" s="119">
        <f t="shared" si="14"/>
        <v>0</v>
      </c>
      <c r="AF23" s="119">
        <f t="shared" si="15"/>
        <v>0</v>
      </c>
    </row>
    <row r="24" spans="5:32" x14ac:dyDescent="0.25">
      <c r="E24" s="119">
        <f t="shared" si="5"/>
        <v>0</v>
      </c>
      <c r="F24" s="119">
        <f t="shared" si="0"/>
        <v>0</v>
      </c>
      <c r="G24" s="119">
        <f t="shared" si="1"/>
        <v>0</v>
      </c>
      <c r="H24" s="119">
        <f t="shared" si="2"/>
        <v>0</v>
      </c>
      <c r="I24" s="119">
        <f t="shared" si="3"/>
        <v>0</v>
      </c>
      <c r="J24" s="119">
        <f t="shared" si="4"/>
        <v>0</v>
      </c>
      <c r="K24" s="118"/>
      <c r="P24" s="119">
        <f t="shared" si="16"/>
        <v>0</v>
      </c>
      <c r="Q24" s="119">
        <f t="shared" si="6"/>
        <v>0</v>
      </c>
      <c r="R24" s="119">
        <f t="shared" si="7"/>
        <v>0</v>
      </c>
      <c r="S24" s="119">
        <f t="shared" si="8"/>
        <v>0</v>
      </c>
      <c r="T24" s="119">
        <f t="shared" si="9"/>
        <v>0</v>
      </c>
      <c r="U24" s="119">
        <f t="shared" si="10"/>
        <v>0</v>
      </c>
      <c r="AA24" s="119">
        <f t="shared" si="17"/>
        <v>0</v>
      </c>
      <c r="AB24" s="119">
        <f t="shared" si="11"/>
        <v>0</v>
      </c>
      <c r="AC24" s="119">
        <f t="shared" si="12"/>
        <v>0</v>
      </c>
      <c r="AD24" s="119">
        <f t="shared" si="13"/>
        <v>0</v>
      </c>
      <c r="AE24" s="119">
        <f t="shared" si="14"/>
        <v>0</v>
      </c>
      <c r="AF24" s="119">
        <f t="shared" si="15"/>
        <v>0</v>
      </c>
    </row>
    <row r="25" spans="5:32" x14ac:dyDescent="0.25">
      <c r="E25" s="119">
        <f t="shared" si="5"/>
        <v>0</v>
      </c>
      <c r="F25" s="119">
        <f t="shared" si="0"/>
        <v>0</v>
      </c>
      <c r="G25" s="119">
        <f t="shared" si="1"/>
        <v>0</v>
      </c>
      <c r="H25" s="119">
        <f t="shared" si="2"/>
        <v>0</v>
      </c>
      <c r="I25" s="119">
        <f t="shared" si="3"/>
        <v>0</v>
      </c>
      <c r="J25" s="119">
        <f t="shared" si="4"/>
        <v>0</v>
      </c>
      <c r="K25" s="118"/>
      <c r="P25" s="119">
        <f t="shared" si="16"/>
        <v>0</v>
      </c>
      <c r="Q25" s="119">
        <f>IF(L25=P25,M25,0)</f>
        <v>0</v>
      </c>
      <c r="R25" s="119">
        <f t="shared" si="7"/>
        <v>0</v>
      </c>
      <c r="S25" s="119">
        <f t="shared" si="8"/>
        <v>0</v>
      </c>
      <c r="T25" s="119">
        <f t="shared" si="9"/>
        <v>0</v>
      </c>
      <c r="U25" s="119">
        <f t="shared" si="10"/>
        <v>0</v>
      </c>
      <c r="AA25" s="119">
        <f t="shared" si="17"/>
        <v>0</v>
      </c>
      <c r="AB25" s="119">
        <f t="shared" si="11"/>
        <v>0</v>
      </c>
      <c r="AC25" s="119">
        <f t="shared" si="12"/>
        <v>0</v>
      </c>
      <c r="AD25" s="119">
        <f t="shared" si="13"/>
        <v>0</v>
      </c>
      <c r="AE25" s="119">
        <f t="shared" si="14"/>
        <v>0</v>
      </c>
      <c r="AF25" s="119">
        <f t="shared" si="15"/>
        <v>0</v>
      </c>
    </row>
    <row r="26" spans="5:32" x14ac:dyDescent="0.25">
      <c r="E26" s="119">
        <f t="shared" si="5"/>
        <v>0</v>
      </c>
      <c r="F26" s="119">
        <f t="shared" si="0"/>
        <v>0</v>
      </c>
      <c r="G26" s="119">
        <f t="shared" si="1"/>
        <v>0</v>
      </c>
      <c r="H26" s="119">
        <f t="shared" si="2"/>
        <v>0</v>
      </c>
      <c r="I26" s="119">
        <f t="shared" si="3"/>
        <v>0</v>
      </c>
      <c r="J26" s="119">
        <f t="shared" si="4"/>
        <v>0</v>
      </c>
      <c r="K26" s="118"/>
      <c r="P26" s="119">
        <f t="shared" si="16"/>
        <v>0</v>
      </c>
      <c r="Q26" s="119">
        <f t="shared" si="6"/>
        <v>0</v>
      </c>
      <c r="R26" s="119">
        <f t="shared" si="7"/>
        <v>0</v>
      </c>
      <c r="S26" s="119">
        <f t="shared" si="8"/>
        <v>0</v>
      </c>
      <c r="T26" s="119">
        <f t="shared" si="9"/>
        <v>0</v>
      </c>
      <c r="U26" s="119">
        <f t="shared" si="10"/>
        <v>0</v>
      </c>
      <c r="AA26" s="119">
        <f t="shared" si="17"/>
        <v>0</v>
      </c>
      <c r="AB26" s="119">
        <f t="shared" si="11"/>
        <v>0</v>
      </c>
      <c r="AC26" s="119">
        <f t="shared" si="12"/>
        <v>0</v>
      </c>
      <c r="AD26" s="119">
        <f t="shared" si="13"/>
        <v>0</v>
      </c>
      <c r="AE26" s="119">
        <f t="shared" si="14"/>
        <v>0</v>
      </c>
      <c r="AF26" s="119">
        <f t="shared" si="15"/>
        <v>0</v>
      </c>
    </row>
    <row r="27" spans="5:32" x14ac:dyDescent="0.25">
      <c r="E27" s="119">
        <f t="shared" si="5"/>
        <v>0</v>
      </c>
      <c r="F27" s="119">
        <f t="shared" si="0"/>
        <v>0</v>
      </c>
      <c r="G27" s="119">
        <f t="shared" si="1"/>
        <v>0</v>
      </c>
      <c r="H27" s="119">
        <f t="shared" si="2"/>
        <v>0</v>
      </c>
      <c r="I27" s="119">
        <f t="shared" si="3"/>
        <v>0</v>
      </c>
      <c r="J27" s="119">
        <f t="shared" si="4"/>
        <v>0</v>
      </c>
      <c r="K27" s="118"/>
      <c r="P27" s="119">
        <f t="shared" si="16"/>
        <v>0</v>
      </c>
      <c r="Q27" s="119">
        <f t="shared" si="6"/>
        <v>0</v>
      </c>
      <c r="R27" s="119">
        <f t="shared" si="7"/>
        <v>0</v>
      </c>
      <c r="S27" s="119">
        <f t="shared" si="8"/>
        <v>0</v>
      </c>
      <c r="T27" s="119">
        <f t="shared" si="9"/>
        <v>0</v>
      </c>
      <c r="U27" s="119">
        <f t="shared" si="10"/>
        <v>0</v>
      </c>
      <c r="AA27" s="119">
        <f t="shared" si="17"/>
        <v>0</v>
      </c>
      <c r="AB27" s="119">
        <f t="shared" si="11"/>
        <v>0</v>
      </c>
      <c r="AC27" s="119">
        <f t="shared" si="12"/>
        <v>0</v>
      </c>
      <c r="AD27" s="119">
        <f t="shared" si="13"/>
        <v>0</v>
      </c>
      <c r="AE27" s="119">
        <f t="shared" si="14"/>
        <v>0</v>
      </c>
      <c r="AF27" s="119">
        <f t="shared" si="15"/>
        <v>0</v>
      </c>
    </row>
    <row r="28" spans="5:32" x14ac:dyDescent="0.25">
      <c r="E28" s="119">
        <f t="shared" si="5"/>
        <v>0</v>
      </c>
      <c r="F28" s="119">
        <f t="shared" si="0"/>
        <v>0</v>
      </c>
      <c r="G28" s="119">
        <f t="shared" si="1"/>
        <v>0</v>
      </c>
      <c r="H28" s="119">
        <f t="shared" si="2"/>
        <v>0</v>
      </c>
      <c r="I28" s="119">
        <f t="shared" si="3"/>
        <v>0</v>
      </c>
      <c r="J28" s="119">
        <f t="shared" si="4"/>
        <v>0</v>
      </c>
      <c r="K28" s="118"/>
      <c r="P28" s="119">
        <f t="shared" si="16"/>
        <v>0</v>
      </c>
      <c r="Q28" s="119">
        <f t="shared" si="6"/>
        <v>0</v>
      </c>
      <c r="R28" s="119">
        <f t="shared" si="7"/>
        <v>0</v>
      </c>
      <c r="S28" s="119">
        <f t="shared" si="8"/>
        <v>0</v>
      </c>
      <c r="T28" s="119">
        <f t="shared" si="9"/>
        <v>0</v>
      </c>
      <c r="U28" s="119">
        <f t="shared" si="10"/>
        <v>0</v>
      </c>
      <c r="AA28" s="119">
        <f t="shared" si="17"/>
        <v>0</v>
      </c>
      <c r="AB28" s="119">
        <f t="shared" si="11"/>
        <v>0</v>
      </c>
      <c r="AC28" s="119">
        <f t="shared" si="12"/>
        <v>0</v>
      </c>
      <c r="AD28" s="119">
        <f t="shared" si="13"/>
        <v>0</v>
      </c>
      <c r="AE28" s="119">
        <f t="shared" si="14"/>
        <v>0</v>
      </c>
      <c r="AF28" s="119">
        <f t="shared" si="15"/>
        <v>0</v>
      </c>
    </row>
    <row r="29" spans="5:32" x14ac:dyDescent="0.25">
      <c r="E29" s="119">
        <f>IF(E28=A29,0,A29)</f>
        <v>0</v>
      </c>
      <c r="F29" s="119">
        <f t="shared" si="0"/>
        <v>0</v>
      </c>
      <c r="G29" s="119">
        <f t="shared" si="1"/>
        <v>0</v>
      </c>
      <c r="H29" s="119">
        <f t="shared" si="2"/>
        <v>0</v>
      </c>
      <c r="I29" s="119">
        <f t="shared" si="3"/>
        <v>0</v>
      </c>
      <c r="J29" s="119">
        <f t="shared" si="4"/>
        <v>0</v>
      </c>
      <c r="K29" s="118"/>
      <c r="P29" s="119">
        <f t="shared" si="16"/>
        <v>0</v>
      </c>
      <c r="Q29" s="119">
        <f t="shared" si="6"/>
        <v>0</v>
      </c>
      <c r="R29" s="119">
        <f t="shared" si="7"/>
        <v>0</v>
      </c>
      <c r="S29" s="119">
        <f t="shared" si="8"/>
        <v>0</v>
      </c>
      <c r="T29" s="119">
        <f t="shared" si="9"/>
        <v>0</v>
      </c>
      <c r="U29" s="119">
        <f t="shared" si="10"/>
        <v>0</v>
      </c>
      <c r="AA29" s="119">
        <f t="shared" si="17"/>
        <v>0</v>
      </c>
      <c r="AB29" s="119">
        <f t="shared" si="11"/>
        <v>0</v>
      </c>
      <c r="AC29" s="119">
        <f t="shared" si="12"/>
        <v>0</v>
      </c>
      <c r="AD29" s="119">
        <f t="shared" si="13"/>
        <v>0</v>
      </c>
      <c r="AE29" s="119">
        <f t="shared" si="14"/>
        <v>0</v>
      </c>
      <c r="AF29" s="119">
        <f t="shared" si="15"/>
        <v>0</v>
      </c>
    </row>
    <row r="30" spans="5:32" x14ac:dyDescent="0.25">
      <c r="E30" s="119">
        <f t="shared" si="5"/>
        <v>0</v>
      </c>
      <c r="F30" s="119">
        <f t="shared" si="0"/>
        <v>0</v>
      </c>
      <c r="G30" s="119">
        <f t="shared" si="1"/>
        <v>0</v>
      </c>
      <c r="H30" s="119">
        <f t="shared" si="2"/>
        <v>0</v>
      </c>
      <c r="I30" s="119">
        <f t="shared" si="3"/>
        <v>0</v>
      </c>
      <c r="J30" s="119">
        <f t="shared" si="4"/>
        <v>0</v>
      </c>
      <c r="K30" s="118"/>
      <c r="P30" s="119">
        <f t="shared" si="16"/>
        <v>0</v>
      </c>
      <c r="Q30" s="119">
        <f t="shared" si="6"/>
        <v>0</v>
      </c>
      <c r="R30" s="119">
        <f t="shared" si="7"/>
        <v>0</v>
      </c>
      <c r="S30" s="119">
        <f t="shared" si="8"/>
        <v>0</v>
      </c>
      <c r="T30" s="119">
        <f t="shared" si="9"/>
        <v>0</v>
      </c>
      <c r="U30" s="119">
        <f t="shared" si="10"/>
        <v>0</v>
      </c>
      <c r="AA30" s="119">
        <f t="shared" si="17"/>
        <v>0</v>
      </c>
      <c r="AB30" s="119">
        <f t="shared" si="11"/>
        <v>0</v>
      </c>
      <c r="AC30" s="119">
        <f t="shared" si="12"/>
        <v>0</v>
      </c>
      <c r="AD30" s="119">
        <f t="shared" si="13"/>
        <v>0</v>
      </c>
      <c r="AE30" s="119">
        <f t="shared" si="14"/>
        <v>0</v>
      </c>
      <c r="AF30" s="119">
        <f t="shared" si="15"/>
        <v>0</v>
      </c>
    </row>
    <row r="31" spans="5:32" x14ac:dyDescent="0.25">
      <c r="E31" s="119">
        <f t="shared" si="5"/>
        <v>0</v>
      </c>
      <c r="F31" s="119">
        <f t="shared" si="0"/>
        <v>0</v>
      </c>
      <c r="G31" s="119">
        <f t="shared" si="1"/>
        <v>0</v>
      </c>
      <c r="H31" s="119">
        <f t="shared" si="2"/>
        <v>0</v>
      </c>
      <c r="I31" s="119">
        <f t="shared" si="3"/>
        <v>0</v>
      </c>
      <c r="J31" s="119">
        <f t="shared" si="4"/>
        <v>0</v>
      </c>
      <c r="K31" s="118"/>
      <c r="P31" s="119">
        <f t="shared" si="16"/>
        <v>0</v>
      </c>
      <c r="Q31" s="119">
        <f t="shared" si="6"/>
        <v>0</v>
      </c>
      <c r="R31" s="119">
        <f t="shared" si="7"/>
        <v>0</v>
      </c>
      <c r="S31" s="119">
        <f t="shared" si="8"/>
        <v>0</v>
      </c>
      <c r="T31" s="119">
        <f t="shared" si="9"/>
        <v>0</v>
      </c>
      <c r="U31" s="119">
        <f t="shared" si="10"/>
        <v>0</v>
      </c>
      <c r="AA31" s="119">
        <f t="shared" si="17"/>
        <v>0</v>
      </c>
      <c r="AB31" s="119">
        <f t="shared" si="11"/>
        <v>0</v>
      </c>
      <c r="AC31" s="119">
        <f t="shared" si="12"/>
        <v>0</v>
      </c>
      <c r="AD31" s="119">
        <f t="shared" si="13"/>
        <v>0</v>
      </c>
      <c r="AE31" s="119">
        <f t="shared" si="14"/>
        <v>0</v>
      </c>
      <c r="AF31" s="119">
        <f t="shared" si="15"/>
        <v>0</v>
      </c>
    </row>
    <row r="32" spans="5:32" x14ac:dyDescent="0.25">
      <c r="E32" s="119">
        <f t="shared" si="5"/>
        <v>0</v>
      </c>
      <c r="F32" s="119">
        <f t="shared" si="0"/>
        <v>0</v>
      </c>
      <c r="G32" s="119">
        <f t="shared" si="1"/>
        <v>0</v>
      </c>
      <c r="H32" s="119">
        <f t="shared" si="2"/>
        <v>0</v>
      </c>
      <c r="I32" s="119">
        <f t="shared" si="3"/>
        <v>0</v>
      </c>
      <c r="J32" s="119">
        <f t="shared" si="4"/>
        <v>0</v>
      </c>
      <c r="K32" s="118"/>
      <c r="P32" s="119">
        <f t="shared" si="16"/>
        <v>0</v>
      </c>
      <c r="Q32" s="119">
        <f t="shared" si="6"/>
        <v>0</v>
      </c>
      <c r="R32" s="119">
        <f t="shared" si="7"/>
        <v>0</v>
      </c>
      <c r="S32" s="119">
        <f t="shared" si="8"/>
        <v>0</v>
      </c>
      <c r="T32" s="119">
        <f t="shared" si="9"/>
        <v>0</v>
      </c>
      <c r="U32" s="119">
        <f t="shared" si="10"/>
        <v>0</v>
      </c>
      <c r="AA32" s="119">
        <f t="shared" si="17"/>
        <v>0</v>
      </c>
      <c r="AB32" s="119">
        <f t="shared" si="11"/>
        <v>0</v>
      </c>
      <c r="AC32" s="119">
        <f t="shared" si="12"/>
        <v>0</v>
      </c>
      <c r="AD32" s="119">
        <f t="shared" si="13"/>
        <v>0</v>
      </c>
      <c r="AE32" s="119">
        <f t="shared" si="14"/>
        <v>0</v>
      </c>
      <c r="AF32" s="119">
        <f t="shared" si="15"/>
        <v>0</v>
      </c>
    </row>
    <row r="33" spans="5:32" x14ac:dyDescent="0.25">
      <c r="E33" s="119">
        <f t="shared" si="5"/>
        <v>0</v>
      </c>
      <c r="F33" s="119">
        <f t="shared" si="0"/>
        <v>0</v>
      </c>
      <c r="G33" s="119">
        <f t="shared" si="1"/>
        <v>0</v>
      </c>
      <c r="H33" s="119">
        <f t="shared" si="2"/>
        <v>0</v>
      </c>
      <c r="I33" s="119">
        <f t="shared" si="3"/>
        <v>0</v>
      </c>
      <c r="J33" s="119">
        <f t="shared" si="4"/>
        <v>0</v>
      </c>
      <c r="K33" s="118"/>
      <c r="P33" s="119">
        <f t="shared" si="16"/>
        <v>0</v>
      </c>
      <c r="Q33" s="119">
        <f t="shared" si="6"/>
        <v>0</v>
      </c>
      <c r="R33" s="119">
        <f t="shared" si="7"/>
        <v>0</v>
      </c>
      <c r="S33" s="119">
        <f t="shared" si="8"/>
        <v>0</v>
      </c>
      <c r="T33" s="119">
        <f t="shared" si="9"/>
        <v>0</v>
      </c>
      <c r="U33" s="119">
        <f t="shared" si="10"/>
        <v>0</v>
      </c>
      <c r="AA33" s="119">
        <f t="shared" si="17"/>
        <v>0</v>
      </c>
      <c r="AB33" s="119">
        <f t="shared" si="11"/>
        <v>0</v>
      </c>
      <c r="AC33" s="119">
        <f t="shared" si="12"/>
        <v>0</v>
      </c>
      <c r="AD33" s="119">
        <f t="shared" si="13"/>
        <v>0</v>
      </c>
      <c r="AE33" s="119">
        <f t="shared" si="14"/>
        <v>0</v>
      </c>
      <c r="AF33" s="119">
        <f t="shared" si="15"/>
        <v>0</v>
      </c>
    </row>
    <row r="34" spans="5:32" x14ac:dyDescent="0.25">
      <c r="E34" s="119">
        <f t="shared" si="5"/>
        <v>0</v>
      </c>
      <c r="F34" s="119">
        <f t="shared" si="0"/>
        <v>0</v>
      </c>
      <c r="G34" s="119">
        <f t="shared" si="1"/>
        <v>0</v>
      </c>
      <c r="H34" s="119">
        <f t="shared" si="2"/>
        <v>0</v>
      </c>
      <c r="I34" s="119">
        <f t="shared" si="3"/>
        <v>0</v>
      </c>
      <c r="J34" s="119">
        <f t="shared" si="4"/>
        <v>0</v>
      </c>
      <c r="K34" s="118"/>
      <c r="P34" s="119">
        <f t="shared" si="16"/>
        <v>0</v>
      </c>
      <c r="Q34" s="119">
        <f t="shared" si="6"/>
        <v>0</v>
      </c>
      <c r="R34" s="119">
        <f t="shared" si="7"/>
        <v>0</v>
      </c>
      <c r="S34" s="119">
        <f t="shared" si="8"/>
        <v>0</v>
      </c>
      <c r="T34" s="119">
        <f t="shared" si="9"/>
        <v>0</v>
      </c>
      <c r="U34" s="119">
        <f t="shared" si="10"/>
        <v>0</v>
      </c>
      <c r="AA34" s="119">
        <f t="shared" si="17"/>
        <v>0</v>
      </c>
      <c r="AB34" s="119">
        <f t="shared" si="11"/>
        <v>0</v>
      </c>
      <c r="AC34" s="119">
        <f t="shared" si="12"/>
        <v>0</v>
      </c>
      <c r="AD34" s="119">
        <f t="shared" si="13"/>
        <v>0</v>
      </c>
      <c r="AE34" s="119">
        <f t="shared" si="14"/>
        <v>0</v>
      </c>
      <c r="AF34" s="119">
        <f t="shared" si="15"/>
        <v>0</v>
      </c>
    </row>
    <row r="35" spans="5:32" x14ac:dyDescent="0.25">
      <c r="E35" s="119">
        <f t="shared" si="5"/>
        <v>0</v>
      </c>
      <c r="F35" s="119">
        <f t="shared" si="0"/>
        <v>0</v>
      </c>
      <c r="G35" s="119">
        <f t="shared" si="1"/>
        <v>0</v>
      </c>
      <c r="H35" s="119">
        <f t="shared" si="2"/>
        <v>0</v>
      </c>
      <c r="I35" s="119">
        <f t="shared" si="3"/>
        <v>0</v>
      </c>
      <c r="J35" s="119">
        <f t="shared" si="4"/>
        <v>0</v>
      </c>
      <c r="K35" s="118"/>
      <c r="P35" s="119">
        <f t="shared" si="16"/>
        <v>0</v>
      </c>
      <c r="Q35" s="119">
        <f t="shared" si="6"/>
        <v>0</v>
      </c>
      <c r="R35" s="119">
        <f t="shared" si="7"/>
        <v>0</v>
      </c>
      <c r="S35" s="119">
        <f t="shared" si="8"/>
        <v>0</v>
      </c>
      <c r="T35" s="119">
        <f t="shared" si="9"/>
        <v>0</v>
      </c>
      <c r="U35" s="119">
        <f t="shared" si="10"/>
        <v>0</v>
      </c>
      <c r="AA35" s="119">
        <f t="shared" si="17"/>
        <v>0</v>
      </c>
      <c r="AB35" s="119">
        <f t="shared" si="11"/>
        <v>0</v>
      </c>
      <c r="AC35" s="119">
        <f t="shared" si="12"/>
        <v>0</v>
      </c>
      <c r="AD35" s="119">
        <f t="shared" si="13"/>
        <v>0</v>
      </c>
      <c r="AE35" s="119">
        <f t="shared" si="14"/>
        <v>0</v>
      </c>
      <c r="AF35" s="119">
        <f t="shared" si="15"/>
        <v>0</v>
      </c>
    </row>
    <row r="36" spans="5:32" x14ac:dyDescent="0.25">
      <c r="E36" s="119">
        <f t="shared" si="5"/>
        <v>0</v>
      </c>
      <c r="F36" s="119">
        <f t="shared" si="0"/>
        <v>0</v>
      </c>
      <c r="G36" s="119">
        <f t="shared" si="1"/>
        <v>0</v>
      </c>
      <c r="H36" s="119">
        <f t="shared" si="2"/>
        <v>0</v>
      </c>
      <c r="I36" s="119">
        <f t="shared" si="3"/>
        <v>0</v>
      </c>
      <c r="J36" s="119">
        <f t="shared" si="4"/>
        <v>0</v>
      </c>
      <c r="K36" s="118"/>
      <c r="P36" s="119">
        <f t="shared" si="16"/>
        <v>0</v>
      </c>
      <c r="Q36" s="119">
        <f t="shared" si="6"/>
        <v>0</v>
      </c>
      <c r="R36" s="119">
        <f t="shared" si="7"/>
        <v>0</v>
      </c>
      <c r="S36" s="119">
        <f t="shared" si="8"/>
        <v>0</v>
      </c>
      <c r="T36" s="119">
        <f t="shared" si="9"/>
        <v>0</v>
      </c>
      <c r="U36" s="119">
        <f t="shared" si="10"/>
        <v>0</v>
      </c>
      <c r="AA36" s="119">
        <f t="shared" si="17"/>
        <v>0</v>
      </c>
      <c r="AB36" s="119">
        <f t="shared" si="11"/>
        <v>0</v>
      </c>
      <c r="AC36" s="119">
        <f t="shared" si="12"/>
        <v>0</v>
      </c>
      <c r="AD36" s="119">
        <f t="shared" si="13"/>
        <v>0</v>
      </c>
      <c r="AE36" s="119">
        <f t="shared" si="14"/>
        <v>0</v>
      </c>
      <c r="AF36" s="119">
        <f t="shared" si="15"/>
        <v>0</v>
      </c>
    </row>
    <row r="37" spans="5:32" x14ac:dyDescent="0.25">
      <c r="E37" s="119">
        <f t="shared" si="5"/>
        <v>0</v>
      </c>
      <c r="F37" s="119">
        <f t="shared" ref="F37:F67" si="18">IF(A37=E37,B37,0)</f>
        <v>0</v>
      </c>
      <c r="G37" s="119">
        <f t="shared" ref="G37:G67" si="19">IF(A37=E37,C37,0)</f>
        <v>0</v>
      </c>
      <c r="H37" s="119">
        <f t="shared" ref="H37:H67" si="20">IF(A37=E37,0,A37)</f>
        <v>0</v>
      </c>
      <c r="I37" s="119">
        <f t="shared" ref="I37:I67" si="21">IF(H37=A37,B37,0)</f>
        <v>0</v>
      </c>
      <c r="J37" s="119">
        <f t="shared" ref="J37:J67" si="22">IF(H37=A37,C37,0)</f>
        <v>0</v>
      </c>
      <c r="K37" s="118"/>
      <c r="P37" s="119">
        <f t="shared" si="16"/>
        <v>0</v>
      </c>
      <c r="Q37" s="119">
        <f t="shared" si="6"/>
        <v>0</v>
      </c>
      <c r="R37" s="119">
        <f t="shared" si="7"/>
        <v>0</v>
      </c>
      <c r="S37" s="119">
        <f t="shared" si="8"/>
        <v>0</v>
      </c>
      <c r="T37" s="119">
        <f t="shared" si="9"/>
        <v>0</v>
      </c>
      <c r="U37" s="119">
        <f t="shared" si="10"/>
        <v>0</v>
      </c>
      <c r="AA37" s="119">
        <f t="shared" si="17"/>
        <v>0</v>
      </c>
      <c r="AB37" s="119">
        <f t="shared" si="11"/>
        <v>0</v>
      </c>
      <c r="AC37" s="119">
        <f t="shared" si="12"/>
        <v>0</v>
      </c>
      <c r="AD37" s="119">
        <f t="shared" si="13"/>
        <v>0</v>
      </c>
      <c r="AE37" s="119">
        <f t="shared" si="14"/>
        <v>0</v>
      </c>
      <c r="AF37" s="119">
        <f t="shared" si="15"/>
        <v>0</v>
      </c>
    </row>
    <row r="38" spans="5:32" x14ac:dyDescent="0.25">
      <c r="E38" s="119">
        <f t="shared" ref="E38:E67" si="23">IF(E37=A38,0,A38)</f>
        <v>0</v>
      </c>
      <c r="F38" s="119">
        <f t="shared" si="18"/>
        <v>0</v>
      </c>
      <c r="G38" s="119">
        <f t="shared" si="19"/>
        <v>0</v>
      </c>
      <c r="H38" s="119">
        <f t="shared" si="20"/>
        <v>0</v>
      </c>
      <c r="I38" s="119">
        <f t="shared" si="21"/>
        <v>0</v>
      </c>
      <c r="J38" s="119">
        <f t="shared" si="22"/>
        <v>0</v>
      </c>
      <c r="K38" s="118"/>
      <c r="P38" s="119">
        <f t="shared" si="16"/>
        <v>0</v>
      </c>
      <c r="Q38" s="119">
        <f t="shared" si="6"/>
        <v>0</v>
      </c>
      <c r="R38" s="119">
        <f t="shared" si="7"/>
        <v>0</v>
      </c>
      <c r="S38" s="119">
        <f t="shared" si="8"/>
        <v>0</v>
      </c>
      <c r="T38" s="119">
        <f t="shared" si="9"/>
        <v>0</v>
      </c>
      <c r="U38" s="119">
        <f t="shared" si="10"/>
        <v>0</v>
      </c>
      <c r="AA38" s="119">
        <f t="shared" si="17"/>
        <v>0</v>
      </c>
      <c r="AB38" s="119">
        <f t="shared" si="11"/>
        <v>0</v>
      </c>
      <c r="AC38" s="119">
        <f t="shared" si="12"/>
        <v>0</v>
      </c>
      <c r="AD38" s="119">
        <f t="shared" si="13"/>
        <v>0</v>
      </c>
      <c r="AE38" s="119">
        <f t="shared" si="14"/>
        <v>0</v>
      </c>
      <c r="AF38" s="119">
        <f t="shared" si="15"/>
        <v>0</v>
      </c>
    </row>
    <row r="39" spans="5:32" x14ac:dyDescent="0.25">
      <c r="E39" s="119">
        <f t="shared" si="23"/>
        <v>0</v>
      </c>
      <c r="F39" s="119">
        <f t="shared" si="18"/>
        <v>0</v>
      </c>
      <c r="G39" s="119">
        <f t="shared" si="19"/>
        <v>0</v>
      </c>
      <c r="H39" s="119">
        <f t="shared" si="20"/>
        <v>0</v>
      </c>
      <c r="I39" s="119">
        <f t="shared" si="21"/>
        <v>0</v>
      </c>
      <c r="J39" s="119">
        <f t="shared" si="22"/>
        <v>0</v>
      </c>
      <c r="K39" s="118"/>
      <c r="P39" s="119">
        <f t="shared" si="16"/>
        <v>0</v>
      </c>
      <c r="Q39" s="119">
        <f t="shared" si="6"/>
        <v>0</v>
      </c>
      <c r="R39" s="119">
        <f t="shared" si="7"/>
        <v>0</v>
      </c>
      <c r="S39" s="119">
        <f t="shared" si="8"/>
        <v>0</v>
      </c>
      <c r="T39" s="119">
        <f t="shared" si="9"/>
        <v>0</v>
      </c>
      <c r="U39" s="119">
        <f t="shared" si="10"/>
        <v>0</v>
      </c>
      <c r="AA39" s="119">
        <f t="shared" si="17"/>
        <v>0</v>
      </c>
      <c r="AB39" s="119">
        <f t="shared" si="11"/>
        <v>0</v>
      </c>
      <c r="AC39" s="119">
        <f t="shared" si="12"/>
        <v>0</v>
      </c>
      <c r="AD39" s="119">
        <f t="shared" si="13"/>
        <v>0</v>
      </c>
      <c r="AE39" s="119">
        <f t="shared" si="14"/>
        <v>0</v>
      </c>
      <c r="AF39" s="119">
        <f t="shared" si="15"/>
        <v>0</v>
      </c>
    </row>
    <row r="40" spans="5:32" x14ac:dyDescent="0.25">
      <c r="E40" s="119">
        <f t="shared" si="23"/>
        <v>0</v>
      </c>
      <c r="F40" s="119">
        <f t="shared" si="18"/>
        <v>0</v>
      </c>
      <c r="G40" s="119">
        <f t="shared" si="19"/>
        <v>0</v>
      </c>
      <c r="H40" s="119">
        <f t="shared" si="20"/>
        <v>0</v>
      </c>
      <c r="I40" s="119">
        <f t="shared" si="21"/>
        <v>0</v>
      </c>
      <c r="J40" s="119">
        <f t="shared" si="22"/>
        <v>0</v>
      </c>
      <c r="K40" s="118"/>
      <c r="P40" s="119">
        <f t="shared" si="16"/>
        <v>0</v>
      </c>
      <c r="Q40" s="119">
        <f t="shared" si="6"/>
        <v>0</v>
      </c>
      <c r="R40" s="119">
        <f t="shared" si="7"/>
        <v>0</v>
      </c>
      <c r="S40" s="119">
        <f t="shared" si="8"/>
        <v>0</v>
      </c>
      <c r="T40" s="119">
        <f t="shared" si="9"/>
        <v>0</v>
      </c>
      <c r="U40" s="119">
        <f t="shared" si="10"/>
        <v>0</v>
      </c>
      <c r="AA40" s="119">
        <f t="shared" si="17"/>
        <v>0</v>
      </c>
      <c r="AB40" s="119">
        <f t="shared" si="11"/>
        <v>0</v>
      </c>
      <c r="AC40" s="119">
        <f t="shared" si="12"/>
        <v>0</v>
      </c>
      <c r="AD40" s="119">
        <f t="shared" si="13"/>
        <v>0</v>
      </c>
      <c r="AE40" s="119">
        <f t="shared" si="14"/>
        <v>0</v>
      </c>
      <c r="AF40" s="119">
        <f t="shared" si="15"/>
        <v>0</v>
      </c>
    </row>
    <row r="41" spans="5:32" x14ac:dyDescent="0.25">
      <c r="E41" s="119">
        <f t="shared" si="23"/>
        <v>0</v>
      </c>
      <c r="F41" s="119">
        <f t="shared" si="18"/>
        <v>0</v>
      </c>
      <c r="G41" s="119">
        <f t="shared" si="19"/>
        <v>0</v>
      </c>
      <c r="H41" s="119">
        <f t="shared" si="20"/>
        <v>0</v>
      </c>
      <c r="I41" s="119">
        <f t="shared" si="21"/>
        <v>0</v>
      </c>
      <c r="J41" s="119">
        <f t="shared" si="22"/>
        <v>0</v>
      </c>
      <c r="K41" s="118"/>
      <c r="P41" s="119">
        <f t="shared" si="16"/>
        <v>0</v>
      </c>
      <c r="Q41" s="119">
        <f t="shared" si="6"/>
        <v>0</v>
      </c>
      <c r="R41" s="119">
        <f t="shared" si="7"/>
        <v>0</v>
      </c>
      <c r="S41" s="119">
        <f t="shared" si="8"/>
        <v>0</v>
      </c>
      <c r="T41" s="119">
        <f t="shared" si="9"/>
        <v>0</v>
      </c>
      <c r="U41" s="119">
        <f t="shared" si="10"/>
        <v>0</v>
      </c>
      <c r="AA41" s="119">
        <f t="shared" si="17"/>
        <v>0</v>
      </c>
      <c r="AB41" s="119">
        <f t="shared" si="11"/>
        <v>0</v>
      </c>
      <c r="AC41" s="119">
        <f t="shared" si="12"/>
        <v>0</v>
      </c>
      <c r="AD41" s="119">
        <f t="shared" si="13"/>
        <v>0</v>
      </c>
      <c r="AE41" s="119">
        <f t="shared" si="14"/>
        <v>0</v>
      </c>
      <c r="AF41" s="119">
        <f t="shared" si="15"/>
        <v>0</v>
      </c>
    </row>
    <row r="42" spans="5:32" x14ac:dyDescent="0.25">
      <c r="E42" s="119">
        <f t="shared" si="23"/>
        <v>0</v>
      </c>
      <c r="F42" s="119">
        <f t="shared" si="18"/>
        <v>0</v>
      </c>
      <c r="G42" s="119">
        <f t="shared" si="19"/>
        <v>0</v>
      </c>
      <c r="H42" s="119">
        <f t="shared" si="20"/>
        <v>0</v>
      </c>
      <c r="I42" s="119">
        <f t="shared" si="21"/>
        <v>0</v>
      </c>
      <c r="J42" s="119">
        <f t="shared" si="22"/>
        <v>0</v>
      </c>
      <c r="K42" s="118"/>
      <c r="P42" s="119">
        <f t="shared" si="16"/>
        <v>0</v>
      </c>
      <c r="Q42" s="119">
        <f t="shared" si="6"/>
        <v>0</v>
      </c>
      <c r="R42" s="119">
        <f t="shared" si="7"/>
        <v>0</v>
      </c>
      <c r="S42" s="119">
        <f t="shared" si="8"/>
        <v>0</v>
      </c>
      <c r="T42" s="119">
        <f t="shared" si="9"/>
        <v>0</v>
      </c>
      <c r="U42" s="119">
        <f t="shared" si="10"/>
        <v>0</v>
      </c>
      <c r="AA42" s="119">
        <f t="shared" si="17"/>
        <v>0</v>
      </c>
      <c r="AB42" s="119">
        <f t="shared" si="11"/>
        <v>0</v>
      </c>
      <c r="AC42" s="119">
        <f t="shared" si="12"/>
        <v>0</v>
      </c>
      <c r="AD42" s="119">
        <f t="shared" si="13"/>
        <v>0</v>
      </c>
      <c r="AE42" s="119">
        <f t="shared" si="14"/>
        <v>0</v>
      </c>
      <c r="AF42" s="119">
        <f t="shared" si="15"/>
        <v>0</v>
      </c>
    </row>
    <row r="43" spans="5:32" x14ac:dyDescent="0.25">
      <c r="E43" s="119">
        <f t="shared" si="23"/>
        <v>0</v>
      </c>
      <c r="F43" s="119">
        <f t="shared" si="18"/>
        <v>0</v>
      </c>
      <c r="G43" s="119">
        <f t="shared" si="19"/>
        <v>0</v>
      </c>
      <c r="H43" s="119">
        <f t="shared" si="20"/>
        <v>0</v>
      </c>
      <c r="I43" s="119">
        <f t="shared" si="21"/>
        <v>0</v>
      </c>
      <c r="J43" s="119">
        <f t="shared" si="22"/>
        <v>0</v>
      </c>
      <c r="K43" s="118"/>
      <c r="P43" s="119">
        <f t="shared" si="16"/>
        <v>0</v>
      </c>
      <c r="Q43" s="119">
        <f t="shared" si="6"/>
        <v>0</v>
      </c>
      <c r="R43" s="119">
        <f t="shared" si="7"/>
        <v>0</v>
      </c>
      <c r="S43" s="119">
        <f t="shared" si="8"/>
        <v>0</v>
      </c>
      <c r="T43" s="119">
        <f t="shared" si="9"/>
        <v>0</v>
      </c>
      <c r="U43" s="119">
        <f t="shared" si="10"/>
        <v>0</v>
      </c>
      <c r="AA43" s="119">
        <f t="shared" si="17"/>
        <v>0</v>
      </c>
      <c r="AB43" s="119">
        <f t="shared" si="11"/>
        <v>0</v>
      </c>
      <c r="AC43" s="119">
        <f t="shared" si="12"/>
        <v>0</v>
      </c>
      <c r="AD43" s="119">
        <f t="shared" si="13"/>
        <v>0</v>
      </c>
      <c r="AE43" s="119">
        <f t="shared" si="14"/>
        <v>0</v>
      </c>
      <c r="AF43" s="119">
        <f t="shared" si="15"/>
        <v>0</v>
      </c>
    </row>
    <row r="44" spans="5:32" x14ac:dyDescent="0.25">
      <c r="E44" s="119">
        <f t="shared" si="23"/>
        <v>0</v>
      </c>
      <c r="F44" s="119">
        <f t="shared" si="18"/>
        <v>0</v>
      </c>
      <c r="G44" s="119">
        <f t="shared" si="19"/>
        <v>0</v>
      </c>
      <c r="H44" s="119">
        <f t="shared" si="20"/>
        <v>0</v>
      </c>
      <c r="I44" s="119">
        <f t="shared" si="21"/>
        <v>0</v>
      </c>
      <c r="J44" s="119">
        <f t="shared" si="22"/>
        <v>0</v>
      </c>
      <c r="K44" s="118"/>
      <c r="P44" s="119">
        <f t="shared" si="16"/>
        <v>0</v>
      </c>
      <c r="Q44" s="119">
        <f t="shared" si="6"/>
        <v>0</v>
      </c>
      <c r="R44" s="119">
        <f t="shared" si="7"/>
        <v>0</v>
      </c>
      <c r="S44" s="119">
        <f t="shared" si="8"/>
        <v>0</v>
      </c>
      <c r="T44" s="119">
        <f t="shared" si="9"/>
        <v>0</v>
      </c>
      <c r="U44" s="119">
        <f t="shared" si="10"/>
        <v>0</v>
      </c>
      <c r="AA44" s="119">
        <f t="shared" si="17"/>
        <v>0</v>
      </c>
      <c r="AB44" s="119">
        <f t="shared" si="11"/>
        <v>0</v>
      </c>
      <c r="AC44" s="119">
        <f t="shared" si="12"/>
        <v>0</v>
      </c>
      <c r="AD44" s="119">
        <f t="shared" si="13"/>
        <v>0</v>
      </c>
      <c r="AE44" s="119">
        <f t="shared" si="14"/>
        <v>0</v>
      </c>
      <c r="AF44" s="119">
        <f t="shared" si="15"/>
        <v>0</v>
      </c>
    </row>
    <row r="45" spans="5:32" x14ac:dyDescent="0.25">
      <c r="E45" s="119">
        <f t="shared" si="23"/>
        <v>0</v>
      </c>
      <c r="F45" s="119">
        <f t="shared" si="18"/>
        <v>0</v>
      </c>
      <c r="G45" s="119">
        <f t="shared" si="19"/>
        <v>0</v>
      </c>
      <c r="H45" s="119">
        <f t="shared" si="20"/>
        <v>0</v>
      </c>
      <c r="I45" s="119">
        <f t="shared" si="21"/>
        <v>0</v>
      </c>
      <c r="J45" s="119">
        <f t="shared" si="22"/>
        <v>0</v>
      </c>
      <c r="K45" s="118"/>
      <c r="P45" s="119">
        <f t="shared" si="16"/>
        <v>0</v>
      </c>
      <c r="Q45" s="119">
        <f t="shared" si="6"/>
        <v>0</v>
      </c>
      <c r="R45" s="119">
        <f t="shared" si="7"/>
        <v>0</v>
      </c>
      <c r="S45" s="119">
        <f t="shared" si="8"/>
        <v>0</v>
      </c>
      <c r="T45" s="119">
        <f t="shared" si="9"/>
        <v>0</v>
      </c>
      <c r="U45" s="119">
        <f t="shared" si="10"/>
        <v>0</v>
      </c>
      <c r="AA45" s="119">
        <f t="shared" si="17"/>
        <v>0</v>
      </c>
      <c r="AB45" s="119">
        <f t="shared" si="11"/>
        <v>0</v>
      </c>
      <c r="AC45" s="119">
        <f t="shared" si="12"/>
        <v>0</v>
      </c>
      <c r="AD45" s="119">
        <f t="shared" si="13"/>
        <v>0</v>
      </c>
      <c r="AE45" s="119">
        <f t="shared" si="14"/>
        <v>0</v>
      </c>
      <c r="AF45" s="119">
        <f t="shared" si="15"/>
        <v>0</v>
      </c>
    </row>
    <row r="46" spans="5:32" x14ac:dyDescent="0.25">
      <c r="E46" s="119">
        <f t="shared" si="23"/>
        <v>0</v>
      </c>
      <c r="F46" s="119">
        <f t="shared" si="18"/>
        <v>0</v>
      </c>
      <c r="G46" s="119">
        <f t="shared" si="19"/>
        <v>0</v>
      </c>
      <c r="H46" s="119">
        <f t="shared" si="20"/>
        <v>0</v>
      </c>
      <c r="I46" s="119">
        <f t="shared" si="21"/>
        <v>0</v>
      </c>
      <c r="J46" s="119">
        <f t="shared" si="22"/>
        <v>0</v>
      </c>
      <c r="K46" s="118"/>
      <c r="P46" s="119">
        <f>IF(P45=L46,0,L46)</f>
        <v>0</v>
      </c>
      <c r="Q46" s="119">
        <f t="shared" si="6"/>
        <v>0</v>
      </c>
      <c r="R46" s="119">
        <f t="shared" si="7"/>
        <v>0</v>
      </c>
      <c r="S46" s="119">
        <f t="shared" si="8"/>
        <v>0</v>
      </c>
      <c r="T46" s="119">
        <f t="shared" si="9"/>
        <v>0</v>
      </c>
      <c r="U46" s="119">
        <f t="shared" si="10"/>
        <v>0</v>
      </c>
      <c r="AA46" s="119">
        <f>IF(AA45=W46,0,W46)</f>
        <v>0</v>
      </c>
      <c r="AB46" s="119">
        <f t="shared" si="11"/>
        <v>0</v>
      </c>
      <c r="AC46" s="119">
        <f t="shared" si="12"/>
        <v>0</v>
      </c>
      <c r="AD46" s="119">
        <f t="shared" si="13"/>
        <v>0</v>
      </c>
      <c r="AE46" s="119">
        <f t="shared" si="14"/>
        <v>0</v>
      </c>
      <c r="AF46" s="119">
        <f t="shared" si="15"/>
        <v>0</v>
      </c>
    </row>
    <row r="47" spans="5:32" x14ac:dyDescent="0.25">
      <c r="E47" s="119">
        <f t="shared" si="23"/>
        <v>0</v>
      </c>
      <c r="F47" s="119">
        <f t="shared" si="18"/>
        <v>0</v>
      </c>
      <c r="G47" s="119">
        <f t="shared" si="19"/>
        <v>0</v>
      </c>
      <c r="H47" s="119">
        <f t="shared" si="20"/>
        <v>0</v>
      </c>
      <c r="I47" s="119">
        <f t="shared" si="21"/>
        <v>0</v>
      </c>
      <c r="J47" s="119">
        <f t="shared" si="22"/>
        <v>0</v>
      </c>
      <c r="K47" s="118"/>
      <c r="P47" s="119">
        <f t="shared" ref="P47:P67" si="24">IF(P46=L47,0,L47)</f>
        <v>0</v>
      </c>
      <c r="Q47" s="119">
        <f t="shared" si="6"/>
        <v>0</v>
      </c>
      <c r="R47" s="119">
        <f t="shared" si="7"/>
        <v>0</v>
      </c>
      <c r="S47" s="119">
        <f t="shared" si="8"/>
        <v>0</v>
      </c>
      <c r="T47" s="119">
        <f t="shared" si="9"/>
        <v>0</v>
      </c>
      <c r="U47" s="119">
        <f t="shared" si="10"/>
        <v>0</v>
      </c>
      <c r="AA47" s="119">
        <f t="shared" ref="AA47:AA67" si="25">IF(AA46=W47,0,W47)</f>
        <v>0</v>
      </c>
      <c r="AB47" s="119">
        <f t="shared" si="11"/>
        <v>0</v>
      </c>
      <c r="AC47" s="119">
        <f t="shared" si="12"/>
        <v>0</v>
      </c>
      <c r="AD47" s="119">
        <f t="shared" si="13"/>
        <v>0</v>
      </c>
      <c r="AE47" s="119">
        <f t="shared" si="14"/>
        <v>0</v>
      </c>
      <c r="AF47" s="119">
        <f t="shared" si="15"/>
        <v>0</v>
      </c>
    </row>
    <row r="48" spans="5:32" x14ac:dyDescent="0.25">
      <c r="E48" s="119">
        <f t="shared" si="23"/>
        <v>0</v>
      </c>
      <c r="F48" s="119">
        <f t="shared" si="18"/>
        <v>0</v>
      </c>
      <c r="G48" s="119">
        <f t="shared" si="19"/>
        <v>0</v>
      </c>
      <c r="H48" s="119">
        <f t="shared" si="20"/>
        <v>0</v>
      </c>
      <c r="I48" s="119">
        <f t="shared" si="21"/>
        <v>0</v>
      </c>
      <c r="J48" s="119">
        <f t="shared" si="22"/>
        <v>0</v>
      </c>
      <c r="K48" s="118"/>
      <c r="P48" s="119">
        <f t="shared" si="24"/>
        <v>0</v>
      </c>
      <c r="Q48" s="119">
        <f t="shared" si="6"/>
        <v>0</v>
      </c>
      <c r="R48" s="119">
        <f t="shared" si="7"/>
        <v>0</v>
      </c>
      <c r="S48" s="119">
        <f t="shared" si="8"/>
        <v>0</v>
      </c>
      <c r="T48" s="119">
        <f t="shared" si="9"/>
        <v>0</v>
      </c>
      <c r="U48" s="119">
        <f t="shared" si="10"/>
        <v>0</v>
      </c>
      <c r="AA48" s="119">
        <f t="shared" si="25"/>
        <v>0</v>
      </c>
      <c r="AB48" s="119">
        <f t="shared" si="11"/>
        <v>0</v>
      </c>
      <c r="AC48" s="119">
        <f t="shared" si="12"/>
        <v>0</v>
      </c>
      <c r="AD48" s="119">
        <f t="shared" si="13"/>
        <v>0</v>
      </c>
      <c r="AE48" s="119">
        <f t="shared" si="14"/>
        <v>0</v>
      </c>
      <c r="AF48" s="119">
        <f t="shared" si="15"/>
        <v>0</v>
      </c>
    </row>
    <row r="49" spans="5:32" x14ac:dyDescent="0.25">
      <c r="E49" s="119">
        <f t="shared" si="23"/>
        <v>0</v>
      </c>
      <c r="F49" s="119">
        <f t="shared" si="18"/>
        <v>0</v>
      </c>
      <c r="G49" s="119">
        <f t="shared" si="19"/>
        <v>0</v>
      </c>
      <c r="H49" s="119">
        <f t="shared" si="20"/>
        <v>0</v>
      </c>
      <c r="I49" s="119">
        <f t="shared" si="21"/>
        <v>0</v>
      </c>
      <c r="J49" s="119">
        <f t="shared" si="22"/>
        <v>0</v>
      </c>
      <c r="K49" s="118"/>
      <c r="P49" s="119">
        <f t="shared" si="24"/>
        <v>0</v>
      </c>
      <c r="Q49" s="119">
        <f t="shared" si="6"/>
        <v>0</v>
      </c>
      <c r="R49" s="119">
        <f t="shared" si="7"/>
        <v>0</v>
      </c>
      <c r="S49" s="119">
        <f t="shared" si="8"/>
        <v>0</v>
      </c>
      <c r="T49" s="119">
        <f t="shared" si="9"/>
        <v>0</v>
      </c>
      <c r="U49" s="119">
        <f t="shared" si="10"/>
        <v>0</v>
      </c>
      <c r="AA49" s="119">
        <f t="shared" si="25"/>
        <v>0</v>
      </c>
      <c r="AB49" s="119">
        <f t="shared" si="11"/>
        <v>0</v>
      </c>
      <c r="AC49" s="119">
        <f t="shared" si="12"/>
        <v>0</v>
      </c>
      <c r="AD49" s="119">
        <f t="shared" si="13"/>
        <v>0</v>
      </c>
      <c r="AE49" s="119">
        <f t="shared" si="14"/>
        <v>0</v>
      </c>
      <c r="AF49" s="119">
        <f t="shared" si="15"/>
        <v>0</v>
      </c>
    </row>
    <row r="50" spans="5:32" x14ac:dyDescent="0.25">
      <c r="E50" s="119">
        <f t="shared" si="23"/>
        <v>0</v>
      </c>
      <c r="F50" s="119">
        <f t="shared" si="18"/>
        <v>0</v>
      </c>
      <c r="G50" s="119">
        <f t="shared" si="19"/>
        <v>0</v>
      </c>
      <c r="H50" s="119">
        <f t="shared" si="20"/>
        <v>0</v>
      </c>
      <c r="I50" s="119">
        <f t="shared" si="21"/>
        <v>0</v>
      </c>
      <c r="J50" s="119">
        <f t="shared" si="22"/>
        <v>0</v>
      </c>
      <c r="K50" s="118"/>
      <c r="P50" s="119">
        <f t="shared" si="24"/>
        <v>0</v>
      </c>
      <c r="Q50" s="119">
        <f t="shared" si="6"/>
        <v>0</v>
      </c>
      <c r="R50" s="119">
        <f t="shared" si="7"/>
        <v>0</v>
      </c>
      <c r="S50" s="119">
        <f t="shared" si="8"/>
        <v>0</v>
      </c>
      <c r="T50" s="119">
        <f t="shared" si="9"/>
        <v>0</v>
      </c>
      <c r="U50" s="119">
        <f t="shared" si="10"/>
        <v>0</v>
      </c>
      <c r="AA50" s="119">
        <f t="shared" si="25"/>
        <v>0</v>
      </c>
      <c r="AB50" s="119">
        <f t="shared" si="11"/>
        <v>0</v>
      </c>
      <c r="AC50" s="119">
        <f t="shared" si="12"/>
        <v>0</v>
      </c>
      <c r="AD50" s="119">
        <f t="shared" si="13"/>
        <v>0</v>
      </c>
      <c r="AE50" s="119">
        <f t="shared" si="14"/>
        <v>0</v>
      </c>
      <c r="AF50" s="119">
        <f t="shared" si="15"/>
        <v>0</v>
      </c>
    </row>
    <row r="51" spans="5:32" x14ac:dyDescent="0.25">
      <c r="E51" s="119">
        <f t="shared" si="23"/>
        <v>0</v>
      </c>
      <c r="F51" s="119">
        <f t="shared" si="18"/>
        <v>0</v>
      </c>
      <c r="G51" s="119">
        <f t="shared" si="19"/>
        <v>0</v>
      </c>
      <c r="H51" s="119">
        <f t="shared" si="20"/>
        <v>0</v>
      </c>
      <c r="I51" s="119">
        <f t="shared" si="21"/>
        <v>0</v>
      </c>
      <c r="J51" s="119">
        <f t="shared" si="22"/>
        <v>0</v>
      </c>
      <c r="K51" s="118"/>
      <c r="P51" s="119">
        <f t="shared" si="24"/>
        <v>0</v>
      </c>
      <c r="Q51" s="119">
        <f t="shared" si="6"/>
        <v>0</v>
      </c>
      <c r="R51" s="119">
        <f t="shared" si="7"/>
        <v>0</v>
      </c>
      <c r="S51" s="119">
        <f t="shared" si="8"/>
        <v>0</v>
      </c>
      <c r="T51" s="119">
        <f t="shared" si="9"/>
        <v>0</v>
      </c>
      <c r="U51" s="119">
        <f t="shared" si="10"/>
        <v>0</v>
      </c>
      <c r="AA51" s="119">
        <f t="shared" si="25"/>
        <v>0</v>
      </c>
      <c r="AB51" s="119">
        <f t="shared" si="11"/>
        <v>0</v>
      </c>
      <c r="AC51" s="119">
        <f t="shared" si="12"/>
        <v>0</v>
      </c>
      <c r="AD51" s="119">
        <f t="shared" si="13"/>
        <v>0</v>
      </c>
      <c r="AE51" s="119">
        <f t="shared" si="14"/>
        <v>0</v>
      </c>
      <c r="AF51" s="119">
        <f t="shared" si="15"/>
        <v>0</v>
      </c>
    </row>
    <row r="52" spans="5:32" x14ac:dyDescent="0.25">
      <c r="E52" s="119">
        <f t="shared" si="23"/>
        <v>0</v>
      </c>
      <c r="F52" s="119">
        <f t="shared" si="18"/>
        <v>0</v>
      </c>
      <c r="G52" s="119">
        <f t="shared" si="19"/>
        <v>0</v>
      </c>
      <c r="H52" s="119">
        <f t="shared" si="20"/>
        <v>0</v>
      </c>
      <c r="I52" s="119">
        <f t="shared" si="21"/>
        <v>0</v>
      </c>
      <c r="J52" s="119">
        <f t="shared" si="22"/>
        <v>0</v>
      </c>
      <c r="K52" s="118"/>
      <c r="P52" s="119">
        <f t="shared" si="24"/>
        <v>0</v>
      </c>
      <c r="Q52" s="119">
        <f t="shared" si="6"/>
        <v>0</v>
      </c>
      <c r="R52" s="119">
        <f t="shared" si="7"/>
        <v>0</v>
      </c>
      <c r="S52" s="119">
        <f t="shared" si="8"/>
        <v>0</v>
      </c>
      <c r="T52" s="119">
        <f t="shared" si="9"/>
        <v>0</v>
      </c>
      <c r="U52" s="119">
        <f t="shared" si="10"/>
        <v>0</v>
      </c>
      <c r="AA52" s="119">
        <f t="shared" si="25"/>
        <v>0</v>
      </c>
      <c r="AB52" s="119">
        <f t="shared" si="11"/>
        <v>0</v>
      </c>
      <c r="AC52" s="119">
        <f t="shared" si="12"/>
        <v>0</v>
      </c>
      <c r="AD52" s="119">
        <f t="shared" si="13"/>
        <v>0</v>
      </c>
      <c r="AE52" s="119">
        <f t="shared" si="14"/>
        <v>0</v>
      </c>
      <c r="AF52" s="119">
        <f t="shared" si="15"/>
        <v>0</v>
      </c>
    </row>
    <row r="53" spans="5:32" x14ac:dyDescent="0.25">
      <c r="E53" s="119">
        <f t="shared" si="23"/>
        <v>0</v>
      </c>
      <c r="F53" s="119">
        <f t="shared" si="18"/>
        <v>0</v>
      </c>
      <c r="G53" s="119">
        <f t="shared" si="19"/>
        <v>0</v>
      </c>
      <c r="H53" s="119">
        <f t="shared" si="20"/>
        <v>0</v>
      </c>
      <c r="I53" s="119">
        <f t="shared" si="21"/>
        <v>0</v>
      </c>
      <c r="J53" s="119">
        <f t="shared" si="22"/>
        <v>0</v>
      </c>
      <c r="K53" s="118"/>
      <c r="P53" s="119">
        <f t="shared" si="24"/>
        <v>0</v>
      </c>
      <c r="Q53" s="119">
        <f t="shared" si="6"/>
        <v>0</v>
      </c>
      <c r="R53" s="119">
        <f t="shared" si="7"/>
        <v>0</v>
      </c>
      <c r="S53" s="119">
        <f t="shared" si="8"/>
        <v>0</v>
      </c>
      <c r="T53" s="119">
        <f t="shared" si="9"/>
        <v>0</v>
      </c>
      <c r="U53" s="119">
        <f t="shared" si="10"/>
        <v>0</v>
      </c>
      <c r="AA53" s="119">
        <f t="shared" si="25"/>
        <v>0</v>
      </c>
      <c r="AB53" s="119">
        <f t="shared" si="11"/>
        <v>0</v>
      </c>
      <c r="AC53" s="119">
        <f t="shared" si="12"/>
        <v>0</v>
      </c>
      <c r="AD53" s="119">
        <f t="shared" si="13"/>
        <v>0</v>
      </c>
      <c r="AE53" s="119">
        <f t="shared" si="14"/>
        <v>0</v>
      </c>
      <c r="AF53" s="119">
        <f t="shared" si="15"/>
        <v>0</v>
      </c>
    </row>
    <row r="54" spans="5:32" x14ac:dyDescent="0.25">
      <c r="E54" s="119">
        <f t="shared" si="23"/>
        <v>0</v>
      </c>
      <c r="F54" s="119">
        <f t="shared" si="18"/>
        <v>0</v>
      </c>
      <c r="G54" s="119">
        <f t="shared" si="19"/>
        <v>0</v>
      </c>
      <c r="H54" s="119">
        <f t="shared" si="20"/>
        <v>0</v>
      </c>
      <c r="I54" s="119">
        <f t="shared" si="21"/>
        <v>0</v>
      </c>
      <c r="J54" s="119">
        <f t="shared" si="22"/>
        <v>0</v>
      </c>
      <c r="K54" s="118"/>
      <c r="P54" s="119">
        <f t="shared" si="24"/>
        <v>0</v>
      </c>
      <c r="Q54" s="119">
        <f t="shared" si="6"/>
        <v>0</v>
      </c>
      <c r="R54" s="119">
        <f t="shared" si="7"/>
        <v>0</v>
      </c>
      <c r="S54" s="119">
        <f t="shared" si="8"/>
        <v>0</v>
      </c>
      <c r="T54" s="119">
        <f t="shared" si="9"/>
        <v>0</v>
      </c>
      <c r="U54" s="119">
        <f t="shared" si="10"/>
        <v>0</v>
      </c>
      <c r="AA54" s="119">
        <f t="shared" si="25"/>
        <v>0</v>
      </c>
      <c r="AB54" s="119">
        <f t="shared" si="11"/>
        <v>0</v>
      </c>
      <c r="AC54" s="119">
        <f t="shared" si="12"/>
        <v>0</v>
      </c>
      <c r="AD54" s="119">
        <f t="shared" si="13"/>
        <v>0</v>
      </c>
      <c r="AE54" s="119">
        <f t="shared" si="14"/>
        <v>0</v>
      </c>
      <c r="AF54" s="119">
        <f t="shared" si="15"/>
        <v>0</v>
      </c>
    </row>
    <row r="55" spans="5:32" x14ac:dyDescent="0.25">
      <c r="E55" s="119">
        <f t="shared" si="23"/>
        <v>0</v>
      </c>
      <c r="F55" s="119">
        <f t="shared" si="18"/>
        <v>0</v>
      </c>
      <c r="G55" s="119">
        <f t="shared" si="19"/>
        <v>0</v>
      </c>
      <c r="H55" s="119">
        <f t="shared" si="20"/>
        <v>0</v>
      </c>
      <c r="I55" s="119">
        <f t="shared" si="21"/>
        <v>0</v>
      </c>
      <c r="J55" s="119">
        <f t="shared" si="22"/>
        <v>0</v>
      </c>
      <c r="K55" s="118"/>
      <c r="P55" s="119">
        <f t="shared" si="24"/>
        <v>0</v>
      </c>
      <c r="Q55" s="119">
        <f t="shared" si="6"/>
        <v>0</v>
      </c>
      <c r="R55" s="119">
        <f t="shared" si="7"/>
        <v>0</v>
      </c>
      <c r="S55" s="119">
        <f t="shared" si="8"/>
        <v>0</v>
      </c>
      <c r="T55" s="119">
        <f t="shared" si="9"/>
        <v>0</v>
      </c>
      <c r="U55" s="119">
        <f t="shared" si="10"/>
        <v>0</v>
      </c>
      <c r="AA55" s="119">
        <f t="shared" si="25"/>
        <v>0</v>
      </c>
      <c r="AB55" s="119">
        <f t="shared" si="11"/>
        <v>0</v>
      </c>
      <c r="AC55" s="119">
        <f t="shared" si="12"/>
        <v>0</v>
      </c>
      <c r="AD55" s="119">
        <f t="shared" si="13"/>
        <v>0</v>
      </c>
      <c r="AE55" s="119">
        <f t="shared" si="14"/>
        <v>0</v>
      </c>
      <c r="AF55" s="119">
        <f t="shared" si="15"/>
        <v>0</v>
      </c>
    </row>
    <row r="56" spans="5:32" x14ac:dyDescent="0.25">
      <c r="E56" s="119">
        <f t="shared" si="23"/>
        <v>0</v>
      </c>
      <c r="F56" s="119">
        <f t="shared" si="18"/>
        <v>0</v>
      </c>
      <c r="G56" s="119">
        <f t="shared" si="19"/>
        <v>0</v>
      </c>
      <c r="H56" s="119">
        <f t="shared" si="20"/>
        <v>0</v>
      </c>
      <c r="I56" s="119">
        <f t="shared" si="21"/>
        <v>0</v>
      </c>
      <c r="J56" s="119">
        <f t="shared" si="22"/>
        <v>0</v>
      </c>
      <c r="K56" s="118"/>
      <c r="P56" s="119">
        <f t="shared" si="24"/>
        <v>0</v>
      </c>
      <c r="Q56" s="119">
        <f t="shared" si="6"/>
        <v>0</v>
      </c>
      <c r="R56" s="119">
        <f t="shared" si="7"/>
        <v>0</v>
      </c>
      <c r="S56" s="119">
        <f t="shared" si="8"/>
        <v>0</v>
      </c>
      <c r="T56" s="119">
        <f t="shared" si="9"/>
        <v>0</v>
      </c>
      <c r="U56" s="119">
        <f t="shared" si="10"/>
        <v>0</v>
      </c>
      <c r="AA56" s="119">
        <f t="shared" si="25"/>
        <v>0</v>
      </c>
      <c r="AB56" s="119">
        <f t="shared" si="11"/>
        <v>0</v>
      </c>
      <c r="AC56" s="119">
        <f t="shared" si="12"/>
        <v>0</v>
      </c>
      <c r="AD56" s="119">
        <f t="shared" si="13"/>
        <v>0</v>
      </c>
      <c r="AE56" s="119">
        <f t="shared" si="14"/>
        <v>0</v>
      </c>
      <c r="AF56" s="119">
        <f t="shared" si="15"/>
        <v>0</v>
      </c>
    </row>
    <row r="57" spans="5:32" x14ac:dyDescent="0.25">
      <c r="E57" s="119">
        <f t="shared" si="23"/>
        <v>0</v>
      </c>
      <c r="F57" s="119">
        <f t="shared" si="18"/>
        <v>0</v>
      </c>
      <c r="G57" s="119">
        <f t="shared" si="19"/>
        <v>0</v>
      </c>
      <c r="H57" s="119">
        <f t="shared" si="20"/>
        <v>0</v>
      </c>
      <c r="I57" s="119">
        <f t="shared" si="21"/>
        <v>0</v>
      </c>
      <c r="J57" s="119">
        <f t="shared" si="22"/>
        <v>0</v>
      </c>
      <c r="K57" s="118"/>
      <c r="P57" s="119">
        <f t="shared" si="24"/>
        <v>0</v>
      </c>
      <c r="Q57" s="119">
        <f t="shared" si="6"/>
        <v>0</v>
      </c>
      <c r="R57" s="119">
        <f t="shared" si="7"/>
        <v>0</v>
      </c>
      <c r="S57" s="119">
        <f t="shared" si="8"/>
        <v>0</v>
      </c>
      <c r="T57" s="119">
        <f t="shared" si="9"/>
        <v>0</v>
      </c>
      <c r="U57" s="119">
        <f t="shared" si="10"/>
        <v>0</v>
      </c>
      <c r="AA57" s="119">
        <f t="shared" si="25"/>
        <v>0</v>
      </c>
      <c r="AB57" s="119">
        <f t="shared" si="11"/>
        <v>0</v>
      </c>
      <c r="AC57" s="119">
        <f t="shared" si="12"/>
        <v>0</v>
      </c>
      <c r="AD57" s="119">
        <f t="shared" si="13"/>
        <v>0</v>
      </c>
      <c r="AE57" s="119">
        <f t="shared" si="14"/>
        <v>0</v>
      </c>
      <c r="AF57" s="119">
        <f t="shared" si="15"/>
        <v>0</v>
      </c>
    </row>
    <row r="58" spans="5:32" x14ac:dyDescent="0.25">
      <c r="E58" s="119">
        <f t="shared" si="23"/>
        <v>0</v>
      </c>
      <c r="F58" s="119">
        <f t="shared" si="18"/>
        <v>0</v>
      </c>
      <c r="G58" s="119">
        <f t="shared" si="19"/>
        <v>0</v>
      </c>
      <c r="H58" s="119">
        <f t="shared" si="20"/>
        <v>0</v>
      </c>
      <c r="I58" s="119">
        <f t="shared" si="21"/>
        <v>0</v>
      </c>
      <c r="J58" s="119">
        <f t="shared" si="22"/>
        <v>0</v>
      </c>
      <c r="K58" s="118"/>
      <c r="P58" s="119">
        <f t="shared" si="24"/>
        <v>0</v>
      </c>
      <c r="Q58" s="119">
        <f t="shared" si="6"/>
        <v>0</v>
      </c>
      <c r="R58" s="119">
        <f t="shared" si="7"/>
        <v>0</v>
      </c>
      <c r="S58" s="119">
        <f t="shared" si="8"/>
        <v>0</v>
      </c>
      <c r="T58" s="119">
        <f t="shared" si="9"/>
        <v>0</v>
      </c>
      <c r="U58" s="119">
        <f t="shared" si="10"/>
        <v>0</v>
      </c>
      <c r="AA58" s="119">
        <f t="shared" si="25"/>
        <v>0</v>
      </c>
      <c r="AB58" s="119">
        <f t="shared" si="11"/>
        <v>0</v>
      </c>
      <c r="AC58" s="119">
        <f t="shared" si="12"/>
        <v>0</v>
      </c>
      <c r="AD58" s="119">
        <f t="shared" si="13"/>
        <v>0</v>
      </c>
      <c r="AE58" s="119">
        <f t="shared" si="14"/>
        <v>0</v>
      </c>
      <c r="AF58" s="119">
        <f t="shared" si="15"/>
        <v>0</v>
      </c>
    </row>
    <row r="59" spans="5:32" x14ac:dyDescent="0.25">
      <c r="E59" s="119">
        <f t="shared" si="23"/>
        <v>0</v>
      </c>
      <c r="F59" s="119">
        <f t="shared" si="18"/>
        <v>0</v>
      </c>
      <c r="G59" s="119">
        <f t="shared" si="19"/>
        <v>0</v>
      </c>
      <c r="H59" s="119">
        <f t="shared" si="20"/>
        <v>0</v>
      </c>
      <c r="I59" s="119">
        <f t="shared" si="21"/>
        <v>0</v>
      </c>
      <c r="J59" s="119">
        <f t="shared" si="22"/>
        <v>0</v>
      </c>
      <c r="K59" s="118"/>
      <c r="P59" s="119">
        <f t="shared" si="24"/>
        <v>0</v>
      </c>
      <c r="Q59" s="119">
        <f t="shared" si="6"/>
        <v>0</v>
      </c>
      <c r="R59" s="119">
        <f t="shared" si="7"/>
        <v>0</v>
      </c>
      <c r="S59" s="119">
        <f t="shared" si="8"/>
        <v>0</v>
      </c>
      <c r="T59" s="119">
        <f t="shared" si="9"/>
        <v>0</v>
      </c>
      <c r="U59" s="119">
        <f t="shared" si="10"/>
        <v>0</v>
      </c>
      <c r="AA59" s="119">
        <f t="shared" si="25"/>
        <v>0</v>
      </c>
      <c r="AB59" s="119">
        <f t="shared" si="11"/>
        <v>0</v>
      </c>
      <c r="AC59" s="119">
        <f t="shared" si="12"/>
        <v>0</v>
      </c>
      <c r="AD59" s="119">
        <f t="shared" si="13"/>
        <v>0</v>
      </c>
      <c r="AE59" s="119">
        <f t="shared" si="14"/>
        <v>0</v>
      </c>
      <c r="AF59" s="119">
        <f t="shared" si="15"/>
        <v>0</v>
      </c>
    </row>
    <row r="60" spans="5:32" x14ac:dyDescent="0.25">
      <c r="E60" s="119">
        <f t="shared" si="23"/>
        <v>0</v>
      </c>
      <c r="F60" s="119">
        <f t="shared" si="18"/>
        <v>0</v>
      </c>
      <c r="G60" s="119">
        <f t="shared" si="19"/>
        <v>0</v>
      </c>
      <c r="H60" s="119">
        <f t="shared" si="20"/>
        <v>0</v>
      </c>
      <c r="I60" s="119">
        <f t="shared" si="21"/>
        <v>0</v>
      </c>
      <c r="J60" s="119">
        <f t="shared" si="22"/>
        <v>0</v>
      </c>
      <c r="K60" s="118"/>
      <c r="P60" s="119">
        <f t="shared" si="24"/>
        <v>0</v>
      </c>
      <c r="Q60" s="119">
        <f t="shared" si="6"/>
        <v>0</v>
      </c>
      <c r="R60" s="119">
        <f t="shared" si="7"/>
        <v>0</v>
      </c>
      <c r="S60" s="119">
        <f t="shared" si="8"/>
        <v>0</v>
      </c>
      <c r="T60" s="119">
        <f t="shared" si="9"/>
        <v>0</v>
      </c>
      <c r="U60" s="119">
        <f t="shared" si="10"/>
        <v>0</v>
      </c>
      <c r="AA60" s="119">
        <f t="shared" si="25"/>
        <v>0</v>
      </c>
      <c r="AB60" s="119">
        <f t="shared" si="11"/>
        <v>0</v>
      </c>
      <c r="AC60" s="119">
        <f t="shared" si="12"/>
        <v>0</v>
      </c>
      <c r="AD60" s="119">
        <f t="shared" si="13"/>
        <v>0</v>
      </c>
      <c r="AE60" s="119">
        <f t="shared" si="14"/>
        <v>0</v>
      </c>
      <c r="AF60" s="119">
        <f t="shared" si="15"/>
        <v>0</v>
      </c>
    </row>
    <row r="61" spans="5:32" x14ac:dyDescent="0.25">
      <c r="E61" s="119">
        <f t="shared" si="23"/>
        <v>0</v>
      </c>
      <c r="F61" s="119">
        <f t="shared" si="18"/>
        <v>0</v>
      </c>
      <c r="G61" s="119">
        <f t="shared" si="19"/>
        <v>0</v>
      </c>
      <c r="H61" s="119">
        <f t="shared" si="20"/>
        <v>0</v>
      </c>
      <c r="I61" s="119">
        <f t="shared" si="21"/>
        <v>0</v>
      </c>
      <c r="J61" s="119">
        <f t="shared" si="22"/>
        <v>0</v>
      </c>
      <c r="K61" s="118"/>
      <c r="P61" s="119">
        <f t="shared" si="24"/>
        <v>0</v>
      </c>
      <c r="Q61" s="119">
        <f t="shared" si="6"/>
        <v>0</v>
      </c>
      <c r="R61" s="119">
        <f t="shared" si="7"/>
        <v>0</v>
      </c>
      <c r="S61" s="119">
        <f t="shared" si="8"/>
        <v>0</v>
      </c>
      <c r="T61" s="119">
        <f t="shared" si="9"/>
        <v>0</v>
      </c>
      <c r="U61" s="119">
        <f t="shared" si="10"/>
        <v>0</v>
      </c>
      <c r="AA61" s="119">
        <f t="shared" si="25"/>
        <v>0</v>
      </c>
      <c r="AB61" s="119">
        <f t="shared" si="11"/>
        <v>0</v>
      </c>
      <c r="AC61" s="119">
        <f t="shared" si="12"/>
        <v>0</v>
      </c>
      <c r="AD61" s="119">
        <f t="shared" si="13"/>
        <v>0</v>
      </c>
      <c r="AE61" s="119">
        <f t="shared" si="14"/>
        <v>0</v>
      </c>
      <c r="AF61" s="119">
        <f t="shared" si="15"/>
        <v>0</v>
      </c>
    </row>
    <row r="62" spans="5:32" x14ac:dyDescent="0.25">
      <c r="E62" s="119">
        <f t="shared" si="23"/>
        <v>0</v>
      </c>
      <c r="F62" s="119">
        <f t="shared" si="18"/>
        <v>0</v>
      </c>
      <c r="G62" s="119">
        <f t="shared" si="19"/>
        <v>0</v>
      </c>
      <c r="H62" s="119">
        <f t="shared" si="20"/>
        <v>0</v>
      </c>
      <c r="I62" s="119">
        <f t="shared" si="21"/>
        <v>0</v>
      </c>
      <c r="J62" s="119">
        <f t="shared" si="22"/>
        <v>0</v>
      </c>
      <c r="K62" s="118"/>
      <c r="P62" s="119">
        <f t="shared" si="24"/>
        <v>0</v>
      </c>
      <c r="Q62" s="119">
        <f t="shared" si="6"/>
        <v>0</v>
      </c>
      <c r="R62" s="119">
        <f t="shared" si="7"/>
        <v>0</v>
      </c>
      <c r="S62" s="119">
        <f t="shared" si="8"/>
        <v>0</v>
      </c>
      <c r="T62" s="119">
        <f t="shared" si="9"/>
        <v>0</v>
      </c>
      <c r="U62" s="119">
        <f t="shared" si="10"/>
        <v>0</v>
      </c>
      <c r="AA62" s="119">
        <f t="shared" si="25"/>
        <v>0</v>
      </c>
      <c r="AB62" s="119">
        <f t="shared" si="11"/>
        <v>0</v>
      </c>
      <c r="AC62" s="119">
        <f t="shared" si="12"/>
        <v>0</v>
      </c>
      <c r="AD62" s="119">
        <f t="shared" si="13"/>
        <v>0</v>
      </c>
      <c r="AE62" s="119">
        <f t="shared" si="14"/>
        <v>0</v>
      </c>
      <c r="AF62" s="119">
        <f t="shared" si="15"/>
        <v>0</v>
      </c>
    </row>
    <row r="63" spans="5:32" x14ac:dyDescent="0.25">
      <c r="E63" s="119">
        <f t="shared" si="23"/>
        <v>0</v>
      </c>
      <c r="F63" s="119">
        <f t="shared" si="18"/>
        <v>0</v>
      </c>
      <c r="G63" s="119">
        <f t="shared" si="19"/>
        <v>0</v>
      </c>
      <c r="H63" s="119">
        <f t="shared" si="20"/>
        <v>0</v>
      </c>
      <c r="I63" s="119">
        <f t="shared" si="21"/>
        <v>0</v>
      </c>
      <c r="J63" s="119">
        <f t="shared" si="22"/>
        <v>0</v>
      </c>
      <c r="K63" s="118"/>
      <c r="P63" s="119">
        <f t="shared" si="24"/>
        <v>0</v>
      </c>
      <c r="Q63" s="119">
        <f t="shared" si="6"/>
        <v>0</v>
      </c>
      <c r="R63" s="119">
        <f t="shared" si="7"/>
        <v>0</v>
      </c>
      <c r="S63" s="119">
        <f t="shared" si="8"/>
        <v>0</v>
      </c>
      <c r="T63" s="119">
        <f t="shared" si="9"/>
        <v>0</v>
      </c>
      <c r="U63" s="119">
        <f t="shared" si="10"/>
        <v>0</v>
      </c>
      <c r="AA63" s="119">
        <f t="shared" si="25"/>
        <v>0</v>
      </c>
      <c r="AB63" s="119">
        <f t="shared" si="11"/>
        <v>0</v>
      </c>
      <c r="AC63" s="119">
        <f t="shared" si="12"/>
        <v>0</v>
      </c>
      <c r="AD63" s="119">
        <f t="shared" si="13"/>
        <v>0</v>
      </c>
      <c r="AE63" s="119">
        <f t="shared" si="14"/>
        <v>0</v>
      </c>
      <c r="AF63" s="119">
        <f t="shared" si="15"/>
        <v>0</v>
      </c>
    </row>
    <row r="64" spans="5:32" x14ac:dyDescent="0.25">
      <c r="E64" s="119">
        <f t="shared" si="23"/>
        <v>0</v>
      </c>
      <c r="F64" s="119">
        <f t="shared" si="18"/>
        <v>0</v>
      </c>
      <c r="G64" s="119">
        <f t="shared" si="19"/>
        <v>0</v>
      </c>
      <c r="H64" s="119">
        <f t="shared" si="20"/>
        <v>0</v>
      </c>
      <c r="I64" s="119">
        <f t="shared" si="21"/>
        <v>0</v>
      </c>
      <c r="J64" s="119">
        <f t="shared" si="22"/>
        <v>0</v>
      </c>
      <c r="K64" s="118"/>
      <c r="P64" s="119">
        <f t="shared" si="24"/>
        <v>0</v>
      </c>
      <c r="Q64" s="119">
        <f t="shared" si="6"/>
        <v>0</v>
      </c>
      <c r="R64" s="119">
        <f t="shared" si="7"/>
        <v>0</v>
      </c>
      <c r="S64" s="119">
        <f t="shared" si="8"/>
        <v>0</v>
      </c>
      <c r="T64" s="119">
        <f t="shared" si="9"/>
        <v>0</v>
      </c>
      <c r="U64" s="119">
        <f t="shared" si="10"/>
        <v>0</v>
      </c>
      <c r="AA64" s="119">
        <f t="shared" si="25"/>
        <v>0</v>
      </c>
      <c r="AB64" s="119">
        <f t="shared" si="11"/>
        <v>0</v>
      </c>
      <c r="AC64" s="119">
        <f t="shared" si="12"/>
        <v>0</v>
      </c>
      <c r="AD64" s="119">
        <f t="shared" si="13"/>
        <v>0</v>
      </c>
      <c r="AE64" s="119">
        <f t="shared" si="14"/>
        <v>0</v>
      </c>
      <c r="AF64" s="119">
        <f t="shared" si="15"/>
        <v>0</v>
      </c>
    </row>
    <row r="65" spans="5:32" x14ac:dyDescent="0.25">
      <c r="E65" s="119">
        <f t="shared" si="23"/>
        <v>0</v>
      </c>
      <c r="F65" s="119">
        <f t="shared" si="18"/>
        <v>0</v>
      </c>
      <c r="G65" s="119">
        <f t="shared" si="19"/>
        <v>0</v>
      </c>
      <c r="H65" s="119">
        <f t="shared" si="20"/>
        <v>0</v>
      </c>
      <c r="I65" s="119">
        <f t="shared" si="21"/>
        <v>0</v>
      </c>
      <c r="J65" s="119">
        <f t="shared" si="22"/>
        <v>0</v>
      </c>
      <c r="K65" s="118"/>
      <c r="P65" s="119">
        <f t="shared" si="24"/>
        <v>0</v>
      </c>
      <c r="Q65" s="119">
        <f t="shared" si="6"/>
        <v>0</v>
      </c>
      <c r="R65" s="119">
        <f t="shared" si="7"/>
        <v>0</v>
      </c>
      <c r="S65" s="119">
        <f t="shared" si="8"/>
        <v>0</v>
      </c>
      <c r="T65" s="119">
        <f t="shared" si="9"/>
        <v>0</v>
      </c>
      <c r="U65" s="119">
        <f t="shared" si="10"/>
        <v>0</v>
      </c>
      <c r="AA65" s="119">
        <f t="shared" si="25"/>
        <v>0</v>
      </c>
      <c r="AB65" s="119">
        <f t="shared" si="11"/>
        <v>0</v>
      </c>
      <c r="AC65" s="119">
        <f t="shared" si="12"/>
        <v>0</v>
      </c>
      <c r="AD65" s="119">
        <f t="shared" si="13"/>
        <v>0</v>
      </c>
      <c r="AE65" s="119">
        <f t="shared" si="14"/>
        <v>0</v>
      </c>
      <c r="AF65" s="119">
        <f t="shared" si="15"/>
        <v>0</v>
      </c>
    </row>
    <row r="66" spans="5:32" x14ac:dyDescent="0.25">
      <c r="E66" s="119">
        <f t="shared" si="23"/>
        <v>0</v>
      </c>
      <c r="F66" s="119">
        <f t="shared" si="18"/>
        <v>0</v>
      </c>
      <c r="G66" s="119">
        <f t="shared" si="19"/>
        <v>0</v>
      </c>
      <c r="H66" s="119">
        <f t="shared" si="20"/>
        <v>0</v>
      </c>
      <c r="I66" s="119">
        <f t="shared" si="21"/>
        <v>0</v>
      </c>
      <c r="J66" s="119">
        <f t="shared" si="22"/>
        <v>0</v>
      </c>
      <c r="K66" s="118"/>
      <c r="P66" s="119">
        <f t="shared" si="24"/>
        <v>0</v>
      </c>
      <c r="Q66" s="119">
        <f t="shared" si="6"/>
        <v>0</v>
      </c>
      <c r="R66" s="119">
        <f t="shared" si="7"/>
        <v>0</v>
      </c>
      <c r="S66" s="119">
        <f t="shared" si="8"/>
        <v>0</v>
      </c>
      <c r="T66" s="119">
        <f t="shared" si="9"/>
        <v>0</v>
      </c>
      <c r="U66" s="119">
        <f t="shared" si="10"/>
        <v>0</v>
      </c>
      <c r="AA66" s="119">
        <f t="shared" si="25"/>
        <v>0</v>
      </c>
      <c r="AB66" s="119">
        <f t="shared" si="11"/>
        <v>0</v>
      </c>
      <c r="AC66" s="119">
        <f t="shared" si="12"/>
        <v>0</v>
      </c>
      <c r="AD66" s="119">
        <f t="shared" si="13"/>
        <v>0</v>
      </c>
      <c r="AE66" s="119">
        <f t="shared" si="14"/>
        <v>0</v>
      </c>
      <c r="AF66" s="119">
        <f t="shared" si="15"/>
        <v>0</v>
      </c>
    </row>
    <row r="67" spans="5:32" x14ac:dyDescent="0.25">
      <c r="E67" s="119">
        <f t="shared" si="23"/>
        <v>0</v>
      </c>
      <c r="F67" s="119">
        <f t="shared" si="18"/>
        <v>0</v>
      </c>
      <c r="G67" s="119">
        <f t="shared" si="19"/>
        <v>0</v>
      </c>
      <c r="H67" s="119">
        <f t="shared" si="20"/>
        <v>0</v>
      </c>
      <c r="I67" s="119">
        <f t="shared" si="21"/>
        <v>0</v>
      </c>
      <c r="J67" s="119">
        <f t="shared" si="22"/>
        <v>0</v>
      </c>
      <c r="K67" s="118"/>
      <c r="P67" s="119">
        <f t="shared" si="24"/>
        <v>0</v>
      </c>
      <c r="Q67" s="119">
        <f t="shared" si="6"/>
        <v>0</v>
      </c>
      <c r="R67" s="119">
        <f t="shared" si="7"/>
        <v>0</v>
      </c>
      <c r="S67" s="119">
        <f t="shared" si="8"/>
        <v>0</v>
      </c>
      <c r="T67" s="119">
        <f t="shared" si="9"/>
        <v>0</v>
      </c>
      <c r="U67" s="119">
        <f t="shared" si="10"/>
        <v>0</v>
      </c>
      <c r="AA67" s="119">
        <f t="shared" si="25"/>
        <v>0</v>
      </c>
      <c r="AB67" s="119">
        <f t="shared" si="11"/>
        <v>0</v>
      </c>
      <c r="AC67" s="119">
        <f t="shared" si="12"/>
        <v>0</v>
      </c>
      <c r="AD67" s="119">
        <f t="shared" si="13"/>
        <v>0</v>
      </c>
      <c r="AE67" s="119">
        <f t="shared" si="14"/>
        <v>0</v>
      </c>
      <c r="AF67" s="119">
        <f t="shared" si="15"/>
        <v>0</v>
      </c>
    </row>
  </sheetData>
  <mergeCells count="3">
    <mergeCell ref="F1:F2"/>
    <mergeCell ref="Q1:Q2"/>
    <mergeCell ref="AB1:AB2"/>
  </mergeCells>
  <conditionalFormatting sqref="A1:C4 A32:C67 A5:B31">
    <cfRule type="containsBlanks" dxfId="56" priority="3">
      <formula>LEN(TRIM(A1))=0</formula>
    </cfRule>
  </conditionalFormatting>
  <conditionalFormatting sqref="L1:N4 L29:N67 L5:M28">
    <cfRule type="containsBlanks" dxfId="55" priority="2">
      <formula>LEN(TRIM(L1))=0</formula>
    </cfRule>
  </conditionalFormatting>
  <conditionalFormatting sqref="W1:Y67">
    <cfRule type="containsBlanks" dxfId="54" priority="1">
      <formula>LEN(TRIM(W1))=0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B2:BD41"/>
  <sheetViews>
    <sheetView zoomScale="80" zoomScaleNormal="80" workbookViewId="0"/>
  </sheetViews>
  <sheetFormatPr baseColWidth="10" defaultRowHeight="15" x14ac:dyDescent="0.25"/>
  <cols>
    <col min="1" max="1" width="39.140625" bestFit="1" customWidth="1"/>
    <col min="2" max="2" width="34.5703125" bestFit="1" customWidth="1"/>
    <col min="3" max="5" width="8.7109375" bestFit="1" customWidth="1"/>
    <col min="6" max="6" width="9.140625" bestFit="1" customWidth="1"/>
    <col min="7" max="7" width="14.5703125" bestFit="1" customWidth="1"/>
    <col min="8" max="9" width="40.140625" bestFit="1" customWidth="1"/>
    <col min="10" max="10" width="11.42578125" customWidth="1"/>
    <col min="11" max="11" width="8.5703125" bestFit="1" customWidth="1"/>
    <col min="12" max="12" width="8" bestFit="1" customWidth="1"/>
    <col min="13" max="13" width="8.5703125" bestFit="1" customWidth="1"/>
    <col min="14" max="14" width="14.5703125" customWidth="1"/>
    <col min="15" max="16" width="40.140625" bestFit="1" customWidth="1"/>
    <col min="17" max="17" width="22.7109375" bestFit="1" customWidth="1"/>
    <col min="19" max="19" width="8" bestFit="1" customWidth="1"/>
    <col min="20" max="20" width="8.5703125" bestFit="1" customWidth="1"/>
    <col min="21" max="21" width="9.140625" bestFit="1" customWidth="1"/>
    <col min="22" max="23" width="40.140625" bestFit="1" customWidth="1"/>
    <col min="26" max="26" width="8" bestFit="1" customWidth="1"/>
    <col min="27" max="27" width="8.5703125" bestFit="1" customWidth="1"/>
    <col min="28" max="28" width="9.140625" bestFit="1" customWidth="1"/>
    <col min="29" max="30" width="40.140625" bestFit="1" customWidth="1"/>
    <col min="33" max="33" width="8" bestFit="1" customWidth="1"/>
    <col min="34" max="34" width="8.5703125" bestFit="1" customWidth="1"/>
    <col min="35" max="35" width="9.140625" bestFit="1" customWidth="1"/>
    <col min="36" max="37" width="40.140625" bestFit="1" customWidth="1"/>
    <col min="40" max="40" width="8" bestFit="1" customWidth="1"/>
    <col min="41" max="41" width="8.5703125" bestFit="1" customWidth="1"/>
    <col min="42" max="42" width="9.140625" bestFit="1" customWidth="1"/>
    <col min="43" max="44" width="40.140625" bestFit="1" customWidth="1"/>
    <col min="47" max="47" width="8" bestFit="1" customWidth="1"/>
    <col min="48" max="48" width="8.5703125" bestFit="1" customWidth="1"/>
    <col min="49" max="49" width="9.140625" bestFit="1" customWidth="1"/>
    <col min="50" max="51" width="40.140625" bestFit="1" customWidth="1"/>
  </cols>
  <sheetData>
    <row r="2" spans="2:56" ht="25.5" customHeight="1" x14ac:dyDescent="0.25">
      <c r="B2" s="139"/>
      <c r="I2" s="139"/>
      <c r="O2" s="118"/>
      <c r="P2" s="124"/>
      <c r="Q2" s="118"/>
      <c r="R2" s="125"/>
      <c r="S2" s="118"/>
      <c r="T2" s="118"/>
      <c r="U2" s="118"/>
      <c r="V2" s="118"/>
      <c r="W2" s="124"/>
      <c r="X2" s="118"/>
      <c r="Y2" s="125"/>
      <c r="Z2" s="118"/>
      <c r="AA2" s="118"/>
      <c r="AB2" s="118"/>
      <c r="AC2" s="118"/>
      <c r="AD2" s="124"/>
      <c r="AE2" s="118"/>
      <c r="AF2" s="125"/>
      <c r="AG2" s="118"/>
      <c r="AH2" s="118"/>
      <c r="AI2" s="118"/>
      <c r="AJ2" s="118"/>
      <c r="AK2" s="124"/>
      <c r="AL2" s="118"/>
      <c r="AM2" s="125"/>
      <c r="AN2" s="118"/>
      <c r="AO2" s="118"/>
      <c r="AP2" s="118"/>
      <c r="AQ2" s="118"/>
      <c r="AR2" s="124"/>
      <c r="AS2" s="118"/>
      <c r="AT2" s="125"/>
      <c r="AU2" s="118"/>
      <c r="AV2" s="118"/>
      <c r="AW2" s="118"/>
      <c r="AX2" s="118"/>
      <c r="AY2" s="124"/>
      <c r="AZ2" s="118"/>
      <c r="BA2" s="125"/>
      <c r="BB2" s="118"/>
      <c r="BC2" s="118"/>
      <c r="BD2" s="118"/>
    </row>
    <row r="3" spans="2:56" ht="14.25" customHeight="1" x14ac:dyDescent="0.25">
      <c r="R3" s="122"/>
      <c r="Y3" s="122"/>
      <c r="AF3" s="122"/>
      <c r="AM3" s="122"/>
      <c r="AT3" s="122"/>
      <c r="BA3" s="122"/>
    </row>
    <row r="4" spans="2:56" x14ac:dyDescent="0.25">
      <c r="C4" s="140"/>
      <c r="D4" s="140"/>
      <c r="E4" s="140"/>
      <c r="F4" s="140"/>
      <c r="J4" s="140"/>
      <c r="K4" s="140"/>
      <c r="L4" s="140"/>
      <c r="M4" s="140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  <c r="AS4" s="123"/>
      <c r="AT4" s="123"/>
      <c r="AU4" s="123"/>
      <c r="AV4" s="123"/>
      <c r="AW4" s="123"/>
      <c r="AX4" s="123"/>
      <c r="AY4" s="123"/>
      <c r="AZ4" s="123"/>
      <c r="BA4" s="123"/>
      <c r="BB4" s="123"/>
      <c r="BC4" s="123"/>
      <c r="BD4" s="123"/>
    </row>
    <row r="5" spans="2:56" x14ac:dyDescent="0.25">
      <c r="C5" s="120"/>
      <c r="D5" s="120"/>
      <c r="E5" s="120"/>
      <c r="F5" s="120"/>
      <c r="J5" s="120"/>
      <c r="K5" s="120"/>
      <c r="L5" s="120"/>
      <c r="M5" s="120"/>
      <c r="Q5" s="120"/>
      <c r="R5" s="120"/>
      <c r="S5" s="120"/>
      <c r="T5" s="120"/>
      <c r="X5" s="120"/>
      <c r="Y5" s="120"/>
      <c r="Z5" s="120"/>
      <c r="AA5" s="120"/>
      <c r="AE5" s="120"/>
      <c r="AF5" s="120"/>
      <c r="AG5" s="120"/>
      <c r="AH5" s="120"/>
      <c r="AL5" s="120"/>
      <c r="AM5" s="120"/>
      <c r="AN5" s="120"/>
      <c r="AO5" s="120"/>
      <c r="AS5" s="120"/>
      <c r="AT5" s="120"/>
      <c r="AU5" s="120"/>
      <c r="AV5" s="120"/>
      <c r="AZ5" s="120"/>
      <c r="BA5" s="120"/>
      <c r="BB5" s="120"/>
      <c r="BC5" s="120"/>
    </row>
    <row r="6" spans="2:56" x14ac:dyDescent="0.25">
      <c r="C6" s="120"/>
      <c r="D6" s="120"/>
      <c r="E6" s="120"/>
      <c r="F6" s="120"/>
      <c r="J6" s="120"/>
      <c r="K6" s="120"/>
      <c r="L6" s="120"/>
      <c r="M6" s="120"/>
      <c r="Q6" s="120"/>
      <c r="R6" s="120"/>
      <c r="S6" s="120"/>
      <c r="T6" s="120"/>
      <c r="X6" s="120"/>
      <c r="Y6" s="120"/>
      <c r="Z6" s="120"/>
      <c r="AA6" s="120"/>
      <c r="AE6" s="120"/>
      <c r="AF6" s="120"/>
      <c r="AG6" s="120"/>
      <c r="AH6" s="120"/>
      <c r="AL6" s="120"/>
      <c r="AM6" s="120"/>
      <c r="AN6" s="120"/>
      <c r="AO6" s="120"/>
      <c r="AS6" s="120"/>
      <c r="AT6" s="120"/>
      <c r="AU6" s="120"/>
      <c r="AV6" s="120"/>
      <c r="AZ6" s="120"/>
      <c r="BA6" s="120"/>
      <c r="BB6" s="120"/>
      <c r="BC6" s="120"/>
    </row>
    <row r="7" spans="2:56" x14ac:dyDescent="0.25">
      <c r="C7" s="120"/>
      <c r="D7" s="120"/>
      <c r="E7" s="120"/>
      <c r="F7" s="120"/>
      <c r="J7" s="120"/>
      <c r="K7" s="120"/>
      <c r="L7" s="120"/>
      <c r="M7" s="120"/>
      <c r="Q7" s="120"/>
      <c r="R7" s="120"/>
      <c r="S7" s="120"/>
      <c r="T7" s="120"/>
      <c r="X7" s="120"/>
      <c r="Y7" s="120"/>
      <c r="Z7" s="120"/>
      <c r="AA7" s="120"/>
      <c r="AE7" s="120"/>
      <c r="AF7" s="120"/>
      <c r="AG7" s="120"/>
      <c r="AH7" s="120"/>
      <c r="AL7" s="120"/>
      <c r="AM7" s="120"/>
      <c r="AN7" s="120"/>
      <c r="AO7" s="120"/>
      <c r="AS7" s="120"/>
      <c r="AT7" s="120"/>
      <c r="AU7" s="120"/>
      <c r="AV7" s="120"/>
      <c r="AZ7" s="120"/>
      <c r="BA7" s="120"/>
      <c r="BB7" s="120"/>
      <c r="BC7" s="120"/>
    </row>
    <row r="8" spans="2:56" x14ac:dyDescent="0.25">
      <c r="C8" s="120"/>
      <c r="D8" s="120"/>
      <c r="E8" s="120"/>
      <c r="F8" s="120"/>
      <c r="J8" s="120"/>
      <c r="K8" s="120"/>
      <c r="L8" s="120"/>
      <c r="M8" s="120"/>
      <c r="Q8" s="120"/>
      <c r="R8" s="120"/>
      <c r="S8" s="120"/>
      <c r="T8" s="120"/>
      <c r="X8" s="120"/>
      <c r="Y8" s="120"/>
      <c r="Z8" s="120"/>
      <c r="AA8" s="120"/>
      <c r="AE8" s="120"/>
      <c r="AF8" s="120"/>
      <c r="AG8" s="120"/>
      <c r="AH8" s="120"/>
      <c r="AL8" s="120"/>
      <c r="AM8" s="120"/>
      <c r="AN8" s="120"/>
      <c r="AO8" s="120"/>
      <c r="AS8" s="120"/>
      <c r="AT8" s="120"/>
      <c r="AU8" s="120"/>
      <c r="AV8" s="120"/>
      <c r="AZ8" s="120"/>
      <c r="BA8" s="120"/>
      <c r="BB8" s="120"/>
      <c r="BC8" s="120"/>
    </row>
    <row r="9" spans="2:56" x14ac:dyDescent="0.25">
      <c r="C9" s="120"/>
      <c r="D9" s="120"/>
      <c r="E9" s="120"/>
      <c r="F9" s="120"/>
      <c r="J9" s="120"/>
      <c r="K9" s="120"/>
      <c r="L9" s="120"/>
      <c r="M9" s="120"/>
      <c r="Q9" s="120"/>
      <c r="R9" s="120"/>
      <c r="S9" s="120"/>
      <c r="T9" s="120"/>
      <c r="X9" s="120"/>
      <c r="Y9" s="120"/>
      <c r="Z9" s="120"/>
      <c r="AA9" s="120"/>
      <c r="AE9" s="120"/>
      <c r="AF9" s="120"/>
      <c r="AG9" s="120"/>
      <c r="AH9" s="120"/>
      <c r="AL9" s="120"/>
      <c r="AM9" s="120"/>
      <c r="AN9" s="120"/>
      <c r="AO9" s="120"/>
      <c r="AS9" s="120"/>
      <c r="AT9" s="120"/>
      <c r="AU9" s="120"/>
      <c r="AV9" s="120"/>
      <c r="AZ9" s="120"/>
      <c r="BA9" s="120"/>
      <c r="BB9" s="120"/>
      <c r="BC9" s="120"/>
    </row>
    <row r="10" spans="2:56" x14ac:dyDescent="0.25">
      <c r="C10" s="120"/>
      <c r="D10" s="120"/>
      <c r="E10" s="120"/>
      <c r="F10" s="120"/>
      <c r="J10" s="120"/>
      <c r="K10" s="120"/>
      <c r="L10" s="120"/>
      <c r="M10" s="120"/>
      <c r="Q10" s="120"/>
      <c r="R10" s="120"/>
      <c r="S10" s="120"/>
      <c r="T10" s="120"/>
      <c r="X10" s="120"/>
      <c r="Y10" s="120"/>
      <c r="Z10" s="120"/>
      <c r="AA10" s="120"/>
      <c r="AE10" s="120"/>
      <c r="AF10" s="120"/>
      <c r="AG10" s="120"/>
      <c r="AH10" s="120"/>
      <c r="AL10" s="120"/>
      <c r="AM10" s="120"/>
      <c r="AN10" s="120"/>
      <c r="AO10" s="120"/>
      <c r="AS10" s="120"/>
      <c r="AT10" s="120"/>
      <c r="AU10" s="120"/>
      <c r="AV10" s="120"/>
      <c r="AZ10" s="120"/>
      <c r="BA10" s="120"/>
      <c r="BB10" s="120"/>
      <c r="BC10" s="120"/>
    </row>
    <row r="11" spans="2:56" x14ac:dyDescent="0.25">
      <c r="C11" s="120"/>
      <c r="D11" s="120"/>
      <c r="E11" s="120"/>
      <c r="F11" s="120"/>
      <c r="J11" s="120"/>
      <c r="K11" s="120"/>
      <c r="L11" s="120"/>
      <c r="M11" s="120"/>
      <c r="Q11" s="120"/>
      <c r="R11" s="120"/>
      <c r="S11" s="120"/>
      <c r="T11" s="120"/>
      <c r="X11" s="120"/>
      <c r="Y11" s="120"/>
      <c r="Z11" s="120"/>
      <c r="AA11" s="120"/>
      <c r="AE11" s="120"/>
      <c r="AF11" s="120"/>
      <c r="AG11" s="120"/>
      <c r="AH11" s="120"/>
      <c r="AL11" s="120"/>
      <c r="AM11" s="120"/>
      <c r="AN11" s="120"/>
      <c r="AO11" s="120"/>
      <c r="AS11" s="120"/>
      <c r="AT11" s="120"/>
      <c r="AU11" s="120"/>
      <c r="AV11" s="120"/>
      <c r="AZ11" s="120"/>
      <c r="BA11" s="120"/>
      <c r="BB11" s="120"/>
      <c r="BC11" s="120"/>
    </row>
    <row r="12" spans="2:56" x14ac:dyDescent="0.25">
      <c r="C12" s="120"/>
      <c r="D12" s="120"/>
      <c r="E12" s="120"/>
      <c r="F12" s="120"/>
      <c r="J12" s="120"/>
      <c r="K12" s="120"/>
      <c r="L12" s="120"/>
      <c r="M12" s="120"/>
      <c r="Q12" s="120"/>
      <c r="R12" s="120"/>
      <c r="S12" s="120"/>
      <c r="T12" s="120"/>
      <c r="X12" s="120"/>
      <c r="Y12" s="120"/>
      <c r="Z12" s="120"/>
      <c r="AA12" s="120"/>
      <c r="AE12" s="120"/>
      <c r="AF12" s="120"/>
      <c r="AG12" s="120"/>
      <c r="AH12" s="120"/>
      <c r="AL12" s="120"/>
      <c r="AM12" s="120"/>
      <c r="AN12" s="120"/>
      <c r="AO12" s="120"/>
      <c r="AS12" s="120"/>
      <c r="AT12" s="120"/>
      <c r="AU12" s="120"/>
      <c r="AV12" s="120"/>
      <c r="AZ12" s="120"/>
      <c r="BA12" s="120"/>
      <c r="BB12" s="120"/>
      <c r="BC12" s="120"/>
    </row>
    <row r="13" spans="2:56" x14ac:dyDescent="0.25">
      <c r="C13" s="120"/>
      <c r="D13" s="120"/>
      <c r="E13" s="120"/>
      <c r="F13" s="120"/>
      <c r="J13" s="120"/>
      <c r="K13" s="120"/>
      <c r="L13" s="120"/>
      <c r="M13" s="120"/>
      <c r="Q13" s="120"/>
      <c r="R13" s="120"/>
      <c r="S13" s="120"/>
      <c r="T13" s="120"/>
      <c r="X13" s="120"/>
      <c r="Y13" s="120"/>
      <c r="Z13" s="120"/>
      <c r="AA13" s="120"/>
      <c r="AE13" s="120"/>
      <c r="AF13" s="120"/>
      <c r="AG13" s="120"/>
      <c r="AH13" s="120"/>
      <c r="AL13" s="120"/>
      <c r="AM13" s="120"/>
      <c r="AN13" s="120"/>
      <c r="AO13" s="120"/>
      <c r="AS13" s="120"/>
      <c r="AT13" s="120"/>
      <c r="AU13" s="120"/>
      <c r="AV13" s="120"/>
      <c r="AZ13" s="120"/>
      <c r="BA13" s="120"/>
      <c r="BB13" s="120"/>
      <c r="BC13" s="120"/>
    </row>
    <row r="14" spans="2:56" x14ac:dyDescent="0.25">
      <c r="C14" s="120"/>
      <c r="D14" s="120"/>
      <c r="E14" s="120"/>
      <c r="F14" s="120"/>
      <c r="J14" s="120"/>
      <c r="K14" s="120"/>
      <c r="L14" s="120"/>
      <c r="M14" s="120"/>
      <c r="Q14" s="120"/>
      <c r="R14" s="120"/>
      <c r="S14" s="120"/>
      <c r="T14" s="120"/>
      <c r="X14" s="120"/>
      <c r="Y14" s="120"/>
      <c r="Z14" s="120"/>
      <c r="AA14" s="120"/>
      <c r="AE14" s="120"/>
      <c r="AF14" s="120"/>
      <c r="AG14" s="120"/>
      <c r="AH14" s="120"/>
      <c r="AL14" s="120"/>
      <c r="AM14" s="120"/>
      <c r="AN14" s="120"/>
      <c r="AO14" s="120"/>
      <c r="AS14" s="120"/>
      <c r="AT14" s="120"/>
      <c r="AU14" s="120"/>
      <c r="AV14" s="120"/>
      <c r="AZ14" s="120"/>
      <c r="BA14" s="120"/>
      <c r="BB14" s="120"/>
      <c r="BC14" s="120"/>
    </row>
    <row r="15" spans="2:56" x14ac:dyDescent="0.25">
      <c r="C15" s="120"/>
      <c r="D15" s="120"/>
      <c r="E15" s="120"/>
      <c r="F15" s="120"/>
      <c r="J15" s="120"/>
      <c r="K15" s="120"/>
      <c r="L15" s="120"/>
      <c r="M15" s="120"/>
      <c r="Q15" s="120"/>
      <c r="R15" s="120"/>
      <c r="S15" s="120"/>
      <c r="T15" s="120"/>
      <c r="X15" s="120"/>
      <c r="Y15" s="120"/>
      <c r="Z15" s="120"/>
      <c r="AA15" s="120"/>
      <c r="AE15" s="120"/>
      <c r="AF15" s="120"/>
      <c r="AG15" s="120"/>
      <c r="AH15" s="120"/>
      <c r="AL15" s="120"/>
      <c r="AM15" s="120"/>
      <c r="AN15" s="120"/>
      <c r="AO15" s="120"/>
      <c r="AS15" s="120"/>
      <c r="AT15" s="120"/>
      <c r="AU15" s="120"/>
      <c r="AV15" s="120"/>
      <c r="AZ15" s="120"/>
      <c r="BA15" s="120"/>
      <c r="BB15" s="120"/>
      <c r="BC15" s="120"/>
    </row>
    <row r="16" spans="2:56" x14ac:dyDescent="0.25">
      <c r="C16" s="120"/>
      <c r="D16" s="120"/>
      <c r="E16" s="120"/>
      <c r="F16" s="120"/>
      <c r="J16" s="120"/>
      <c r="K16" s="120"/>
      <c r="L16" s="120"/>
      <c r="M16" s="120"/>
      <c r="Q16" s="120"/>
      <c r="R16" s="120"/>
      <c r="S16" s="120"/>
      <c r="T16" s="120"/>
      <c r="X16" s="120"/>
      <c r="Y16" s="120"/>
      <c r="Z16" s="120"/>
      <c r="AA16" s="120"/>
      <c r="AE16" s="120"/>
      <c r="AF16" s="120"/>
      <c r="AG16" s="120"/>
      <c r="AH16" s="120"/>
      <c r="AL16" s="120"/>
      <c r="AM16" s="120"/>
      <c r="AN16" s="120"/>
      <c r="AO16" s="120"/>
      <c r="AS16" s="120"/>
      <c r="AT16" s="120"/>
      <c r="AU16" s="120"/>
      <c r="AV16" s="120"/>
      <c r="AZ16" s="120"/>
      <c r="BA16" s="120"/>
      <c r="BB16" s="120"/>
      <c r="BC16" s="120"/>
    </row>
    <row r="17" spans="3:55" x14ac:dyDescent="0.25">
      <c r="C17" s="120"/>
      <c r="D17" s="120"/>
      <c r="E17" s="120"/>
      <c r="F17" s="120"/>
      <c r="J17" s="120"/>
      <c r="K17" s="120"/>
      <c r="L17" s="120"/>
      <c r="M17" s="120"/>
      <c r="Q17" s="120"/>
      <c r="R17" s="120"/>
      <c r="S17" s="120"/>
      <c r="T17" s="120"/>
      <c r="X17" s="120"/>
      <c r="Y17" s="120"/>
      <c r="Z17" s="120"/>
      <c r="AA17" s="120"/>
      <c r="AE17" s="120"/>
      <c r="AF17" s="120"/>
      <c r="AG17" s="120"/>
      <c r="AH17" s="120"/>
      <c r="AL17" s="120"/>
      <c r="AM17" s="120"/>
      <c r="AN17" s="120"/>
      <c r="AO17" s="120"/>
      <c r="AS17" s="120"/>
      <c r="AT17" s="120"/>
      <c r="AU17" s="120"/>
      <c r="AV17" s="120"/>
      <c r="AZ17" s="120"/>
      <c r="BA17" s="120"/>
      <c r="BB17" s="120"/>
      <c r="BC17" s="120"/>
    </row>
    <row r="18" spans="3:55" x14ac:dyDescent="0.25">
      <c r="C18" s="120"/>
      <c r="D18" s="120"/>
      <c r="E18" s="120"/>
      <c r="F18" s="120"/>
      <c r="J18" s="120"/>
      <c r="K18" s="120"/>
      <c r="L18" s="120"/>
      <c r="M18" s="120"/>
      <c r="Q18" s="120"/>
      <c r="R18" s="120"/>
      <c r="S18" s="120"/>
      <c r="T18" s="120"/>
      <c r="X18" s="120"/>
      <c r="Y18" s="120"/>
      <c r="Z18" s="120"/>
      <c r="AA18" s="120"/>
      <c r="AE18" s="120"/>
      <c r="AF18" s="120"/>
      <c r="AG18" s="120"/>
      <c r="AH18" s="120"/>
      <c r="AL18" s="120"/>
      <c r="AM18" s="120"/>
      <c r="AN18" s="120"/>
      <c r="AO18" s="120"/>
      <c r="AS18" s="120"/>
      <c r="AT18" s="120"/>
      <c r="AU18" s="120"/>
      <c r="AV18" s="120"/>
      <c r="AZ18" s="120"/>
      <c r="BA18" s="120"/>
      <c r="BB18" s="120"/>
      <c r="BC18" s="120"/>
    </row>
    <row r="19" spans="3:55" x14ac:dyDescent="0.25">
      <c r="C19" s="120"/>
      <c r="D19" s="120"/>
      <c r="E19" s="120"/>
      <c r="F19" s="120"/>
      <c r="J19" s="120"/>
      <c r="K19" s="120"/>
      <c r="L19" s="120"/>
      <c r="M19" s="120"/>
      <c r="Q19" s="120"/>
      <c r="R19" s="120"/>
      <c r="S19" s="120"/>
      <c r="T19" s="120"/>
      <c r="X19" s="120"/>
      <c r="Y19" s="120"/>
      <c r="Z19" s="120"/>
      <c r="AA19" s="120"/>
      <c r="AE19" s="120"/>
      <c r="AF19" s="120"/>
      <c r="AG19" s="120"/>
      <c r="AH19" s="120"/>
      <c r="AL19" s="120"/>
      <c r="AM19" s="120"/>
      <c r="AN19" s="120"/>
      <c r="AO19" s="120"/>
      <c r="AS19" s="120"/>
      <c r="AT19" s="120"/>
      <c r="AU19" s="120"/>
      <c r="AV19" s="120"/>
      <c r="AZ19" s="120"/>
      <c r="BA19" s="120"/>
      <c r="BB19" s="120"/>
      <c r="BC19" s="120"/>
    </row>
    <row r="20" spans="3:55" x14ac:dyDescent="0.25">
      <c r="C20" s="120"/>
      <c r="D20" s="120"/>
      <c r="E20" s="120"/>
      <c r="F20" s="120"/>
      <c r="J20" s="120"/>
      <c r="K20" s="120"/>
      <c r="L20" s="120"/>
      <c r="M20" s="120"/>
      <c r="Q20" s="120"/>
      <c r="R20" s="120"/>
      <c r="S20" s="120"/>
      <c r="T20" s="120"/>
      <c r="X20" s="120"/>
      <c r="Y20" s="120"/>
      <c r="Z20" s="120"/>
      <c r="AA20" s="120"/>
      <c r="AE20" s="120"/>
      <c r="AF20" s="120"/>
      <c r="AG20" s="120"/>
      <c r="AH20" s="120"/>
      <c r="AL20" s="120"/>
      <c r="AM20" s="120"/>
      <c r="AN20" s="120"/>
      <c r="AO20" s="120"/>
      <c r="AS20" s="120"/>
      <c r="AT20" s="120"/>
      <c r="AU20" s="120"/>
      <c r="AV20" s="120"/>
      <c r="AZ20" s="120"/>
      <c r="BA20" s="120"/>
      <c r="BB20" s="120"/>
      <c r="BC20" s="120"/>
    </row>
    <row r="21" spans="3:55" x14ac:dyDescent="0.25">
      <c r="C21" s="120"/>
      <c r="D21" s="120"/>
      <c r="E21" s="120"/>
      <c r="F21" s="120"/>
      <c r="J21" s="120"/>
      <c r="K21" s="120"/>
      <c r="L21" s="120"/>
      <c r="M21" s="120"/>
      <c r="Q21" s="120"/>
      <c r="R21" s="120"/>
      <c r="S21" s="120"/>
      <c r="T21" s="120"/>
      <c r="X21" s="120"/>
      <c r="Y21" s="120"/>
      <c r="Z21" s="120"/>
      <c r="AA21" s="120"/>
      <c r="AE21" s="120"/>
      <c r="AF21" s="120"/>
      <c r="AG21" s="120"/>
      <c r="AH21" s="120"/>
      <c r="AL21" s="120"/>
      <c r="AM21" s="120"/>
      <c r="AN21" s="120"/>
      <c r="AO21" s="120"/>
      <c r="AS21" s="120"/>
      <c r="AT21" s="120"/>
      <c r="AU21" s="120"/>
      <c r="AV21" s="120"/>
      <c r="AZ21" s="120"/>
      <c r="BA21" s="120"/>
      <c r="BB21" s="120"/>
      <c r="BC21" s="120"/>
    </row>
    <row r="22" spans="3:55" x14ac:dyDescent="0.25">
      <c r="C22" s="120"/>
      <c r="D22" s="120"/>
      <c r="E22" s="120"/>
      <c r="F22" s="120"/>
      <c r="J22" s="120"/>
      <c r="K22" s="120"/>
      <c r="L22" s="120"/>
      <c r="M22" s="120"/>
      <c r="Q22" s="120"/>
      <c r="R22" s="120"/>
      <c r="S22" s="120"/>
      <c r="T22" s="120"/>
      <c r="X22" s="120"/>
      <c r="Y22" s="120"/>
      <c r="Z22" s="120"/>
      <c r="AA22" s="120"/>
      <c r="AE22" s="120"/>
      <c r="AF22" s="120"/>
      <c r="AG22" s="120"/>
      <c r="AH22" s="120"/>
      <c r="AL22" s="120"/>
      <c r="AM22" s="120"/>
      <c r="AN22" s="120"/>
      <c r="AO22" s="120"/>
      <c r="AS22" s="120"/>
      <c r="AT22" s="120"/>
      <c r="AU22" s="120"/>
      <c r="AV22" s="120"/>
      <c r="AZ22" s="120"/>
      <c r="BA22" s="120"/>
      <c r="BB22" s="120"/>
      <c r="BC22" s="120"/>
    </row>
    <row r="23" spans="3:55" x14ac:dyDescent="0.25">
      <c r="C23" s="120"/>
      <c r="D23" s="120"/>
      <c r="E23" s="120"/>
      <c r="F23" s="120"/>
      <c r="J23" s="120"/>
      <c r="K23" s="120"/>
      <c r="L23" s="120"/>
      <c r="M23" s="120"/>
      <c r="Q23" s="120"/>
      <c r="R23" s="120"/>
      <c r="S23" s="120"/>
      <c r="T23" s="120"/>
      <c r="X23" s="120"/>
      <c r="Y23" s="120"/>
      <c r="Z23" s="120"/>
      <c r="AA23" s="120"/>
      <c r="AE23" s="120"/>
      <c r="AF23" s="120"/>
      <c r="AG23" s="120"/>
      <c r="AH23" s="120"/>
      <c r="AL23" s="120"/>
      <c r="AM23" s="120"/>
      <c r="AN23" s="120"/>
      <c r="AO23" s="120"/>
      <c r="AS23" s="120"/>
      <c r="AT23" s="120"/>
      <c r="AU23" s="120"/>
      <c r="AV23" s="120"/>
      <c r="AZ23" s="120"/>
      <c r="BA23" s="120"/>
      <c r="BB23" s="120"/>
      <c r="BC23" s="120"/>
    </row>
    <row r="24" spans="3:55" x14ac:dyDescent="0.25">
      <c r="C24" s="120"/>
      <c r="D24" s="120"/>
      <c r="E24" s="120"/>
      <c r="F24" s="120"/>
      <c r="J24" s="120"/>
      <c r="K24" s="120"/>
      <c r="L24" s="120"/>
      <c r="M24" s="120"/>
      <c r="Q24" s="120"/>
      <c r="R24" s="120"/>
      <c r="S24" s="120"/>
      <c r="T24" s="120"/>
      <c r="X24" s="120"/>
      <c r="Y24" s="120"/>
      <c r="Z24" s="120"/>
      <c r="AA24" s="120"/>
      <c r="AE24" s="120"/>
      <c r="AF24" s="120"/>
      <c r="AG24" s="120"/>
      <c r="AH24" s="120"/>
      <c r="AL24" s="120"/>
      <c r="AM24" s="120"/>
      <c r="AN24" s="120"/>
      <c r="AO24" s="120"/>
      <c r="AS24" s="120"/>
      <c r="AT24" s="120"/>
      <c r="AU24" s="120"/>
      <c r="AV24" s="120"/>
      <c r="AZ24" s="120"/>
      <c r="BA24" s="120"/>
      <c r="BB24" s="120"/>
      <c r="BC24" s="120"/>
    </row>
    <row r="25" spans="3:55" x14ac:dyDescent="0.25">
      <c r="Q25" s="120"/>
      <c r="R25" s="120"/>
      <c r="S25" s="120"/>
      <c r="T25" s="120"/>
      <c r="X25" s="120"/>
      <c r="Y25" s="120"/>
      <c r="Z25" s="120"/>
      <c r="AA25" s="120"/>
      <c r="AE25" s="120"/>
      <c r="AF25" s="120"/>
      <c r="AG25" s="120"/>
      <c r="AH25" s="120"/>
      <c r="AL25" s="120"/>
      <c r="AM25" s="120"/>
      <c r="AN25" s="120"/>
      <c r="AO25" s="120"/>
      <c r="AS25" s="120"/>
      <c r="AT25" s="120"/>
      <c r="AU25" s="120"/>
      <c r="AV25" s="120"/>
      <c r="AZ25" s="120"/>
      <c r="BA25" s="120"/>
      <c r="BB25" s="120"/>
      <c r="BC25" s="120"/>
    </row>
    <row r="26" spans="3:55" x14ac:dyDescent="0.25">
      <c r="Q26" s="120"/>
      <c r="R26" s="120"/>
      <c r="S26" s="120"/>
      <c r="T26" s="120"/>
      <c r="X26" s="120"/>
      <c r="Y26" s="120"/>
      <c r="Z26" s="120"/>
      <c r="AA26" s="120"/>
      <c r="AE26" s="120"/>
      <c r="AF26" s="120"/>
      <c r="AG26" s="120"/>
      <c r="AH26" s="120"/>
      <c r="AL26" s="120"/>
      <c r="AM26" s="120"/>
      <c r="AN26" s="120"/>
      <c r="AO26" s="120"/>
      <c r="AS26" s="120"/>
      <c r="AT26" s="120"/>
      <c r="AU26" s="120"/>
      <c r="AV26" s="120"/>
      <c r="AZ26" s="120"/>
      <c r="BA26" s="120"/>
      <c r="BB26" s="120"/>
      <c r="BC26" s="120"/>
    </row>
    <row r="27" spans="3:55" x14ac:dyDescent="0.25">
      <c r="Q27" s="120"/>
      <c r="R27" s="120"/>
      <c r="S27" s="120"/>
      <c r="T27" s="120"/>
      <c r="X27" s="120"/>
      <c r="Y27" s="120"/>
      <c r="Z27" s="120"/>
      <c r="AA27" s="120"/>
      <c r="AE27" s="120"/>
      <c r="AF27" s="120"/>
      <c r="AG27" s="120"/>
      <c r="AH27" s="120"/>
      <c r="AL27" s="120"/>
      <c r="AM27" s="120"/>
      <c r="AN27" s="120"/>
      <c r="AO27" s="120"/>
      <c r="AS27" s="120"/>
      <c r="AT27" s="120"/>
      <c r="AU27" s="120"/>
      <c r="AV27" s="120"/>
      <c r="AZ27" s="120"/>
      <c r="BA27" s="120"/>
      <c r="BB27" s="120"/>
      <c r="BC27" s="120"/>
    </row>
    <row r="28" spans="3:55" x14ac:dyDescent="0.25">
      <c r="Q28" s="120"/>
      <c r="R28" s="120"/>
      <c r="S28" s="120"/>
      <c r="T28" s="120"/>
      <c r="X28" s="120"/>
      <c r="Y28" s="120"/>
      <c r="Z28" s="120"/>
      <c r="AA28" s="120"/>
      <c r="AE28" s="120"/>
      <c r="AF28" s="120"/>
      <c r="AG28" s="120"/>
      <c r="AH28" s="120"/>
      <c r="AL28" s="120"/>
      <c r="AM28" s="120"/>
      <c r="AN28" s="120"/>
      <c r="AO28" s="120"/>
      <c r="AS28" s="120"/>
      <c r="AT28" s="120"/>
      <c r="AU28" s="120"/>
      <c r="AV28" s="120"/>
      <c r="AZ28" s="120"/>
      <c r="BA28" s="120"/>
      <c r="BB28" s="120"/>
      <c r="BC28" s="120"/>
    </row>
    <row r="29" spans="3:55" x14ac:dyDescent="0.25">
      <c r="Q29" s="120"/>
      <c r="R29" s="120"/>
      <c r="S29" s="120"/>
      <c r="T29" s="120"/>
      <c r="X29" s="120"/>
      <c r="Y29" s="120"/>
      <c r="Z29" s="120"/>
      <c r="AA29" s="120"/>
      <c r="AE29" s="120"/>
      <c r="AF29" s="120"/>
      <c r="AG29" s="120"/>
      <c r="AH29" s="120"/>
      <c r="AL29" s="120"/>
      <c r="AM29" s="120"/>
      <c r="AN29" s="120"/>
      <c r="AO29" s="120"/>
      <c r="AS29" s="120"/>
      <c r="AT29" s="120"/>
      <c r="AU29" s="120"/>
      <c r="AV29" s="120"/>
      <c r="AZ29" s="120"/>
      <c r="BA29" s="120"/>
      <c r="BB29" s="120"/>
      <c r="BC29" s="120"/>
    </row>
    <row r="30" spans="3:55" x14ac:dyDescent="0.25">
      <c r="Q30" s="120"/>
      <c r="R30" s="120"/>
      <c r="S30" s="120"/>
      <c r="T30" s="120"/>
      <c r="X30" s="120"/>
      <c r="Y30" s="120"/>
      <c r="Z30" s="120"/>
      <c r="AA30" s="120"/>
      <c r="AE30" s="120"/>
      <c r="AF30" s="120"/>
      <c r="AG30" s="120"/>
      <c r="AH30" s="120"/>
      <c r="AL30" s="120"/>
      <c r="AM30" s="120"/>
      <c r="AN30" s="120"/>
      <c r="AO30" s="120"/>
      <c r="AS30" s="120"/>
      <c r="AT30" s="120"/>
      <c r="AU30" s="120"/>
      <c r="AV30" s="120"/>
      <c r="AZ30" s="120"/>
      <c r="BA30" s="120"/>
      <c r="BB30" s="120"/>
      <c r="BC30" s="120"/>
    </row>
    <row r="31" spans="3:55" x14ac:dyDescent="0.25">
      <c r="Q31" s="120"/>
      <c r="R31" s="120"/>
      <c r="S31" s="120"/>
      <c r="T31" s="120"/>
      <c r="X31" s="120"/>
      <c r="Y31" s="120"/>
      <c r="Z31" s="120"/>
      <c r="AA31" s="120"/>
      <c r="AE31" s="120"/>
      <c r="AF31" s="120"/>
      <c r="AG31" s="120"/>
      <c r="AH31" s="120"/>
      <c r="AL31" s="120"/>
      <c r="AM31" s="120"/>
      <c r="AN31" s="120"/>
      <c r="AO31" s="120"/>
      <c r="AS31" s="120"/>
      <c r="AT31" s="120"/>
      <c r="AU31" s="120"/>
      <c r="AV31" s="120"/>
      <c r="AZ31" s="120"/>
      <c r="BA31" s="120"/>
      <c r="BB31" s="120"/>
      <c r="BC31" s="120"/>
    </row>
    <row r="32" spans="3:55" x14ac:dyDescent="0.25">
      <c r="Q32" s="120"/>
      <c r="R32" s="120"/>
      <c r="S32" s="120"/>
      <c r="T32" s="120"/>
      <c r="X32" s="120"/>
      <c r="Y32" s="120"/>
      <c r="Z32" s="120"/>
      <c r="AA32" s="120"/>
      <c r="AE32" s="120"/>
      <c r="AF32" s="120"/>
      <c r="AG32" s="120"/>
      <c r="AH32" s="120"/>
      <c r="AL32" s="120"/>
      <c r="AM32" s="120"/>
      <c r="AN32" s="120"/>
      <c r="AO32" s="120"/>
      <c r="AS32" s="120"/>
      <c r="AT32" s="120"/>
      <c r="AU32" s="120"/>
      <c r="AV32" s="120"/>
      <c r="AZ32" s="120"/>
      <c r="BA32" s="120"/>
      <c r="BB32" s="120"/>
      <c r="BC32" s="120"/>
    </row>
    <row r="33" spans="17:56" x14ac:dyDescent="0.25">
      <c r="Q33" s="120"/>
      <c r="R33" s="120"/>
      <c r="S33" s="120"/>
      <c r="T33" s="120"/>
      <c r="X33" s="120"/>
      <c r="Y33" s="120"/>
      <c r="Z33" s="120"/>
      <c r="AA33" s="120"/>
      <c r="AE33" s="120"/>
      <c r="AF33" s="120"/>
      <c r="AG33" s="120"/>
      <c r="AH33" s="120"/>
      <c r="AL33" s="120"/>
      <c r="AM33" s="120"/>
      <c r="AN33" s="120"/>
      <c r="AO33" s="120"/>
      <c r="AS33" s="120"/>
      <c r="AT33" s="120"/>
      <c r="AU33" s="120"/>
      <c r="AV33" s="120"/>
      <c r="AZ33" s="120"/>
      <c r="BA33" s="120"/>
      <c r="BB33" s="120"/>
      <c r="BC33" s="120"/>
    </row>
    <row r="34" spans="17:56" x14ac:dyDescent="0.25">
      <c r="Q34" s="120"/>
      <c r="R34" s="120"/>
      <c r="S34" s="120"/>
      <c r="T34" s="120"/>
      <c r="X34" s="120"/>
      <c r="Y34" s="120"/>
      <c r="Z34" s="120"/>
      <c r="AA34" s="120"/>
      <c r="AE34" s="120"/>
      <c r="AF34" s="120"/>
      <c r="AG34" s="120"/>
      <c r="AH34" s="120"/>
      <c r="AL34" s="120"/>
      <c r="AM34" s="120"/>
      <c r="AN34" s="120"/>
      <c r="AO34" s="120"/>
      <c r="AS34" s="120"/>
      <c r="AT34" s="120"/>
      <c r="AU34" s="120"/>
      <c r="AV34" s="120"/>
      <c r="AZ34" s="120"/>
      <c r="BA34" s="120"/>
      <c r="BB34" s="120"/>
      <c r="BC34" s="120"/>
    </row>
    <row r="35" spans="17:56" x14ac:dyDescent="0.25">
      <c r="Q35" s="120"/>
      <c r="R35" s="120"/>
      <c r="S35" s="120"/>
      <c r="T35" s="120"/>
      <c r="X35" s="120"/>
      <c r="Y35" s="120"/>
      <c r="Z35" s="120"/>
      <c r="AA35" s="120"/>
      <c r="AE35" s="120"/>
      <c r="AF35" s="120"/>
      <c r="AG35" s="120"/>
      <c r="AH35" s="120"/>
      <c r="AL35" s="120"/>
      <c r="AM35" s="120"/>
      <c r="AN35" s="120"/>
      <c r="AO35" s="120"/>
      <c r="AS35" s="120"/>
      <c r="AT35" s="120"/>
      <c r="AU35" s="120"/>
      <c r="AV35" s="120"/>
      <c r="AZ35" s="120"/>
      <c r="BA35" s="120"/>
      <c r="BB35" s="120"/>
      <c r="BC35" s="120"/>
    </row>
    <row r="36" spans="17:56" x14ac:dyDescent="0.25">
      <c r="Q36" s="120"/>
      <c r="R36" s="120"/>
      <c r="S36" s="120"/>
      <c r="T36" s="120"/>
      <c r="X36" s="120"/>
      <c r="Y36" s="120"/>
      <c r="Z36" s="120"/>
      <c r="AA36" s="120"/>
      <c r="AE36" s="120"/>
      <c r="AF36" s="120"/>
      <c r="AG36" s="120"/>
      <c r="AH36" s="120"/>
      <c r="AL36" s="120"/>
      <c r="AM36" s="120"/>
      <c r="AN36" s="120"/>
      <c r="AO36" s="120"/>
      <c r="AS36" s="120"/>
      <c r="AT36" s="120"/>
      <c r="AU36" s="120"/>
      <c r="AV36" s="120"/>
      <c r="AZ36" s="120"/>
      <c r="BA36" s="120"/>
      <c r="BB36" s="120"/>
      <c r="BC36" s="120"/>
    </row>
    <row r="37" spans="17:56" x14ac:dyDescent="0.25">
      <c r="Q37" s="120"/>
      <c r="R37" s="120"/>
      <c r="S37" s="120"/>
      <c r="T37" s="120"/>
      <c r="X37" s="120"/>
      <c r="Y37" s="120"/>
      <c r="Z37" s="120"/>
      <c r="AA37" s="120"/>
      <c r="AE37" s="120"/>
      <c r="AF37" s="120"/>
      <c r="AG37" s="120"/>
      <c r="AH37" s="120"/>
      <c r="AL37" s="120"/>
      <c r="AM37" s="120"/>
      <c r="AN37" s="120"/>
      <c r="AO37" s="120"/>
      <c r="AS37" s="120"/>
      <c r="AT37" s="120"/>
      <c r="AU37" s="120"/>
      <c r="AV37" s="120"/>
      <c r="AZ37" s="120"/>
      <c r="BA37" s="120"/>
      <c r="BB37" s="120"/>
      <c r="BC37" s="120"/>
    </row>
    <row r="38" spans="17:56" x14ac:dyDescent="0.25">
      <c r="Q38" s="120"/>
      <c r="R38" s="120"/>
      <c r="S38" s="120"/>
      <c r="T38" s="120"/>
      <c r="X38" s="120"/>
      <c r="Y38" s="120"/>
      <c r="Z38" s="120"/>
      <c r="AA38" s="120"/>
      <c r="AE38" s="120"/>
      <c r="AF38" s="120"/>
      <c r="AG38" s="120"/>
      <c r="AH38" s="120"/>
      <c r="AL38" s="120"/>
      <c r="AM38" s="120"/>
      <c r="AN38" s="120"/>
      <c r="AO38" s="120"/>
      <c r="AS38" s="120"/>
      <c r="AT38" s="120"/>
      <c r="AU38" s="120"/>
      <c r="AV38" s="120"/>
      <c r="AZ38" s="120"/>
      <c r="BA38" s="120"/>
      <c r="BB38" s="120"/>
      <c r="BC38" s="120"/>
    </row>
    <row r="39" spans="17:56" x14ac:dyDescent="0.25">
      <c r="Q39" s="120"/>
      <c r="R39" s="120"/>
      <c r="S39" s="120"/>
      <c r="T39" s="120"/>
      <c r="X39" s="120"/>
      <c r="Y39" s="120"/>
      <c r="Z39" s="120"/>
      <c r="AA39" s="120"/>
      <c r="AE39" s="120"/>
      <c r="AF39" s="120"/>
      <c r="AG39" s="120"/>
      <c r="AH39" s="120"/>
      <c r="AL39" s="120"/>
      <c r="AM39" s="120"/>
      <c r="AN39" s="120"/>
      <c r="AO39" s="120"/>
      <c r="AS39" s="120"/>
      <c r="AT39" s="120"/>
      <c r="AU39" s="120"/>
      <c r="AV39" s="120"/>
      <c r="AZ39" s="120"/>
      <c r="BA39" s="120"/>
      <c r="BB39" s="120"/>
      <c r="BC39" s="120"/>
    </row>
    <row r="40" spans="17:56" x14ac:dyDescent="0.25">
      <c r="Q40" s="120"/>
      <c r="R40" s="120"/>
      <c r="S40" s="120"/>
      <c r="T40" s="120"/>
      <c r="X40" s="120"/>
      <c r="Y40" s="120"/>
      <c r="Z40" s="120"/>
      <c r="AA40" s="120"/>
      <c r="AE40" s="120"/>
      <c r="AF40" s="120"/>
      <c r="AG40" s="120"/>
      <c r="AH40" s="120"/>
      <c r="AL40" s="120"/>
      <c r="AM40" s="120"/>
      <c r="AN40" s="120"/>
      <c r="AO40" s="120"/>
      <c r="AS40" s="120"/>
      <c r="AT40" s="120"/>
      <c r="AU40" s="120"/>
      <c r="AV40" s="120"/>
      <c r="AZ40" s="120"/>
      <c r="BA40" s="120"/>
      <c r="BB40" s="120"/>
      <c r="BC40" s="120"/>
    </row>
    <row r="41" spans="17:56" x14ac:dyDescent="0.25">
      <c r="S41" s="120"/>
      <c r="T41" s="120"/>
      <c r="U41" s="120"/>
      <c r="Z41" s="120"/>
      <c r="AA41" s="120"/>
      <c r="AB41" s="120"/>
      <c r="AG41" s="120"/>
      <c r="AH41" s="120"/>
      <c r="AI41" s="120"/>
      <c r="AN41" s="120"/>
      <c r="AO41" s="120"/>
      <c r="AP41" s="120"/>
      <c r="AU41" s="120"/>
      <c r="AV41" s="120"/>
      <c r="AW41" s="120"/>
      <c r="BB41" s="120"/>
      <c r="BC41" s="120"/>
      <c r="BD41" s="12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R121"/>
  <sheetViews>
    <sheetView zoomScale="90" zoomScaleNormal="90" workbookViewId="0">
      <selection activeCell="D28" sqref="D28"/>
    </sheetView>
  </sheetViews>
  <sheetFormatPr baseColWidth="10" defaultRowHeight="15" x14ac:dyDescent="0.25"/>
  <cols>
    <col min="1" max="1" width="5.7109375" customWidth="1"/>
    <col min="2" max="2" width="3.85546875" customWidth="1"/>
    <col min="11" max="11" width="18" customWidth="1"/>
  </cols>
  <sheetData>
    <row r="1" spans="1:18" ht="15.75" x14ac:dyDescent="0.25">
      <c r="A1" s="111" t="s">
        <v>130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3"/>
      <c r="Q1" s="113"/>
      <c r="R1" s="113"/>
    </row>
    <row r="2" spans="1:18" x14ac:dyDescent="0.25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3"/>
      <c r="Q2" s="113"/>
      <c r="R2" s="113"/>
    </row>
    <row r="3" spans="1:18" x14ac:dyDescent="0.25">
      <c r="A3" s="112"/>
      <c r="B3" s="112" t="s">
        <v>131</v>
      </c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3"/>
      <c r="Q3" s="113"/>
      <c r="R3" s="113"/>
    </row>
    <row r="4" spans="1:18" x14ac:dyDescent="0.25">
      <c r="A4" s="112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3"/>
      <c r="Q4" s="113"/>
      <c r="R4" s="113"/>
    </row>
    <row r="5" spans="1:18" x14ac:dyDescent="0.25">
      <c r="A5" s="112"/>
      <c r="B5" s="114">
        <v>1</v>
      </c>
      <c r="C5" s="112" t="s">
        <v>132</v>
      </c>
      <c r="D5" s="112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3"/>
      <c r="Q5" s="113"/>
      <c r="R5" s="113"/>
    </row>
    <row r="6" spans="1:18" x14ac:dyDescent="0.25">
      <c r="A6" s="112"/>
      <c r="B6" s="112"/>
      <c r="C6" s="112" t="s">
        <v>180</v>
      </c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3"/>
      <c r="Q6" s="113"/>
      <c r="R6" s="113"/>
    </row>
    <row r="7" spans="1:18" x14ac:dyDescent="0.25">
      <c r="A7" s="112"/>
      <c r="B7" s="112"/>
      <c r="C7" s="112" t="s">
        <v>133</v>
      </c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3"/>
      <c r="Q7" s="113"/>
      <c r="R7" s="113"/>
    </row>
    <row r="8" spans="1:18" x14ac:dyDescent="0.25">
      <c r="A8" s="112"/>
      <c r="B8" s="112"/>
      <c r="C8" s="112"/>
      <c r="D8" s="112"/>
      <c r="E8" s="112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13"/>
      <c r="Q8" s="113"/>
      <c r="R8" s="113"/>
    </row>
    <row r="9" spans="1:18" x14ac:dyDescent="0.25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3"/>
      <c r="Q9" s="113"/>
      <c r="R9" s="113"/>
    </row>
    <row r="10" spans="1:18" x14ac:dyDescent="0.25">
      <c r="A10" s="112"/>
      <c r="B10" s="112"/>
      <c r="C10" s="112"/>
      <c r="D10" s="112"/>
      <c r="E10" s="112"/>
      <c r="F10" s="112"/>
      <c r="G10" s="112"/>
      <c r="H10" s="112"/>
      <c r="I10" s="112"/>
      <c r="J10" s="112"/>
      <c r="K10" s="112"/>
      <c r="L10" s="112"/>
      <c r="M10" s="112"/>
      <c r="N10" s="112"/>
      <c r="O10" s="112"/>
      <c r="P10" s="113"/>
      <c r="Q10" s="113"/>
      <c r="R10" s="113"/>
    </row>
    <row r="11" spans="1:18" x14ac:dyDescent="0.25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3"/>
      <c r="Q11" s="113"/>
      <c r="R11" s="113"/>
    </row>
    <row r="12" spans="1:18" x14ac:dyDescent="0.25">
      <c r="A12" s="112"/>
      <c r="B12" s="112"/>
      <c r="C12" s="112"/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3"/>
      <c r="Q12" s="113"/>
      <c r="R12" s="113"/>
    </row>
    <row r="13" spans="1:18" x14ac:dyDescent="0.25">
      <c r="A13" s="112"/>
      <c r="B13" s="112"/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3"/>
      <c r="Q13" s="113"/>
      <c r="R13" s="113"/>
    </row>
    <row r="14" spans="1:18" x14ac:dyDescent="0.25">
      <c r="A14" s="112"/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3"/>
      <c r="Q14" s="113"/>
      <c r="R14" s="113"/>
    </row>
    <row r="15" spans="1:18" x14ac:dyDescent="0.25">
      <c r="A15" s="112"/>
      <c r="B15" s="112"/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3"/>
      <c r="Q15" s="113"/>
      <c r="R15" s="113"/>
    </row>
    <row r="16" spans="1:18" x14ac:dyDescent="0.25">
      <c r="A16" s="112"/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3"/>
      <c r="Q16" s="113"/>
      <c r="R16" s="113"/>
    </row>
    <row r="17" spans="1:18" x14ac:dyDescent="0.25">
      <c r="A17" s="112"/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3"/>
      <c r="Q17" s="113"/>
      <c r="R17" s="113"/>
    </row>
    <row r="18" spans="1:18" x14ac:dyDescent="0.25">
      <c r="A18" s="112"/>
      <c r="B18" s="112"/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3"/>
      <c r="Q18" s="113"/>
      <c r="R18" s="113"/>
    </row>
    <row r="19" spans="1:18" x14ac:dyDescent="0.25">
      <c r="A19" s="112"/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3"/>
      <c r="Q19" s="113"/>
      <c r="R19" s="113"/>
    </row>
    <row r="20" spans="1:18" x14ac:dyDescent="0.25">
      <c r="A20" s="112"/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3"/>
      <c r="Q20" s="113"/>
      <c r="R20" s="113"/>
    </row>
    <row r="21" spans="1:18" x14ac:dyDescent="0.25">
      <c r="A21" s="112"/>
      <c r="B21" s="114">
        <v>2</v>
      </c>
      <c r="C21" s="112" t="s">
        <v>134</v>
      </c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3"/>
      <c r="Q21" s="113"/>
      <c r="R21" s="113"/>
    </row>
    <row r="22" spans="1:18" x14ac:dyDescent="0.25">
      <c r="A22" s="112"/>
      <c r="B22" s="114"/>
      <c r="C22" s="112" t="s">
        <v>135</v>
      </c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3"/>
      <c r="Q22" s="113"/>
      <c r="R22" s="113"/>
    </row>
    <row r="23" spans="1:18" x14ac:dyDescent="0.25">
      <c r="A23" s="112"/>
      <c r="B23" s="114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3"/>
      <c r="Q23" s="113"/>
      <c r="R23" s="113"/>
    </row>
    <row r="24" spans="1:18" x14ac:dyDescent="0.25">
      <c r="A24" s="112"/>
      <c r="B24" s="114">
        <v>3</v>
      </c>
      <c r="C24" s="112" t="s">
        <v>136</v>
      </c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3"/>
      <c r="Q24" s="113"/>
      <c r="R24" s="113"/>
    </row>
    <row r="25" spans="1:18" x14ac:dyDescent="0.25">
      <c r="A25" s="112"/>
      <c r="B25" s="114"/>
      <c r="C25" s="112" t="s">
        <v>137</v>
      </c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3"/>
      <c r="Q25" s="113"/>
      <c r="R25" s="113"/>
    </row>
    <row r="26" spans="1:18" x14ac:dyDescent="0.25">
      <c r="A26" s="112"/>
      <c r="B26" s="114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3"/>
      <c r="Q26" s="113"/>
      <c r="R26" s="113"/>
    </row>
    <row r="27" spans="1:18" x14ac:dyDescent="0.25">
      <c r="A27" s="112"/>
      <c r="B27" s="114">
        <v>4</v>
      </c>
      <c r="C27" s="112" t="s">
        <v>138</v>
      </c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3"/>
      <c r="Q27" s="113"/>
      <c r="R27" s="113"/>
    </row>
    <row r="28" spans="1:18" x14ac:dyDescent="0.25">
      <c r="A28" s="112"/>
      <c r="B28" s="112"/>
      <c r="C28" s="112" t="s">
        <v>139</v>
      </c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3"/>
      <c r="Q28" s="113"/>
      <c r="R28" s="113"/>
    </row>
    <row r="29" spans="1:18" x14ac:dyDescent="0.25">
      <c r="A29" s="112"/>
      <c r="B29" s="112"/>
      <c r="C29" s="112" t="s">
        <v>140</v>
      </c>
      <c r="D29" s="112"/>
      <c r="E29" s="112"/>
      <c r="F29" s="112"/>
      <c r="G29" s="112"/>
      <c r="H29" s="112"/>
      <c r="I29" s="112"/>
      <c r="J29" s="112"/>
      <c r="K29" s="112"/>
      <c r="L29" s="112"/>
      <c r="M29" s="112"/>
      <c r="N29" s="112"/>
      <c r="O29" s="112"/>
      <c r="P29" s="113"/>
      <c r="Q29" s="113"/>
      <c r="R29" s="113"/>
    </row>
    <row r="30" spans="1:18" x14ac:dyDescent="0.25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112"/>
      <c r="M30" s="112"/>
      <c r="N30" s="112"/>
      <c r="O30" s="112"/>
      <c r="P30" s="113"/>
      <c r="Q30" s="113"/>
      <c r="R30" s="113"/>
    </row>
    <row r="31" spans="1:18" x14ac:dyDescent="0.25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3"/>
      <c r="Q31" s="113"/>
      <c r="R31" s="113"/>
    </row>
    <row r="32" spans="1:18" x14ac:dyDescent="0.25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3"/>
      <c r="Q32" s="113"/>
      <c r="R32" s="113"/>
    </row>
    <row r="33" spans="1:18" x14ac:dyDescent="0.25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3"/>
      <c r="Q33" s="113"/>
      <c r="R33" s="113"/>
    </row>
    <row r="34" spans="1:18" x14ac:dyDescent="0.25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3"/>
      <c r="Q34" s="113"/>
      <c r="R34" s="113"/>
    </row>
    <row r="35" spans="1:18" x14ac:dyDescent="0.25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3"/>
      <c r="Q35" s="113"/>
      <c r="R35" s="113"/>
    </row>
    <row r="36" spans="1:18" x14ac:dyDescent="0.25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3"/>
      <c r="Q36" s="113"/>
      <c r="R36" s="113"/>
    </row>
    <row r="37" spans="1:18" x14ac:dyDescent="0.25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3"/>
      <c r="Q37" s="113"/>
      <c r="R37" s="113"/>
    </row>
    <row r="38" spans="1:18" x14ac:dyDescent="0.25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3"/>
      <c r="Q38" s="113"/>
      <c r="R38" s="113"/>
    </row>
    <row r="39" spans="1:18" x14ac:dyDescent="0.25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3"/>
      <c r="Q39" s="113"/>
      <c r="R39" s="113"/>
    </row>
    <row r="40" spans="1:18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3"/>
      <c r="Q40" s="113"/>
      <c r="R40" s="113"/>
    </row>
    <row r="41" spans="1:18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3"/>
      <c r="Q41" s="113"/>
      <c r="R41" s="113"/>
    </row>
    <row r="42" spans="1:18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3"/>
      <c r="Q42" s="113"/>
      <c r="R42" s="113"/>
    </row>
    <row r="43" spans="1:18" x14ac:dyDescent="0.25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3"/>
      <c r="Q43" s="113"/>
      <c r="R43" s="113"/>
    </row>
    <row r="44" spans="1:18" x14ac:dyDescent="0.25">
      <c r="A44" s="112"/>
      <c r="B44" s="112"/>
      <c r="C44" s="112" t="s">
        <v>141</v>
      </c>
      <c r="D44" s="112"/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3"/>
      <c r="Q44" s="113"/>
      <c r="R44" s="113"/>
    </row>
    <row r="45" spans="1:18" x14ac:dyDescent="0.25">
      <c r="A45" s="112"/>
      <c r="B45" s="112"/>
      <c r="C45" s="112" t="s">
        <v>142</v>
      </c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3"/>
      <c r="Q45" s="113"/>
      <c r="R45" s="113"/>
    </row>
    <row r="46" spans="1:18" x14ac:dyDescent="0.25">
      <c r="A46" s="112"/>
      <c r="B46" s="112"/>
      <c r="C46" s="112" t="s">
        <v>143</v>
      </c>
      <c r="D46" s="112"/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3"/>
      <c r="Q46" s="113"/>
      <c r="R46" s="113"/>
    </row>
    <row r="47" spans="1:18" x14ac:dyDescent="0.25">
      <c r="A47" s="112"/>
      <c r="B47" s="112"/>
      <c r="C47" s="112" t="s">
        <v>144</v>
      </c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3"/>
      <c r="Q47" s="113"/>
      <c r="R47" s="113"/>
    </row>
    <row r="48" spans="1:18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3"/>
      <c r="Q48" s="113"/>
      <c r="R48" s="113"/>
    </row>
    <row r="49" spans="1:18" x14ac:dyDescent="0.25">
      <c r="A49" s="112"/>
      <c r="B49" s="114">
        <v>5</v>
      </c>
      <c r="C49" s="112" t="s">
        <v>147</v>
      </c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3"/>
      <c r="Q49" s="113"/>
      <c r="R49" s="113"/>
    </row>
    <row r="50" spans="1:18" x14ac:dyDescent="0.25">
      <c r="A50" s="112"/>
      <c r="B50" s="112"/>
      <c r="C50" s="112" t="s">
        <v>148</v>
      </c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3"/>
      <c r="Q50" s="113"/>
      <c r="R50" s="113"/>
    </row>
    <row r="51" spans="1:18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3"/>
      <c r="Q51" s="113"/>
      <c r="R51" s="113"/>
    </row>
    <row r="52" spans="1:18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3"/>
      <c r="Q52" s="113"/>
      <c r="R52" s="113"/>
    </row>
    <row r="53" spans="1:18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115" t="s">
        <v>149</v>
      </c>
      <c r="M53" s="112"/>
      <c r="N53" s="112"/>
      <c r="O53" s="115"/>
      <c r="P53" s="113"/>
      <c r="Q53" s="113"/>
      <c r="R53" s="113"/>
    </row>
    <row r="54" spans="1:18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3"/>
      <c r="Q54" s="113"/>
      <c r="R54" s="113"/>
    </row>
    <row r="55" spans="1:18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6">
        <v>1</v>
      </c>
      <c r="L55" s="112" t="s">
        <v>150</v>
      </c>
      <c r="M55" s="112"/>
      <c r="N55" s="116"/>
      <c r="O55" s="112"/>
      <c r="P55" s="113"/>
      <c r="Q55" s="113"/>
      <c r="R55" s="113"/>
    </row>
    <row r="56" spans="1:18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6"/>
      <c r="L56" s="112" t="s">
        <v>151</v>
      </c>
      <c r="M56" s="112"/>
      <c r="N56" s="116"/>
      <c r="O56" s="112"/>
      <c r="P56" s="113"/>
      <c r="Q56" s="113"/>
      <c r="R56" s="113"/>
    </row>
    <row r="57" spans="1:18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6">
        <v>2</v>
      </c>
      <c r="L57" s="112" t="s">
        <v>152</v>
      </c>
      <c r="M57" s="112"/>
      <c r="N57" s="116"/>
      <c r="O57" s="112"/>
      <c r="P57" s="113"/>
      <c r="Q57" s="113"/>
      <c r="R57" s="113"/>
    </row>
    <row r="58" spans="1:18" x14ac:dyDescent="0.25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6"/>
      <c r="L58" s="112" t="s">
        <v>153</v>
      </c>
      <c r="M58" s="112"/>
      <c r="N58" s="116"/>
      <c r="O58" s="112"/>
      <c r="P58" s="113"/>
      <c r="Q58" s="113"/>
      <c r="R58" s="113"/>
    </row>
    <row r="59" spans="1:18" x14ac:dyDescent="0.25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6">
        <v>3</v>
      </c>
      <c r="L59" s="112" t="s">
        <v>154</v>
      </c>
      <c r="M59" s="112"/>
      <c r="N59" s="116"/>
      <c r="O59" s="112"/>
      <c r="P59" s="113"/>
      <c r="Q59" s="113"/>
      <c r="R59" s="113"/>
    </row>
    <row r="60" spans="1:18" x14ac:dyDescent="0.25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6">
        <v>4</v>
      </c>
      <c r="L60" s="112" t="s">
        <v>155</v>
      </c>
      <c r="M60" s="112"/>
      <c r="N60" s="116"/>
      <c r="O60" s="112"/>
      <c r="P60" s="113"/>
      <c r="Q60" s="113"/>
      <c r="R60" s="113"/>
    </row>
    <row r="61" spans="1:18" x14ac:dyDescent="0.25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6">
        <v>5</v>
      </c>
      <c r="L61" s="112" t="s">
        <v>156</v>
      </c>
      <c r="M61" s="112"/>
      <c r="N61" s="116"/>
      <c r="O61" s="112"/>
      <c r="P61" s="113"/>
      <c r="Q61" s="113"/>
      <c r="R61" s="113"/>
    </row>
    <row r="62" spans="1:18" x14ac:dyDescent="0.25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6">
        <v>6</v>
      </c>
      <c r="L62" s="112" t="s">
        <v>157</v>
      </c>
      <c r="M62" s="112"/>
      <c r="N62" s="116"/>
      <c r="O62" s="112"/>
      <c r="P62" s="113"/>
      <c r="Q62" s="113"/>
      <c r="R62" s="113"/>
    </row>
    <row r="63" spans="1:18" x14ac:dyDescent="0.25">
      <c r="A63" s="112"/>
      <c r="B63" s="112"/>
      <c r="C63" s="112"/>
      <c r="D63" s="112"/>
      <c r="E63" s="112"/>
      <c r="F63" s="112"/>
      <c r="G63" s="112"/>
      <c r="H63" s="112"/>
      <c r="I63" s="112"/>
      <c r="J63" s="112"/>
      <c r="K63" s="116">
        <v>7</v>
      </c>
      <c r="L63" s="112" t="s">
        <v>158</v>
      </c>
      <c r="M63" s="112"/>
      <c r="N63" s="116"/>
      <c r="O63" s="112"/>
      <c r="P63" s="113"/>
      <c r="Q63" s="113"/>
      <c r="R63" s="113"/>
    </row>
    <row r="64" spans="1:18" x14ac:dyDescent="0.25">
      <c r="A64" s="112"/>
      <c r="B64" s="112"/>
      <c r="C64" s="112"/>
      <c r="D64" s="112"/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3"/>
      <c r="Q64" s="113"/>
      <c r="R64" s="113"/>
    </row>
    <row r="65" spans="1:18" x14ac:dyDescent="0.25">
      <c r="A65" s="112"/>
      <c r="B65" s="112"/>
      <c r="C65" s="112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3"/>
      <c r="Q65" s="113"/>
      <c r="R65" s="113"/>
    </row>
    <row r="66" spans="1:18" x14ac:dyDescent="0.25">
      <c r="A66" s="112"/>
      <c r="B66" s="112"/>
      <c r="C66" s="112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3"/>
      <c r="Q66" s="113"/>
      <c r="R66" s="113"/>
    </row>
    <row r="67" spans="1:18" x14ac:dyDescent="0.25">
      <c r="A67" s="112"/>
      <c r="B67" s="112"/>
      <c r="C67" s="112"/>
      <c r="D67" s="112"/>
      <c r="E67" s="112"/>
      <c r="F67" s="112"/>
      <c r="G67" s="112"/>
      <c r="H67" s="112"/>
      <c r="I67" s="112"/>
      <c r="J67" s="112"/>
      <c r="K67" s="112"/>
      <c r="L67" s="112"/>
      <c r="M67" s="112"/>
      <c r="N67" s="112"/>
      <c r="O67" s="112"/>
      <c r="P67" s="113"/>
      <c r="Q67" s="113"/>
      <c r="R67" s="113"/>
    </row>
    <row r="68" spans="1:18" x14ac:dyDescent="0.25">
      <c r="A68" s="112"/>
      <c r="B68" s="112"/>
      <c r="C68" s="112"/>
      <c r="D68" s="112"/>
      <c r="E68" s="112"/>
      <c r="F68" s="112"/>
      <c r="G68" s="112"/>
      <c r="H68" s="112"/>
      <c r="I68" s="112"/>
      <c r="J68" s="112"/>
      <c r="K68" s="112"/>
      <c r="L68" s="112"/>
      <c r="M68" s="112"/>
      <c r="N68" s="112"/>
      <c r="O68" s="112"/>
      <c r="P68" s="113"/>
      <c r="Q68" s="113"/>
      <c r="R68" s="113"/>
    </row>
    <row r="69" spans="1:18" x14ac:dyDescent="0.25">
      <c r="A69" s="112"/>
      <c r="B69" s="112"/>
      <c r="C69" s="112"/>
      <c r="D69" s="112"/>
      <c r="E69" s="112"/>
      <c r="F69" s="112"/>
      <c r="G69" s="112"/>
      <c r="H69" s="112"/>
      <c r="I69" s="112"/>
      <c r="J69" s="112"/>
      <c r="K69" s="112"/>
      <c r="L69" s="112"/>
      <c r="M69" s="112"/>
      <c r="N69" s="112"/>
      <c r="O69" s="112"/>
      <c r="P69" s="113"/>
      <c r="Q69" s="113"/>
      <c r="R69" s="113"/>
    </row>
    <row r="70" spans="1:18" x14ac:dyDescent="0.25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  <c r="L70" s="112"/>
      <c r="M70" s="112"/>
      <c r="N70" s="112"/>
      <c r="O70" s="112"/>
      <c r="P70" s="113"/>
      <c r="Q70" s="113"/>
      <c r="R70" s="113"/>
    </row>
    <row r="71" spans="1:18" x14ac:dyDescent="0.25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  <c r="L71" s="112"/>
      <c r="M71" s="112"/>
      <c r="N71" s="112"/>
      <c r="O71" s="112"/>
      <c r="P71" s="113"/>
      <c r="Q71" s="113"/>
      <c r="R71" s="113"/>
    </row>
    <row r="72" spans="1:18" x14ac:dyDescent="0.25">
      <c r="A72" s="112"/>
      <c r="B72" s="112"/>
      <c r="C72" s="112"/>
      <c r="D72" s="112"/>
      <c r="E72" s="112"/>
      <c r="F72" s="112"/>
      <c r="G72" s="112"/>
      <c r="H72" s="112"/>
      <c r="I72" s="112"/>
      <c r="J72" s="112"/>
      <c r="K72" s="112"/>
      <c r="L72" s="112"/>
      <c r="M72" s="112"/>
      <c r="N72" s="112"/>
      <c r="O72" s="112"/>
      <c r="P72" s="113"/>
      <c r="Q72" s="113"/>
      <c r="R72" s="113"/>
    </row>
    <row r="73" spans="1:18" x14ac:dyDescent="0.25">
      <c r="A73" s="112"/>
      <c r="B73" s="112"/>
      <c r="C73" s="112"/>
      <c r="D73" s="112"/>
      <c r="E73" s="112"/>
      <c r="F73" s="112"/>
      <c r="G73" s="112"/>
      <c r="H73" s="112"/>
      <c r="I73" s="112"/>
      <c r="J73" s="112"/>
      <c r="K73" s="112"/>
      <c r="L73" s="112"/>
      <c r="M73" s="112"/>
      <c r="N73" s="112"/>
      <c r="O73" s="112"/>
      <c r="P73" s="113"/>
      <c r="Q73" s="113"/>
      <c r="R73" s="113"/>
    </row>
    <row r="74" spans="1:18" x14ac:dyDescent="0.25">
      <c r="A74" s="112"/>
      <c r="B74" s="112"/>
      <c r="C74" s="112"/>
      <c r="D74" s="112"/>
      <c r="E74" s="112"/>
      <c r="F74" s="112"/>
      <c r="G74" s="112"/>
      <c r="H74" s="112"/>
      <c r="I74" s="112"/>
      <c r="J74" s="112"/>
      <c r="K74" s="112"/>
      <c r="L74" s="112"/>
      <c r="M74" s="112"/>
      <c r="N74" s="112"/>
      <c r="O74" s="112"/>
      <c r="P74" s="113"/>
      <c r="Q74" s="113"/>
      <c r="R74" s="113"/>
    </row>
    <row r="75" spans="1:18" x14ac:dyDescent="0.25">
      <c r="A75" s="112"/>
      <c r="B75" s="112"/>
      <c r="C75" s="112"/>
      <c r="D75" s="112"/>
      <c r="E75" s="112"/>
      <c r="F75" s="112"/>
      <c r="G75" s="112"/>
      <c r="H75" s="112"/>
      <c r="I75" s="112"/>
      <c r="J75" s="112"/>
      <c r="K75" s="112"/>
      <c r="L75" s="112"/>
      <c r="M75" s="112"/>
      <c r="N75" s="112"/>
      <c r="O75" s="112"/>
      <c r="P75" s="113"/>
      <c r="Q75" s="113"/>
      <c r="R75" s="113"/>
    </row>
    <row r="76" spans="1:18" x14ac:dyDescent="0.25">
      <c r="A76" s="112"/>
      <c r="B76" s="112"/>
      <c r="C76" s="112"/>
      <c r="D76" s="112"/>
      <c r="E76" s="112"/>
      <c r="F76" s="112"/>
      <c r="G76" s="112"/>
      <c r="H76" s="112"/>
      <c r="I76" s="112"/>
      <c r="J76" s="112"/>
      <c r="K76" s="112"/>
      <c r="L76" s="112"/>
      <c r="M76" s="112"/>
      <c r="N76" s="112"/>
      <c r="O76" s="112"/>
      <c r="P76" s="113"/>
      <c r="Q76" s="113"/>
      <c r="R76" s="113"/>
    </row>
    <row r="77" spans="1:18" x14ac:dyDescent="0.25">
      <c r="A77" s="112"/>
      <c r="B77" s="112"/>
      <c r="C77" s="112"/>
      <c r="D77" s="112"/>
      <c r="E77" s="112"/>
      <c r="F77" s="112"/>
      <c r="G77" s="112"/>
      <c r="H77" s="112"/>
      <c r="I77" s="112"/>
      <c r="J77" s="112"/>
      <c r="K77" s="112"/>
      <c r="L77" s="112"/>
      <c r="M77" s="112"/>
      <c r="N77" s="112"/>
      <c r="O77" s="112"/>
      <c r="P77" s="113"/>
      <c r="Q77" s="113"/>
      <c r="R77" s="113"/>
    </row>
    <row r="78" spans="1:18" x14ac:dyDescent="0.25">
      <c r="A78" s="112"/>
      <c r="B78" s="112"/>
      <c r="C78" s="112" t="s">
        <v>145</v>
      </c>
      <c r="D78" s="112"/>
      <c r="E78" s="112"/>
      <c r="F78" s="112"/>
      <c r="G78" s="112"/>
      <c r="H78" s="112"/>
      <c r="I78" s="112"/>
      <c r="J78" s="112"/>
      <c r="K78" s="112"/>
      <c r="L78" s="112"/>
      <c r="M78" s="112"/>
      <c r="N78" s="112"/>
      <c r="O78" s="112"/>
      <c r="P78" s="113"/>
      <c r="Q78" s="113"/>
      <c r="R78" s="113"/>
    </row>
    <row r="79" spans="1:18" x14ac:dyDescent="0.25">
      <c r="A79" s="112"/>
      <c r="B79" s="112"/>
      <c r="C79" s="112"/>
      <c r="D79" s="112"/>
      <c r="E79" s="112"/>
      <c r="F79" s="112"/>
      <c r="G79" s="112"/>
      <c r="H79" s="112"/>
      <c r="I79" s="112"/>
      <c r="J79" s="112"/>
      <c r="K79" s="112"/>
      <c r="L79" s="112"/>
      <c r="M79" s="112"/>
      <c r="N79" s="112"/>
      <c r="O79" s="112"/>
      <c r="P79" s="113"/>
      <c r="Q79" s="113"/>
      <c r="R79" s="113"/>
    </row>
    <row r="80" spans="1:18" x14ac:dyDescent="0.25">
      <c r="A80" s="112"/>
      <c r="B80" s="112"/>
      <c r="C80" s="112"/>
      <c r="D80" s="112"/>
      <c r="E80" s="112"/>
      <c r="F80" s="112"/>
      <c r="G80" s="112"/>
      <c r="H80" s="112"/>
      <c r="I80" s="112"/>
      <c r="J80" s="112"/>
      <c r="K80" s="112"/>
      <c r="L80" s="112"/>
      <c r="M80" s="112"/>
      <c r="N80" s="112"/>
      <c r="O80" s="112"/>
      <c r="P80" s="113"/>
      <c r="Q80" s="113"/>
      <c r="R80" s="113"/>
    </row>
    <row r="81" spans="1:15" x14ac:dyDescent="0.25">
      <c r="A81" s="107"/>
      <c r="B81" s="107"/>
      <c r="C81" s="107"/>
      <c r="D81" s="107"/>
      <c r="E81" s="107"/>
      <c r="F81" s="107"/>
      <c r="G81" s="107"/>
      <c r="H81" s="107"/>
      <c r="I81" s="107"/>
      <c r="J81" s="107"/>
      <c r="K81" s="107"/>
      <c r="L81" s="107"/>
      <c r="M81" s="107"/>
      <c r="N81" s="107"/>
      <c r="O81" s="107"/>
    </row>
    <row r="82" spans="1:15" x14ac:dyDescent="0.25">
      <c r="A82" s="107"/>
      <c r="B82" s="107"/>
      <c r="C82" s="107"/>
      <c r="D82" s="107"/>
      <c r="E82" s="107"/>
      <c r="F82" s="107"/>
      <c r="G82" s="107"/>
      <c r="H82" s="107"/>
      <c r="I82" s="107"/>
      <c r="J82" s="107"/>
      <c r="K82" s="107"/>
      <c r="L82" s="107"/>
      <c r="M82" s="107"/>
      <c r="N82" s="107"/>
      <c r="O82" s="107"/>
    </row>
    <row r="83" spans="1:15" x14ac:dyDescent="0.25">
      <c r="A83" s="107"/>
      <c r="B83" s="107"/>
      <c r="C83" s="107"/>
      <c r="D83" s="107"/>
      <c r="E83" s="107"/>
      <c r="F83" s="107"/>
      <c r="G83" s="107"/>
      <c r="H83" s="107"/>
      <c r="I83" s="107"/>
      <c r="J83" s="107"/>
      <c r="K83" s="107"/>
      <c r="L83" s="107"/>
      <c r="M83" s="107"/>
      <c r="N83" s="107"/>
      <c r="O83" s="107"/>
    </row>
    <row r="84" spans="1:15" x14ac:dyDescent="0.25">
      <c r="A84" s="107"/>
      <c r="B84" s="107"/>
      <c r="C84" s="107"/>
      <c r="D84" s="107"/>
      <c r="E84" s="107"/>
      <c r="F84" s="107"/>
      <c r="G84" s="107"/>
      <c r="H84" s="107"/>
      <c r="I84" s="107"/>
      <c r="J84" s="107"/>
      <c r="K84" s="107"/>
      <c r="L84" s="107"/>
      <c r="M84" s="107"/>
      <c r="N84" s="107"/>
      <c r="O84" s="107"/>
    </row>
    <row r="85" spans="1:15" x14ac:dyDescent="0.25">
      <c r="A85" s="107"/>
      <c r="B85" s="107"/>
      <c r="C85" s="107"/>
      <c r="D85" s="107"/>
      <c r="E85" s="107"/>
      <c r="F85" s="107"/>
      <c r="G85" s="107"/>
      <c r="H85" s="107"/>
      <c r="I85" s="107"/>
      <c r="J85" s="107"/>
      <c r="K85" s="107"/>
      <c r="L85" s="107"/>
      <c r="M85" s="107"/>
      <c r="N85" s="107"/>
      <c r="O85" s="107"/>
    </row>
    <row r="86" spans="1:15" x14ac:dyDescent="0.25">
      <c r="A86" s="107"/>
      <c r="B86" s="107"/>
      <c r="C86" s="107"/>
      <c r="D86" s="107"/>
      <c r="E86" s="107"/>
      <c r="F86" s="107"/>
      <c r="G86" s="107"/>
      <c r="H86" s="107"/>
      <c r="I86" s="107"/>
      <c r="J86" s="107"/>
      <c r="K86" s="107"/>
      <c r="L86" s="107"/>
      <c r="M86" s="107"/>
      <c r="N86" s="107"/>
      <c r="O86" s="107"/>
    </row>
    <row r="87" spans="1:15" x14ac:dyDescent="0.25">
      <c r="A87" s="107"/>
      <c r="B87" s="107"/>
      <c r="C87" s="107"/>
      <c r="D87" s="107"/>
      <c r="E87" s="107"/>
      <c r="F87" s="107"/>
      <c r="G87" s="107"/>
      <c r="H87" s="107"/>
      <c r="I87" s="107"/>
      <c r="J87" s="107"/>
      <c r="K87" s="107"/>
      <c r="L87" s="107"/>
      <c r="M87" s="107"/>
      <c r="N87" s="107"/>
      <c r="O87" s="107"/>
    </row>
    <row r="88" spans="1:15" x14ac:dyDescent="0.25">
      <c r="A88" s="107"/>
      <c r="B88" s="107"/>
      <c r="C88" s="107"/>
      <c r="D88" s="107"/>
      <c r="E88" s="107"/>
      <c r="F88" s="107"/>
      <c r="G88" s="107"/>
      <c r="H88" s="107"/>
      <c r="I88" s="107"/>
      <c r="J88" s="107"/>
      <c r="K88" s="107"/>
      <c r="L88" s="107"/>
      <c r="M88" s="107"/>
      <c r="N88" s="107"/>
      <c r="O88" s="107"/>
    </row>
    <row r="89" spans="1:15" x14ac:dyDescent="0.25">
      <c r="A89" s="107"/>
      <c r="B89" s="107"/>
      <c r="C89" s="107"/>
      <c r="D89" s="107"/>
      <c r="E89" s="107"/>
      <c r="F89" s="107"/>
      <c r="G89" s="107"/>
      <c r="H89" s="107"/>
      <c r="I89" s="107"/>
      <c r="J89" s="107"/>
      <c r="K89" s="107"/>
      <c r="L89" s="107"/>
      <c r="M89" s="107"/>
      <c r="N89" s="107"/>
      <c r="O89" s="107"/>
    </row>
    <row r="90" spans="1:15" x14ac:dyDescent="0.25">
      <c r="A90" s="107"/>
      <c r="B90" s="107"/>
      <c r="C90" s="107"/>
      <c r="D90" s="107"/>
      <c r="E90" s="107"/>
      <c r="F90" s="107"/>
      <c r="G90" s="107"/>
      <c r="H90" s="107"/>
      <c r="I90" s="107"/>
      <c r="J90" s="107"/>
      <c r="K90" s="107"/>
      <c r="L90" s="107"/>
      <c r="M90" s="107"/>
      <c r="N90" s="107"/>
      <c r="O90" s="107"/>
    </row>
    <row r="91" spans="1:15" ht="13.5" customHeight="1" x14ac:dyDescent="0.25">
      <c r="A91" s="107"/>
      <c r="B91" s="107"/>
      <c r="C91" s="107"/>
      <c r="D91" s="107"/>
      <c r="E91" s="107"/>
      <c r="F91" s="107"/>
      <c r="G91" s="107"/>
      <c r="H91" s="107"/>
      <c r="I91" s="107"/>
      <c r="J91" s="107"/>
      <c r="K91" s="107"/>
      <c r="L91" s="107"/>
      <c r="M91" s="107"/>
      <c r="N91" s="107"/>
      <c r="O91" s="107"/>
    </row>
    <row r="92" spans="1:15" x14ac:dyDescent="0.25">
      <c r="A92" s="107"/>
      <c r="B92" s="107"/>
      <c r="C92" s="107"/>
      <c r="D92" s="107"/>
      <c r="E92" s="107"/>
      <c r="F92" s="107"/>
      <c r="G92" s="107"/>
      <c r="H92" s="107"/>
      <c r="I92" s="107"/>
      <c r="J92" s="107"/>
      <c r="K92" s="107"/>
      <c r="L92" s="107"/>
      <c r="M92" s="107"/>
      <c r="N92" s="107"/>
      <c r="O92" s="107"/>
    </row>
    <row r="93" spans="1:15" x14ac:dyDescent="0.25">
      <c r="A93" s="107"/>
      <c r="B93" s="107"/>
      <c r="C93" s="107"/>
      <c r="D93" s="107"/>
      <c r="E93" s="107"/>
      <c r="F93" s="107"/>
      <c r="G93" s="107"/>
      <c r="H93" s="107"/>
      <c r="I93" s="107"/>
      <c r="J93" s="107"/>
      <c r="K93" s="107"/>
      <c r="L93" s="107"/>
      <c r="M93" s="107"/>
      <c r="N93" s="107"/>
      <c r="O93" s="107"/>
    </row>
    <row r="94" spans="1:15" x14ac:dyDescent="0.25">
      <c r="A94" s="107"/>
      <c r="B94" s="107"/>
      <c r="C94" s="107"/>
      <c r="D94" s="107"/>
      <c r="E94" s="107"/>
      <c r="F94" s="107"/>
      <c r="G94" s="107"/>
      <c r="H94" s="107"/>
      <c r="I94" s="107"/>
      <c r="J94" s="107"/>
      <c r="K94" s="107"/>
      <c r="L94" s="107"/>
      <c r="M94" s="107"/>
      <c r="N94" s="107"/>
      <c r="O94" s="107"/>
    </row>
    <row r="95" spans="1:15" x14ac:dyDescent="0.25">
      <c r="A95" s="107"/>
      <c r="B95" s="107"/>
      <c r="C95" s="107"/>
      <c r="D95" s="107"/>
      <c r="E95" s="107"/>
      <c r="F95" s="107"/>
      <c r="G95" s="107"/>
      <c r="H95" s="107"/>
      <c r="I95" s="107"/>
      <c r="J95" s="107"/>
      <c r="K95" s="107"/>
      <c r="L95" s="107"/>
      <c r="M95" s="107"/>
      <c r="N95" s="107"/>
      <c r="O95" s="107"/>
    </row>
    <row r="96" spans="1:15" x14ac:dyDescent="0.25">
      <c r="A96" s="107"/>
      <c r="B96" s="107"/>
      <c r="C96" s="107"/>
      <c r="D96" s="107"/>
      <c r="E96" s="107"/>
      <c r="F96" s="107"/>
      <c r="G96" s="107"/>
      <c r="H96" s="107"/>
      <c r="I96" s="107"/>
      <c r="J96" s="107"/>
      <c r="K96" s="107"/>
      <c r="L96" s="107"/>
      <c r="M96" s="107"/>
      <c r="N96" s="107"/>
      <c r="O96" s="107"/>
    </row>
    <row r="97" spans="1:15" x14ac:dyDescent="0.25">
      <c r="A97" s="107"/>
      <c r="B97" s="107"/>
      <c r="C97" s="107"/>
      <c r="D97" s="107"/>
      <c r="E97" s="107"/>
      <c r="F97" s="107"/>
      <c r="G97" s="107"/>
      <c r="H97" s="107"/>
      <c r="I97" s="107"/>
      <c r="J97" s="107"/>
      <c r="K97" s="107"/>
      <c r="L97" s="107"/>
      <c r="M97" s="107"/>
      <c r="N97" s="107"/>
      <c r="O97" s="107"/>
    </row>
    <row r="98" spans="1:15" x14ac:dyDescent="0.25">
      <c r="A98" s="107"/>
      <c r="B98" s="107"/>
      <c r="C98" s="107"/>
      <c r="D98" s="107"/>
      <c r="E98" s="107"/>
      <c r="F98" s="107"/>
      <c r="G98" s="107"/>
      <c r="H98" s="107"/>
      <c r="I98" s="107"/>
      <c r="J98" s="107"/>
      <c r="K98" s="107"/>
      <c r="L98" s="107"/>
      <c r="M98" s="107"/>
      <c r="N98" s="107"/>
      <c r="O98" s="107"/>
    </row>
    <row r="99" spans="1:15" x14ac:dyDescent="0.25">
      <c r="A99" s="107"/>
      <c r="B99" s="107"/>
      <c r="C99" s="107"/>
      <c r="D99" s="107"/>
      <c r="E99" s="107"/>
      <c r="F99" s="107"/>
      <c r="G99" s="107"/>
      <c r="H99" s="107"/>
      <c r="I99" s="107"/>
      <c r="J99" s="107"/>
      <c r="K99" s="107"/>
      <c r="L99" s="107"/>
      <c r="M99" s="107"/>
      <c r="N99" s="107"/>
      <c r="O99" s="107"/>
    </row>
    <row r="100" spans="1:15" x14ac:dyDescent="0.25">
      <c r="A100" s="107"/>
      <c r="B100" s="107"/>
      <c r="C100" s="107"/>
      <c r="D100" s="107"/>
      <c r="E100" s="107"/>
      <c r="F100" s="107"/>
      <c r="G100" s="107"/>
      <c r="H100" s="107"/>
      <c r="I100" s="107"/>
      <c r="J100" s="107"/>
      <c r="K100" s="107"/>
      <c r="L100" s="107"/>
      <c r="M100" s="107"/>
      <c r="N100" s="107"/>
      <c r="O100" s="107"/>
    </row>
    <row r="101" spans="1:15" x14ac:dyDescent="0.25">
      <c r="A101" s="107"/>
      <c r="B101" s="107"/>
      <c r="C101" s="107"/>
      <c r="D101" s="107"/>
      <c r="E101" s="107"/>
      <c r="F101" s="107"/>
      <c r="G101" s="107"/>
      <c r="H101" s="107"/>
      <c r="I101" s="107"/>
      <c r="J101" s="107"/>
      <c r="K101" s="107"/>
      <c r="L101" s="107"/>
      <c r="M101" s="107"/>
      <c r="N101" s="107"/>
      <c r="O101" s="107"/>
    </row>
    <row r="102" spans="1:15" x14ac:dyDescent="0.25">
      <c r="A102" s="107"/>
      <c r="B102" s="107"/>
      <c r="C102" s="107"/>
      <c r="D102" s="107"/>
      <c r="E102" s="107"/>
      <c r="F102" s="107"/>
      <c r="G102" s="107"/>
      <c r="H102" s="107"/>
      <c r="I102" s="107"/>
      <c r="J102" s="107"/>
      <c r="K102" s="107"/>
      <c r="L102" s="107"/>
      <c r="M102" s="107"/>
      <c r="N102" s="107"/>
      <c r="O102" s="107"/>
    </row>
    <row r="103" spans="1:15" x14ac:dyDescent="0.25">
      <c r="A103" s="107"/>
      <c r="B103" s="107"/>
      <c r="C103" s="107"/>
      <c r="D103" s="107"/>
      <c r="E103" s="107"/>
      <c r="F103" s="107"/>
      <c r="G103" s="107"/>
      <c r="H103" s="107"/>
      <c r="I103" s="107"/>
      <c r="J103" s="107"/>
      <c r="K103" s="107"/>
      <c r="L103" s="107"/>
      <c r="M103" s="107"/>
      <c r="N103" s="107"/>
      <c r="O103" s="107"/>
    </row>
    <row r="104" spans="1:15" x14ac:dyDescent="0.25">
      <c r="A104" s="107"/>
      <c r="B104" s="107"/>
      <c r="C104" s="107"/>
      <c r="D104" s="107"/>
      <c r="E104" s="107"/>
      <c r="F104" s="107"/>
      <c r="G104" s="107"/>
      <c r="H104" s="107"/>
      <c r="I104" s="107"/>
      <c r="J104" s="107"/>
      <c r="K104" s="107"/>
      <c r="L104" s="107"/>
      <c r="M104" s="107"/>
      <c r="N104" s="107"/>
      <c r="O104" s="107"/>
    </row>
    <row r="105" spans="1:15" x14ac:dyDescent="0.25">
      <c r="A105" s="107"/>
      <c r="B105" s="107"/>
      <c r="C105" s="107"/>
      <c r="D105" s="107"/>
      <c r="E105" s="107"/>
      <c r="F105" s="107"/>
      <c r="G105" s="107"/>
      <c r="H105" s="107"/>
      <c r="I105" s="107"/>
      <c r="J105" s="107"/>
      <c r="K105" s="107"/>
      <c r="L105" s="107"/>
      <c r="M105" s="107"/>
      <c r="N105" s="107"/>
      <c r="O105" s="107"/>
    </row>
    <row r="106" spans="1:15" x14ac:dyDescent="0.25">
      <c r="A106" s="107"/>
      <c r="B106" s="107"/>
      <c r="C106" s="107"/>
      <c r="D106" s="107"/>
      <c r="E106" s="107"/>
      <c r="F106" s="107"/>
      <c r="G106" s="107"/>
      <c r="H106" s="107"/>
      <c r="I106" s="107"/>
      <c r="J106" s="107"/>
      <c r="K106" s="107"/>
      <c r="L106" s="107"/>
      <c r="M106" s="107"/>
      <c r="N106" s="107"/>
      <c r="O106" s="107"/>
    </row>
    <row r="107" spans="1:15" x14ac:dyDescent="0.25">
      <c r="A107" s="107"/>
      <c r="B107" s="107"/>
      <c r="C107" s="107"/>
      <c r="D107" s="107"/>
      <c r="E107" s="107"/>
      <c r="F107" s="107"/>
      <c r="G107" s="107"/>
      <c r="H107" s="107"/>
      <c r="I107" s="107"/>
      <c r="J107" s="107"/>
      <c r="K107" s="107"/>
      <c r="L107" s="107"/>
      <c r="M107" s="107"/>
      <c r="N107" s="107"/>
      <c r="O107" s="107"/>
    </row>
    <row r="108" spans="1:15" x14ac:dyDescent="0.25">
      <c r="A108" s="107"/>
      <c r="B108" s="107"/>
      <c r="C108" s="107"/>
      <c r="D108" s="107"/>
      <c r="E108" s="107"/>
      <c r="F108" s="107"/>
      <c r="G108" s="107"/>
      <c r="H108" s="107"/>
      <c r="I108" s="107"/>
      <c r="J108" s="107"/>
      <c r="K108" s="107"/>
      <c r="L108" s="107"/>
      <c r="M108" s="107"/>
      <c r="N108" s="107"/>
      <c r="O108" s="107"/>
    </row>
    <row r="109" spans="1:15" x14ac:dyDescent="0.25">
      <c r="A109" s="107"/>
      <c r="B109" s="107"/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</row>
    <row r="110" spans="1:15" x14ac:dyDescent="0.25">
      <c r="A110" s="107"/>
      <c r="B110" s="107"/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</row>
    <row r="111" spans="1:15" x14ac:dyDescent="0.25">
      <c r="A111" s="107"/>
      <c r="B111" s="107"/>
      <c r="C111" s="107"/>
      <c r="D111" s="107"/>
      <c r="E111" s="107"/>
      <c r="F111" s="107"/>
      <c r="G111" s="107"/>
      <c r="H111" s="107"/>
      <c r="I111" s="107"/>
      <c r="J111" s="107"/>
      <c r="K111" s="107"/>
      <c r="L111" s="107"/>
      <c r="M111" s="107"/>
      <c r="N111" s="107"/>
      <c r="O111" s="107"/>
    </row>
    <row r="112" spans="1:15" x14ac:dyDescent="0.25">
      <c r="A112" s="107"/>
      <c r="B112" s="107"/>
      <c r="C112" s="107"/>
      <c r="D112" s="107"/>
      <c r="E112" s="107"/>
      <c r="F112" s="107"/>
      <c r="G112" s="107"/>
      <c r="H112" s="107"/>
      <c r="I112" s="107"/>
      <c r="J112" s="107"/>
      <c r="K112" s="107"/>
      <c r="L112" s="107"/>
      <c r="M112" s="107"/>
      <c r="N112" s="107"/>
      <c r="O112" s="107"/>
    </row>
    <row r="113" spans="1:15" x14ac:dyDescent="0.25">
      <c r="A113" s="107"/>
      <c r="B113" s="107"/>
      <c r="C113" s="107"/>
      <c r="D113" s="107"/>
      <c r="E113" s="107"/>
      <c r="F113" s="107"/>
      <c r="G113" s="107"/>
      <c r="H113" s="107"/>
      <c r="I113" s="107"/>
      <c r="J113" s="107"/>
      <c r="K113" s="107"/>
      <c r="L113" s="107"/>
      <c r="M113" s="107"/>
      <c r="N113" s="107"/>
      <c r="O113" s="107"/>
    </row>
    <row r="114" spans="1:15" x14ac:dyDescent="0.25">
      <c r="A114" s="107"/>
      <c r="B114" s="107"/>
      <c r="C114" s="107"/>
      <c r="D114" s="107"/>
      <c r="E114" s="107"/>
      <c r="F114" s="107"/>
      <c r="G114" s="107"/>
      <c r="H114" s="107"/>
      <c r="I114" s="107"/>
      <c r="J114" s="107"/>
      <c r="K114" s="107"/>
      <c r="L114" s="107"/>
      <c r="M114" s="107"/>
      <c r="N114" s="107"/>
      <c r="O114" s="107"/>
    </row>
    <row r="115" spans="1:15" x14ac:dyDescent="0.25">
      <c r="A115" s="107"/>
      <c r="B115" s="107"/>
      <c r="C115" s="107"/>
      <c r="D115" s="107"/>
      <c r="E115" s="107"/>
      <c r="F115" s="107"/>
      <c r="G115" s="107"/>
      <c r="H115" s="107"/>
      <c r="I115" s="107"/>
      <c r="J115" s="107"/>
      <c r="K115" s="107"/>
      <c r="L115" s="107"/>
      <c r="M115" s="107"/>
      <c r="N115" s="107"/>
      <c r="O115" s="107"/>
    </row>
    <row r="116" spans="1:15" x14ac:dyDescent="0.25">
      <c r="A116" s="107"/>
      <c r="B116" s="107"/>
      <c r="C116" s="107"/>
      <c r="D116" s="107"/>
      <c r="E116" s="107"/>
      <c r="F116" s="107"/>
      <c r="G116" s="107"/>
      <c r="H116" s="107"/>
      <c r="I116" s="107"/>
      <c r="J116" s="107"/>
      <c r="K116" s="107"/>
      <c r="L116" s="107"/>
      <c r="M116" s="107"/>
      <c r="N116" s="107"/>
      <c r="O116" s="107"/>
    </row>
    <row r="117" spans="1:15" x14ac:dyDescent="0.25">
      <c r="A117" s="107"/>
      <c r="B117" s="107"/>
      <c r="C117" s="107"/>
      <c r="D117" s="107"/>
      <c r="E117" s="107"/>
      <c r="F117" s="107"/>
      <c r="G117" s="107"/>
      <c r="H117" s="107"/>
      <c r="I117" s="107"/>
      <c r="J117" s="107"/>
      <c r="K117" s="107"/>
      <c r="L117" s="107"/>
      <c r="M117" s="107"/>
      <c r="N117" s="107"/>
      <c r="O117" s="107"/>
    </row>
    <row r="118" spans="1:15" x14ac:dyDescent="0.25">
      <c r="A118" s="107"/>
      <c r="B118" s="107"/>
      <c r="C118" s="107"/>
      <c r="D118" s="107"/>
      <c r="E118" s="107"/>
      <c r="F118" s="107"/>
      <c r="G118" s="107"/>
      <c r="H118" s="107"/>
      <c r="I118" s="107"/>
      <c r="J118" s="107"/>
      <c r="K118" s="107"/>
      <c r="L118" s="107"/>
      <c r="M118" s="107"/>
      <c r="N118" s="107"/>
      <c r="O118" s="107"/>
    </row>
    <row r="119" spans="1:15" x14ac:dyDescent="0.25">
      <c r="A119" s="107"/>
      <c r="B119" s="107"/>
      <c r="C119" s="107"/>
      <c r="D119" s="107"/>
      <c r="E119" s="107"/>
      <c r="F119" s="107"/>
      <c r="G119" s="107"/>
      <c r="H119" s="107"/>
      <c r="I119" s="107"/>
      <c r="J119" s="107"/>
      <c r="K119" s="107"/>
      <c r="L119" s="107"/>
      <c r="M119" s="107"/>
      <c r="N119" s="107"/>
      <c r="O119" s="107"/>
    </row>
    <row r="120" spans="1:15" x14ac:dyDescent="0.25">
      <c r="A120" s="107"/>
      <c r="B120" s="107"/>
      <c r="C120" s="107"/>
      <c r="D120" s="107"/>
      <c r="E120" s="107"/>
      <c r="F120" s="107"/>
      <c r="G120" s="107"/>
      <c r="H120" s="107"/>
      <c r="I120" s="107"/>
      <c r="J120" s="107"/>
      <c r="K120" s="107"/>
      <c r="L120" s="107"/>
      <c r="M120" s="107"/>
      <c r="N120" s="107"/>
      <c r="O120" s="107"/>
    </row>
    <row r="121" spans="1:15" x14ac:dyDescent="0.25">
      <c r="A121" s="107"/>
      <c r="B121" s="107"/>
      <c r="C121" s="107"/>
      <c r="D121" s="107"/>
      <c r="E121" s="107"/>
      <c r="F121" s="107"/>
      <c r="G121" s="107"/>
      <c r="H121" s="107"/>
      <c r="I121" s="107"/>
      <c r="J121" s="107"/>
      <c r="K121" s="107"/>
      <c r="L121" s="107"/>
      <c r="M121" s="107"/>
      <c r="N121" s="107"/>
      <c r="O121" s="107"/>
    </row>
  </sheetData>
  <pageMargins left="0.70866141732283472" right="0.70866141732283472" top="0.74803149606299213" bottom="0.74803149606299213" header="0.31496062992125984" footer="0.31496062992125984"/>
  <pageSetup paperSize="9" orientation="landscape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B0F0"/>
  </sheetPr>
  <dimension ref="B2:H26"/>
  <sheetViews>
    <sheetView workbookViewId="0">
      <selection activeCell="B7" sqref="B7:C7"/>
    </sheetView>
  </sheetViews>
  <sheetFormatPr baseColWidth="10" defaultRowHeight="15" x14ac:dyDescent="0.25"/>
  <cols>
    <col min="1" max="1" width="5.7109375" customWidth="1"/>
    <col min="2" max="2" width="15" bestFit="1" customWidth="1"/>
  </cols>
  <sheetData>
    <row r="2" spans="2:8" x14ac:dyDescent="0.25">
      <c r="B2" s="318" t="s">
        <v>9</v>
      </c>
      <c r="C2" s="318"/>
    </row>
    <row r="3" spans="2:8" x14ac:dyDescent="0.25">
      <c r="B3" s="31" t="s">
        <v>10</v>
      </c>
      <c r="C3" s="32" t="s">
        <v>11</v>
      </c>
    </row>
    <row r="4" spans="2:8" x14ac:dyDescent="0.25">
      <c r="B4" s="1" t="s">
        <v>164</v>
      </c>
      <c r="C4" s="9">
        <v>30</v>
      </c>
    </row>
    <row r="5" spans="2:8" x14ac:dyDescent="0.25">
      <c r="B5" s="1" t="s">
        <v>163</v>
      </c>
      <c r="C5" s="9">
        <v>18</v>
      </c>
    </row>
    <row r="6" spans="2:8" x14ac:dyDescent="0.25">
      <c r="B6" s="1" t="s">
        <v>165</v>
      </c>
      <c r="C6" s="9">
        <v>20</v>
      </c>
    </row>
    <row r="7" spans="2:8" x14ac:dyDescent="0.25">
      <c r="B7" s="1" t="s">
        <v>166</v>
      </c>
      <c r="C7" s="9">
        <v>20</v>
      </c>
    </row>
    <row r="8" spans="2:8" x14ac:dyDescent="0.25">
      <c r="B8" s="1" t="s">
        <v>203</v>
      </c>
      <c r="C8" s="9">
        <v>15</v>
      </c>
    </row>
    <row r="9" spans="2:8" x14ac:dyDescent="0.25">
      <c r="B9" s="1" t="s">
        <v>204</v>
      </c>
      <c r="C9" s="9">
        <v>25</v>
      </c>
    </row>
    <row r="10" spans="2:8" x14ac:dyDescent="0.25">
      <c r="B10" s="1" t="s">
        <v>205</v>
      </c>
      <c r="C10" s="9">
        <v>18</v>
      </c>
    </row>
    <row r="15" spans="2:8" x14ac:dyDescent="0.25">
      <c r="B15" s="1"/>
      <c r="C15" s="9"/>
      <c r="D15" s="9" t="s">
        <v>43</v>
      </c>
      <c r="E15" s="9"/>
      <c r="F15" s="1"/>
      <c r="G15" s="1"/>
      <c r="H15" s="1"/>
    </row>
    <row r="16" spans="2:8" x14ac:dyDescent="0.25">
      <c r="B16" s="1" t="s">
        <v>21</v>
      </c>
      <c r="C16" s="9">
        <v>380.98</v>
      </c>
      <c r="D16" s="9">
        <v>0</v>
      </c>
      <c r="E16" s="9">
        <f t="shared" ref="E16:E26" si="0">+C16/2</f>
        <v>190.49</v>
      </c>
      <c r="F16" s="1"/>
      <c r="G16" s="1"/>
      <c r="H16" s="1"/>
    </row>
    <row r="17" spans="2:8" x14ac:dyDescent="0.25">
      <c r="B17" s="1" t="s">
        <v>22</v>
      </c>
      <c r="C17" s="9">
        <v>366</v>
      </c>
      <c r="D17" s="9">
        <v>0</v>
      </c>
      <c r="E17" s="9">
        <f t="shared" si="0"/>
        <v>183</v>
      </c>
      <c r="F17" s="1"/>
      <c r="G17" s="1"/>
      <c r="H17" s="1"/>
    </row>
    <row r="18" spans="2:8" x14ac:dyDescent="0.25">
      <c r="B18" s="1" t="s">
        <v>18</v>
      </c>
      <c r="C18" s="9">
        <v>371.68</v>
      </c>
      <c r="D18" s="9">
        <v>0</v>
      </c>
      <c r="E18" s="9">
        <f t="shared" si="0"/>
        <v>185.84</v>
      </c>
      <c r="F18" s="1"/>
      <c r="G18" s="1"/>
      <c r="H18" s="1"/>
    </row>
    <row r="19" spans="2:8" x14ac:dyDescent="0.25">
      <c r="B19" s="1" t="s">
        <v>32</v>
      </c>
      <c r="C19" s="9">
        <v>371.68</v>
      </c>
      <c r="D19" s="9">
        <v>0</v>
      </c>
      <c r="E19" s="9">
        <f t="shared" si="0"/>
        <v>185.84</v>
      </c>
      <c r="F19" s="1" t="s">
        <v>33</v>
      </c>
      <c r="G19" s="1"/>
      <c r="H19" s="1"/>
    </row>
    <row r="20" spans="2:8" x14ac:dyDescent="0.25">
      <c r="B20" s="1" t="s">
        <v>23</v>
      </c>
      <c r="C20" s="9">
        <v>370.58</v>
      </c>
      <c r="D20" s="9">
        <v>0</v>
      </c>
      <c r="E20" s="9">
        <f t="shared" si="0"/>
        <v>185.29</v>
      </c>
      <c r="F20" s="1"/>
      <c r="G20" s="1"/>
      <c r="H20" s="1"/>
    </row>
    <row r="21" spans="2:8" x14ac:dyDescent="0.25">
      <c r="B21" s="1" t="s">
        <v>24</v>
      </c>
      <c r="C21" s="9">
        <v>378.24</v>
      </c>
      <c r="D21" s="9">
        <v>0</v>
      </c>
      <c r="E21" s="9">
        <f t="shared" si="0"/>
        <v>189.12</v>
      </c>
      <c r="F21" s="1" t="s">
        <v>42</v>
      </c>
      <c r="G21" s="1"/>
      <c r="H21" s="1"/>
    </row>
    <row r="22" spans="2:8" x14ac:dyDescent="0.25">
      <c r="B22" s="1" t="s">
        <v>49</v>
      </c>
      <c r="C22" s="9">
        <v>380.98</v>
      </c>
      <c r="D22" s="9">
        <v>0</v>
      </c>
      <c r="E22" s="9">
        <f t="shared" si="0"/>
        <v>190.49</v>
      </c>
      <c r="F22" s="1"/>
      <c r="G22" s="1"/>
      <c r="H22" s="1"/>
    </row>
    <row r="23" spans="2:8" x14ac:dyDescent="0.25">
      <c r="B23" s="1" t="s">
        <v>57</v>
      </c>
      <c r="C23" s="9">
        <v>371.92</v>
      </c>
      <c r="D23" s="9"/>
      <c r="E23" s="9">
        <f t="shared" si="0"/>
        <v>185.96</v>
      </c>
      <c r="F23" s="1"/>
      <c r="G23" s="1"/>
      <c r="H23" s="1"/>
    </row>
    <row r="24" spans="2:8" x14ac:dyDescent="0.25">
      <c r="B24" s="1" t="s">
        <v>25</v>
      </c>
      <c r="C24" s="9">
        <v>410.82</v>
      </c>
      <c r="D24" s="9">
        <v>0</v>
      </c>
      <c r="E24" s="9">
        <f t="shared" si="0"/>
        <v>205.41</v>
      </c>
      <c r="F24" s="1"/>
      <c r="G24" s="1"/>
      <c r="H24" s="1"/>
    </row>
    <row r="25" spans="2:8" x14ac:dyDescent="0.25">
      <c r="B25" s="1" t="s">
        <v>26</v>
      </c>
      <c r="C25" s="9">
        <v>400</v>
      </c>
      <c r="D25" s="9">
        <v>0</v>
      </c>
      <c r="E25" s="9">
        <f t="shared" si="0"/>
        <v>200</v>
      </c>
      <c r="F25" s="1"/>
      <c r="G25" s="1"/>
      <c r="H25" s="1"/>
    </row>
    <row r="26" spans="2:8" x14ac:dyDescent="0.25">
      <c r="B26" s="1" t="s">
        <v>27</v>
      </c>
      <c r="C26" s="9">
        <v>647.1</v>
      </c>
      <c r="D26" s="9">
        <v>0</v>
      </c>
      <c r="E26" s="9">
        <f t="shared" si="0"/>
        <v>323.55</v>
      </c>
      <c r="F26" s="1"/>
      <c r="G26" s="1"/>
      <c r="H26" s="1"/>
    </row>
  </sheetData>
  <sheetProtection selectLockedCells="1" selectUnlockedCells="1"/>
  <sortState ref="B4:C10">
    <sortCondition ref="B4"/>
  </sortState>
  <mergeCells count="1">
    <mergeCell ref="B2:C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00B0F0"/>
  </sheetPr>
  <dimension ref="B4:N39"/>
  <sheetViews>
    <sheetView zoomScale="80" zoomScaleNormal="80" workbookViewId="0">
      <selection activeCell="B15" sqref="B15"/>
    </sheetView>
  </sheetViews>
  <sheetFormatPr baseColWidth="10" defaultRowHeight="15" x14ac:dyDescent="0.25"/>
  <cols>
    <col min="2" max="3" width="26.42578125" bestFit="1" customWidth="1"/>
    <col min="5" max="5" width="12.7109375" bestFit="1" customWidth="1"/>
    <col min="8" max="8" width="6.28515625" bestFit="1" customWidth="1"/>
    <col min="10" max="10" width="8" bestFit="1" customWidth="1"/>
    <col min="11" max="11" width="5.7109375" customWidth="1"/>
    <col min="12" max="12" width="11.140625" customWidth="1"/>
    <col min="13" max="13" width="9" customWidth="1"/>
    <col min="14" max="24" width="5.7109375" customWidth="1"/>
  </cols>
  <sheetData>
    <row r="4" spans="2:14" x14ac:dyDescent="0.25">
      <c r="B4" s="67">
        <f>+'CONTROL H.E.'!C6-'CONTROL H.E.'!C5</f>
        <v>0</v>
      </c>
    </row>
    <row r="5" spans="2:14" x14ac:dyDescent="0.25">
      <c r="B5" s="33" t="str">
        <f>IF(B7=15,"PRIMERA QUINCENA","SEGUNDA QUINCENA")</f>
        <v>SEGUNDA QUINCENA</v>
      </c>
    </row>
    <row r="6" spans="2:14" x14ac:dyDescent="0.25">
      <c r="B6" s="1">
        <f>DAY('CONTROL H.E.'!C5)</f>
        <v>0</v>
      </c>
    </row>
    <row r="7" spans="2:14" x14ac:dyDescent="0.25">
      <c r="B7" s="1">
        <f>DAY('CONTROL H.E.'!C6)</f>
        <v>0</v>
      </c>
    </row>
    <row r="8" spans="2:14" x14ac:dyDescent="0.25">
      <c r="B8" s="1">
        <f>MONTH('CONTROL H.E.'!C6)</f>
        <v>1</v>
      </c>
    </row>
    <row r="9" spans="2:14" x14ac:dyDescent="0.25">
      <c r="B9" s="1" t="str">
        <f>IF(B8=1,"ENERO",IF(B8=2,"FEBRERO",IF(B8=3,"MARZO",IF(B8=4,"ABRIL",IF(B8=5,"MAYO",IF(B8=6,"JUNIO",IF(B8=7,"JULIO",IF(B8=8,"AGOSTO",IF(B8=9,"SEPTIEMBRE",IF(B8=10,"OCTUBRE",IF(B8=11,"NOVIEMBRE",IF(B8=12,"DICIEMBRE",0))))))))))))</f>
        <v>ENERO</v>
      </c>
    </row>
    <row r="10" spans="2:14" x14ac:dyDescent="0.25">
      <c r="B10" s="1">
        <f>YEAR('CONTROL H.E.'!C6)</f>
        <v>1900</v>
      </c>
    </row>
    <row r="11" spans="2:14" x14ac:dyDescent="0.25">
      <c r="B11" s="69" t="str">
        <f>CONCATENATE(B5," DE ",B9," DEL ",B10)</f>
        <v>SEGUNDA QUINCENA DE ENERO DEL 1900</v>
      </c>
    </row>
    <row r="12" spans="2:14" x14ac:dyDescent="0.25">
      <c r="B12" s="69" t="str">
        <f>CONCATENATE("DEL ",B6," AL ",B7," DE ",B9," DEL ",B10)</f>
        <v>DEL 0 AL 0 DE ENERO DEL 1900</v>
      </c>
    </row>
    <row r="14" spans="2:14" x14ac:dyDescent="0.25">
      <c r="B14" s="130">
        <f>+'CONTROL H.E.'!C5</f>
        <v>0</v>
      </c>
      <c r="C14" s="130">
        <f>+'CONTROL H.E.'!C6</f>
        <v>0</v>
      </c>
      <c r="D14" s="81" t="str">
        <f>IF(B14=0," ",VLOOKUP(B14,B:D,3))</f>
        <v xml:space="preserve"> </v>
      </c>
      <c r="E14" s="81">
        <f>'CONTROL H.E.'!C6-'CONTROL H.E.'!C5</f>
        <v>0</v>
      </c>
      <c r="F14">
        <f>+'Reporte Asistencia Laboral'!G7+VARIOS!E14</f>
        <v>0</v>
      </c>
    </row>
    <row r="15" spans="2:14" x14ac:dyDescent="0.25">
      <c r="B15" s="80" t="s">
        <v>104</v>
      </c>
      <c r="C15" s="80" t="s">
        <v>105</v>
      </c>
      <c r="D15" s="80" t="s">
        <v>106</v>
      </c>
      <c r="H15" t="s">
        <v>107</v>
      </c>
      <c r="I15" t="s">
        <v>108</v>
      </c>
      <c r="J15" t="s">
        <v>109</v>
      </c>
    </row>
    <row r="16" spans="2:14" x14ac:dyDescent="0.25">
      <c r="B16" s="231">
        <v>43466</v>
      </c>
      <c r="C16" s="141"/>
      <c r="D16">
        <v>1</v>
      </c>
      <c r="H16">
        <v>1</v>
      </c>
      <c r="I16" t="s">
        <v>110</v>
      </c>
      <c r="J16" t="s">
        <v>3</v>
      </c>
      <c r="K16">
        <f>DAY(L16)</f>
        <v>0</v>
      </c>
      <c r="L16" s="25">
        <f>'CONTROL H.E.'!C5</f>
        <v>0</v>
      </c>
      <c r="M16" s="27">
        <f>WEEKDAY(L16)</f>
        <v>7</v>
      </c>
      <c r="N16" s="27" t="str">
        <f>VLOOKUP(M16,H:J,3,FALSE)</f>
        <v>S</v>
      </c>
    </row>
    <row r="17" spans="2:14" x14ac:dyDescent="0.25">
      <c r="B17" s="141">
        <f>B16+15</f>
        <v>43481</v>
      </c>
      <c r="C17" s="141"/>
      <c r="D17">
        <v>2</v>
      </c>
      <c r="H17">
        <v>2</v>
      </c>
      <c r="I17" t="s">
        <v>111</v>
      </c>
      <c r="J17" t="s">
        <v>4</v>
      </c>
      <c r="K17">
        <f t="shared" ref="K17:K30" si="0">DAY(L17)</f>
        <v>1</v>
      </c>
      <c r="L17" s="25">
        <f>L16+1</f>
        <v>1</v>
      </c>
      <c r="M17" s="27">
        <f t="shared" ref="M17:M29" si="1">WEEKDAY(L17)</f>
        <v>1</v>
      </c>
      <c r="N17" s="27" t="str">
        <f t="shared" ref="N17:N30" si="2">VLOOKUP(M17,H:J,3,FALSE)</f>
        <v>D</v>
      </c>
    </row>
    <row r="18" spans="2:14" x14ac:dyDescent="0.25">
      <c r="B18" s="141">
        <f>B16+31</f>
        <v>43497</v>
      </c>
      <c r="C18" s="141"/>
      <c r="D18">
        <v>3</v>
      </c>
      <c r="H18">
        <v>3</v>
      </c>
      <c r="I18" t="s">
        <v>112</v>
      </c>
      <c r="J18" t="s">
        <v>5</v>
      </c>
      <c r="K18">
        <f t="shared" si="0"/>
        <v>2</v>
      </c>
      <c r="L18" s="25">
        <f t="shared" ref="L18:L29" si="3">L17+1</f>
        <v>2</v>
      </c>
      <c r="M18" s="27">
        <f t="shared" si="1"/>
        <v>2</v>
      </c>
      <c r="N18" s="27" t="str">
        <f t="shared" si="2"/>
        <v>L</v>
      </c>
    </row>
    <row r="19" spans="2:14" x14ac:dyDescent="0.25">
      <c r="B19" s="141">
        <f>B18+15</f>
        <v>43512</v>
      </c>
      <c r="C19" s="141"/>
      <c r="D19">
        <v>4</v>
      </c>
      <c r="H19">
        <v>4</v>
      </c>
      <c r="I19" t="s">
        <v>113</v>
      </c>
      <c r="J19" t="s">
        <v>6</v>
      </c>
      <c r="K19">
        <f t="shared" si="0"/>
        <v>3</v>
      </c>
      <c r="L19" s="25">
        <f t="shared" si="3"/>
        <v>3</v>
      </c>
      <c r="M19" s="27">
        <f t="shared" si="1"/>
        <v>3</v>
      </c>
      <c r="N19" s="27" t="str">
        <f t="shared" si="2"/>
        <v>M</v>
      </c>
    </row>
    <row r="20" spans="2:14" x14ac:dyDescent="0.25">
      <c r="B20" s="141">
        <f>B18+28</f>
        <v>43525</v>
      </c>
      <c r="C20" s="141"/>
      <c r="D20">
        <v>5</v>
      </c>
      <c r="H20">
        <v>5</v>
      </c>
      <c r="I20" t="s">
        <v>114</v>
      </c>
      <c r="J20" t="s">
        <v>7</v>
      </c>
      <c r="K20">
        <f t="shared" si="0"/>
        <v>4</v>
      </c>
      <c r="L20" s="25">
        <f t="shared" si="3"/>
        <v>4</v>
      </c>
      <c r="M20" s="27">
        <f t="shared" si="1"/>
        <v>4</v>
      </c>
      <c r="N20" s="27" t="str">
        <f t="shared" si="2"/>
        <v>Mi</v>
      </c>
    </row>
    <row r="21" spans="2:14" x14ac:dyDescent="0.25">
      <c r="B21" s="141">
        <f>B20+15</f>
        <v>43540</v>
      </c>
      <c r="C21" s="141"/>
      <c r="D21">
        <v>6</v>
      </c>
      <c r="H21">
        <v>6</v>
      </c>
      <c r="I21" t="s">
        <v>115</v>
      </c>
      <c r="J21" t="s">
        <v>8</v>
      </c>
      <c r="K21">
        <f t="shared" si="0"/>
        <v>5</v>
      </c>
      <c r="L21" s="25">
        <f t="shared" si="3"/>
        <v>5</v>
      </c>
      <c r="M21" s="27">
        <f t="shared" si="1"/>
        <v>5</v>
      </c>
      <c r="N21" s="27" t="str">
        <f t="shared" si="2"/>
        <v>J</v>
      </c>
    </row>
    <row r="22" spans="2:14" x14ac:dyDescent="0.25">
      <c r="B22" s="141">
        <f>B20+31</f>
        <v>43556</v>
      </c>
      <c r="C22" s="141"/>
      <c r="D22">
        <v>7</v>
      </c>
      <c r="H22">
        <v>7</v>
      </c>
      <c r="I22" t="s">
        <v>116</v>
      </c>
      <c r="J22" t="s">
        <v>2</v>
      </c>
      <c r="K22">
        <f t="shared" si="0"/>
        <v>6</v>
      </c>
      <c r="L22" s="25">
        <f t="shared" si="3"/>
        <v>6</v>
      </c>
      <c r="M22" s="27">
        <f t="shared" si="1"/>
        <v>6</v>
      </c>
      <c r="N22" s="27" t="str">
        <f t="shared" si="2"/>
        <v>V</v>
      </c>
    </row>
    <row r="23" spans="2:14" x14ac:dyDescent="0.25">
      <c r="B23" s="141">
        <f>B22+15</f>
        <v>43571</v>
      </c>
      <c r="C23" s="141"/>
      <c r="D23">
        <v>8</v>
      </c>
      <c r="K23">
        <f t="shared" si="0"/>
        <v>7</v>
      </c>
      <c r="L23" s="25">
        <f t="shared" si="3"/>
        <v>7</v>
      </c>
      <c r="M23" s="27">
        <f t="shared" si="1"/>
        <v>7</v>
      </c>
      <c r="N23" s="27" t="str">
        <f t="shared" si="2"/>
        <v>S</v>
      </c>
    </row>
    <row r="24" spans="2:14" x14ac:dyDescent="0.25">
      <c r="B24" s="141">
        <f>B22+30</f>
        <v>43586</v>
      </c>
      <c r="C24" s="141"/>
      <c r="D24">
        <v>9</v>
      </c>
      <c r="K24">
        <f t="shared" si="0"/>
        <v>8</v>
      </c>
      <c r="L24" s="25">
        <f t="shared" si="3"/>
        <v>8</v>
      </c>
      <c r="M24" s="27">
        <f t="shared" si="1"/>
        <v>1</v>
      </c>
      <c r="N24" s="27" t="str">
        <f t="shared" si="2"/>
        <v>D</v>
      </c>
    </row>
    <row r="25" spans="2:14" x14ac:dyDescent="0.25">
      <c r="B25" s="141">
        <f>B24+15</f>
        <v>43601</v>
      </c>
      <c r="C25" s="141"/>
      <c r="D25">
        <v>10</v>
      </c>
      <c r="K25">
        <f t="shared" si="0"/>
        <v>9</v>
      </c>
      <c r="L25" s="25">
        <f t="shared" si="3"/>
        <v>9</v>
      </c>
      <c r="M25" s="27">
        <f t="shared" si="1"/>
        <v>2</v>
      </c>
      <c r="N25" s="27" t="str">
        <f t="shared" si="2"/>
        <v>L</v>
      </c>
    </row>
    <row r="26" spans="2:14" x14ac:dyDescent="0.25">
      <c r="B26" s="141">
        <f>B24+31</f>
        <v>43617</v>
      </c>
      <c r="C26" s="141"/>
      <c r="D26">
        <v>11</v>
      </c>
      <c r="K26">
        <f t="shared" si="0"/>
        <v>10</v>
      </c>
      <c r="L26" s="25">
        <f t="shared" si="3"/>
        <v>10</v>
      </c>
      <c r="M26" s="27">
        <f t="shared" si="1"/>
        <v>3</v>
      </c>
      <c r="N26" s="27" t="str">
        <f t="shared" si="2"/>
        <v>M</v>
      </c>
    </row>
    <row r="27" spans="2:14" x14ac:dyDescent="0.25">
      <c r="B27" s="141">
        <f>B26+15</f>
        <v>43632</v>
      </c>
      <c r="C27" s="141"/>
      <c r="D27">
        <v>12</v>
      </c>
      <c r="K27">
        <f t="shared" si="0"/>
        <v>11</v>
      </c>
      <c r="L27" s="25">
        <f t="shared" si="3"/>
        <v>11</v>
      </c>
      <c r="M27" s="27">
        <f t="shared" si="1"/>
        <v>4</v>
      </c>
      <c r="N27" s="27" t="str">
        <f t="shared" si="2"/>
        <v>Mi</v>
      </c>
    </row>
    <row r="28" spans="2:14" x14ac:dyDescent="0.25">
      <c r="B28" s="141">
        <f>B26+30</f>
        <v>43647</v>
      </c>
      <c r="C28" s="141"/>
      <c r="D28">
        <v>13</v>
      </c>
      <c r="K28">
        <f t="shared" si="0"/>
        <v>12</v>
      </c>
      <c r="L28" s="25">
        <f t="shared" si="3"/>
        <v>12</v>
      </c>
      <c r="M28" s="27">
        <f t="shared" si="1"/>
        <v>5</v>
      </c>
      <c r="N28" s="27" t="str">
        <f t="shared" si="2"/>
        <v>J</v>
      </c>
    </row>
    <row r="29" spans="2:14" x14ac:dyDescent="0.25">
      <c r="B29" s="141">
        <f>B28+15</f>
        <v>43662</v>
      </c>
      <c r="C29" s="141"/>
      <c r="D29">
        <v>14</v>
      </c>
      <c r="K29">
        <f t="shared" si="0"/>
        <v>13</v>
      </c>
      <c r="L29" s="25">
        <f t="shared" si="3"/>
        <v>13</v>
      </c>
      <c r="M29" s="27">
        <f t="shared" si="1"/>
        <v>6</v>
      </c>
      <c r="N29" s="27" t="str">
        <f t="shared" si="2"/>
        <v>V</v>
      </c>
    </row>
    <row r="30" spans="2:14" x14ac:dyDescent="0.25">
      <c r="B30" s="141">
        <f>B28+31</f>
        <v>43678</v>
      </c>
      <c r="C30" s="141"/>
      <c r="D30">
        <v>15</v>
      </c>
      <c r="K30">
        <f t="shared" si="0"/>
        <v>14</v>
      </c>
      <c r="L30" s="25">
        <f>L29+1</f>
        <v>14</v>
      </c>
      <c r="M30" s="27">
        <f>WEEKDAY(L30)</f>
        <v>7</v>
      </c>
      <c r="N30" s="27" t="str">
        <f t="shared" si="2"/>
        <v>S</v>
      </c>
    </row>
    <row r="31" spans="2:14" x14ac:dyDescent="0.25">
      <c r="B31" s="141">
        <f>B30+15</f>
        <v>43693</v>
      </c>
      <c r="C31" s="141"/>
      <c r="D31">
        <v>16</v>
      </c>
      <c r="K31">
        <f>IF(B4=14," ",DAY(L31))</f>
        <v>15</v>
      </c>
      <c r="L31" s="25">
        <f>IF(B4=14," ",L30+1)</f>
        <v>15</v>
      </c>
      <c r="M31" s="27">
        <f>IF(L31=" "," ", WEEKDAY(L31))</f>
        <v>1</v>
      </c>
      <c r="N31" s="27" t="str">
        <f>IF(M31=" "," ",VLOOKUP(M31,H:J,3,FALSE))</f>
        <v>D</v>
      </c>
    </row>
    <row r="32" spans="2:14" x14ac:dyDescent="0.25">
      <c r="B32" s="141">
        <f>B30+31</f>
        <v>43709</v>
      </c>
      <c r="C32" s="141"/>
      <c r="D32">
        <v>17</v>
      </c>
    </row>
    <row r="33" spans="2:4" x14ac:dyDescent="0.25">
      <c r="B33" s="141">
        <f>B32+15</f>
        <v>43724</v>
      </c>
      <c r="C33" s="141"/>
      <c r="D33">
        <v>18</v>
      </c>
    </row>
    <row r="34" spans="2:4" x14ac:dyDescent="0.25">
      <c r="B34" s="141">
        <f>B32+30</f>
        <v>43739</v>
      </c>
      <c r="C34" s="141"/>
      <c r="D34">
        <v>19</v>
      </c>
    </row>
    <row r="35" spans="2:4" x14ac:dyDescent="0.25">
      <c r="B35" s="141">
        <f>B34+15</f>
        <v>43754</v>
      </c>
      <c r="C35" s="141"/>
      <c r="D35">
        <v>20</v>
      </c>
    </row>
    <row r="36" spans="2:4" x14ac:dyDescent="0.25">
      <c r="B36" s="141">
        <f>B34+31</f>
        <v>43770</v>
      </c>
      <c r="C36" s="141"/>
      <c r="D36">
        <v>21</v>
      </c>
    </row>
    <row r="37" spans="2:4" x14ac:dyDescent="0.25">
      <c r="B37" s="141">
        <f>B36+15</f>
        <v>43785</v>
      </c>
      <c r="C37" s="141"/>
      <c r="D37">
        <v>22</v>
      </c>
    </row>
    <row r="38" spans="2:4" x14ac:dyDescent="0.25">
      <c r="B38" s="141">
        <f>B36+30</f>
        <v>43800</v>
      </c>
      <c r="C38" s="141"/>
      <c r="D38">
        <v>23</v>
      </c>
    </row>
    <row r="39" spans="2:4" x14ac:dyDescent="0.25">
      <c r="B39" s="141">
        <f>B38+15</f>
        <v>43815</v>
      </c>
      <c r="C39" s="141"/>
      <c r="D39">
        <v>24</v>
      </c>
    </row>
  </sheetData>
  <pageMargins left="0.7" right="0.7" top="0.75" bottom="0.75" header="0.3" footer="0.3"/>
  <pageSetup orientation="portrait" horizontalDpi="120" verticalDpi="72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9" tint="-0.249977111117893"/>
  </sheetPr>
  <dimension ref="A1:JP38"/>
  <sheetViews>
    <sheetView topLeftCell="B1" zoomScale="50" zoomScaleNormal="50" workbookViewId="0">
      <selection activeCell="J15" sqref="J15"/>
    </sheetView>
  </sheetViews>
  <sheetFormatPr baseColWidth="10" defaultRowHeight="15" x14ac:dyDescent="0.25"/>
  <cols>
    <col min="1" max="1" width="2.85546875" style="1" hidden="1" customWidth="1"/>
    <col min="2" max="2" width="5.7109375" style="1" customWidth="1"/>
    <col min="3" max="3" width="42.7109375" style="1" customWidth="1"/>
    <col min="4" max="4" width="14.7109375" style="1" customWidth="1"/>
    <col min="5" max="5" width="10.42578125" style="1" hidden="1" customWidth="1"/>
    <col min="6" max="8" width="6.28515625" style="1" customWidth="1"/>
    <col min="9" max="9" width="12.42578125" style="1" customWidth="1"/>
    <col min="10" max="12" width="6.28515625" style="1" customWidth="1"/>
    <col min="13" max="13" width="10.7109375" style="1" customWidth="1"/>
    <col min="14" max="16" width="6.28515625" style="1" customWidth="1"/>
    <col min="17" max="17" width="9.7109375" style="1" customWidth="1"/>
    <col min="18" max="20" width="6.28515625" style="1" customWidth="1"/>
    <col min="21" max="21" width="9.7109375" style="1" customWidth="1"/>
    <col min="22" max="24" width="6.28515625" style="1" customWidth="1"/>
    <col min="25" max="25" width="10.7109375" style="1" customWidth="1"/>
    <col min="26" max="28" width="6.28515625" style="1" customWidth="1"/>
    <col min="29" max="29" width="9.7109375" style="1" customWidth="1"/>
    <col min="30" max="30" width="6.28515625" style="1" customWidth="1"/>
    <col min="31" max="31" width="8.28515625" style="1" bestFit="1" customWidth="1"/>
    <col min="32" max="32" width="6.28515625" style="1" customWidth="1"/>
    <col min="33" max="33" width="10" style="1" bestFit="1" customWidth="1"/>
    <col min="34" max="34" width="8.28515625" style="1" bestFit="1" customWidth="1"/>
    <col min="35" max="35" width="6.28515625" style="1" customWidth="1"/>
    <col min="36" max="36" width="7.7109375" style="1" bestFit="1" customWidth="1"/>
    <col min="37" max="37" width="9.7109375" style="1" customWidth="1"/>
    <col min="38" max="40" width="6.28515625" style="1" customWidth="1"/>
    <col min="41" max="41" width="10.7109375" style="1" customWidth="1"/>
    <col min="42" max="44" width="6.28515625" style="1" customWidth="1"/>
    <col min="45" max="45" width="9.7109375" style="1" customWidth="1"/>
    <col min="46" max="48" width="6.28515625" style="1" customWidth="1"/>
    <col min="49" max="49" width="10.7109375" style="1" customWidth="1"/>
    <col min="50" max="52" width="6.28515625" style="1" customWidth="1"/>
    <col min="53" max="53" width="9.7109375" style="1" customWidth="1"/>
    <col min="54" max="56" width="6.28515625" style="1" customWidth="1"/>
    <col min="57" max="57" width="10.7109375" style="1" customWidth="1"/>
    <col min="58" max="60" width="6.28515625" style="1" customWidth="1"/>
    <col min="61" max="61" width="9.7109375" style="1" customWidth="1"/>
    <col min="62" max="64" width="6.28515625" style="1" customWidth="1"/>
    <col min="65" max="65" width="10.7109375" style="1" customWidth="1"/>
    <col min="66" max="68" width="6.28515625" style="1" customWidth="1"/>
    <col min="69" max="69" width="9.7109375" style="1" customWidth="1"/>
    <col min="70" max="72" width="6.28515625" style="1" customWidth="1"/>
    <col min="73" max="73" width="10.7109375" style="1" customWidth="1"/>
    <col min="74" max="76" width="6.28515625" style="1" customWidth="1"/>
    <col min="77" max="77" width="9.7109375" style="1" customWidth="1"/>
    <col min="78" max="80" width="6.28515625" style="1" customWidth="1"/>
    <col min="81" max="81" width="10.7109375" style="1" customWidth="1"/>
    <col min="82" max="84" width="6.28515625" style="1" customWidth="1"/>
    <col min="85" max="85" width="9.7109375" style="1" customWidth="1"/>
    <col min="86" max="88" width="6.28515625" style="1" customWidth="1"/>
    <col min="89" max="89" width="10.7109375" style="1" customWidth="1"/>
    <col min="90" max="92" width="6.28515625" style="1" customWidth="1"/>
    <col min="93" max="93" width="9.7109375" style="1" customWidth="1"/>
    <col min="94" max="96" width="6.28515625" style="1" customWidth="1"/>
    <col min="97" max="97" width="10.7109375" style="1" customWidth="1"/>
    <col min="98" max="100" width="6.28515625" style="1" customWidth="1"/>
    <col min="101" max="101" width="9.7109375" style="1" customWidth="1"/>
    <col min="102" max="104" width="6.28515625" style="1" customWidth="1"/>
    <col min="105" max="105" width="10.7109375" style="1" customWidth="1"/>
    <col min="106" max="108" width="6.28515625" style="1" customWidth="1"/>
    <col min="109" max="109" width="9.7109375" style="1" customWidth="1"/>
    <col min="110" max="112" width="6.28515625" style="1" customWidth="1"/>
    <col min="113" max="113" width="10.7109375" style="1" customWidth="1"/>
    <col min="114" max="116" width="6.28515625" style="1" customWidth="1"/>
    <col min="117" max="117" width="9.7109375" style="1" customWidth="1"/>
    <col min="118" max="120" width="6.28515625" style="1" customWidth="1"/>
    <col min="121" max="121" width="10.7109375" style="1" customWidth="1"/>
    <col min="122" max="124" width="6.28515625" style="1" customWidth="1"/>
    <col min="125" max="125" width="10.7109375" style="1" customWidth="1"/>
    <col min="126" max="128" width="6.28515625" style="1" customWidth="1"/>
    <col min="129" max="130" width="10.7109375" style="1" customWidth="1"/>
    <col min="131" max="132" width="6.28515625" style="1" customWidth="1"/>
    <col min="133" max="133" width="9.7109375" style="1" customWidth="1"/>
    <col min="134" max="136" width="6.28515625" style="1" customWidth="1"/>
    <col min="137" max="137" width="10.7109375" style="1" customWidth="1"/>
    <col min="138" max="140" width="6.28515625" style="1" customWidth="1"/>
    <col min="141" max="141" width="9.7109375" style="1" customWidth="1"/>
    <col min="142" max="144" width="6.28515625" style="1" customWidth="1"/>
    <col min="145" max="145" width="10.7109375" style="1" customWidth="1"/>
    <col min="146" max="148" width="6.28515625" style="1" customWidth="1"/>
    <col min="149" max="149" width="9.7109375" style="1" customWidth="1"/>
    <col min="150" max="152" width="6.28515625" style="1" customWidth="1"/>
    <col min="153" max="153" width="10.7109375" style="1" customWidth="1"/>
    <col min="154" max="156" width="6.28515625" style="1" customWidth="1"/>
    <col min="157" max="157" width="9.7109375" style="1" customWidth="1"/>
    <col min="158" max="160" width="6.28515625" style="1" customWidth="1"/>
    <col min="161" max="161" width="10.7109375" style="1" customWidth="1"/>
    <col min="162" max="164" width="6.28515625" style="1" customWidth="1"/>
    <col min="165" max="165" width="9.7109375" style="1" customWidth="1"/>
    <col min="166" max="168" width="6.28515625" style="1" customWidth="1"/>
    <col min="169" max="169" width="10.7109375" style="1" customWidth="1"/>
    <col min="170" max="172" width="6.28515625" style="1" customWidth="1"/>
    <col min="173" max="173" width="9.7109375" style="1" customWidth="1"/>
    <col min="174" max="176" width="6.28515625" style="1" customWidth="1"/>
    <col min="177" max="177" width="10.7109375" style="1" customWidth="1"/>
    <col min="178" max="180" width="6.28515625" style="1" customWidth="1"/>
    <col min="181" max="181" width="9.7109375" style="1" customWidth="1"/>
    <col min="182" max="184" width="6.28515625" style="1" customWidth="1"/>
    <col min="185" max="185" width="10.7109375" style="1" customWidth="1"/>
    <col min="186" max="188" width="6.28515625" style="1" customWidth="1"/>
    <col min="189" max="189" width="9.7109375" style="1" customWidth="1"/>
    <col min="190" max="192" width="6.28515625" style="1" customWidth="1"/>
    <col min="193" max="193" width="10.7109375" style="1" customWidth="1"/>
    <col min="194" max="196" width="6.28515625" style="1" customWidth="1"/>
    <col min="197" max="197" width="9.7109375" style="1" customWidth="1"/>
    <col min="198" max="200" width="6.28515625" style="1" customWidth="1"/>
    <col min="201" max="201" width="12.85546875" style="1" customWidth="1"/>
    <col min="202" max="204" width="6.28515625" style="1" customWidth="1"/>
    <col min="205" max="205" width="9.7109375" style="1" customWidth="1"/>
    <col min="206" max="208" width="6.28515625" style="1" customWidth="1"/>
    <col min="209" max="209" width="10.7109375" style="1" customWidth="1"/>
    <col min="210" max="212" width="6.28515625" style="1" customWidth="1"/>
    <col min="213" max="213" width="9.7109375" style="1" customWidth="1"/>
    <col min="214" max="216" width="6.28515625" style="1" customWidth="1"/>
    <col min="217" max="217" width="10.7109375" style="1" customWidth="1"/>
    <col min="218" max="220" width="6.28515625" style="1" customWidth="1"/>
    <col min="221" max="221" width="9.7109375" style="1" customWidth="1"/>
    <col min="222" max="224" width="6.28515625" style="1" customWidth="1"/>
    <col min="225" max="225" width="10.7109375" style="1" customWidth="1"/>
    <col min="226" max="228" width="6.28515625" style="1" customWidth="1"/>
    <col min="229" max="229" width="9.7109375" style="1" customWidth="1"/>
    <col min="230" max="232" width="6.28515625" style="1" customWidth="1"/>
    <col min="233" max="233" width="10.7109375" style="1" customWidth="1"/>
    <col min="234" max="236" width="6.28515625" style="1" customWidth="1"/>
    <col min="237" max="237" width="9.7109375" style="1" customWidth="1"/>
    <col min="238" max="240" width="6.28515625" style="1" customWidth="1"/>
    <col min="241" max="241" width="10.7109375" style="1" customWidth="1"/>
    <col min="242" max="244" width="6.28515625" style="1" customWidth="1"/>
    <col min="245" max="245" width="9.7109375" style="1" customWidth="1"/>
    <col min="246" max="248" width="6.28515625" style="1" customWidth="1"/>
    <col min="249" max="249" width="10.7109375" style="1" customWidth="1"/>
    <col min="250" max="252" width="6.28515625" style="1" customWidth="1"/>
    <col min="253" max="253" width="9.7109375" style="1" customWidth="1"/>
    <col min="254" max="256" width="6.28515625" style="1" customWidth="1"/>
    <col min="257" max="257" width="10.7109375" style="1" customWidth="1"/>
    <col min="258" max="260" width="6.28515625" style="1" customWidth="1"/>
    <col min="261" max="261" width="9.7109375" style="1" customWidth="1"/>
    <col min="262" max="262" width="9.140625" style="9" bestFit="1" customWidth="1"/>
    <col min="263" max="265" width="7.7109375" style="9" customWidth="1"/>
    <col min="266" max="266" width="4.7109375" style="9" customWidth="1"/>
    <col min="270" max="271" width="11.42578125" style="1"/>
    <col min="276" max="276" width="4.7109375" style="9" customWidth="1"/>
    <col min="277" max="16384" width="11.42578125" style="1"/>
  </cols>
  <sheetData>
    <row r="1" spans="2:276" ht="15.75" customHeight="1" x14ac:dyDescent="0.25"/>
    <row r="2" spans="2:276" ht="22.5" x14ac:dyDescent="0.4">
      <c r="C2" s="393" t="s">
        <v>44</v>
      </c>
      <c r="D2" s="393"/>
      <c r="E2" s="393"/>
      <c r="F2" s="92"/>
      <c r="G2" s="92"/>
    </row>
    <row r="3" spans="2:276" ht="23.25" thickBot="1" x14ac:dyDescent="0.45">
      <c r="C3" s="351" t="s">
        <v>101</v>
      </c>
      <c r="D3" s="351"/>
      <c r="E3" s="351"/>
      <c r="F3" s="89"/>
      <c r="G3" s="89"/>
    </row>
    <row r="4" spans="2:276" ht="15.75" thickBot="1" x14ac:dyDescent="0.3">
      <c r="C4" s="34" t="str">
        <f>IF(VARIOS!B4&gt;=14,IF(C5=0," ",+VARIOS!B11)," ")</f>
        <v xml:space="preserve"> </v>
      </c>
      <c r="F4" s="47" t="e">
        <f>IF(F5=7,"F",IF(F5=1,"F",0))</f>
        <v>#VALUE!</v>
      </c>
      <c r="I4" s="26"/>
      <c r="J4" s="26"/>
      <c r="K4" s="26"/>
      <c r="V4" s="47" t="e">
        <f>IF(V5=7,"F",IF(V5=1,"F",0))</f>
        <v>#VALUE!</v>
      </c>
      <c r="W4" s="26"/>
      <c r="X4" s="26"/>
      <c r="Y4" s="26"/>
      <c r="Z4" s="26"/>
      <c r="AA4" s="26"/>
      <c r="AL4" s="47" t="e">
        <f>IF(AL5=7,"F",IF(AL5=1,"F",0))</f>
        <v>#VALUE!</v>
      </c>
      <c r="AM4" s="26"/>
      <c r="AN4" s="26"/>
      <c r="AO4" s="26"/>
      <c r="AP4" s="26"/>
      <c r="AQ4" s="26"/>
      <c r="BB4" s="47" t="e">
        <f>IF(BB5=7,"F",IF(BB5=1,"F",0))</f>
        <v>#VALUE!</v>
      </c>
      <c r="BC4" s="26"/>
      <c r="BD4" s="26"/>
      <c r="BE4" s="26"/>
      <c r="BF4" s="26"/>
      <c r="BG4" s="26"/>
      <c r="BR4" s="47" t="e">
        <f>IF(BR5=7,"F",IF(BR5=1,"F",0))</f>
        <v>#VALUE!</v>
      </c>
      <c r="BS4" s="26"/>
      <c r="BT4" s="26"/>
      <c r="BU4" s="26"/>
      <c r="BV4" s="26"/>
      <c r="BW4" s="26"/>
      <c r="CH4" s="47" t="e">
        <f>IF(CH5=7,"F",IF(CH5=1,"F",0))</f>
        <v>#VALUE!</v>
      </c>
      <c r="CI4" s="26"/>
      <c r="CJ4" s="26"/>
      <c r="CK4" s="26"/>
      <c r="CL4" s="26"/>
      <c r="CM4" s="26"/>
      <c r="CX4" s="47" t="e">
        <f>IF(CX5=7,"F",IF(CX5=1,"F",0))</f>
        <v>#VALUE!</v>
      </c>
      <c r="CY4" s="26"/>
      <c r="CZ4" s="26"/>
      <c r="DA4" s="26"/>
      <c r="DB4" s="26"/>
      <c r="DC4" s="26"/>
      <c r="DN4" s="47" t="e">
        <f>IF(DN5=7,"F",IF(DN5=1,"F",0))</f>
        <v>#VALUE!</v>
      </c>
      <c r="DO4" s="26"/>
      <c r="DP4" s="26"/>
      <c r="DQ4" s="26"/>
      <c r="DR4" s="26"/>
      <c r="DS4" s="26"/>
      <c r="ED4" s="47" t="e">
        <f>IF(ED5=7,"F",IF(ED5=1,"F",0))</f>
        <v>#VALUE!</v>
      </c>
      <c r="EE4" s="26"/>
      <c r="EF4" s="26"/>
      <c r="EG4" s="26"/>
      <c r="EH4" s="26"/>
      <c r="EI4" s="26"/>
      <c r="ET4" s="47" t="e">
        <f>IF(ET5=7,"F",IF(ET5=1,"F",0))</f>
        <v>#VALUE!</v>
      </c>
      <c r="EU4" s="26"/>
      <c r="EV4" s="26"/>
      <c r="EW4" s="26"/>
      <c r="EX4" s="26"/>
      <c r="EY4" s="26"/>
      <c r="FJ4" s="47" t="e">
        <f>IF(FJ5=7,"F",IF(FJ5=1,"F",0))</f>
        <v>#VALUE!</v>
      </c>
      <c r="FK4" s="26"/>
      <c r="FL4" s="26"/>
      <c r="FM4" s="26"/>
      <c r="FN4" s="26"/>
      <c r="FO4" s="26"/>
      <c r="FZ4" s="47" t="e">
        <f>IF(FZ5=7,"F",IF(FZ5=1,"F",0))</f>
        <v>#VALUE!</v>
      </c>
      <c r="GA4" s="26"/>
      <c r="GB4" s="26"/>
      <c r="GC4" s="26"/>
      <c r="GD4" s="26"/>
      <c r="GE4" s="26"/>
      <c r="GP4" s="47" t="e">
        <f>IF(GP5=7,"F",IF(GP5=1,"F",0))</f>
        <v>#VALUE!</v>
      </c>
      <c r="GQ4" s="26"/>
      <c r="GR4" s="26"/>
      <c r="GS4" s="26"/>
      <c r="GT4" s="26"/>
      <c r="GU4" s="26"/>
      <c r="HF4" s="47" t="e">
        <f>IF(HF5=7,"F",IF(HF5=1,"F",0))</f>
        <v>#VALUE!</v>
      </c>
      <c r="HG4" s="26"/>
      <c r="HH4" s="26"/>
      <c r="HI4" s="26"/>
      <c r="HJ4" s="26"/>
      <c r="HK4" s="26"/>
      <c r="HV4" s="47" t="e">
        <f>IF(HV5=7,"F",IF(HV5=1,"F",0))</f>
        <v>#VALUE!</v>
      </c>
      <c r="HW4" s="26"/>
      <c r="HX4" s="26"/>
      <c r="HY4" s="26"/>
      <c r="HZ4" s="26"/>
      <c r="IA4" s="26"/>
      <c r="IL4" s="47" t="e">
        <f>IF(IL5=7,"F",IF(IL5=1,"F",0))</f>
        <v>#VALUE!</v>
      </c>
      <c r="IM4" s="26"/>
      <c r="IN4" s="26"/>
      <c r="IO4" s="26"/>
      <c r="IP4" s="26"/>
      <c r="IQ4" s="26"/>
    </row>
    <row r="5" spans="2:276" s="3" customFormat="1" ht="21.75" customHeight="1" x14ac:dyDescent="0.3">
      <c r="B5" s="65" t="s">
        <v>99</v>
      </c>
      <c r="C5" s="66"/>
      <c r="D5" s="79" t="s">
        <v>103</v>
      </c>
      <c r="F5" s="394" t="e">
        <f>WEEKDAY(F6)</f>
        <v>#VALUE!</v>
      </c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395"/>
      <c r="R5" s="395"/>
      <c r="S5" s="395"/>
      <c r="T5" s="395"/>
      <c r="U5" s="396"/>
      <c r="V5" s="394" t="e">
        <f>WEEKDAY(V6)</f>
        <v>#VALUE!</v>
      </c>
      <c r="W5" s="395"/>
      <c r="X5" s="395"/>
      <c r="Y5" s="395"/>
      <c r="Z5" s="395"/>
      <c r="AA5" s="395"/>
      <c r="AB5" s="395"/>
      <c r="AC5" s="395"/>
      <c r="AD5" s="395"/>
      <c r="AE5" s="395"/>
      <c r="AF5" s="395"/>
      <c r="AG5" s="395"/>
      <c r="AH5" s="395"/>
      <c r="AI5" s="395"/>
      <c r="AJ5" s="395"/>
      <c r="AK5" s="396"/>
      <c r="AL5" s="394" t="e">
        <f>WEEKDAY(AL6)</f>
        <v>#VALUE!</v>
      </c>
      <c r="AM5" s="395"/>
      <c r="AN5" s="395"/>
      <c r="AO5" s="395"/>
      <c r="AP5" s="395"/>
      <c r="AQ5" s="395"/>
      <c r="AR5" s="395"/>
      <c r="AS5" s="395"/>
      <c r="AT5" s="395"/>
      <c r="AU5" s="395"/>
      <c r="AV5" s="395"/>
      <c r="AW5" s="395"/>
      <c r="AX5" s="395"/>
      <c r="AY5" s="395"/>
      <c r="AZ5" s="395"/>
      <c r="BA5" s="396"/>
      <c r="BB5" s="394" t="e">
        <f>WEEKDAY(BB6)</f>
        <v>#VALUE!</v>
      </c>
      <c r="BC5" s="395"/>
      <c r="BD5" s="395"/>
      <c r="BE5" s="395"/>
      <c r="BF5" s="395"/>
      <c r="BG5" s="395"/>
      <c r="BH5" s="395"/>
      <c r="BI5" s="395"/>
      <c r="BJ5" s="395"/>
      <c r="BK5" s="395"/>
      <c r="BL5" s="395"/>
      <c r="BM5" s="395"/>
      <c r="BN5" s="395"/>
      <c r="BO5" s="395"/>
      <c r="BP5" s="395"/>
      <c r="BQ5" s="396"/>
      <c r="BR5" s="394" t="e">
        <f>WEEKDAY(BR6)</f>
        <v>#VALUE!</v>
      </c>
      <c r="BS5" s="395"/>
      <c r="BT5" s="395"/>
      <c r="BU5" s="395"/>
      <c r="BV5" s="395"/>
      <c r="BW5" s="395"/>
      <c r="BX5" s="395"/>
      <c r="BY5" s="395"/>
      <c r="BZ5" s="395"/>
      <c r="CA5" s="395"/>
      <c r="CB5" s="395"/>
      <c r="CC5" s="395"/>
      <c r="CD5" s="395"/>
      <c r="CE5" s="395"/>
      <c r="CF5" s="395"/>
      <c r="CG5" s="396"/>
      <c r="CH5" s="394" t="e">
        <f>WEEKDAY(CH6)</f>
        <v>#VALUE!</v>
      </c>
      <c r="CI5" s="395"/>
      <c r="CJ5" s="395"/>
      <c r="CK5" s="395"/>
      <c r="CL5" s="395"/>
      <c r="CM5" s="395"/>
      <c r="CN5" s="395"/>
      <c r="CO5" s="395"/>
      <c r="CP5" s="395"/>
      <c r="CQ5" s="395"/>
      <c r="CR5" s="395"/>
      <c r="CS5" s="395"/>
      <c r="CT5" s="395"/>
      <c r="CU5" s="395"/>
      <c r="CV5" s="395"/>
      <c r="CW5" s="396"/>
      <c r="CX5" s="394" t="e">
        <f>WEEKDAY(CX6)</f>
        <v>#VALUE!</v>
      </c>
      <c r="CY5" s="395"/>
      <c r="CZ5" s="395"/>
      <c r="DA5" s="395"/>
      <c r="DB5" s="395"/>
      <c r="DC5" s="395"/>
      <c r="DD5" s="395"/>
      <c r="DE5" s="395"/>
      <c r="DF5" s="395"/>
      <c r="DG5" s="395"/>
      <c r="DH5" s="395"/>
      <c r="DI5" s="395"/>
      <c r="DJ5" s="395"/>
      <c r="DK5" s="395"/>
      <c r="DL5" s="395"/>
      <c r="DM5" s="396"/>
      <c r="DN5" s="394" t="e">
        <f>WEEKDAY(DN6)</f>
        <v>#VALUE!</v>
      </c>
      <c r="DO5" s="395"/>
      <c r="DP5" s="395"/>
      <c r="DQ5" s="395"/>
      <c r="DR5" s="395"/>
      <c r="DS5" s="395"/>
      <c r="DT5" s="395"/>
      <c r="DU5" s="395"/>
      <c r="DV5" s="395"/>
      <c r="DW5" s="395"/>
      <c r="DX5" s="395"/>
      <c r="DY5" s="395"/>
      <c r="DZ5" s="395"/>
      <c r="EA5" s="395"/>
      <c r="EB5" s="395"/>
      <c r="EC5" s="396"/>
      <c r="ED5" s="394" t="e">
        <f>WEEKDAY(ED6)</f>
        <v>#VALUE!</v>
      </c>
      <c r="EE5" s="395"/>
      <c r="EF5" s="395"/>
      <c r="EG5" s="395"/>
      <c r="EH5" s="395"/>
      <c r="EI5" s="395"/>
      <c r="EJ5" s="395"/>
      <c r="EK5" s="395"/>
      <c r="EL5" s="395"/>
      <c r="EM5" s="395"/>
      <c r="EN5" s="395"/>
      <c r="EO5" s="395"/>
      <c r="EP5" s="395"/>
      <c r="EQ5" s="395"/>
      <c r="ER5" s="395"/>
      <c r="ES5" s="396"/>
      <c r="ET5" s="394" t="e">
        <f>WEEKDAY(ET6)</f>
        <v>#VALUE!</v>
      </c>
      <c r="EU5" s="395"/>
      <c r="EV5" s="395"/>
      <c r="EW5" s="395"/>
      <c r="EX5" s="395"/>
      <c r="EY5" s="395"/>
      <c r="EZ5" s="395"/>
      <c r="FA5" s="395"/>
      <c r="FB5" s="395"/>
      <c r="FC5" s="395"/>
      <c r="FD5" s="395"/>
      <c r="FE5" s="395"/>
      <c r="FF5" s="395"/>
      <c r="FG5" s="395"/>
      <c r="FH5" s="395"/>
      <c r="FI5" s="396"/>
      <c r="FJ5" s="394" t="e">
        <f>WEEKDAY(FJ6)</f>
        <v>#VALUE!</v>
      </c>
      <c r="FK5" s="395"/>
      <c r="FL5" s="395"/>
      <c r="FM5" s="395"/>
      <c r="FN5" s="395"/>
      <c r="FO5" s="395"/>
      <c r="FP5" s="395"/>
      <c r="FQ5" s="395"/>
      <c r="FR5" s="395"/>
      <c r="FS5" s="395"/>
      <c r="FT5" s="395"/>
      <c r="FU5" s="395"/>
      <c r="FV5" s="395"/>
      <c r="FW5" s="395"/>
      <c r="FX5" s="395"/>
      <c r="FY5" s="396"/>
      <c r="FZ5" s="394" t="e">
        <f>WEEKDAY(FZ6)</f>
        <v>#VALUE!</v>
      </c>
      <c r="GA5" s="395"/>
      <c r="GB5" s="395"/>
      <c r="GC5" s="395"/>
      <c r="GD5" s="395"/>
      <c r="GE5" s="395"/>
      <c r="GF5" s="395"/>
      <c r="GG5" s="395"/>
      <c r="GH5" s="395"/>
      <c r="GI5" s="395"/>
      <c r="GJ5" s="395"/>
      <c r="GK5" s="395"/>
      <c r="GL5" s="395"/>
      <c r="GM5" s="395"/>
      <c r="GN5" s="395"/>
      <c r="GO5" s="396"/>
      <c r="GP5" s="394" t="e">
        <f>WEEKDAY(GP6)</f>
        <v>#VALUE!</v>
      </c>
      <c r="GQ5" s="395"/>
      <c r="GR5" s="395"/>
      <c r="GS5" s="395"/>
      <c r="GT5" s="395"/>
      <c r="GU5" s="395"/>
      <c r="GV5" s="395"/>
      <c r="GW5" s="395"/>
      <c r="GX5" s="395"/>
      <c r="GY5" s="395"/>
      <c r="GZ5" s="395"/>
      <c r="HA5" s="395"/>
      <c r="HB5" s="395"/>
      <c r="HC5" s="395"/>
      <c r="HD5" s="395"/>
      <c r="HE5" s="396"/>
      <c r="HF5" s="394" t="e">
        <f>WEEKDAY(HF6)</f>
        <v>#VALUE!</v>
      </c>
      <c r="HG5" s="395"/>
      <c r="HH5" s="395"/>
      <c r="HI5" s="395"/>
      <c r="HJ5" s="395"/>
      <c r="HK5" s="395"/>
      <c r="HL5" s="395"/>
      <c r="HM5" s="395"/>
      <c r="HN5" s="395"/>
      <c r="HO5" s="395"/>
      <c r="HP5" s="395"/>
      <c r="HQ5" s="395"/>
      <c r="HR5" s="395"/>
      <c r="HS5" s="395"/>
      <c r="HT5" s="395"/>
      <c r="HU5" s="396"/>
      <c r="HV5" s="394" t="e">
        <f>WEEKDAY(HV6)</f>
        <v>#VALUE!</v>
      </c>
      <c r="HW5" s="395"/>
      <c r="HX5" s="395"/>
      <c r="HY5" s="395"/>
      <c r="HZ5" s="395"/>
      <c r="IA5" s="395"/>
      <c r="IB5" s="395"/>
      <c r="IC5" s="395"/>
      <c r="ID5" s="395"/>
      <c r="IE5" s="395"/>
      <c r="IF5" s="395"/>
      <c r="IG5" s="395"/>
      <c r="IH5" s="395"/>
      <c r="II5" s="395"/>
      <c r="IJ5" s="395"/>
      <c r="IK5" s="396"/>
      <c r="IL5" s="394" t="e">
        <f>WEEKDAY(IL6)</f>
        <v>#VALUE!</v>
      </c>
      <c r="IM5" s="395"/>
      <c r="IN5" s="395"/>
      <c r="IO5" s="395"/>
      <c r="IP5" s="395"/>
      <c r="IQ5" s="395"/>
      <c r="IR5" s="395"/>
      <c r="IS5" s="395"/>
      <c r="IT5" s="395"/>
      <c r="IU5" s="395"/>
      <c r="IV5" s="395"/>
      <c r="IW5" s="395"/>
      <c r="IX5" s="395"/>
      <c r="IY5" s="395"/>
      <c r="IZ5" s="395"/>
      <c r="JA5" s="396"/>
      <c r="JB5" s="9"/>
      <c r="JC5" s="9"/>
      <c r="JD5" s="9"/>
      <c r="JE5" s="9"/>
      <c r="JF5" s="9"/>
      <c r="JP5" s="9"/>
    </row>
    <row r="6" spans="2:276" ht="21.75" thickBot="1" x14ac:dyDescent="0.4">
      <c r="B6" s="93" t="s">
        <v>100</v>
      </c>
      <c r="C6" s="66"/>
      <c r="D6" s="68" t="s">
        <v>102</v>
      </c>
      <c r="F6" s="397" t="str">
        <f>IF(C5=0," ",+C5)</f>
        <v xml:space="preserve"> </v>
      </c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8"/>
      <c r="R6" s="398"/>
      <c r="S6" s="398"/>
      <c r="T6" s="398"/>
      <c r="U6" s="399"/>
      <c r="V6" s="397" t="str">
        <f>IF(F6=" "," ",+F6+1)</f>
        <v xml:space="preserve"> </v>
      </c>
      <c r="W6" s="398"/>
      <c r="X6" s="398"/>
      <c r="Y6" s="398"/>
      <c r="Z6" s="398"/>
      <c r="AA6" s="398"/>
      <c r="AB6" s="398"/>
      <c r="AC6" s="398"/>
      <c r="AD6" s="398"/>
      <c r="AE6" s="398"/>
      <c r="AF6" s="398"/>
      <c r="AG6" s="398"/>
      <c r="AH6" s="398"/>
      <c r="AI6" s="398"/>
      <c r="AJ6" s="398"/>
      <c r="AK6" s="399"/>
      <c r="AL6" s="397" t="str">
        <f>IF(V6=" "," ",+V6+1)</f>
        <v xml:space="preserve"> </v>
      </c>
      <c r="AM6" s="398"/>
      <c r="AN6" s="398"/>
      <c r="AO6" s="398"/>
      <c r="AP6" s="398"/>
      <c r="AQ6" s="398"/>
      <c r="AR6" s="398"/>
      <c r="AS6" s="398"/>
      <c r="AT6" s="398"/>
      <c r="AU6" s="398"/>
      <c r="AV6" s="398"/>
      <c r="AW6" s="398"/>
      <c r="AX6" s="398"/>
      <c r="AY6" s="398"/>
      <c r="AZ6" s="398"/>
      <c r="BA6" s="399"/>
      <c r="BB6" s="397" t="str">
        <f>IF(AL6=" "," ",+AL6+1)</f>
        <v xml:space="preserve"> </v>
      </c>
      <c r="BC6" s="398"/>
      <c r="BD6" s="398"/>
      <c r="BE6" s="398"/>
      <c r="BF6" s="398"/>
      <c r="BG6" s="398"/>
      <c r="BH6" s="398"/>
      <c r="BI6" s="398"/>
      <c r="BJ6" s="398"/>
      <c r="BK6" s="398"/>
      <c r="BL6" s="398"/>
      <c r="BM6" s="398"/>
      <c r="BN6" s="398"/>
      <c r="BO6" s="398"/>
      <c r="BP6" s="398"/>
      <c r="BQ6" s="399"/>
      <c r="BR6" s="397" t="str">
        <f>IF(BB6=" "," ",+BB6+1)</f>
        <v xml:space="preserve"> </v>
      </c>
      <c r="BS6" s="398"/>
      <c r="BT6" s="398"/>
      <c r="BU6" s="398"/>
      <c r="BV6" s="398"/>
      <c r="BW6" s="398"/>
      <c r="BX6" s="398"/>
      <c r="BY6" s="398"/>
      <c r="BZ6" s="398"/>
      <c r="CA6" s="398"/>
      <c r="CB6" s="398"/>
      <c r="CC6" s="398"/>
      <c r="CD6" s="398"/>
      <c r="CE6" s="398"/>
      <c r="CF6" s="398"/>
      <c r="CG6" s="399"/>
      <c r="CH6" s="397" t="str">
        <f>IF(BR6=" "," ",+BR6+1)</f>
        <v xml:space="preserve"> </v>
      </c>
      <c r="CI6" s="398"/>
      <c r="CJ6" s="398"/>
      <c r="CK6" s="398"/>
      <c r="CL6" s="398"/>
      <c r="CM6" s="398"/>
      <c r="CN6" s="398"/>
      <c r="CO6" s="398"/>
      <c r="CP6" s="398"/>
      <c r="CQ6" s="398"/>
      <c r="CR6" s="398"/>
      <c r="CS6" s="398"/>
      <c r="CT6" s="398"/>
      <c r="CU6" s="398"/>
      <c r="CV6" s="398"/>
      <c r="CW6" s="399"/>
      <c r="CX6" s="397" t="str">
        <f>IF(CH6=" "," ",+CH6+1)</f>
        <v xml:space="preserve"> </v>
      </c>
      <c r="CY6" s="398"/>
      <c r="CZ6" s="398"/>
      <c r="DA6" s="398"/>
      <c r="DB6" s="398"/>
      <c r="DC6" s="398"/>
      <c r="DD6" s="398"/>
      <c r="DE6" s="398"/>
      <c r="DF6" s="398"/>
      <c r="DG6" s="398"/>
      <c r="DH6" s="398"/>
      <c r="DI6" s="398"/>
      <c r="DJ6" s="398"/>
      <c r="DK6" s="398"/>
      <c r="DL6" s="398"/>
      <c r="DM6" s="399"/>
      <c r="DN6" s="397" t="str">
        <f>IF(CX6=" "," ",+CX6+1)</f>
        <v xml:space="preserve"> </v>
      </c>
      <c r="DO6" s="398"/>
      <c r="DP6" s="398"/>
      <c r="DQ6" s="398"/>
      <c r="DR6" s="398"/>
      <c r="DS6" s="398"/>
      <c r="DT6" s="398"/>
      <c r="DU6" s="398"/>
      <c r="DV6" s="398"/>
      <c r="DW6" s="398"/>
      <c r="DX6" s="398"/>
      <c r="DY6" s="398"/>
      <c r="DZ6" s="398"/>
      <c r="EA6" s="398"/>
      <c r="EB6" s="398"/>
      <c r="EC6" s="399"/>
      <c r="ED6" s="397" t="str">
        <f>IF(DN6=" "," ",+DN6+1)</f>
        <v xml:space="preserve"> </v>
      </c>
      <c r="EE6" s="398"/>
      <c r="EF6" s="398"/>
      <c r="EG6" s="398"/>
      <c r="EH6" s="398"/>
      <c r="EI6" s="398"/>
      <c r="EJ6" s="398"/>
      <c r="EK6" s="398"/>
      <c r="EL6" s="398"/>
      <c r="EM6" s="398"/>
      <c r="EN6" s="398"/>
      <c r="EO6" s="398"/>
      <c r="EP6" s="398"/>
      <c r="EQ6" s="398"/>
      <c r="ER6" s="398"/>
      <c r="ES6" s="399"/>
      <c r="ET6" s="397" t="str">
        <f>IF(ED6=" "," ",+ED6+1)</f>
        <v xml:space="preserve"> </v>
      </c>
      <c r="EU6" s="398"/>
      <c r="EV6" s="398"/>
      <c r="EW6" s="398"/>
      <c r="EX6" s="398"/>
      <c r="EY6" s="398"/>
      <c r="EZ6" s="398"/>
      <c r="FA6" s="398"/>
      <c r="FB6" s="398"/>
      <c r="FC6" s="398"/>
      <c r="FD6" s="398"/>
      <c r="FE6" s="398"/>
      <c r="FF6" s="398"/>
      <c r="FG6" s="398"/>
      <c r="FH6" s="398"/>
      <c r="FI6" s="399"/>
      <c r="FJ6" s="397" t="str">
        <f>IF(ET6=" "," ",+ET6+1)</f>
        <v xml:space="preserve"> </v>
      </c>
      <c r="FK6" s="398"/>
      <c r="FL6" s="398"/>
      <c r="FM6" s="398"/>
      <c r="FN6" s="398"/>
      <c r="FO6" s="398"/>
      <c r="FP6" s="398"/>
      <c r="FQ6" s="398"/>
      <c r="FR6" s="398"/>
      <c r="FS6" s="398"/>
      <c r="FT6" s="398"/>
      <c r="FU6" s="398"/>
      <c r="FV6" s="398"/>
      <c r="FW6" s="398"/>
      <c r="FX6" s="398"/>
      <c r="FY6" s="399"/>
      <c r="FZ6" s="397" t="str">
        <f>IF(FJ6=" "," ",+FJ6+1)</f>
        <v xml:space="preserve"> </v>
      </c>
      <c r="GA6" s="398"/>
      <c r="GB6" s="398"/>
      <c r="GC6" s="398"/>
      <c r="GD6" s="398"/>
      <c r="GE6" s="398"/>
      <c r="GF6" s="398"/>
      <c r="GG6" s="398"/>
      <c r="GH6" s="398"/>
      <c r="GI6" s="398"/>
      <c r="GJ6" s="398"/>
      <c r="GK6" s="398"/>
      <c r="GL6" s="398"/>
      <c r="GM6" s="398"/>
      <c r="GN6" s="398"/>
      <c r="GO6" s="399"/>
      <c r="GP6" s="397" t="str">
        <f>IF(FZ6=" "," ",+FZ6+1)</f>
        <v xml:space="preserve"> </v>
      </c>
      <c r="GQ6" s="398"/>
      <c r="GR6" s="398"/>
      <c r="GS6" s="398"/>
      <c r="GT6" s="398"/>
      <c r="GU6" s="398"/>
      <c r="GV6" s="398"/>
      <c r="GW6" s="398"/>
      <c r="GX6" s="398"/>
      <c r="GY6" s="398"/>
      <c r="GZ6" s="398"/>
      <c r="HA6" s="398"/>
      <c r="HB6" s="398"/>
      <c r="HC6" s="398"/>
      <c r="HD6" s="398"/>
      <c r="HE6" s="399"/>
      <c r="HF6" s="397" t="str">
        <f>IF(GP6=" "," ",+GP6+1)</f>
        <v xml:space="preserve"> </v>
      </c>
      <c r="HG6" s="398"/>
      <c r="HH6" s="398"/>
      <c r="HI6" s="398"/>
      <c r="HJ6" s="398"/>
      <c r="HK6" s="398"/>
      <c r="HL6" s="398"/>
      <c r="HM6" s="398"/>
      <c r="HN6" s="398"/>
      <c r="HO6" s="398"/>
      <c r="HP6" s="398"/>
      <c r="HQ6" s="398"/>
      <c r="HR6" s="398"/>
      <c r="HS6" s="398"/>
      <c r="HT6" s="398"/>
      <c r="HU6" s="399"/>
      <c r="HV6" s="397" t="str">
        <f>IF(HF6=" "," ",+HF6+1)</f>
        <v xml:space="preserve"> </v>
      </c>
      <c r="HW6" s="398"/>
      <c r="HX6" s="398"/>
      <c r="HY6" s="398"/>
      <c r="HZ6" s="398"/>
      <c r="IA6" s="398"/>
      <c r="IB6" s="398"/>
      <c r="IC6" s="398"/>
      <c r="ID6" s="398"/>
      <c r="IE6" s="398"/>
      <c r="IF6" s="398"/>
      <c r="IG6" s="398"/>
      <c r="IH6" s="398"/>
      <c r="II6" s="398"/>
      <c r="IJ6" s="398"/>
      <c r="IK6" s="399"/>
      <c r="IL6" s="397" t="str">
        <f>IF(HV6=" "," ",+HV6+1)</f>
        <v xml:space="preserve"> </v>
      </c>
      <c r="IM6" s="398"/>
      <c r="IN6" s="398"/>
      <c r="IO6" s="398"/>
      <c r="IP6" s="398"/>
      <c r="IQ6" s="398"/>
      <c r="IR6" s="398"/>
      <c r="IS6" s="398"/>
      <c r="IT6" s="398"/>
      <c r="IU6" s="398"/>
      <c r="IV6" s="398"/>
      <c r="IW6" s="398"/>
      <c r="IX6" s="398"/>
      <c r="IY6" s="398"/>
      <c r="IZ6" s="398"/>
      <c r="JA6" s="399"/>
    </row>
    <row r="7" spans="2:276" ht="19.5" thickBot="1" x14ac:dyDescent="0.3">
      <c r="B7" s="43" t="s">
        <v>89</v>
      </c>
      <c r="C7" s="82" t="str">
        <f>IF((C6-C5)&gt;=14,VARIOS!D14," ")</f>
        <v xml:space="preserve"> </v>
      </c>
      <c r="F7" s="400" t="s">
        <v>30</v>
      </c>
      <c r="G7" s="401"/>
      <c r="H7" s="401"/>
      <c r="I7" s="401"/>
      <c r="J7" s="401"/>
      <c r="K7" s="401"/>
      <c r="L7" s="401"/>
      <c r="M7" s="402"/>
      <c r="N7" s="403" t="s">
        <v>12</v>
      </c>
      <c r="O7" s="403"/>
      <c r="P7" s="403"/>
      <c r="Q7" s="403"/>
      <c r="R7" s="403"/>
      <c r="S7" s="403"/>
      <c r="T7" s="403"/>
      <c r="U7" s="404"/>
      <c r="V7" s="405" t="s">
        <v>30</v>
      </c>
      <c r="W7" s="406"/>
      <c r="X7" s="406"/>
      <c r="Y7" s="406"/>
      <c r="Z7" s="406"/>
      <c r="AA7" s="406"/>
      <c r="AB7" s="406"/>
      <c r="AC7" s="407"/>
      <c r="AD7" s="315" t="s">
        <v>12</v>
      </c>
      <c r="AE7" s="316"/>
      <c r="AF7" s="316"/>
      <c r="AG7" s="316"/>
      <c r="AH7" s="316"/>
      <c r="AI7" s="316"/>
      <c r="AJ7" s="316"/>
      <c r="AK7" s="408"/>
      <c r="AL7" s="405" t="s">
        <v>30</v>
      </c>
      <c r="AM7" s="406"/>
      <c r="AN7" s="406"/>
      <c r="AO7" s="406"/>
      <c r="AP7" s="406"/>
      <c r="AQ7" s="406"/>
      <c r="AR7" s="406"/>
      <c r="AS7" s="407"/>
      <c r="AT7" s="315" t="s">
        <v>12</v>
      </c>
      <c r="AU7" s="316"/>
      <c r="AV7" s="316"/>
      <c r="AW7" s="316"/>
      <c r="AX7" s="316"/>
      <c r="AY7" s="316"/>
      <c r="AZ7" s="316"/>
      <c r="BA7" s="408"/>
      <c r="BB7" s="405" t="s">
        <v>30</v>
      </c>
      <c r="BC7" s="406"/>
      <c r="BD7" s="406"/>
      <c r="BE7" s="406"/>
      <c r="BF7" s="406"/>
      <c r="BG7" s="406"/>
      <c r="BH7" s="406"/>
      <c r="BI7" s="407"/>
      <c r="BJ7" s="315" t="s">
        <v>12</v>
      </c>
      <c r="BK7" s="316"/>
      <c r="BL7" s="316"/>
      <c r="BM7" s="316"/>
      <c r="BN7" s="316"/>
      <c r="BO7" s="316"/>
      <c r="BP7" s="316"/>
      <c r="BQ7" s="408"/>
      <c r="BR7" s="405" t="s">
        <v>30</v>
      </c>
      <c r="BS7" s="406"/>
      <c r="BT7" s="406"/>
      <c r="BU7" s="406"/>
      <c r="BV7" s="406"/>
      <c r="BW7" s="406"/>
      <c r="BX7" s="406"/>
      <c r="BY7" s="407"/>
      <c r="BZ7" s="315" t="s">
        <v>12</v>
      </c>
      <c r="CA7" s="316"/>
      <c r="CB7" s="316"/>
      <c r="CC7" s="316"/>
      <c r="CD7" s="316"/>
      <c r="CE7" s="316"/>
      <c r="CF7" s="316"/>
      <c r="CG7" s="408"/>
      <c r="CH7" s="405" t="s">
        <v>30</v>
      </c>
      <c r="CI7" s="406"/>
      <c r="CJ7" s="406"/>
      <c r="CK7" s="406"/>
      <c r="CL7" s="406"/>
      <c r="CM7" s="406"/>
      <c r="CN7" s="406"/>
      <c r="CO7" s="407"/>
      <c r="CP7" s="315" t="s">
        <v>12</v>
      </c>
      <c r="CQ7" s="316"/>
      <c r="CR7" s="316"/>
      <c r="CS7" s="316"/>
      <c r="CT7" s="316"/>
      <c r="CU7" s="316"/>
      <c r="CV7" s="316"/>
      <c r="CW7" s="408"/>
      <c r="CX7" s="405" t="s">
        <v>30</v>
      </c>
      <c r="CY7" s="406"/>
      <c r="CZ7" s="406"/>
      <c r="DA7" s="406"/>
      <c r="DB7" s="406"/>
      <c r="DC7" s="406"/>
      <c r="DD7" s="406"/>
      <c r="DE7" s="407"/>
      <c r="DF7" s="315" t="s">
        <v>12</v>
      </c>
      <c r="DG7" s="316"/>
      <c r="DH7" s="316"/>
      <c r="DI7" s="316"/>
      <c r="DJ7" s="316"/>
      <c r="DK7" s="316"/>
      <c r="DL7" s="316"/>
      <c r="DM7" s="408"/>
      <c r="DN7" s="405" t="s">
        <v>30</v>
      </c>
      <c r="DO7" s="406"/>
      <c r="DP7" s="406"/>
      <c r="DQ7" s="406"/>
      <c r="DR7" s="406"/>
      <c r="DS7" s="406"/>
      <c r="DT7" s="406"/>
      <c r="DU7" s="407"/>
      <c r="DV7" s="315" t="s">
        <v>12</v>
      </c>
      <c r="DW7" s="316"/>
      <c r="DX7" s="316"/>
      <c r="DY7" s="316"/>
      <c r="DZ7" s="316"/>
      <c r="EA7" s="316"/>
      <c r="EB7" s="316"/>
      <c r="EC7" s="408"/>
      <c r="ED7" s="405" t="s">
        <v>30</v>
      </c>
      <c r="EE7" s="406"/>
      <c r="EF7" s="406"/>
      <c r="EG7" s="406"/>
      <c r="EH7" s="406"/>
      <c r="EI7" s="406"/>
      <c r="EJ7" s="406"/>
      <c r="EK7" s="407"/>
      <c r="EL7" s="315" t="s">
        <v>12</v>
      </c>
      <c r="EM7" s="316"/>
      <c r="EN7" s="316"/>
      <c r="EO7" s="316"/>
      <c r="EP7" s="316"/>
      <c r="EQ7" s="316"/>
      <c r="ER7" s="316"/>
      <c r="ES7" s="408"/>
      <c r="ET7" s="405" t="s">
        <v>30</v>
      </c>
      <c r="EU7" s="406"/>
      <c r="EV7" s="406"/>
      <c r="EW7" s="406"/>
      <c r="EX7" s="406"/>
      <c r="EY7" s="406"/>
      <c r="EZ7" s="406"/>
      <c r="FA7" s="407"/>
      <c r="FB7" s="315" t="s">
        <v>12</v>
      </c>
      <c r="FC7" s="316"/>
      <c r="FD7" s="316"/>
      <c r="FE7" s="316"/>
      <c r="FF7" s="316"/>
      <c r="FG7" s="316"/>
      <c r="FH7" s="316"/>
      <c r="FI7" s="408"/>
      <c r="FJ7" s="405" t="s">
        <v>30</v>
      </c>
      <c r="FK7" s="406"/>
      <c r="FL7" s="406"/>
      <c r="FM7" s="406"/>
      <c r="FN7" s="406"/>
      <c r="FO7" s="406"/>
      <c r="FP7" s="406"/>
      <c r="FQ7" s="407"/>
      <c r="FR7" s="315" t="s">
        <v>12</v>
      </c>
      <c r="FS7" s="316"/>
      <c r="FT7" s="316"/>
      <c r="FU7" s="316"/>
      <c r="FV7" s="316"/>
      <c r="FW7" s="316"/>
      <c r="FX7" s="316"/>
      <c r="FY7" s="408"/>
      <c r="FZ7" s="405" t="s">
        <v>30</v>
      </c>
      <c r="GA7" s="406"/>
      <c r="GB7" s="406"/>
      <c r="GC7" s="406"/>
      <c r="GD7" s="406"/>
      <c r="GE7" s="406"/>
      <c r="GF7" s="406"/>
      <c r="GG7" s="407"/>
      <c r="GH7" s="315" t="s">
        <v>12</v>
      </c>
      <c r="GI7" s="316"/>
      <c r="GJ7" s="316"/>
      <c r="GK7" s="316"/>
      <c r="GL7" s="316"/>
      <c r="GM7" s="316"/>
      <c r="GN7" s="316"/>
      <c r="GO7" s="408"/>
      <c r="GP7" s="405" t="s">
        <v>30</v>
      </c>
      <c r="GQ7" s="406"/>
      <c r="GR7" s="406"/>
      <c r="GS7" s="406"/>
      <c r="GT7" s="406"/>
      <c r="GU7" s="406"/>
      <c r="GV7" s="406"/>
      <c r="GW7" s="407"/>
      <c r="GX7" s="315" t="s">
        <v>12</v>
      </c>
      <c r="GY7" s="316"/>
      <c r="GZ7" s="316"/>
      <c r="HA7" s="316"/>
      <c r="HB7" s="316"/>
      <c r="HC7" s="316"/>
      <c r="HD7" s="316"/>
      <c r="HE7" s="408"/>
      <c r="HF7" s="405" t="s">
        <v>30</v>
      </c>
      <c r="HG7" s="406"/>
      <c r="HH7" s="406"/>
      <c r="HI7" s="406"/>
      <c r="HJ7" s="406"/>
      <c r="HK7" s="406"/>
      <c r="HL7" s="406"/>
      <c r="HM7" s="407"/>
      <c r="HN7" s="315" t="s">
        <v>12</v>
      </c>
      <c r="HO7" s="316"/>
      <c r="HP7" s="316"/>
      <c r="HQ7" s="316"/>
      <c r="HR7" s="316"/>
      <c r="HS7" s="316"/>
      <c r="HT7" s="316"/>
      <c r="HU7" s="408"/>
      <c r="HV7" s="405" t="s">
        <v>30</v>
      </c>
      <c r="HW7" s="406"/>
      <c r="HX7" s="406"/>
      <c r="HY7" s="406"/>
      <c r="HZ7" s="406"/>
      <c r="IA7" s="406"/>
      <c r="IB7" s="406"/>
      <c r="IC7" s="407"/>
      <c r="ID7" s="315" t="s">
        <v>12</v>
      </c>
      <c r="IE7" s="316"/>
      <c r="IF7" s="316"/>
      <c r="IG7" s="316"/>
      <c r="IH7" s="316"/>
      <c r="II7" s="316"/>
      <c r="IJ7" s="316"/>
      <c r="IK7" s="408"/>
      <c r="IL7" s="405" t="s">
        <v>30</v>
      </c>
      <c r="IM7" s="406"/>
      <c r="IN7" s="406"/>
      <c r="IO7" s="406"/>
      <c r="IP7" s="406"/>
      <c r="IQ7" s="406"/>
      <c r="IR7" s="406"/>
      <c r="IS7" s="407"/>
      <c r="IT7" s="315" t="s">
        <v>12</v>
      </c>
      <c r="IU7" s="316"/>
      <c r="IV7" s="316"/>
      <c r="IW7" s="316"/>
      <c r="IX7" s="316"/>
      <c r="IY7" s="316"/>
      <c r="IZ7" s="316"/>
      <c r="JA7" s="408"/>
      <c r="JB7" s="405" t="s">
        <v>30</v>
      </c>
      <c r="JC7" s="406"/>
      <c r="JD7" s="315" t="s">
        <v>12</v>
      </c>
      <c r="JE7" s="316"/>
    </row>
    <row r="8" spans="2:276" ht="15.75" thickBot="1" x14ac:dyDescent="0.3">
      <c r="F8" s="409" t="s">
        <v>95</v>
      </c>
      <c r="G8" s="410"/>
      <c r="H8" s="410"/>
      <c r="I8" s="411"/>
      <c r="J8" s="409" t="s">
        <v>96</v>
      </c>
      <c r="K8" s="410"/>
      <c r="L8" s="410"/>
      <c r="M8" s="411"/>
      <c r="N8" s="412" t="s">
        <v>95</v>
      </c>
      <c r="O8" s="413"/>
      <c r="P8" s="413"/>
      <c r="Q8" s="414"/>
      <c r="R8" s="412" t="s">
        <v>96</v>
      </c>
      <c r="S8" s="413"/>
      <c r="T8" s="413"/>
      <c r="U8" s="414"/>
      <c r="V8" s="409" t="s">
        <v>95</v>
      </c>
      <c r="W8" s="410"/>
      <c r="X8" s="410"/>
      <c r="Y8" s="411"/>
      <c r="Z8" s="409" t="s">
        <v>96</v>
      </c>
      <c r="AA8" s="410"/>
      <c r="AB8" s="410"/>
      <c r="AC8" s="411"/>
      <c r="AD8" s="412" t="s">
        <v>95</v>
      </c>
      <c r="AE8" s="413"/>
      <c r="AF8" s="413"/>
      <c r="AG8" s="414"/>
      <c r="AH8" s="412" t="s">
        <v>96</v>
      </c>
      <c r="AI8" s="413"/>
      <c r="AJ8" s="413"/>
      <c r="AK8" s="414"/>
      <c r="AL8" s="409" t="s">
        <v>95</v>
      </c>
      <c r="AM8" s="410"/>
      <c r="AN8" s="410"/>
      <c r="AO8" s="411"/>
      <c r="AP8" s="409" t="s">
        <v>96</v>
      </c>
      <c r="AQ8" s="410"/>
      <c r="AR8" s="410"/>
      <c r="AS8" s="411"/>
      <c r="AT8" s="412" t="s">
        <v>95</v>
      </c>
      <c r="AU8" s="413"/>
      <c r="AV8" s="413"/>
      <c r="AW8" s="414"/>
      <c r="AX8" s="412" t="s">
        <v>96</v>
      </c>
      <c r="AY8" s="413"/>
      <c r="AZ8" s="413"/>
      <c r="BA8" s="414"/>
      <c r="BB8" s="409" t="s">
        <v>95</v>
      </c>
      <c r="BC8" s="410"/>
      <c r="BD8" s="410"/>
      <c r="BE8" s="411"/>
      <c r="BF8" s="409" t="s">
        <v>96</v>
      </c>
      <c r="BG8" s="410"/>
      <c r="BH8" s="410"/>
      <c r="BI8" s="411"/>
      <c r="BJ8" s="412" t="s">
        <v>95</v>
      </c>
      <c r="BK8" s="413"/>
      <c r="BL8" s="413"/>
      <c r="BM8" s="414"/>
      <c r="BN8" s="412" t="s">
        <v>96</v>
      </c>
      <c r="BO8" s="413"/>
      <c r="BP8" s="413"/>
      <c r="BQ8" s="414"/>
      <c r="BR8" s="409" t="s">
        <v>95</v>
      </c>
      <c r="BS8" s="410"/>
      <c r="BT8" s="410"/>
      <c r="BU8" s="411"/>
      <c r="BV8" s="409" t="s">
        <v>96</v>
      </c>
      <c r="BW8" s="410"/>
      <c r="BX8" s="410"/>
      <c r="BY8" s="411"/>
      <c r="BZ8" s="412" t="s">
        <v>95</v>
      </c>
      <c r="CA8" s="413"/>
      <c r="CB8" s="413"/>
      <c r="CC8" s="414"/>
      <c r="CD8" s="412" t="s">
        <v>96</v>
      </c>
      <c r="CE8" s="413"/>
      <c r="CF8" s="413"/>
      <c r="CG8" s="414"/>
      <c r="CH8" s="409" t="s">
        <v>95</v>
      </c>
      <c r="CI8" s="410"/>
      <c r="CJ8" s="410"/>
      <c r="CK8" s="411"/>
      <c r="CL8" s="409" t="s">
        <v>96</v>
      </c>
      <c r="CM8" s="410"/>
      <c r="CN8" s="410"/>
      <c r="CO8" s="411"/>
      <c r="CP8" s="412" t="s">
        <v>95</v>
      </c>
      <c r="CQ8" s="413"/>
      <c r="CR8" s="413"/>
      <c r="CS8" s="414"/>
      <c r="CT8" s="412" t="s">
        <v>96</v>
      </c>
      <c r="CU8" s="413"/>
      <c r="CV8" s="413"/>
      <c r="CW8" s="414"/>
      <c r="CX8" s="409" t="s">
        <v>95</v>
      </c>
      <c r="CY8" s="410"/>
      <c r="CZ8" s="410"/>
      <c r="DA8" s="411"/>
      <c r="DB8" s="409" t="s">
        <v>96</v>
      </c>
      <c r="DC8" s="410"/>
      <c r="DD8" s="410"/>
      <c r="DE8" s="411"/>
      <c r="DF8" s="412" t="s">
        <v>95</v>
      </c>
      <c r="DG8" s="413"/>
      <c r="DH8" s="413"/>
      <c r="DI8" s="414"/>
      <c r="DJ8" s="412" t="s">
        <v>96</v>
      </c>
      <c r="DK8" s="413"/>
      <c r="DL8" s="413"/>
      <c r="DM8" s="414"/>
      <c r="DN8" s="409" t="s">
        <v>95</v>
      </c>
      <c r="DO8" s="410"/>
      <c r="DP8" s="410"/>
      <c r="DQ8" s="411"/>
      <c r="DR8" s="409" t="s">
        <v>96</v>
      </c>
      <c r="DS8" s="410"/>
      <c r="DT8" s="410"/>
      <c r="DU8" s="411"/>
      <c r="DV8" s="412" t="s">
        <v>95</v>
      </c>
      <c r="DW8" s="413"/>
      <c r="DX8" s="413"/>
      <c r="DY8" s="414"/>
      <c r="DZ8" s="412" t="s">
        <v>96</v>
      </c>
      <c r="EA8" s="413"/>
      <c r="EB8" s="413"/>
      <c r="EC8" s="414"/>
      <c r="ED8" s="409" t="s">
        <v>95</v>
      </c>
      <c r="EE8" s="410"/>
      <c r="EF8" s="410"/>
      <c r="EG8" s="411"/>
      <c r="EH8" s="409" t="s">
        <v>96</v>
      </c>
      <c r="EI8" s="410"/>
      <c r="EJ8" s="410"/>
      <c r="EK8" s="411"/>
      <c r="EL8" s="412" t="s">
        <v>95</v>
      </c>
      <c r="EM8" s="413"/>
      <c r="EN8" s="413"/>
      <c r="EO8" s="414"/>
      <c r="EP8" s="412" t="s">
        <v>96</v>
      </c>
      <c r="EQ8" s="413"/>
      <c r="ER8" s="413"/>
      <c r="ES8" s="414"/>
      <c r="ET8" s="409" t="s">
        <v>95</v>
      </c>
      <c r="EU8" s="410"/>
      <c r="EV8" s="410"/>
      <c r="EW8" s="411"/>
      <c r="EX8" s="409" t="s">
        <v>96</v>
      </c>
      <c r="EY8" s="410"/>
      <c r="EZ8" s="410"/>
      <c r="FA8" s="411"/>
      <c r="FB8" s="412" t="s">
        <v>95</v>
      </c>
      <c r="FC8" s="413"/>
      <c r="FD8" s="413"/>
      <c r="FE8" s="414"/>
      <c r="FF8" s="412" t="s">
        <v>96</v>
      </c>
      <c r="FG8" s="413"/>
      <c r="FH8" s="413"/>
      <c r="FI8" s="414"/>
      <c r="FJ8" s="409" t="s">
        <v>95</v>
      </c>
      <c r="FK8" s="410"/>
      <c r="FL8" s="410"/>
      <c r="FM8" s="411"/>
      <c r="FN8" s="409" t="s">
        <v>96</v>
      </c>
      <c r="FO8" s="410"/>
      <c r="FP8" s="410"/>
      <c r="FQ8" s="411"/>
      <c r="FR8" s="412" t="s">
        <v>95</v>
      </c>
      <c r="FS8" s="413"/>
      <c r="FT8" s="413"/>
      <c r="FU8" s="414"/>
      <c r="FV8" s="412" t="s">
        <v>96</v>
      </c>
      <c r="FW8" s="413"/>
      <c r="FX8" s="413"/>
      <c r="FY8" s="414"/>
      <c r="FZ8" s="409" t="s">
        <v>95</v>
      </c>
      <c r="GA8" s="410"/>
      <c r="GB8" s="410"/>
      <c r="GC8" s="411"/>
      <c r="GD8" s="409" t="s">
        <v>96</v>
      </c>
      <c r="GE8" s="410"/>
      <c r="GF8" s="410"/>
      <c r="GG8" s="411"/>
      <c r="GH8" s="412" t="s">
        <v>95</v>
      </c>
      <c r="GI8" s="413"/>
      <c r="GJ8" s="413"/>
      <c r="GK8" s="414"/>
      <c r="GL8" s="412" t="s">
        <v>96</v>
      </c>
      <c r="GM8" s="413"/>
      <c r="GN8" s="413"/>
      <c r="GO8" s="414"/>
      <c r="GP8" s="409" t="s">
        <v>95</v>
      </c>
      <c r="GQ8" s="410"/>
      <c r="GR8" s="410"/>
      <c r="GS8" s="411"/>
      <c r="GT8" s="409" t="s">
        <v>96</v>
      </c>
      <c r="GU8" s="410"/>
      <c r="GV8" s="410"/>
      <c r="GW8" s="411"/>
      <c r="GX8" s="412" t="s">
        <v>95</v>
      </c>
      <c r="GY8" s="413"/>
      <c r="GZ8" s="413"/>
      <c r="HA8" s="414"/>
      <c r="HB8" s="412" t="s">
        <v>96</v>
      </c>
      <c r="HC8" s="413"/>
      <c r="HD8" s="413"/>
      <c r="HE8" s="414"/>
      <c r="HF8" s="409" t="s">
        <v>95</v>
      </c>
      <c r="HG8" s="410"/>
      <c r="HH8" s="410"/>
      <c r="HI8" s="411"/>
      <c r="HJ8" s="409" t="s">
        <v>96</v>
      </c>
      <c r="HK8" s="410"/>
      <c r="HL8" s="410"/>
      <c r="HM8" s="411"/>
      <c r="HN8" s="412" t="s">
        <v>95</v>
      </c>
      <c r="HO8" s="413"/>
      <c r="HP8" s="413"/>
      <c r="HQ8" s="414"/>
      <c r="HR8" s="412" t="s">
        <v>96</v>
      </c>
      <c r="HS8" s="413"/>
      <c r="HT8" s="413"/>
      <c r="HU8" s="414"/>
      <c r="HV8" s="409" t="s">
        <v>95</v>
      </c>
      <c r="HW8" s="410"/>
      <c r="HX8" s="410"/>
      <c r="HY8" s="411"/>
      <c r="HZ8" s="409" t="s">
        <v>96</v>
      </c>
      <c r="IA8" s="410"/>
      <c r="IB8" s="410"/>
      <c r="IC8" s="411"/>
      <c r="ID8" s="412" t="s">
        <v>95</v>
      </c>
      <c r="IE8" s="413"/>
      <c r="IF8" s="413"/>
      <c r="IG8" s="414"/>
      <c r="IH8" s="412" t="s">
        <v>96</v>
      </c>
      <c r="II8" s="413"/>
      <c r="IJ8" s="413"/>
      <c r="IK8" s="414"/>
      <c r="IL8" s="409" t="s">
        <v>95</v>
      </c>
      <c r="IM8" s="410"/>
      <c r="IN8" s="410"/>
      <c r="IO8" s="411"/>
      <c r="IP8" s="409" t="s">
        <v>96</v>
      </c>
      <c r="IQ8" s="410"/>
      <c r="IR8" s="410"/>
      <c r="IS8" s="411"/>
      <c r="IT8" s="412" t="s">
        <v>95</v>
      </c>
      <c r="IU8" s="413"/>
      <c r="IV8" s="413"/>
      <c r="IW8" s="414"/>
      <c r="IX8" s="412" t="s">
        <v>96</v>
      </c>
      <c r="IY8" s="413"/>
      <c r="IZ8" s="413"/>
      <c r="JA8" s="414"/>
      <c r="JB8" s="90"/>
      <c r="JC8" s="91"/>
      <c r="JD8" s="87"/>
      <c r="JE8" s="88"/>
    </row>
    <row r="9" spans="2:276" ht="54.95" customHeight="1" x14ac:dyDescent="0.25">
      <c r="B9" s="10" t="s">
        <v>14</v>
      </c>
      <c r="C9" s="78" t="s">
        <v>0</v>
      </c>
      <c r="D9" s="77" t="s">
        <v>34</v>
      </c>
      <c r="E9" s="36" t="s">
        <v>1</v>
      </c>
      <c r="F9" s="61" t="s">
        <v>93</v>
      </c>
      <c r="G9" s="62" t="s">
        <v>94</v>
      </c>
      <c r="H9" s="63" t="s">
        <v>97</v>
      </c>
      <c r="I9" s="64" t="s">
        <v>92</v>
      </c>
      <c r="J9" s="61" t="s">
        <v>93</v>
      </c>
      <c r="K9" s="62" t="s">
        <v>94</v>
      </c>
      <c r="L9" s="63" t="s">
        <v>98</v>
      </c>
      <c r="M9" s="64" t="s">
        <v>92</v>
      </c>
      <c r="N9" s="57" t="s">
        <v>93</v>
      </c>
      <c r="O9" s="58" t="s">
        <v>94</v>
      </c>
      <c r="P9" s="59" t="s">
        <v>97</v>
      </c>
      <c r="Q9" s="60" t="s">
        <v>92</v>
      </c>
      <c r="R9" s="57" t="s">
        <v>93</v>
      </c>
      <c r="S9" s="58" t="s">
        <v>94</v>
      </c>
      <c r="T9" s="59" t="s">
        <v>98</v>
      </c>
      <c r="U9" s="60" t="s">
        <v>92</v>
      </c>
      <c r="V9" s="61" t="s">
        <v>93</v>
      </c>
      <c r="W9" s="62" t="s">
        <v>94</v>
      </c>
      <c r="X9" s="63" t="s">
        <v>97</v>
      </c>
      <c r="Y9" s="64" t="s">
        <v>92</v>
      </c>
      <c r="Z9" s="61" t="s">
        <v>93</v>
      </c>
      <c r="AA9" s="62" t="s">
        <v>94</v>
      </c>
      <c r="AB9" s="63" t="s">
        <v>98</v>
      </c>
      <c r="AC9" s="64" t="s">
        <v>92</v>
      </c>
      <c r="AD9" s="57" t="s">
        <v>93</v>
      </c>
      <c r="AE9" s="58" t="s">
        <v>94</v>
      </c>
      <c r="AF9" s="59" t="s">
        <v>97</v>
      </c>
      <c r="AG9" s="60" t="s">
        <v>92</v>
      </c>
      <c r="AH9" s="57" t="s">
        <v>93</v>
      </c>
      <c r="AI9" s="58" t="s">
        <v>94</v>
      </c>
      <c r="AJ9" s="59" t="s">
        <v>98</v>
      </c>
      <c r="AK9" s="60" t="s">
        <v>92</v>
      </c>
      <c r="AL9" s="61" t="s">
        <v>93</v>
      </c>
      <c r="AM9" s="62" t="s">
        <v>94</v>
      </c>
      <c r="AN9" s="63" t="s">
        <v>97</v>
      </c>
      <c r="AO9" s="64" t="s">
        <v>92</v>
      </c>
      <c r="AP9" s="61" t="s">
        <v>93</v>
      </c>
      <c r="AQ9" s="62" t="s">
        <v>94</v>
      </c>
      <c r="AR9" s="63" t="s">
        <v>98</v>
      </c>
      <c r="AS9" s="64" t="s">
        <v>92</v>
      </c>
      <c r="AT9" s="57" t="s">
        <v>93</v>
      </c>
      <c r="AU9" s="58" t="s">
        <v>94</v>
      </c>
      <c r="AV9" s="59" t="s">
        <v>97</v>
      </c>
      <c r="AW9" s="60" t="s">
        <v>92</v>
      </c>
      <c r="AX9" s="57" t="s">
        <v>93</v>
      </c>
      <c r="AY9" s="58" t="s">
        <v>94</v>
      </c>
      <c r="AZ9" s="59" t="s">
        <v>98</v>
      </c>
      <c r="BA9" s="60" t="s">
        <v>92</v>
      </c>
      <c r="BB9" s="61" t="s">
        <v>93</v>
      </c>
      <c r="BC9" s="62" t="s">
        <v>94</v>
      </c>
      <c r="BD9" s="63" t="s">
        <v>97</v>
      </c>
      <c r="BE9" s="64" t="s">
        <v>92</v>
      </c>
      <c r="BF9" s="61" t="s">
        <v>93</v>
      </c>
      <c r="BG9" s="62" t="s">
        <v>94</v>
      </c>
      <c r="BH9" s="63" t="s">
        <v>98</v>
      </c>
      <c r="BI9" s="64" t="s">
        <v>92</v>
      </c>
      <c r="BJ9" s="57" t="s">
        <v>93</v>
      </c>
      <c r="BK9" s="58" t="s">
        <v>94</v>
      </c>
      <c r="BL9" s="59" t="s">
        <v>97</v>
      </c>
      <c r="BM9" s="60" t="s">
        <v>92</v>
      </c>
      <c r="BN9" s="57" t="s">
        <v>93</v>
      </c>
      <c r="BO9" s="58" t="s">
        <v>94</v>
      </c>
      <c r="BP9" s="59" t="s">
        <v>98</v>
      </c>
      <c r="BQ9" s="60" t="s">
        <v>92</v>
      </c>
      <c r="BR9" s="61" t="s">
        <v>93</v>
      </c>
      <c r="BS9" s="62" t="s">
        <v>94</v>
      </c>
      <c r="BT9" s="63" t="s">
        <v>97</v>
      </c>
      <c r="BU9" s="64" t="s">
        <v>92</v>
      </c>
      <c r="BV9" s="61" t="s">
        <v>93</v>
      </c>
      <c r="BW9" s="62" t="s">
        <v>94</v>
      </c>
      <c r="BX9" s="63" t="s">
        <v>98</v>
      </c>
      <c r="BY9" s="64" t="s">
        <v>92</v>
      </c>
      <c r="BZ9" s="57" t="s">
        <v>93</v>
      </c>
      <c r="CA9" s="58" t="s">
        <v>94</v>
      </c>
      <c r="CB9" s="59" t="s">
        <v>97</v>
      </c>
      <c r="CC9" s="60" t="s">
        <v>92</v>
      </c>
      <c r="CD9" s="57" t="s">
        <v>93</v>
      </c>
      <c r="CE9" s="58" t="s">
        <v>94</v>
      </c>
      <c r="CF9" s="59" t="s">
        <v>98</v>
      </c>
      <c r="CG9" s="60" t="s">
        <v>92</v>
      </c>
      <c r="CH9" s="61" t="s">
        <v>93</v>
      </c>
      <c r="CI9" s="62" t="s">
        <v>94</v>
      </c>
      <c r="CJ9" s="63" t="s">
        <v>97</v>
      </c>
      <c r="CK9" s="64" t="s">
        <v>92</v>
      </c>
      <c r="CL9" s="61" t="s">
        <v>93</v>
      </c>
      <c r="CM9" s="62" t="s">
        <v>94</v>
      </c>
      <c r="CN9" s="63" t="s">
        <v>98</v>
      </c>
      <c r="CO9" s="64" t="s">
        <v>92</v>
      </c>
      <c r="CP9" s="57" t="s">
        <v>93</v>
      </c>
      <c r="CQ9" s="58" t="s">
        <v>94</v>
      </c>
      <c r="CR9" s="59" t="s">
        <v>97</v>
      </c>
      <c r="CS9" s="60" t="s">
        <v>92</v>
      </c>
      <c r="CT9" s="57" t="s">
        <v>93</v>
      </c>
      <c r="CU9" s="58" t="s">
        <v>94</v>
      </c>
      <c r="CV9" s="59" t="s">
        <v>98</v>
      </c>
      <c r="CW9" s="60" t="s">
        <v>92</v>
      </c>
      <c r="CX9" s="61" t="s">
        <v>93</v>
      </c>
      <c r="CY9" s="62" t="s">
        <v>94</v>
      </c>
      <c r="CZ9" s="63" t="s">
        <v>97</v>
      </c>
      <c r="DA9" s="64" t="s">
        <v>92</v>
      </c>
      <c r="DB9" s="61" t="s">
        <v>93</v>
      </c>
      <c r="DC9" s="62" t="s">
        <v>94</v>
      </c>
      <c r="DD9" s="63" t="s">
        <v>98</v>
      </c>
      <c r="DE9" s="64" t="s">
        <v>92</v>
      </c>
      <c r="DF9" s="57" t="s">
        <v>93</v>
      </c>
      <c r="DG9" s="58" t="s">
        <v>94</v>
      </c>
      <c r="DH9" s="59" t="s">
        <v>97</v>
      </c>
      <c r="DI9" s="60" t="s">
        <v>92</v>
      </c>
      <c r="DJ9" s="57" t="s">
        <v>93</v>
      </c>
      <c r="DK9" s="58" t="s">
        <v>94</v>
      </c>
      <c r="DL9" s="59" t="s">
        <v>98</v>
      </c>
      <c r="DM9" s="60" t="s">
        <v>92</v>
      </c>
      <c r="DN9" s="61" t="s">
        <v>93</v>
      </c>
      <c r="DO9" s="62" t="s">
        <v>94</v>
      </c>
      <c r="DP9" s="63" t="s">
        <v>97</v>
      </c>
      <c r="DQ9" s="64" t="s">
        <v>92</v>
      </c>
      <c r="DR9" s="61" t="s">
        <v>93</v>
      </c>
      <c r="DS9" s="62" t="s">
        <v>94</v>
      </c>
      <c r="DT9" s="63" t="s">
        <v>98</v>
      </c>
      <c r="DU9" s="64" t="s">
        <v>92</v>
      </c>
      <c r="DV9" s="57" t="s">
        <v>93</v>
      </c>
      <c r="DW9" s="58" t="s">
        <v>94</v>
      </c>
      <c r="DX9" s="59" t="s">
        <v>97</v>
      </c>
      <c r="DY9" s="60" t="s">
        <v>92</v>
      </c>
      <c r="DZ9" s="57" t="s">
        <v>93</v>
      </c>
      <c r="EA9" s="58" t="s">
        <v>94</v>
      </c>
      <c r="EB9" s="59" t="s">
        <v>98</v>
      </c>
      <c r="EC9" s="60" t="s">
        <v>92</v>
      </c>
      <c r="ED9" s="61" t="s">
        <v>93</v>
      </c>
      <c r="EE9" s="62" t="s">
        <v>94</v>
      </c>
      <c r="EF9" s="63" t="s">
        <v>97</v>
      </c>
      <c r="EG9" s="64" t="s">
        <v>92</v>
      </c>
      <c r="EH9" s="61" t="s">
        <v>93</v>
      </c>
      <c r="EI9" s="62" t="s">
        <v>94</v>
      </c>
      <c r="EJ9" s="63" t="s">
        <v>98</v>
      </c>
      <c r="EK9" s="64" t="s">
        <v>92</v>
      </c>
      <c r="EL9" s="57" t="s">
        <v>93</v>
      </c>
      <c r="EM9" s="58" t="s">
        <v>94</v>
      </c>
      <c r="EN9" s="59" t="s">
        <v>97</v>
      </c>
      <c r="EO9" s="60" t="s">
        <v>92</v>
      </c>
      <c r="EP9" s="57" t="s">
        <v>93</v>
      </c>
      <c r="EQ9" s="58" t="s">
        <v>94</v>
      </c>
      <c r="ER9" s="59" t="s">
        <v>98</v>
      </c>
      <c r="ES9" s="60" t="s">
        <v>92</v>
      </c>
      <c r="ET9" s="61" t="s">
        <v>93</v>
      </c>
      <c r="EU9" s="62" t="s">
        <v>94</v>
      </c>
      <c r="EV9" s="63" t="s">
        <v>97</v>
      </c>
      <c r="EW9" s="64" t="s">
        <v>92</v>
      </c>
      <c r="EX9" s="61" t="s">
        <v>93</v>
      </c>
      <c r="EY9" s="62" t="s">
        <v>94</v>
      </c>
      <c r="EZ9" s="63" t="s">
        <v>98</v>
      </c>
      <c r="FA9" s="64" t="s">
        <v>92</v>
      </c>
      <c r="FB9" s="57" t="s">
        <v>93</v>
      </c>
      <c r="FC9" s="58" t="s">
        <v>94</v>
      </c>
      <c r="FD9" s="59" t="s">
        <v>97</v>
      </c>
      <c r="FE9" s="60" t="s">
        <v>92</v>
      </c>
      <c r="FF9" s="57" t="s">
        <v>93</v>
      </c>
      <c r="FG9" s="58" t="s">
        <v>94</v>
      </c>
      <c r="FH9" s="59" t="s">
        <v>98</v>
      </c>
      <c r="FI9" s="60" t="s">
        <v>92</v>
      </c>
      <c r="FJ9" s="61" t="s">
        <v>93</v>
      </c>
      <c r="FK9" s="62" t="s">
        <v>94</v>
      </c>
      <c r="FL9" s="63" t="s">
        <v>97</v>
      </c>
      <c r="FM9" s="64" t="s">
        <v>92</v>
      </c>
      <c r="FN9" s="61" t="s">
        <v>93</v>
      </c>
      <c r="FO9" s="62" t="s">
        <v>94</v>
      </c>
      <c r="FP9" s="63" t="s">
        <v>98</v>
      </c>
      <c r="FQ9" s="64" t="s">
        <v>92</v>
      </c>
      <c r="FR9" s="57" t="s">
        <v>93</v>
      </c>
      <c r="FS9" s="58" t="s">
        <v>94</v>
      </c>
      <c r="FT9" s="59" t="s">
        <v>97</v>
      </c>
      <c r="FU9" s="60" t="s">
        <v>92</v>
      </c>
      <c r="FV9" s="57" t="s">
        <v>93</v>
      </c>
      <c r="FW9" s="58" t="s">
        <v>94</v>
      </c>
      <c r="FX9" s="59" t="s">
        <v>98</v>
      </c>
      <c r="FY9" s="60" t="s">
        <v>92</v>
      </c>
      <c r="FZ9" s="61" t="s">
        <v>93</v>
      </c>
      <c r="GA9" s="62" t="s">
        <v>94</v>
      </c>
      <c r="GB9" s="63" t="s">
        <v>97</v>
      </c>
      <c r="GC9" s="64" t="s">
        <v>92</v>
      </c>
      <c r="GD9" s="61" t="s">
        <v>93</v>
      </c>
      <c r="GE9" s="62" t="s">
        <v>94</v>
      </c>
      <c r="GF9" s="63" t="s">
        <v>98</v>
      </c>
      <c r="GG9" s="64" t="s">
        <v>92</v>
      </c>
      <c r="GH9" s="57" t="s">
        <v>93</v>
      </c>
      <c r="GI9" s="58" t="s">
        <v>94</v>
      </c>
      <c r="GJ9" s="59" t="s">
        <v>97</v>
      </c>
      <c r="GK9" s="60" t="s">
        <v>92</v>
      </c>
      <c r="GL9" s="57" t="s">
        <v>93</v>
      </c>
      <c r="GM9" s="58" t="s">
        <v>94</v>
      </c>
      <c r="GN9" s="59" t="s">
        <v>98</v>
      </c>
      <c r="GO9" s="60" t="s">
        <v>92</v>
      </c>
      <c r="GP9" s="61" t="s">
        <v>93</v>
      </c>
      <c r="GQ9" s="62" t="s">
        <v>94</v>
      </c>
      <c r="GR9" s="63" t="s">
        <v>97</v>
      </c>
      <c r="GS9" s="64" t="s">
        <v>92</v>
      </c>
      <c r="GT9" s="61" t="s">
        <v>93</v>
      </c>
      <c r="GU9" s="62" t="s">
        <v>94</v>
      </c>
      <c r="GV9" s="63" t="s">
        <v>98</v>
      </c>
      <c r="GW9" s="64" t="s">
        <v>92</v>
      </c>
      <c r="GX9" s="57" t="s">
        <v>93</v>
      </c>
      <c r="GY9" s="58" t="s">
        <v>94</v>
      </c>
      <c r="GZ9" s="59" t="s">
        <v>97</v>
      </c>
      <c r="HA9" s="60" t="s">
        <v>92</v>
      </c>
      <c r="HB9" s="57" t="s">
        <v>93</v>
      </c>
      <c r="HC9" s="58" t="s">
        <v>94</v>
      </c>
      <c r="HD9" s="59" t="s">
        <v>98</v>
      </c>
      <c r="HE9" s="60" t="s">
        <v>92</v>
      </c>
      <c r="HF9" s="61" t="s">
        <v>93</v>
      </c>
      <c r="HG9" s="62" t="s">
        <v>94</v>
      </c>
      <c r="HH9" s="63" t="s">
        <v>97</v>
      </c>
      <c r="HI9" s="64" t="s">
        <v>92</v>
      </c>
      <c r="HJ9" s="61" t="s">
        <v>93</v>
      </c>
      <c r="HK9" s="62" t="s">
        <v>94</v>
      </c>
      <c r="HL9" s="63" t="s">
        <v>98</v>
      </c>
      <c r="HM9" s="64" t="s">
        <v>92</v>
      </c>
      <c r="HN9" s="57" t="s">
        <v>93</v>
      </c>
      <c r="HO9" s="58" t="s">
        <v>94</v>
      </c>
      <c r="HP9" s="59" t="s">
        <v>97</v>
      </c>
      <c r="HQ9" s="60" t="s">
        <v>92</v>
      </c>
      <c r="HR9" s="57" t="s">
        <v>93</v>
      </c>
      <c r="HS9" s="58" t="s">
        <v>94</v>
      </c>
      <c r="HT9" s="59" t="s">
        <v>98</v>
      </c>
      <c r="HU9" s="60" t="s">
        <v>92</v>
      </c>
      <c r="HV9" s="61" t="s">
        <v>93</v>
      </c>
      <c r="HW9" s="62" t="s">
        <v>94</v>
      </c>
      <c r="HX9" s="63" t="s">
        <v>97</v>
      </c>
      <c r="HY9" s="64" t="s">
        <v>92</v>
      </c>
      <c r="HZ9" s="61" t="s">
        <v>93</v>
      </c>
      <c r="IA9" s="62" t="s">
        <v>94</v>
      </c>
      <c r="IB9" s="63" t="s">
        <v>98</v>
      </c>
      <c r="IC9" s="64" t="s">
        <v>92</v>
      </c>
      <c r="ID9" s="57" t="s">
        <v>93</v>
      </c>
      <c r="IE9" s="58" t="s">
        <v>94</v>
      </c>
      <c r="IF9" s="59" t="s">
        <v>97</v>
      </c>
      <c r="IG9" s="60" t="s">
        <v>92</v>
      </c>
      <c r="IH9" s="57" t="s">
        <v>93</v>
      </c>
      <c r="II9" s="58" t="s">
        <v>94</v>
      </c>
      <c r="IJ9" s="59" t="s">
        <v>98</v>
      </c>
      <c r="IK9" s="60" t="s">
        <v>92</v>
      </c>
      <c r="IL9" s="61" t="s">
        <v>93</v>
      </c>
      <c r="IM9" s="62" t="s">
        <v>94</v>
      </c>
      <c r="IN9" s="63" t="s">
        <v>97</v>
      </c>
      <c r="IO9" s="64" t="s">
        <v>92</v>
      </c>
      <c r="IP9" s="61" t="s">
        <v>93</v>
      </c>
      <c r="IQ9" s="62" t="s">
        <v>94</v>
      </c>
      <c r="IR9" s="63" t="s">
        <v>98</v>
      </c>
      <c r="IS9" s="64" t="s">
        <v>92</v>
      </c>
      <c r="IT9" s="57" t="s">
        <v>93</v>
      </c>
      <c r="IU9" s="58" t="s">
        <v>94</v>
      </c>
      <c r="IV9" s="59" t="s">
        <v>97</v>
      </c>
      <c r="IW9" s="60" t="s">
        <v>92</v>
      </c>
      <c r="IX9" s="57" t="s">
        <v>93</v>
      </c>
      <c r="IY9" s="58" t="s">
        <v>94</v>
      </c>
      <c r="IZ9" s="59" t="s">
        <v>98</v>
      </c>
      <c r="JA9" s="60" t="s">
        <v>92</v>
      </c>
      <c r="JB9" s="40" t="s">
        <v>46</v>
      </c>
      <c r="JC9" s="10" t="s">
        <v>47</v>
      </c>
      <c r="JD9" s="13" t="s">
        <v>46</v>
      </c>
      <c r="JE9" s="36" t="s">
        <v>47</v>
      </c>
      <c r="JF9" s="3"/>
      <c r="JP9" s="3"/>
    </row>
    <row r="10" spans="2:276" ht="30" customHeight="1" x14ac:dyDescent="0.3">
      <c r="B10" s="22">
        <v>1</v>
      </c>
      <c r="C10" s="75" t="e">
        <f>VLOOKUP(#REF!,EMPLEADO!C:Q,15,FALSE)</f>
        <v>#REF!</v>
      </c>
      <c r="D10" s="6" t="s">
        <v>36</v>
      </c>
      <c r="E10" s="37" t="s">
        <v>57</v>
      </c>
      <c r="F10" s="48"/>
      <c r="G10" s="49"/>
      <c r="H10" s="55">
        <f>(+G10-F10)*24</f>
        <v>0</v>
      </c>
      <c r="I10" s="45"/>
      <c r="J10" s="48"/>
      <c r="K10" s="49"/>
      <c r="L10" s="55">
        <f t="shared" ref="L10:L31" si="0">(+K10-J10)*24</f>
        <v>0</v>
      </c>
      <c r="M10" s="45"/>
      <c r="N10" s="50"/>
      <c r="O10" s="51"/>
      <c r="P10" s="55">
        <f t="shared" ref="P10:P31" si="1">(+O10-N10)*24</f>
        <v>0</v>
      </c>
      <c r="Q10" s="45"/>
      <c r="R10" s="51"/>
      <c r="S10" s="51"/>
      <c r="T10" s="55">
        <f>(+S10-R10)*24</f>
        <v>0</v>
      </c>
      <c r="U10" s="45"/>
      <c r="V10" s="48"/>
      <c r="W10" s="49"/>
      <c r="X10" s="55">
        <f t="shared" ref="X10:X31" si="2">(+W10-V10)*24</f>
        <v>0</v>
      </c>
      <c r="Y10" s="45"/>
      <c r="Z10" s="48"/>
      <c r="AA10" s="49"/>
      <c r="AB10" s="55">
        <f t="shared" ref="AB10:AB31" si="3">(+AA10-Z10)*24</f>
        <v>0</v>
      </c>
      <c r="AC10" s="45"/>
      <c r="AD10" s="50"/>
      <c r="AE10" s="72"/>
      <c r="AF10" s="55">
        <f t="shared" ref="AF10:AF31" si="4">(+AE10-AD10)*24</f>
        <v>0</v>
      </c>
      <c r="AG10" s="45"/>
      <c r="AH10" s="51"/>
      <c r="AI10" s="51"/>
      <c r="AJ10" s="73">
        <f>(+AI10-AH10)*24</f>
        <v>0</v>
      </c>
      <c r="AK10" s="45"/>
      <c r="AL10" s="48"/>
      <c r="AM10" s="49"/>
      <c r="AN10" s="55">
        <f t="shared" ref="AN10:AN31" si="5">(+AM10-AL10)*24</f>
        <v>0</v>
      </c>
      <c r="AO10" s="45"/>
      <c r="AP10" s="48"/>
      <c r="AQ10" s="49"/>
      <c r="AR10" s="55">
        <f t="shared" ref="AR10:AR31" si="6">(+AQ10-AP10)*24</f>
        <v>0</v>
      </c>
      <c r="AS10" s="45"/>
      <c r="AT10" s="48"/>
      <c r="AU10" s="49"/>
      <c r="AV10" s="55">
        <f t="shared" ref="AV10:AV31" si="7">(+AU10-AT10)*24</f>
        <v>0</v>
      </c>
      <c r="AW10" s="45"/>
      <c r="AX10" s="48"/>
      <c r="AY10" s="49"/>
      <c r="AZ10" s="55">
        <f t="shared" ref="AZ10:AZ31" si="8">(+AY10-AX10)*24</f>
        <v>0</v>
      </c>
      <c r="BA10" s="45"/>
      <c r="BB10" s="48"/>
      <c r="BC10" s="49"/>
      <c r="BD10" s="55">
        <f t="shared" ref="BD10:BD32" si="9">(+BC10-BB10)*24</f>
        <v>0</v>
      </c>
      <c r="BE10" s="45"/>
      <c r="BF10" s="48"/>
      <c r="BG10" s="49"/>
      <c r="BH10" s="55">
        <f t="shared" ref="BH10:BH32" si="10">(+BG10-BF10)*24</f>
        <v>0</v>
      </c>
      <c r="BI10" s="45"/>
      <c r="BJ10" s="48"/>
      <c r="BK10" s="49"/>
      <c r="BL10" s="55">
        <f t="shared" ref="BL10:BL32" si="11">(+BK10-BJ10)*24</f>
        <v>0</v>
      </c>
      <c r="BM10" s="45"/>
      <c r="BN10" s="48"/>
      <c r="BO10" s="49"/>
      <c r="BP10" s="55">
        <f t="shared" ref="BP10:BP32" si="12">(+BO10-BN10)*24</f>
        <v>0</v>
      </c>
      <c r="BQ10" s="45"/>
      <c r="BR10" s="48"/>
      <c r="BS10" s="49"/>
      <c r="BT10" s="55">
        <f t="shared" ref="BT10:BT32" si="13">(+BS10-BR10)*24</f>
        <v>0</v>
      </c>
      <c r="BU10" s="45"/>
      <c r="BV10" s="48"/>
      <c r="BW10" s="49"/>
      <c r="BX10" s="55">
        <f t="shared" ref="BX10:BX32" si="14">(+BW10-BV10)*24</f>
        <v>0</v>
      </c>
      <c r="BY10" s="45"/>
      <c r="BZ10" s="48"/>
      <c r="CA10" s="49"/>
      <c r="CB10" s="55">
        <f t="shared" ref="CB10:CB32" si="15">(+CA10-BZ10)*24</f>
        <v>0</v>
      </c>
      <c r="CC10" s="45"/>
      <c r="CD10" s="48"/>
      <c r="CE10" s="49"/>
      <c r="CF10" s="55">
        <f t="shared" ref="CF10:CF32" si="16">(+CE10-CD10)*24</f>
        <v>0</v>
      </c>
      <c r="CG10" s="45"/>
      <c r="CH10" s="48"/>
      <c r="CI10" s="49"/>
      <c r="CJ10" s="55">
        <f t="shared" ref="CJ10:CJ32" si="17">(+CI10-CH10)*24</f>
        <v>0</v>
      </c>
      <c r="CK10" s="45"/>
      <c r="CL10" s="48"/>
      <c r="CM10" s="49"/>
      <c r="CN10" s="55">
        <f t="shared" ref="CN10:CN32" si="18">(+CM10-CL10)*24</f>
        <v>0</v>
      </c>
      <c r="CO10" s="45"/>
      <c r="CP10" s="48"/>
      <c r="CQ10" s="49"/>
      <c r="CR10" s="55">
        <f t="shared" ref="CR10:CR32" si="19">(+CQ10-CP10)*24</f>
        <v>0</v>
      </c>
      <c r="CS10" s="45"/>
      <c r="CT10" s="48"/>
      <c r="CU10" s="49"/>
      <c r="CV10" s="55">
        <f t="shared" ref="CV10:CV32" si="20">(+CU10-CT10)*24</f>
        <v>0</v>
      </c>
      <c r="CW10" s="45"/>
      <c r="CX10" s="48"/>
      <c r="CY10" s="49"/>
      <c r="CZ10" s="55">
        <f t="shared" ref="CZ10:CZ32" si="21">(+CY10-CX10)*24</f>
        <v>0</v>
      </c>
      <c r="DA10" s="45"/>
      <c r="DB10" s="48"/>
      <c r="DC10" s="49"/>
      <c r="DD10" s="55">
        <f t="shared" ref="DD10:DD32" si="22">(+DC10-DB10)*24</f>
        <v>0</v>
      </c>
      <c r="DE10" s="45"/>
      <c r="DF10" s="48"/>
      <c r="DG10" s="49"/>
      <c r="DH10" s="55">
        <f t="shared" ref="DH10:DH32" si="23">(+DG10-DF10)*24</f>
        <v>0</v>
      </c>
      <c r="DI10" s="45"/>
      <c r="DJ10" s="48"/>
      <c r="DK10" s="49"/>
      <c r="DL10" s="55">
        <f t="shared" ref="DL10:DL32" si="24">(+DK10-DJ10)*24</f>
        <v>0</v>
      </c>
      <c r="DM10" s="45"/>
      <c r="DN10" s="48"/>
      <c r="DO10" s="49"/>
      <c r="DP10" s="55">
        <f t="shared" ref="DP10:DP32" si="25">(+DO10-DN10)*24</f>
        <v>0</v>
      </c>
      <c r="DQ10" s="45"/>
      <c r="DR10" s="48"/>
      <c r="DS10" s="49"/>
      <c r="DT10" s="55">
        <f t="shared" ref="DT10:DT32" si="26">(+DS10-DR10)*24</f>
        <v>0</v>
      </c>
      <c r="DU10" s="45"/>
      <c r="DV10" s="48"/>
      <c r="DW10" s="49"/>
      <c r="DX10" s="55">
        <f t="shared" ref="DX10:DX32" si="27">(+DW10-DV10)*24</f>
        <v>0</v>
      </c>
      <c r="DY10" s="45"/>
      <c r="DZ10" s="48"/>
      <c r="EA10" s="49"/>
      <c r="EB10" s="55">
        <f t="shared" ref="EB10:EB32" si="28">(+EA10-DZ10)*24</f>
        <v>0</v>
      </c>
      <c r="EC10" s="45"/>
      <c r="ED10" s="48"/>
      <c r="EE10" s="49"/>
      <c r="EF10" s="55">
        <f t="shared" ref="EF10:EF32" si="29">(+EE10-ED10)*24</f>
        <v>0</v>
      </c>
      <c r="EG10" s="45"/>
      <c r="EH10" s="48"/>
      <c r="EI10" s="49"/>
      <c r="EJ10" s="55">
        <f t="shared" ref="EJ10:EJ32" si="30">(+EI10-EH10)*24</f>
        <v>0</v>
      </c>
      <c r="EK10" s="45"/>
      <c r="EL10" s="48"/>
      <c r="EM10" s="49"/>
      <c r="EN10" s="55">
        <f t="shared" ref="EN10:EN32" si="31">(+EM10-EL10)*24</f>
        <v>0</v>
      </c>
      <c r="EO10" s="45"/>
      <c r="EP10" s="48"/>
      <c r="EQ10" s="49"/>
      <c r="ER10" s="55">
        <f t="shared" ref="ER10:ER32" si="32">(+EQ10-EP10)*24</f>
        <v>0</v>
      </c>
      <c r="ES10" s="45"/>
      <c r="ET10" s="48"/>
      <c r="EU10" s="49"/>
      <c r="EV10" s="55">
        <f t="shared" ref="EV10:EV32" si="33">(+EU10-ET10)*24</f>
        <v>0</v>
      </c>
      <c r="EW10" s="45"/>
      <c r="EX10" s="48"/>
      <c r="EY10" s="49"/>
      <c r="EZ10" s="55">
        <f t="shared" ref="EZ10:EZ32" si="34">(+EY10-EX10)*24</f>
        <v>0</v>
      </c>
      <c r="FA10" s="45"/>
      <c r="FB10" s="48"/>
      <c r="FC10" s="49"/>
      <c r="FD10" s="55">
        <f t="shared" ref="FD10:FD32" si="35">(+FC10-FB10)*24</f>
        <v>0</v>
      </c>
      <c r="FE10" s="45"/>
      <c r="FF10" s="48"/>
      <c r="FG10" s="49"/>
      <c r="FH10" s="55">
        <f t="shared" ref="FH10:FH32" si="36">(+FG10-FF10)*24</f>
        <v>0</v>
      </c>
      <c r="FI10" s="45"/>
      <c r="FJ10" s="48"/>
      <c r="FK10" s="49"/>
      <c r="FL10" s="55">
        <f t="shared" ref="FL10:FL32" si="37">(+FK10-FJ10)*24</f>
        <v>0</v>
      </c>
      <c r="FM10" s="45"/>
      <c r="FN10" s="48"/>
      <c r="FO10" s="49"/>
      <c r="FP10" s="55">
        <f t="shared" ref="FP10:FP32" si="38">(+FO10-FN10)*24</f>
        <v>0</v>
      </c>
      <c r="FQ10" s="45"/>
      <c r="FR10" s="48"/>
      <c r="FS10" s="49"/>
      <c r="FT10" s="55">
        <f t="shared" ref="FT10:FT32" si="39">(+FS10-FR10)*24</f>
        <v>0</v>
      </c>
      <c r="FU10" s="45"/>
      <c r="FV10" s="48"/>
      <c r="FW10" s="49"/>
      <c r="FX10" s="55">
        <f t="shared" ref="FX10:FX32" si="40">(+FW10-FV10)*24</f>
        <v>0</v>
      </c>
      <c r="FY10" s="45"/>
      <c r="FZ10" s="48"/>
      <c r="GA10" s="49"/>
      <c r="GB10" s="55">
        <f t="shared" ref="GB10:GB32" si="41">(+GA10-FZ10)*24</f>
        <v>0</v>
      </c>
      <c r="GC10" s="45"/>
      <c r="GD10" s="48"/>
      <c r="GE10" s="49"/>
      <c r="GF10" s="55">
        <f t="shared" ref="GF10:GF32" si="42">(+GE10-GD10)*24</f>
        <v>0</v>
      </c>
      <c r="GG10" s="45"/>
      <c r="GH10" s="48"/>
      <c r="GI10" s="49"/>
      <c r="GJ10" s="55">
        <f t="shared" ref="GJ10:GJ32" si="43">(+GI10-GH10)*24</f>
        <v>0</v>
      </c>
      <c r="GK10" s="45"/>
      <c r="GL10" s="48"/>
      <c r="GM10" s="49"/>
      <c r="GN10" s="55">
        <f t="shared" ref="GN10:GN32" si="44">(+GM10-GL10)*24</f>
        <v>0</v>
      </c>
      <c r="GO10" s="45"/>
      <c r="GP10" s="50"/>
      <c r="GQ10" s="49"/>
      <c r="GR10" s="55">
        <f t="shared" ref="GR10:GR32" si="45">(+GQ10-GP10)*24</f>
        <v>0</v>
      </c>
      <c r="GS10" s="45"/>
      <c r="GT10" s="48"/>
      <c r="GU10" s="49"/>
      <c r="GV10" s="55">
        <f t="shared" ref="GV10:GV32" si="46">(+GU10-GT10)*24</f>
        <v>0</v>
      </c>
      <c r="GW10" s="45"/>
      <c r="GX10" s="48"/>
      <c r="GY10" s="49"/>
      <c r="GZ10" s="55">
        <f t="shared" ref="GZ10:GZ32" si="47">(+GY10-GX10)*24</f>
        <v>0</v>
      </c>
      <c r="HA10" s="45"/>
      <c r="HB10" s="48"/>
      <c r="HC10" s="49"/>
      <c r="HD10" s="55">
        <f t="shared" ref="HD10:HD32" si="48">(+HC10-HB10)*24</f>
        <v>0</v>
      </c>
      <c r="HE10" s="45"/>
      <c r="HF10" s="48"/>
      <c r="HG10" s="49"/>
      <c r="HH10" s="55">
        <f t="shared" ref="HH10:HH32" si="49">(+HG10-HF10)*24</f>
        <v>0</v>
      </c>
      <c r="HI10" s="45"/>
      <c r="HJ10" s="48"/>
      <c r="HK10" s="49"/>
      <c r="HL10" s="55">
        <f t="shared" ref="HL10:HL32" si="50">(+HK10-HJ10)*24</f>
        <v>0</v>
      </c>
      <c r="HM10" s="45"/>
      <c r="HN10" s="48"/>
      <c r="HO10" s="49"/>
      <c r="HP10" s="55">
        <f t="shared" ref="HP10:HP32" si="51">(+HO10-HN10)*24</f>
        <v>0</v>
      </c>
      <c r="HQ10" s="45"/>
      <c r="HR10" s="48"/>
      <c r="HS10" s="49"/>
      <c r="HT10" s="55">
        <f t="shared" ref="HT10:HT32" si="52">(+HS10-HR10)*24</f>
        <v>0</v>
      </c>
      <c r="HU10" s="45"/>
      <c r="HV10" s="48"/>
      <c r="HW10" s="49"/>
      <c r="HX10" s="55">
        <f t="shared" ref="HX10:HX32" si="53">(+HW10-HV10)*24</f>
        <v>0</v>
      </c>
      <c r="HY10" s="45"/>
      <c r="HZ10" s="48"/>
      <c r="IA10" s="49"/>
      <c r="IB10" s="55">
        <f t="shared" ref="IB10:IB32" si="54">(+IA10-HZ10)*24</f>
        <v>0</v>
      </c>
      <c r="IC10" s="45"/>
      <c r="ID10" s="48"/>
      <c r="IE10" s="49"/>
      <c r="IF10" s="55">
        <f t="shared" ref="IF10:IF32" si="55">(+IE10-ID10)*24</f>
        <v>0</v>
      </c>
      <c r="IG10" s="45"/>
      <c r="IH10" s="48"/>
      <c r="II10" s="49"/>
      <c r="IJ10" s="55">
        <f t="shared" ref="IJ10:IJ32" si="56">(+II10-IH10)*24</f>
        <v>0</v>
      </c>
      <c r="IK10" s="45"/>
      <c r="IL10" s="48"/>
      <c r="IM10" s="49"/>
      <c r="IN10" s="55">
        <f t="shared" ref="IN10:IN32" si="57">(+IM10-IL10)*24</f>
        <v>0</v>
      </c>
      <c r="IO10" s="45"/>
      <c r="IP10" s="48"/>
      <c r="IQ10" s="49"/>
      <c r="IR10" s="55">
        <f t="shared" ref="IR10:IR32" si="58">(+IQ10-IP10)*24</f>
        <v>0</v>
      </c>
      <c r="IS10" s="45"/>
      <c r="IT10" s="48"/>
      <c r="IU10" s="49"/>
      <c r="IV10" s="55">
        <f t="shared" ref="IV10:IV32" si="59">(+IU10-IT10)*24</f>
        <v>0</v>
      </c>
      <c r="IW10" s="45"/>
      <c r="IX10" s="48"/>
      <c r="IY10" s="49"/>
      <c r="IZ10" s="55">
        <f t="shared" ref="IZ10:IZ32" si="60">(+IY10-IX10)*24</f>
        <v>0</v>
      </c>
      <c r="JA10" s="45"/>
      <c r="JB10" s="35" t="e">
        <f t="shared" ref="JB10:JB32" si="61">IF($F$4="F",0,+H10)+IF($V$4="F",0,+X10)+IF($AL$4="F",0,+AN10)+IF($BB$4="F",0,+BD10)+IF($BR$4="F",0,+BT10)+IF($CH$4="F",0,+CJ10)+IF($CX$4="F",0,+CZ10)+IF($DN$4="F",0,+DP10)+IF($ED$4="F",0,+EF10)+IF($ET$4="F",0,EV10)+IF($FJ$4="F",0,+FL10)+IF($FZ$4="F",0,GB10)+IF($GP$4="F",0,+GR10)+IF($HF$4="F",0,+HH10)+IF($HV$4="F",0,+HX10)+IF($IL$4="F",0,+IN10)</f>
        <v>#VALUE!</v>
      </c>
      <c r="JC10" s="35" t="e">
        <f t="shared" ref="JC10:JC32" si="62">IF($F$4="F",0,+L10)+IF($V$4="F",0,+AB10)+IF($AL$4="F",0,+AR10)+IF($BB$4="F",0,+BH10)+IF($BR$4="F",0,+BX10)+IF($CH$4="F",0,+CN10)+IF($CX$4="F",0,+DD10)+IF($DN$4="F",0,+DT10)+IF($ED$4="F",0,+EJ10)+IF($ET$4="F",0,EZ10)+IF($FJ$4="F",0,+FP10)+IF($FZ$4="F",0,GF10)+IF($GP$4="F",0,+GV10)+IF($HF$4="F",0,+HL10)+IF($HV$4="F",0,+IB10)+IF($IL$4="F",0,+IR10)</f>
        <v>#VALUE!</v>
      </c>
      <c r="JD10" s="35" t="e">
        <f t="shared" ref="JD10:JD32" si="63">IF($F$4="F",0,+P10)+IF($V$4="F",0,+AF10)+IF($AL$4="F",0,+AV10)+IF($BB$4="F",0,+BL10)+IF($BR$4="F",0,+CB10)+IF($CH$4="F",0,+CR10)+IF($CX$4="F",0,+DH10)+IF($DN$4="F",0,+DX10)+IF($ED$4="F",0,+EN10)+IF($ET$4="F",0,FD10)+IF($FJ$4="F",0,+FT10)+IF($FZ$4="F",0,GJ10)+IF($GP$4="F",0,+GZ10)+IF($HF$4="F",0,+HP10)+IF($HV$4="F",0,+IF10)+IF($IL$4="F",0,+IV10)</f>
        <v>#VALUE!</v>
      </c>
      <c r="JE10" s="35" t="e">
        <f>IF($F$4="F",0,+S10)+IF($V$4="F",0,+AJ10)+IF($AL$4="F",0,+AZ10)+IF($BB$4="F",0,+BP10)+IF($BR$4="F",0,+CF10)+IF($CH$4="F",0,+CV10)+IF($CX$4="F",0,+DL10)+IF($DN$4="F",0,+EB10)+IF($ED$4="F",0,+ER10)+IF($ET$4="F",0,FH10)+IF($FJ$4="F",0,+FX10)+IF($FZ$4="F",0,GN10)+IF($GP$4="F",0,+HD10)+IF($HF$4="F",0,+HT10)+IF($HV$4="F",0,+IJ10)+IF($IL$4="F",0,+IZ10)</f>
        <v>#VALUE!</v>
      </c>
      <c r="JF10" s="35"/>
      <c r="JP10" s="35"/>
    </row>
    <row r="11" spans="2:276" ht="40.5" customHeight="1" x14ac:dyDescent="0.3">
      <c r="B11" s="22">
        <v>2</v>
      </c>
      <c r="C11" s="75" t="e">
        <f>VLOOKUP(#REF!,EMPLEADO!C:Q,15,FALSE)</f>
        <v>#REF!</v>
      </c>
      <c r="D11" s="6" t="s">
        <v>37</v>
      </c>
      <c r="E11" s="37" t="s">
        <v>26</v>
      </c>
      <c r="F11" s="50"/>
      <c r="G11" s="51"/>
      <c r="H11" s="55">
        <f t="shared" ref="H11:H31" si="64">(+G11-F11)*24</f>
        <v>0</v>
      </c>
      <c r="I11" s="45"/>
      <c r="J11" s="48"/>
      <c r="K11" s="49"/>
      <c r="L11" s="55">
        <f t="shared" si="0"/>
        <v>0</v>
      </c>
      <c r="M11" s="45"/>
      <c r="N11" s="50"/>
      <c r="O11" s="51"/>
      <c r="P11" s="55">
        <f t="shared" si="1"/>
        <v>0</v>
      </c>
      <c r="Q11" s="45"/>
      <c r="R11" s="51"/>
      <c r="S11" s="51"/>
      <c r="T11" s="55">
        <f t="shared" ref="T11:T31" si="65">(+S11-R11)*24</f>
        <v>0</v>
      </c>
      <c r="U11" s="45"/>
      <c r="V11" s="48"/>
      <c r="W11" s="49"/>
      <c r="X11" s="55">
        <f t="shared" si="2"/>
        <v>0</v>
      </c>
      <c r="Y11" s="45"/>
      <c r="Z11" s="48"/>
      <c r="AA11" s="49"/>
      <c r="AB11" s="55">
        <f t="shared" si="3"/>
        <v>0</v>
      </c>
      <c r="AC11" s="45"/>
      <c r="AD11" s="50"/>
      <c r="AE11" s="72"/>
      <c r="AF11" s="55">
        <f t="shared" si="4"/>
        <v>0</v>
      </c>
      <c r="AG11" s="45"/>
      <c r="AH11" s="51"/>
      <c r="AI11" s="51"/>
      <c r="AJ11" s="73">
        <f t="shared" ref="AJ11:AJ31" si="66">(+AI11-AH11)*24</f>
        <v>0</v>
      </c>
      <c r="AK11" s="45"/>
      <c r="AL11" s="48"/>
      <c r="AM11" s="49"/>
      <c r="AN11" s="55">
        <f t="shared" si="5"/>
        <v>0</v>
      </c>
      <c r="AO11" s="45"/>
      <c r="AP11" s="48"/>
      <c r="AQ11" s="49"/>
      <c r="AR11" s="55">
        <f t="shared" si="6"/>
        <v>0</v>
      </c>
      <c r="AS11" s="45"/>
      <c r="AT11" s="48"/>
      <c r="AU11" s="49"/>
      <c r="AV11" s="55">
        <f t="shared" si="7"/>
        <v>0</v>
      </c>
      <c r="AW11" s="45"/>
      <c r="AX11" s="48"/>
      <c r="AY11" s="49"/>
      <c r="AZ11" s="55">
        <f t="shared" si="8"/>
        <v>0</v>
      </c>
      <c r="BA11" s="45"/>
      <c r="BB11" s="48"/>
      <c r="BC11" s="49"/>
      <c r="BD11" s="55">
        <f t="shared" si="9"/>
        <v>0</v>
      </c>
      <c r="BE11" s="45"/>
      <c r="BF11" s="48"/>
      <c r="BG11" s="49"/>
      <c r="BH11" s="55">
        <f t="shared" si="10"/>
        <v>0</v>
      </c>
      <c r="BI11" s="45"/>
      <c r="BJ11" s="48"/>
      <c r="BK11" s="49"/>
      <c r="BL11" s="55">
        <f t="shared" si="11"/>
        <v>0</v>
      </c>
      <c r="BM11" s="45"/>
      <c r="BN11" s="48"/>
      <c r="BO11" s="49"/>
      <c r="BP11" s="55">
        <f t="shared" si="12"/>
        <v>0</v>
      </c>
      <c r="BQ11" s="45"/>
      <c r="BR11" s="50"/>
      <c r="BS11" s="51"/>
      <c r="BT11" s="55">
        <f t="shared" si="13"/>
        <v>0</v>
      </c>
      <c r="BU11" s="45"/>
      <c r="BV11" s="48"/>
      <c r="BW11" s="49"/>
      <c r="BX11" s="55">
        <f t="shared" si="14"/>
        <v>0</v>
      </c>
      <c r="BY11" s="45"/>
      <c r="BZ11" s="48"/>
      <c r="CA11" s="49"/>
      <c r="CB11" s="55">
        <f t="shared" si="15"/>
        <v>0</v>
      </c>
      <c r="CC11" s="45"/>
      <c r="CD11" s="48"/>
      <c r="CE11" s="49"/>
      <c r="CF11" s="55">
        <f t="shared" si="16"/>
        <v>0</v>
      </c>
      <c r="CG11" s="45"/>
      <c r="CH11" s="48"/>
      <c r="CI11" s="49"/>
      <c r="CJ11" s="55">
        <f t="shared" si="17"/>
        <v>0</v>
      </c>
      <c r="CK11" s="45"/>
      <c r="CL11" s="48"/>
      <c r="CM11" s="49"/>
      <c r="CN11" s="55">
        <f t="shared" si="18"/>
        <v>0</v>
      </c>
      <c r="CO11" s="45"/>
      <c r="CP11" s="48"/>
      <c r="CQ11" s="49"/>
      <c r="CR11" s="55">
        <f t="shared" si="19"/>
        <v>0</v>
      </c>
      <c r="CS11" s="45"/>
      <c r="CT11" s="48"/>
      <c r="CU11" s="49"/>
      <c r="CV11" s="55">
        <f t="shared" si="20"/>
        <v>0</v>
      </c>
      <c r="CW11" s="45"/>
      <c r="CX11" s="48"/>
      <c r="CY11" s="49"/>
      <c r="CZ11" s="55">
        <f t="shared" si="21"/>
        <v>0</v>
      </c>
      <c r="DA11" s="45"/>
      <c r="DB11" s="48"/>
      <c r="DC11" s="49"/>
      <c r="DD11" s="55">
        <f t="shared" si="22"/>
        <v>0</v>
      </c>
      <c r="DE11" s="45"/>
      <c r="DF11" s="48"/>
      <c r="DG11" s="49"/>
      <c r="DH11" s="55">
        <f t="shared" si="23"/>
        <v>0</v>
      </c>
      <c r="DI11" s="45"/>
      <c r="DJ11" s="48"/>
      <c r="DK11" s="49"/>
      <c r="DL11" s="55">
        <f t="shared" si="24"/>
        <v>0</v>
      </c>
      <c r="DM11" s="45"/>
      <c r="DN11" s="48"/>
      <c r="DO11" s="49"/>
      <c r="DP11" s="55">
        <f t="shared" si="25"/>
        <v>0</v>
      </c>
      <c r="DQ11" s="45"/>
      <c r="DR11" s="48"/>
      <c r="DS11" s="49"/>
      <c r="DT11" s="55">
        <f t="shared" si="26"/>
        <v>0</v>
      </c>
      <c r="DU11" s="45"/>
      <c r="DV11" s="50"/>
      <c r="DW11" s="51"/>
      <c r="DX11" s="55">
        <f t="shared" si="27"/>
        <v>0</v>
      </c>
      <c r="DY11" s="45"/>
      <c r="DZ11" s="48"/>
      <c r="EA11" s="49"/>
      <c r="EB11" s="55">
        <f t="shared" si="28"/>
        <v>0</v>
      </c>
      <c r="EC11" s="45"/>
      <c r="ED11" s="48"/>
      <c r="EE11" s="49"/>
      <c r="EF11" s="55">
        <f t="shared" si="29"/>
        <v>0</v>
      </c>
      <c r="EG11" s="45"/>
      <c r="EH11" s="48"/>
      <c r="EI11" s="49"/>
      <c r="EJ11" s="55">
        <f t="shared" si="30"/>
        <v>0</v>
      </c>
      <c r="EK11" s="45"/>
      <c r="EL11" s="48"/>
      <c r="EM11" s="49"/>
      <c r="EN11" s="55">
        <f t="shared" si="31"/>
        <v>0</v>
      </c>
      <c r="EO11" s="45"/>
      <c r="EP11" s="48"/>
      <c r="EQ11" s="49"/>
      <c r="ER11" s="55">
        <f t="shared" si="32"/>
        <v>0</v>
      </c>
      <c r="ES11" s="45"/>
      <c r="ET11" s="48"/>
      <c r="EU11" s="49"/>
      <c r="EV11" s="55">
        <f t="shared" si="33"/>
        <v>0</v>
      </c>
      <c r="EW11" s="45"/>
      <c r="EX11" s="48"/>
      <c r="EY11" s="49"/>
      <c r="EZ11" s="55">
        <f t="shared" si="34"/>
        <v>0</v>
      </c>
      <c r="FA11" s="45"/>
      <c r="FB11" s="48"/>
      <c r="FC11" s="49"/>
      <c r="FD11" s="55">
        <f t="shared" si="35"/>
        <v>0</v>
      </c>
      <c r="FE11" s="45"/>
      <c r="FF11" s="48"/>
      <c r="FG11" s="49"/>
      <c r="FH11" s="55">
        <f t="shared" si="36"/>
        <v>0</v>
      </c>
      <c r="FI11" s="45"/>
      <c r="FJ11" s="48"/>
      <c r="FK11" s="49"/>
      <c r="FL11" s="55">
        <f t="shared" si="37"/>
        <v>0</v>
      </c>
      <c r="FM11" s="45"/>
      <c r="FN11" s="48"/>
      <c r="FO11" s="49"/>
      <c r="FP11" s="55">
        <f t="shared" si="38"/>
        <v>0</v>
      </c>
      <c r="FQ11" s="45"/>
      <c r="FR11" s="48"/>
      <c r="FS11" s="49"/>
      <c r="FT11" s="55">
        <f t="shared" si="39"/>
        <v>0</v>
      </c>
      <c r="FU11" s="45"/>
      <c r="FV11" s="48"/>
      <c r="FW11" s="49"/>
      <c r="FX11" s="55">
        <f t="shared" si="40"/>
        <v>0</v>
      </c>
      <c r="FY11" s="45"/>
      <c r="FZ11" s="48"/>
      <c r="GA11" s="49"/>
      <c r="GB11" s="55">
        <f t="shared" si="41"/>
        <v>0</v>
      </c>
      <c r="GC11" s="45"/>
      <c r="GD11" s="48"/>
      <c r="GE11" s="49"/>
      <c r="GF11" s="55">
        <f t="shared" si="42"/>
        <v>0</v>
      </c>
      <c r="GG11" s="45"/>
      <c r="GH11" s="48"/>
      <c r="GI11" s="49"/>
      <c r="GJ11" s="55">
        <f t="shared" si="43"/>
        <v>0</v>
      </c>
      <c r="GK11" s="45"/>
      <c r="GL11" s="48"/>
      <c r="GM11" s="49"/>
      <c r="GN11" s="55">
        <f t="shared" si="44"/>
        <v>0</v>
      </c>
      <c r="GO11" s="45"/>
      <c r="GP11" s="50"/>
      <c r="GQ11" s="51"/>
      <c r="GR11" s="55">
        <f t="shared" si="45"/>
        <v>0</v>
      </c>
      <c r="GS11" s="45"/>
      <c r="GT11" s="48"/>
      <c r="GU11" s="49"/>
      <c r="GV11" s="55">
        <f t="shared" si="46"/>
        <v>0</v>
      </c>
      <c r="GW11" s="45"/>
      <c r="GX11" s="48"/>
      <c r="GY11" s="49"/>
      <c r="GZ11" s="55">
        <f t="shared" si="47"/>
        <v>0</v>
      </c>
      <c r="HA11" s="45"/>
      <c r="HB11" s="48"/>
      <c r="HC11" s="49"/>
      <c r="HD11" s="55">
        <f t="shared" si="48"/>
        <v>0</v>
      </c>
      <c r="HE11" s="45"/>
      <c r="HF11" s="50"/>
      <c r="HG11" s="51"/>
      <c r="HH11" s="55">
        <f t="shared" si="49"/>
        <v>0</v>
      </c>
      <c r="HI11" s="45"/>
      <c r="HJ11" s="48"/>
      <c r="HK11" s="49"/>
      <c r="HL11" s="55">
        <f t="shared" si="50"/>
        <v>0</v>
      </c>
      <c r="HM11" s="45"/>
      <c r="HN11" s="48"/>
      <c r="HO11" s="49"/>
      <c r="HP11" s="55">
        <f t="shared" si="51"/>
        <v>0</v>
      </c>
      <c r="HQ11" s="45"/>
      <c r="HR11" s="48"/>
      <c r="HS11" s="49"/>
      <c r="HT11" s="55">
        <f t="shared" si="52"/>
        <v>0</v>
      </c>
      <c r="HU11" s="45"/>
      <c r="HV11" s="50"/>
      <c r="HW11" s="51"/>
      <c r="HX11" s="73">
        <f t="shared" si="53"/>
        <v>0</v>
      </c>
      <c r="HY11" s="45"/>
      <c r="HZ11" s="48"/>
      <c r="IA11" s="49"/>
      <c r="IB11" s="55">
        <f t="shared" si="54"/>
        <v>0</v>
      </c>
      <c r="IC11" s="45"/>
      <c r="ID11" s="48"/>
      <c r="IE11" s="49"/>
      <c r="IF11" s="55">
        <f t="shared" si="55"/>
        <v>0</v>
      </c>
      <c r="IG11" s="45"/>
      <c r="IH11" s="48"/>
      <c r="II11" s="49"/>
      <c r="IJ11" s="55">
        <f t="shared" si="56"/>
        <v>0</v>
      </c>
      <c r="IK11" s="45"/>
      <c r="IL11" s="48"/>
      <c r="IM11" s="49"/>
      <c r="IN11" s="55">
        <f t="shared" si="57"/>
        <v>0</v>
      </c>
      <c r="IO11" s="45"/>
      <c r="IP11" s="48"/>
      <c r="IQ11" s="49"/>
      <c r="IR11" s="55">
        <f t="shared" si="58"/>
        <v>0</v>
      </c>
      <c r="IS11" s="45"/>
      <c r="IT11" s="48"/>
      <c r="IU11" s="49"/>
      <c r="IV11" s="55">
        <f t="shared" si="59"/>
        <v>0</v>
      </c>
      <c r="IW11" s="45"/>
      <c r="IX11" s="48"/>
      <c r="IY11" s="49"/>
      <c r="IZ11" s="55">
        <f t="shared" si="60"/>
        <v>0</v>
      </c>
      <c r="JA11" s="45"/>
      <c r="JB11" s="35" t="e">
        <f t="shared" si="61"/>
        <v>#VALUE!</v>
      </c>
      <c r="JC11" s="35" t="e">
        <f t="shared" si="62"/>
        <v>#VALUE!</v>
      </c>
      <c r="JD11" s="35" t="e">
        <f t="shared" si="63"/>
        <v>#VALUE!</v>
      </c>
      <c r="JE11" s="35" t="e">
        <f>IF($F$4="F",0,+S11)+IF($V$4="F",0,+AJ11)+IF($AL$4="F",0,+AZ11)+IF($BB$4="F",0,+BP11)+IF($BR$4="F",0,+CF11)+IF($CH$4="F",0,+CV11)+IF($CX$4="F",0,+DL11)+IF($DN$4="F",0,+EB11)+IF($ED$4="F",0,+ER11)+IF($ET$4="F",0,FH11)+IF($FJ$4="F",0,+FX11)+IF($FZ$4="F",0,GN11)+IF($GP$4="F",0,+HD11)+IF($HF$4="F",0,+HT11)+IF($HV$4="F",0,+IJ11)+IF($IL$4="F",0,+IZ11)</f>
        <v>#VALUE!</v>
      </c>
      <c r="JF11" s="35"/>
      <c r="JP11" s="35"/>
    </row>
    <row r="12" spans="2:276" ht="30" customHeight="1" x14ac:dyDescent="0.3">
      <c r="B12" s="22">
        <v>3</v>
      </c>
      <c r="C12" s="75" t="e">
        <f>VLOOKUP(#REF!,EMPLEADO!C:Q,15,FALSE)</f>
        <v>#REF!</v>
      </c>
      <c r="D12" s="6" t="s">
        <v>35</v>
      </c>
      <c r="E12" s="37" t="s">
        <v>24</v>
      </c>
      <c r="F12" s="48"/>
      <c r="G12" s="49"/>
      <c r="H12" s="55">
        <f t="shared" si="64"/>
        <v>0</v>
      </c>
      <c r="I12" s="45"/>
      <c r="J12" s="48"/>
      <c r="K12" s="49"/>
      <c r="L12" s="55">
        <f t="shared" si="0"/>
        <v>0</v>
      </c>
      <c r="M12" s="45"/>
      <c r="N12" s="48"/>
      <c r="O12" s="49"/>
      <c r="P12" s="55">
        <f t="shared" si="1"/>
        <v>0</v>
      </c>
      <c r="Q12" s="45"/>
      <c r="R12" s="51"/>
      <c r="S12" s="51"/>
      <c r="T12" s="55">
        <f t="shared" si="65"/>
        <v>0</v>
      </c>
      <c r="U12" s="45"/>
      <c r="V12" s="48"/>
      <c r="W12" s="49"/>
      <c r="X12" s="55">
        <f t="shared" si="2"/>
        <v>0</v>
      </c>
      <c r="Y12" s="45"/>
      <c r="Z12" s="48"/>
      <c r="AA12" s="49"/>
      <c r="AB12" s="55">
        <f t="shared" si="3"/>
        <v>0</v>
      </c>
      <c r="AC12" s="45"/>
      <c r="AD12" s="48"/>
      <c r="AE12" s="49"/>
      <c r="AF12" s="55">
        <f t="shared" si="4"/>
        <v>0</v>
      </c>
      <c r="AG12" s="45"/>
      <c r="AH12" s="51"/>
      <c r="AI12" s="51"/>
      <c r="AJ12" s="73">
        <f t="shared" si="66"/>
        <v>0</v>
      </c>
      <c r="AK12" s="45"/>
      <c r="AL12" s="48"/>
      <c r="AM12" s="49"/>
      <c r="AN12" s="55">
        <f t="shared" si="5"/>
        <v>0</v>
      </c>
      <c r="AO12" s="45"/>
      <c r="AP12" s="48"/>
      <c r="AQ12" s="49"/>
      <c r="AR12" s="55">
        <f t="shared" si="6"/>
        <v>0</v>
      </c>
      <c r="AS12" s="45"/>
      <c r="AT12" s="48"/>
      <c r="AU12" s="49"/>
      <c r="AV12" s="55">
        <f t="shared" si="7"/>
        <v>0</v>
      </c>
      <c r="AW12" s="45"/>
      <c r="AX12" s="48"/>
      <c r="AY12" s="49"/>
      <c r="AZ12" s="55">
        <f t="shared" si="8"/>
        <v>0</v>
      </c>
      <c r="BA12" s="45"/>
      <c r="BB12" s="48"/>
      <c r="BC12" s="49"/>
      <c r="BD12" s="55">
        <f t="shared" si="9"/>
        <v>0</v>
      </c>
      <c r="BE12" s="45"/>
      <c r="BF12" s="48"/>
      <c r="BG12" s="49"/>
      <c r="BH12" s="55">
        <f t="shared" si="10"/>
        <v>0</v>
      </c>
      <c r="BI12" s="45"/>
      <c r="BJ12" s="48"/>
      <c r="BK12" s="49"/>
      <c r="BL12" s="55">
        <f t="shared" si="11"/>
        <v>0</v>
      </c>
      <c r="BM12" s="45"/>
      <c r="BN12" s="48"/>
      <c r="BO12" s="49"/>
      <c r="BP12" s="55">
        <f t="shared" si="12"/>
        <v>0</v>
      </c>
      <c r="BQ12" s="45"/>
      <c r="BR12" s="48"/>
      <c r="BS12" s="49"/>
      <c r="BT12" s="55">
        <f t="shared" si="13"/>
        <v>0</v>
      </c>
      <c r="BU12" s="45"/>
      <c r="BV12" s="48"/>
      <c r="BW12" s="49"/>
      <c r="BX12" s="55">
        <f t="shared" si="14"/>
        <v>0</v>
      </c>
      <c r="BY12" s="45"/>
      <c r="BZ12" s="48"/>
      <c r="CA12" s="49"/>
      <c r="CB12" s="55">
        <f t="shared" si="15"/>
        <v>0</v>
      </c>
      <c r="CC12" s="45"/>
      <c r="CD12" s="48"/>
      <c r="CE12" s="49"/>
      <c r="CF12" s="55">
        <f t="shared" si="16"/>
        <v>0</v>
      </c>
      <c r="CG12" s="45"/>
      <c r="CH12" s="50"/>
      <c r="CI12" s="51"/>
      <c r="CJ12" s="55">
        <f t="shared" si="17"/>
        <v>0</v>
      </c>
      <c r="CK12" s="45"/>
      <c r="CL12" s="48"/>
      <c r="CM12" s="49"/>
      <c r="CN12" s="55">
        <f t="shared" si="18"/>
        <v>0</v>
      </c>
      <c r="CO12" s="45"/>
      <c r="CP12" s="48"/>
      <c r="CQ12" s="49"/>
      <c r="CR12" s="55">
        <f t="shared" si="19"/>
        <v>0</v>
      </c>
      <c r="CS12" s="45"/>
      <c r="CT12" s="48"/>
      <c r="CU12" s="49"/>
      <c r="CV12" s="55">
        <f t="shared" si="20"/>
        <v>0</v>
      </c>
      <c r="CW12" s="45"/>
      <c r="CX12" s="48"/>
      <c r="CY12" s="49"/>
      <c r="CZ12" s="55">
        <f t="shared" si="21"/>
        <v>0</v>
      </c>
      <c r="DA12" s="45"/>
      <c r="DB12" s="48"/>
      <c r="DC12" s="49"/>
      <c r="DD12" s="55">
        <f t="shared" si="22"/>
        <v>0</v>
      </c>
      <c r="DE12" s="45"/>
      <c r="DF12" s="48"/>
      <c r="DG12" s="49"/>
      <c r="DH12" s="55">
        <f t="shared" si="23"/>
        <v>0</v>
      </c>
      <c r="DI12" s="45"/>
      <c r="DJ12" s="48"/>
      <c r="DK12" s="49"/>
      <c r="DL12" s="55">
        <f t="shared" si="24"/>
        <v>0</v>
      </c>
      <c r="DM12" s="45"/>
      <c r="DN12" s="48"/>
      <c r="DO12" s="49"/>
      <c r="DP12" s="55">
        <f t="shared" si="25"/>
        <v>0</v>
      </c>
      <c r="DQ12" s="45"/>
      <c r="DR12" s="48"/>
      <c r="DS12" s="49"/>
      <c r="DT12" s="55">
        <f t="shared" si="26"/>
        <v>0</v>
      </c>
      <c r="DU12" s="45"/>
      <c r="DV12" s="48"/>
      <c r="DW12" s="49"/>
      <c r="DX12" s="55">
        <f t="shared" si="27"/>
        <v>0</v>
      </c>
      <c r="DY12" s="45"/>
      <c r="DZ12" s="48"/>
      <c r="EA12" s="49"/>
      <c r="EB12" s="55">
        <f t="shared" si="28"/>
        <v>0</v>
      </c>
      <c r="EC12" s="45"/>
      <c r="ED12" s="48"/>
      <c r="EE12" s="49"/>
      <c r="EF12" s="55">
        <f t="shared" si="29"/>
        <v>0</v>
      </c>
      <c r="EG12" s="45"/>
      <c r="EH12" s="48"/>
      <c r="EI12" s="49"/>
      <c r="EJ12" s="55">
        <f t="shared" si="30"/>
        <v>0</v>
      </c>
      <c r="EK12" s="45"/>
      <c r="EL12" s="48"/>
      <c r="EM12" s="49"/>
      <c r="EN12" s="55">
        <f t="shared" si="31"/>
        <v>0</v>
      </c>
      <c r="EO12" s="45"/>
      <c r="EP12" s="48"/>
      <c r="EQ12" s="49"/>
      <c r="ER12" s="55">
        <f t="shared" si="32"/>
        <v>0</v>
      </c>
      <c r="ES12" s="45"/>
      <c r="ET12" s="48"/>
      <c r="EU12" s="49"/>
      <c r="EV12" s="55">
        <f t="shared" si="33"/>
        <v>0</v>
      </c>
      <c r="EW12" s="45"/>
      <c r="EX12" s="48"/>
      <c r="EY12" s="49"/>
      <c r="EZ12" s="55">
        <f t="shared" si="34"/>
        <v>0</v>
      </c>
      <c r="FA12" s="45"/>
      <c r="FB12" s="48"/>
      <c r="FC12" s="49"/>
      <c r="FD12" s="55">
        <f t="shared" si="35"/>
        <v>0</v>
      </c>
      <c r="FE12" s="45"/>
      <c r="FF12" s="48"/>
      <c r="FG12" s="49"/>
      <c r="FH12" s="55">
        <f t="shared" si="36"/>
        <v>0</v>
      </c>
      <c r="FI12" s="45"/>
      <c r="FJ12" s="48"/>
      <c r="FK12" s="49"/>
      <c r="FL12" s="55">
        <f t="shared" si="37"/>
        <v>0</v>
      </c>
      <c r="FM12" s="45"/>
      <c r="FN12" s="48"/>
      <c r="FO12" s="49"/>
      <c r="FP12" s="55">
        <f t="shared" si="38"/>
        <v>0</v>
      </c>
      <c r="FQ12" s="45"/>
      <c r="FR12" s="48"/>
      <c r="FS12" s="49"/>
      <c r="FT12" s="55">
        <f t="shared" si="39"/>
        <v>0</v>
      </c>
      <c r="FU12" s="45"/>
      <c r="FV12" s="48"/>
      <c r="FW12" s="49"/>
      <c r="FX12" s="55">
        <f t="shared" si="40"/>
        <v>0</v>
      </c>
      <c r="FY12" s="45"/>
      <c r="FZ12" s="48"/>
      <c r="GA12" s="49"/>
      <c r="GB12" s="55">
        <f t="shared" si="41"/>
        <v>0</v>
      </c>
      <c r="GC12" s="45"/>
      <c r="GD12" s="48"/>
      <c r="GE12" s="49"/>
      <c r="GF12" s="55">
        <f t="shared" si="42"/>
        <v>0</v>
      </c>
      <c r="GG12" s="45"/>
      <c r="GH12" s="48"/>
      <c r="GI12" s="49"/>
      <c r="GJ12" s="55">
        <f t="shared" si="43"/>
        <v>0</v>
      </c>
      <c r="GK12" s="45"/>
      <c r="GL12" s="48"/>
      <c r="GM12" s="49"/>
      <c r="GN12" s="55">
        <f t="shared" si="44"/>
        <v>0</v>
      </c>
      <c r="GO12" s="45"/>
      <c r="GP12" s="48"/>
      <c r="GQ12" s="49"/>
      <c r="GR12" s="55">
        <f t="shared" si="45"/>
        <v>0</v>
      </c>
      <c r="GS12" s="45"/>
      <c r="GT12" s="48"/>
      <c r="GU12" s="49"/>
      <c r="GV12" s="55">
        <f t="shared" si="46"/>
        <v>0</v>
      </c>
      <c r="GW12" s="45"/>
      <c r="GX12" s="48"/>
      <c r="GY12" s="49"/>
      <c r="GZ12" s="55">
        <f t="shared" si="47"/>
        <v>0</v>
      </c>
      <c r="HA12" s="45"/>
      <c r="HB12" s="48"/>
      <c r="HC12" s="49"/>
      <c r="HD12" s="55">
        <f t="shared" si="48"/>
        <v>0</v>
      </c>
      <c r="HE12" s="45"/>
      <c r="HF12" s="48"/>
      <c r="HG12" s="49"/>
      <c r="HH12" s="55">
        <f t="shared" si="49"/>
        <v>0</v>
      </c>
      <c r="HI12" s="45"/>
      <c r="HJ12" s="48"/>
      <c r="HK12" s="49"/>
      <c r="HL12" s="55">
        <f t="shared" si="50"/>
        <v>0</v>
      </c>
      <c r="HM12" s="45"/>
      <c r="HN12" s="48"/>
      <c r="HO12" s="49"/>
      <c r="HP12" s="55">
        <f t="shared" si="51"/>
        <v>0</v>
      </c>
      <c r="HQ12" s="45"/>
      <c r="HR12" s="48"/>
      <c r="HS12" s="49"/>
      <c r="HT12" s="55">
        <f t="shared" si="52"/>
        <v>0</v>
      </c>
      <c r="HU12" s="45"/>
      <c r="HV12" s="48"/>
      <c r="HW12" s="49"/>
      <c r="HX12" s="55">
        <f t="shared" si="53"/>
        <v>0</v>
      </c>
      <c r="HY12" s="45"/>
      <c r="HZ12" s="48"/>
      <c r="IA12" s="49"/>
      <c r="IB12" s="55">
        <f t="shared" si="54"/>
        <v>0</v>
      </c>
      <c r="IC12" s="45"/>
      <c r="ID12" s="48"/>
      <c r="IE12" s="49"/>
      <c r="IF12" s="55">
        <f t="shared" si="55"/>
        <v>0</v>
      </c>
      <c r="IG12" s="45"/>
      <c r="IH12" s="48"/>
      <c r="II12" s="49"/>
      <c r="IJ12" s="55">
        <f t="shared" si="56"/>
        <v>0</v>
      </c>
      <c r="IK12" s="45"/>
      <c r="IL12" s="48"/>
      <c r="IM12" s="49"/>
      <c r="IN12" s="55">
        <f t="shared" si="57"/>
        <v>0</v>
      </c>
      <c r="IO12" s="45"/>
      <c r="IP12" s="48"/>
      <c r="IQ12" s="49"/>
      <c r="IR12" s="55">
        <f t="shared" si="58"/>
        <v>0</v>
      </c>
      <c r="IS12" s="45"/>
      <c r="IT12" s="48"/>
      <c r="IU12" s="49"/>
      <c r="IV12" s="55">
        <f t="shared" si="59"/>
        <v>0</v>
      </c>
      <c r="IW12" s="45"/>
      <c r="IX12" s="48"/>
      <c r="IY12" s="49"/>
      <c r="IZ12" s="55">
        <f t="shared" si="60"/>
        <v>0</v>
      </c>
      <c r="JA12" s="45"/>
      <c r="JB12" s="35" t="e">
        <f t="shared" si="61"/>
        <v>#VALUE!</v>
      </c>
      <c r="JC12" s="35" t="e">
        <f t="shared" si="62"/>
        <v>#VALUE!</v>
      </c>
      <c r="JD12" s="35" t="e">
        <f t="shared" si="63"/>
        <v>#VALUE!</v>
      </c>
      <c r="JE12" s="35" t="e">
        <f>IF($F$4="F",0,+S12)+IF($V$4="F",0,+AJ12)+IF($AL$4="F",0,+AZ12)+IF($BB$4="F",0,+BP12)+IF($BR$4="F",0,+CF12)+IF($CH$4="F",0,+CV12)+IF($CX$4="F",0,+DL12)+IF($DN$4="F",0,+EB12)+IF($ED$4="F",0,+ER12)+IF($ET$4="F",0,FH12)+IF($FJ$4="F",0,+FX12)+IF($FZ$4="F",0,GN12)+IF($GP$4="F",0,+HD12)+IF($HF$4="F",0,+HT12)+IF($HV$4="F",0,+IJ12)+IF($IL$4="F",0,+IZ12)</f>
        <v>#VALUE!</v>
      </c>
      <c r="JF12" s="35"/>
      <c r="JP12" s="35"/>
    </row>
    <row r="13" spans="2:276" ht="30" customHeight="1" x14ac:dyDescent="0.3">
      <c r="B13" s="22">
        <v>4</v>
      </c>
      <c r="C13" s="75" t="e">
        <f>VLOOKUP(#REF!,EMPLEADO!C:Q,15,FALSE)</f>
        <v>#REF!</v>
      </c>
      <c r="D13" s="6" t="s">
        <v>38</v>
      </c>
      <c r="E13" s="37" t="s">
        <v>18</v>
      </c>
      <c r="F13" s="50"/>
      <c r="G13" s="51"/>
      <c r="H13" s="55">
        <f t="shared" si="64"/>
        <v>0</v>
      </c>
      <c r="I13" s="45"/>
      <c r="J13" s="48"/>
      <c r="K13" s="49"/>
      <c r="L13" s="55">
        <f t="shared" si="0"/>
        <v>0</v>
      </c>
      <c r="M13" s="45"/>
      <c r="N13" s="50"/>
      <c r="O13" s="51"/>
      <c r="P13" s="55">
        <f t="shared" si="1"/>
        <v>0</v>
      </c>
      <c r="Q13" s="45"/>
      <c r="R13" s="51"/>
      <c r="S13" s="51"/>
      <c r="T13" s="55">
        <f t="shared" si="65"/>
        <v>0</v>
      </c>
      <c r="U13" s="45"/>
      <c r="V13" s="48"/>
      <c r="W13" s="49"/>
      <c r="X13" s="55">
        <f t="shared" si="2"/>
        <v>0</v>
      </c>
      <c r="Y13" s="45"/>
      <c r="Z13" s="48"/>
      <c r="AA13" s="49"/>
      <c r="AB13" s="55">
        <f t="shared" si="3"/>
        <v>0</v>
      </c>
      <c r="AC13" s="45"/>
      <c r="AD13" s="48"/>
      <c r="AE13" s="49"/>
      <c r="AF13" s="55">
        <f t="shared" si="4"/>
        <v>0</v>
      </c>
      <c r="AG13" s="45"/>
      <c r="AH13" s="51"/>
      <c r="AI13" s="51"/>
      <c r="AJ13" s="73">
        <f t="shared" si="66"/>
        <v>0</v>
      </c>
      <c r="AK13" s="45"/>
      <c r="AL13" s="48"/>
      <c r="AM13" s="49"/>
      <c r="AN13" s="55">
        <f t="shared" si="5"/>
        <v>0</v>
      </c>
      <c r="AO13" s="45"/>
      <c r="AP13" s="48"/>
      <c r="AQ13" s="49"/>
      <c r="AR13" s="55">
        <f t="shared" si="6"/>
        <v>0</v>
      </c>
      <c r="AS13" s="45"/>
      <c r="AT13" s="48"/>
      <c r="AU13" s="49"/>
      <c r="AV13" s="55">
        <f t="shared" si="7"/>
        <v>0</v>
      </c>
      <c r="AW13" s="45"/>
      <c r="AX13" s="48"/>
      <c r="AY13" s="49"/>
      <c r="AZ13" s="55">
        <f t="shared" si="8"/>
        <v>0</v>
      </c>
      <c r="BA13" s="45"/>
      <c r="BB13" s="48"/>
      <c r="BC13" s="49"/>
      <c r="BD13" s="55">
        <f t="shared" si="9"/>
        <v>0</v>
      </c>
      <c r="BE13" s="45"/>
      <c r="BF13" s="48"/>
      <c r="BG13" s="49"/>
      <c r="BH13" s="55">
        <f t="shared" si="10"/>
        <v>0</v>
      </c>
      <c r="BI13" s="45"/>
      <c r="BJ13" s="48"/>
      <c r="BK13" s="49"/>
      <c r="BL13" s="55">
        <f t="shared" si="11"/>
        <v>0</v>
      </c>
      <c r="BM13" s="45"/>
      <c r="BN13" s="48"/>
      <c r="BO13" s="49"/>
      <c r="BP13" s="55">
        <f t="shared" si="12"/>
        <v>0</v>
      </c>
      <c r="BQ13" s="45"/>
      <c r="BR13" s="48"/>
      <c r="BS13" s="49"/>
      <c r="BT13" s="55">
        <f t="shared" si="13"/>
        <v>0</v>
      </c>
      <c r="BU13" s="45"/>
      <c r="BV13" s="48"/>
      <c r="BW13" s="49"/>
      <c r="BX13" s="55">
        <f t="shared" si="14"/>
        <v>0</v>
      </c>
      <c r="BY13" s="45"/>
      <c r="BZ13" s="48"/>
      <c r="CA13" s="49"/>
      <c r="CB13" s="55">
        <f t="shared" si="15"/>
        <v>0</v>
      </c>
      <c r="CC13" s="45"/>
      <c r="CD13" s="48"/>
      <c r="CE13" s="49"/>
      <c r="CF13" s="55">
        <f t="shared" si="16"/>
        <v>0</v>
      </c>
      <c r="CG13" s="45"/>
      <c r="CH13" s="48"/>
      <c r="CI13" s="49"/>
      <c r="CJ13" s="55">
        <f t="shared" si="17"/>
        <v>0</v>
      </c>
      <c r="CK13" s="45"/>
      <c r="CL13" s="48"/>
      <c r="CM13" s="49"/>
      <c r="CN13" s="55">
        <f t="shared" si="18"/>
        <v>0</v>
      </c>
      <c r="CO13" s="45"/>
      <c r="CP13" s="48"/>
      <c r="CQ13" s="49"/>
      <c r="CR13" s="55">
        <f t="shared" si="19"/>
        <v>0</v>
      </c>
      <c r="CS13" s="45"/>
      <c r="CT13" s="48"/>
      <c r="CU13" s="49"/>
      <c r="CV13" s="55">
        <f t="shared" si="20"/>
        <v>0</v>
      </c>
      <c r="CW13" s="45"/>
      <c r="CX13" s="48"/>
      <c r="CY13" s="49"/>
      <c r="CZ13" s="55">
        <f t="shared" si="21"/>
        <v>0</v>
      </c>
      <c r="DA13" s="45"/>
      <c r="DB13" s="48"/>
      <c r="DC13" s="49"/>
      <c r="DD13" s="55">
        <f t="shared" si="22"/>
        <v>0</v>
      </c>
      <c r="DE13" s="45"/>
      <c r="DF13" s="48"/>
      <c r="DG13" s="49"/>
      <c r="DH13" s="55">
        <f t="shared" si="23"/>
        <v>0</v>
      </c>
      <c r="DI13" s="45"/>
      <c r="DJ13" s="48"/>
      <c r="DK13" s="49"/>
      <c r="DL13" s="55">
        <f t="shared" si="24"/>
        <v>0</v>
      </c>
      <c r="DM13" s="45"/>
      <c r="DN13" s="48"/>
      <c r="DO13" s="49"/>
      <c r="DP13" s="55">
        <f t="shared" si="25"/>
        <v>0</v>
      </c>
      <c r="DQ13" s="45"/>
      <c r="DR13" s="48"/>
      <c r="DS13" s="49"/>
      <c r="DT13" s="55">
        <f t="shared" si="26"/>
        <v>0</v>
      </c>
      <c r="DU13" s="45"/>
      <c r="DV13" s="48"/>
      <c r="DW13" s="49"/>
      <c r="DX13" s="55">
        <f t="shared" si="27"/>
        <v>0</v>
      </c>
      <c r="DY13" s="45"/>
      <c r="DZ13" s="48"/>
      <c r="EA13" s="49"/>
      <c r="EB13" s="55">
        <f t="shared" si="28"/>
        <v>0</v>
      </c>
      <c r="EC13" s="45"/>
      <c r="ED13" s="48"/>
      <c r="EE13" s="49"/>
      <c r="EF13" s="55">
        <f t="shared" si="29"/>
        <v>0</v>
      </c>
      <c r="EG13" s="45"/>
      <c r="EH13" s="48"/>
      <c r="EI13" s="49"/>
      <c r="EJ13" s="55">
        <f t="shared" si="30"/>
        <v>0</v>
      </c>
      <c r="EK13" s="45"/>
      <c r="EL13" s="48"/>
      <c r="EM13" s="49"/>
      <c r="EN13" s="55">
        <f t="shared" si="31"/>
        <v>0</v>
      </c>
      <c r="EO13" s="45"/>
      <c r="EP13" s="48"/>
      <c r="EQ13" s="49"/>
      <c r="ER13" s="55">
        <f t="shared" si="32"/>
        <v>0</v>
      </c>
      <c r="ES13" s="45"/>
      <c r="ET13" s="48"/>
      <c r="EU13" s="49"/>
      <c r="EV13" s="55">
        <f t="shared" si="33"/>
        <v>0</v>
      </c>
      <c r="EW13" s="45"/>
      <c r="EX13" s="48"/>
      <c r="EY13" s="49"/>
      <c r="EZ13" s="55">
        <f t="shared" si="34"/>
        <v>0</v>
      </c>
      <c r="FA13" s="45"/>
      <c r="FB13" s="48"/>
      <c r="FC13" s="49"/>
      <c r="FD13" s="55">
        <f t="shared" si="35"/>
        <v>0</v>
      </c>
      <c r="FE13" s="45"/>
      <c r="FF13" s="48"/>
      <c r="FG13" s="49"/>
      <c r="FH13" s="55">
        <f t="shared" si="36"/>
        <v>0</v>
      </c>
      <c r="FI13" s="45"/>
      <c r="FJ13" s="48"/>
      <c r="FK13" s="49"/>
      <c r="FL13" s="55">
        <f t="shared" si="37"/>
        <v>0</v>
      </c>
      <c r="FM13" s="45"/>
      <c r="FN13" s="48"/>
      <c r="FO13" s="49"/>
      <c r="FP13" s="55">
        <f t="shared" si="38"/>
        <v>0</v>
      </c>
      <c r="FQ13" s="45"/>
      <c r="FR13" s="48"/>
      <c r="FS13" s="49"/>
      <c r="FT13" s="55">
        <f t="shared" si="39"/>
        <v>0</v>
      </c>
      <c r="FU13" s="45"/>
      <c r="FV13" s="48"/>
      <c r="FW13" s="49"/>
      <c r="FX13" s="55">
        <f t="shared" si="40"/>
        <v>0</v>
      </c>
      <c r="FY13" s="45"/>
      <c r="FZ13" s="48"/>
      <c r="GA13" s="49"/>
      <c r="GB13" s="55">
        <f t="shared" si="41"/>
        <v>0</v>
      </c>
      <c r="GC13" s="45"/>
      <c r="GD13" s="48"/>
      <c r="GE13" s="49"/>
      <c r="GF13" s="55">
        <f t="shared" si="42"/>
        <v>0</v>
      </c>
      <c r="GG13" s="45"/>
      <c r="GH13" s="48"/>
      <c r="GI13" s="49"/>
      <c r="GJ13" s="55">
        <f t="shared" si="43"/>
        <v>0</v>
      </c>
      <c r="GK13" s="45"/>
      <c r="GL13" s="48"/>
      <c r="GM13" s="49"/>
      <c r="GN13" s="55">
        <f t="shared" si="44"/>
        <v>0</v>
      </c>
      <c r="GO13" s="45"/>
      <c r="GP13" s="48"/>
      <c r="GQ13" s="49"/>
      <c r="GR13" s="55">
        <f t="shared" si="45"/>
        <v>0</v>
      </c>
      <c r="GS13" s="45"/>
      <c r="GT13" s="48"/>
      <c r="GU13" s="49"/>
      <c r="GV13" s="55">
        <f t="shared" si="46"/>
        <v>0</v>
      </c>
      <c r="GW13" s="45"/>
      <c r="GX13" s="48"/>
      <c r="GY13" s="49"/>
      <c r="GZ13" s="55">
        <f t="shared" si="47"/>
        <v>0</v>
      </c>
      <c r="HA13" s="45"/>
      <c r="HB13" s="48"/>
      <c r="HC13" s="49"/>
      <c r="HD13" s="55">
        <f t="shared" si="48"/>
        <v>0</v>
      </c>
      <c r="HE13" s="45"/>
      <c r="HF13" s="48"/>
      <c r="HG13" s="49"/>
      <c r="HH13" s="55">
        <f t="shared" si="49"/>
        <v>0</v>
      </c>
      <c r="HI13" s="45"/>
      <c r="HJ13" s="48"/>
      <c r="HK13" s="49"/>
      <c r="HL13" s="55">
        <f t="shared" si="50"/>
        <v>0</v>
      </c>
      <c r="HM13" s="45"/>
      <c r="HN13" s="48"/>
      <c r="HO13" s="49"/>
      <c r="HP13" s="55">
        <f t="shared" si="51"/>
        <v>0</v>
      </c>
      <c r="HQ13" s="45"/>
      <c r="HR13" s="48"/>
      <c r="HS13" s="49"/>
      <c r="HT13" s="55">
        <f t="shared" si="52"/>
        <v>0</v>
      </c>
      <c r="HU13" s="45"/>
      <c r="HV13" s="48"/>
      <c r="HW13" s="49"/>
      <c r="HX13" s="55">
        <f t="shared" si="53"/>
        <v>0</v>
      </c>
      <c r="HY13" s="45"/>
      <c r="HZ13" s="48"/>
      <c r="IA13" s="49"/>
      <c r="IB13" s="55">
        <f t="shared" si="54"/>
        <v>0</v>
      </c>
      <c r="IC13" s="45"/>
      <c r="ID13" s="48"/>
      <c r="IE13" s="49"/>
      <c r="IF13" s="55">
        <f t="shared" si="55"/>
        <v>0</v>
      </c>
      <c r="IG13" s="45"/>
      <c r="IH13" s="48"/>
      <c r="II13" s="49"/>
      <c r="IJ13" s="55">
        <f t="shared" si="56"/>
        <v>0</v>
      </c>
      <c r="IK13" s="45"/>
      <c r="IL13" s="48"/>
      <c r="IM13" s="49"/>
      <c r="IN13" s="55">
        <f t="shared" si="57"/>
        <v>0</v>
      </c>
      <c r="IO13" s="45"/>
      <c r="IP13" s="48"/>
      <c r="IQ13" s="49"/>
      <c r="IR13" s="55">
        <f t="shared" si="58"/>
        <v>0</v>
      </c>
      <c r="IS13" s="45"/>
      <c r="IT13" s="48"/>
      <c r="IU13" s="49"/>
      <c r="IV13" s="55">
        <f t="shared" si="59"/>
        <v>0</v>
      </c>
      <c r="IW13" s="45"/>
      <c r="IX13" s="48"/>
      <c r="IY13" s="49"/>
      <c r="IZ13" s="55">
        <f t="shared" si="60"/>
        <v>0</v>
      </c>
      <c r="JA13" s="45"/>
      <c r="JB13" s="35" t="e">
        <f t="shared" si="61"/>
        <v>#VALUE!</v>
      </c>
      <c r="JC13" s="35" t="e">
        <f t="shared" si="62"/>
        <v>#VALUE!</v>
      </c>
      <c r="JD13" s="35" t="e">
        <f t="shared" si="63"/>
        <v>#VALUE!</v>
      </c>
      <c r="JE13" s="35" t="e">
        <f>IF($F$4="F",0,+S13)+IF($V$4="F",0,+AJ13)+IF($AL$4="F",0,+AZ13)+IF($BB$4="F",0,+BP13)+IF($BR$4="F",0,+CF13)+IF($CH$4="F",0,+CV13)+IF($CX$4="F",0,+DL13)+IF($DN$4="F",0,+EB13)+IF($ED$4="F",0,+ER13)+IF($ET$4="F",0,FH13)+IF($FJ$4="F",0,+FX13)+IF($FZ$4="F",0,GN13)+IF($GP$4="F",0,+HD13)+IF($HF$4="F",0,+HT13)+IF($HV$4="F",0,+IJ13)+IF($IL$4="F",0,+IZ13)</f>
        <v>#VALUE!</v>
      </c>
      <c r="JF13" s="35"/>
      <c r="JP13" s="35"/>
    </row>
    <row r="14" spans="2:276" ht="30" customHeight="1" x14ac:dyDescent="0.3">
      <c r="B14" s="22">
        <v>5</v>
      </c>
      <c r="C14" s="75" t="e">
        <f>VLOOKUP(#REF!,EMPLEADO!C:Q,15,FALSE)</f>
        <v>#REF!</v>
      </c>
      <c r="D14" s="6" t="s">
        <v>39</v>
      </c>
      <c r="E14" s="37" t="s">
        <v>18</v>
      </c>
      <c r="F14" s="48"/>
      <c r="G14" s="49"/>
      <c r="H14" s="55">
        <f t="shared" si="64"/>
        <v>0</v>
      </c>
      <c r="I14" s="45"/>
      <c r="J14" s="48"/>
      <c r="K14" s="49"/>
      <c r="L14" s="55">
        <f t="shared" si="0"/>
        <v>0</v>
      </c>
      <c r="M14" s="45"/>
      <c r="N14" s="50"/>
      <c r="O14" s="51"/>
      <c r="P14" s="55">
        <f t="shared" si="1"/>
        <v>0</v>
      </c>
      <c r="Q14" s="45"/>
      <c r="R14" s="51"/>
      <c r="S14" s="51"/>
      <c r="T14" s="55">
        <f t="shared" si="65"/>
        <v>0</v>
      </c>
      <c r="U14" s="45"/>
      <c r="V14" s="48"/>
      <c r="W14" s="49"/>
      <c r="X14" s="55">
        <f t="shared" si="2"/>
        <v>0</v>
      </c>
      <c r="Y14" s="45"/>
      <c r="Z14" s="48"/>
      <c r="AA14" s="49"/>
      <c r="AB14" s="55">
        <f t="shared" si="3"/>
        <v>0</v>
      </c>
      <c r="AC14" s="45"/>
      <c r="AD14" s="48"/>
      <c r="AE14" s="49"/>
      <c r="AF14" s="55">
        <f t="shared" si="4"/>
        <v>0</v>
      </c>
      <c r="AG14" s="45"/>
      <c r="AH14" s="51"/>
      <c r="AI14" s="51"/>
      <c r="AJ14" s="73">
        <f t="shared" si="66"/>
        <v>0</v>
      </c>
      <c r="AK14" s="45"/>
      <c r="AL14" s="48"/>
      <c r="AM14" s="49"/>
      <c r="AN14" s="55">
        <f t="shared" si="5"/>
        <v>0</v>
      </c>
      <c r="AO14" s="45"/>
      <c r="AP14" s="48"/>
      <c r="AQ14" s="49"/>
      <c r="AR14" s="55">
        <f t="shared" si="6"/>
        <v>0</v>
      </c>
      <c r="AS14" s="45"/>
      <c r="AT14" s="48"/>
      <c r="AU14" s="49"/>
      <c r="AV14" s="55">
        <f t="shared" si="7"/>
        <v>0</v>
      </c>
      <c r="AW14" s="45"/>
      <c r="AX14" s="48"/>
      <c r="AY14" s="49"/>
      <c r="AZ14" s="55">
        <f t="shared" si="8"/>
        <v>0</v>
      </c>
      <c r="BA14" s="45"/>
      <c r="BB14" s="48"/>
      <c r="BC14" s="49"/>
      <c r="BD14" s="55">
        <f t="shared" si="9"/>
        <v>0</v>
      </c>
      <c r="BE14" s="45"/>
      <c r="BF14" s="48"/>
      <c r="BG14" s="49"/>
      <c r="BH14" s="55">
        <f t="shared" si="10"/>
        <v>0</v>
      </c>
      <c r="BI14" s="45"/>
      <c r="BJ14" s="48"/>
      <c r="BK14" s="49"/>
      <c r="BL14" s="55">
        <f t="shared" si="11"/>
        <v>0</v>
      </c>
      <c r="BM14" s="45"/>
      <c r="BN14" s="48"/>
      <c r="BO14" s="49"/>
      <c r="BP14" s="55">
        <f t="shared" si="12"/>
        <v>0</v>
      </c>
      <c r="BQ14" s="45"/>
      <c r="BR14" s="48"/>
      <c r="BS14" s="49"/>
      <c r="BT14" s="55">
        <f t="shared" si="13"/>
        <v>0</v>
      </c>
      <c r="BU14" s="45"/>
      <c r="BV14" s="48"/>
      <c r="BW14" s="49"/>
      <c r="BX14" s="55">
        <f t="shared" si="14"/>
        <v>0</v>
      </c>
      <c r="BY14" s="45"/>
      <c r="BZ14" s="48"/>
      <c r="CA14" s="49"/>
      <c r="CB14" s="55">
        <f t="shared" si="15"/>
        <v>0</v>
      </c>
      <c r="CC14" s="45"/>
      <c r="CD14" s="48"/>
      <c r="CE14" s="49"/>
      <c r="CF14" s="55">
        <f t="shared" si="16"/>
        <v>0</v>
      </c>
      <c r="CG14" s="45"/>
      <c r="CH14" s="48"/>
      <c r="CI14" s="49"/>
      <c r="CJ14" s="55">
        <f t="shared" si="17"/>
        <v>0</v>
      </c>
      <c r="CK14" s="45"/>
      <c r="CL14" s="48"/>
      <c r="CM14" s="49"/>
      <c r="CN14" s="55">
        <f t="shared" si="18"/>
        <v>0</v>
      </c>
      <c r="CO14" s="45"/>
      <c r="CP14" s="48"/>
      <c r="CQ14" s="49"/>
      <c r="CR14" s="55">
        <f t="shared" si="19"/>
        <v>0</v>
      </c>
      <c r="CS14" s="45"/>
      <c r="CT14" s="48"/>
      <c r="CU14" s="49"/>
      <c r="CV14" s="55">
        <f t="shared" si="20"/>
        <v>0</v>
      </c>
      <c r="CW14" s="45"/>
      <c r="CX14" s="48"/>
      <c r="CY14" s="49"/>
      <c r="CZ14" s="55">
        <f t="shared" si="21"/>
        <v>0</v>
      </c>
      <c r="DA14" s="45"/>
      <c r="DB14" s="48"/>
      <c r="DC14" s="49"/>
      <c r="DD14" s="55">
        <f t="shared" si="22"/>
        <v>0</v>
      </c>
      <c r="DE14" s="45"/>
      <c r="DF14" s="48"/>
      <c r="DG14" s="49"/>
      <c r="DH14" s="55">
        <f t="shared" si="23"/>
        <v>0</v>
      </c>
      <c r="DI14" s="45"/>
      <c r="DJ14" s="48"/>
      <c r="DK14" s="49"/>
      <c r="DL14" s="55">
        <f t="shared" si="24"/>
        <v>0</v>
      </c>
      <c r="DM14" s="45"/>
      <c r="DN14" s="48"/>
      <c r="DO14" s="49"/>
      <c r="DP14" s="55">
        <f t="shared" si="25"/>
        <v>0</v>
      </c>
      <c r="DQ14" s="45"/>
      <c r="DR14" s="48"/>
      <c r="DS14" s="49"/>
      <c r="DT14" s="55">
        <f t="shared" si="26"/>
        <v>0</v>
      </c>
      <c r="DU14" s="45"/>
      <c r="DV14" s="48"/>
      <c r="DW14" s="49"/>
      <c r="DX14" s="55">
        <f t="shared" si="27"/>
        <v>0</v>
      </c>
      <c r="DY14" s="45"/>
      <c r="DZ14" s="48"/>
      <c r="EA14" s="49"/>
      <c r="EB14" s="55">
        <f t="shared" si="28"/>
        <v>0</v>
      </c>
      <c r="EC14" s="45"/>
      <c r="ED14" s="48"/>
      <c r="EE14" s="49"/>
      <c r="EF14" s="55">
        <f t="shared" si="29"/>
        <v>0</v>
      </c>
      <c r="EG14" s="45"/>
      <c r="EH14" s="48"/>
      <c r="EI14" s="49"/>
      <c r="EJ14" s="55">
        <f t="shared" si="30"/>
        <v>0</v>
      </c>
      <c r="EK14" s="45"/>
      <c r="EL14" s="48"/>
      <c r="EM14" s="49"/>
      <c r="EN14" s="55">
        <f t="shared" si="31"/>
        <v>0</v>
      </c>
      <c r="EO14" s="45"/>
      <c r="EP14" s="48"/>
      <c r="EQ14" s="49"/>
      <c r="ER14" s="55">
        <f t="shared" si="32"/>
        <v>0</v>
      </c>
      <c r="ES14" s="45"/>
      <c r="ET14" s="48"/>
      <c r="EU14" s="49"/>
      <c r="EV14" s="55">
        <f t="shared" si="33"/>
        <v>0</v>
      </c>
      <c r="EW14" s="45"/>
      <c r="EX14" s="48"/>
      <c r="EY14" s="49"/>
      <c r="EZ14" s="55">
        <f t="shared" si="34"/>
        <v>0</v>
      </c>
      <c r="FA14" s="45"/>
      <c r="FB14" s="48"/>
      <c r="FC14" s="49"/>
      <c r="FD14" s="55">
        <f t="shared" si="35"/>
        <v>0</v>
      </c>
      <c r="FE14" s="45"/>
      <c r="FF14" s="48"/>
      <c r="FG14" s="49"/>
      <c r="FH14" s="55">
        <f t="shared" si="36"/>
        <v>0</v>
      </c>
      <c r="FI14" s="45"/>
      <c r="FJ14" s="48"/>
      <c r="FK14" s="49"/>
      <c r="FL14" s="55">
        <f t="shared" si="37"/>
        <v>0</v>
      </c>
      <c r="FM14" s="45"/>
      <c r="FN14" s="48"/>
      <c r="FO14" s="49"/>
      <c r="FP14" s="55">
        <f t="shared" si="38"/>
        <v>0</v>
      </c>
      <c r="FQ14" s="45"/>
      <c r="FR14" s="48"/>
      <c r="FS14" s="49"/>
      <c r="FT14" s="55">
        <f t="shared" si="39"/>
        <v>0</v>
      </c>
      <c r="FU14" s="45"/>
      <c r="FV14" s="48"/>
      <c r="FW14" s="49"/>
      <c r="FX14" s="55">
        <f t="shared" si="40"/>
        <v>0</v>
      </c>
      <c r="FY14" s="45"/>
      <c r="FZ14" s="48"/>
      <c r="GA14" s="49"/>
      <c r="GB14" s="55">
        <f t="shared" si="41"/>
        <v>0</v>
      </c>
      <c r="GC14" s="45"/>
      <c r="GD14" s="48"/>
      <c r="GE14" s="49"/>
      <c r="GF14" s="55">
        <f t="shared" si="42"/>
        <v>0</v>
      </c>
      <c r="GG14" s="45"/>
      <c r="GH14" s="48"/>
      <c r="GI14" s="49"/>
      <c r="GJ14" s="55">
        <f t="shared" si="43"/>
        <v>0</v>
      </c>
      <c r="GK14" s="45"/>
      <c r="GL14" s="48"/>
      <c r="GM14" s="49"/>
      <c r="GN14" s="55">
        <f t="shared" si="44"/>
        <v>0</v>
      </c>
      <c r="GO14" s="45"/>
      <c r="GP14" s="48"/>
      <c r="GQ14" s="49"/>
      <c r="GR14" s="55">
        <f t="shared" si="45"/>
        <v>0</v>
      </c>
      <c r="GS14" s="45"/>
      <c r="GT14" s="48"/>
      <c r="GU14" s="49"/>
      <c r="GV14" s="55">
        <f t="shared" si="46"/>
        <v>0</v>
      </c>
      <c r="GW14" s="45"/>
      <c r="GX14" s="48"/>
      <c r="GY14" s="49"/>
      <c r="GZ14" s="55">
        <f t="shared" si="47"/>
        <v>0</v>
      </c>
      <c r="HA14" s="45"/>
      <c r="HB14" s="48"/>
      <c r="HC14" s="49"/>
      <c r="HD14" s="55">
        <f t="shared" si="48"/>
        <v>0</v>
      </c>
      <c r="HE14" s="45"/>
      <c r="HF14" s="48"/>
      <c r="HG14" s="49"/>
      <c r="HH14" s="55">
        <f t="shared" si="49"/>
        <v>0</v>
      </c>
      <c r="HI14" s="45"/>
      <c r="HJ14" s="48"/>
      <c r="HK14" s="49"/>
      <c r="HL14" s="55">
        <f t="shared" si="50"/>
        <v>0</v>
      </c>
      <c r="HM14" s="45"/>
      <c r="HN14" s="48"/>
      <c r="HO14" s="49"/>
      <c r="HP14" s="55">
        <f t="shared" si="51"/>
        <v>0</v>
      </c>
      <c r="HQ14" s="45"/>
      <c r="HR14" s="48"/>
      <c r="HS14" s="49"/>
      <c r="HT14" s="55">
        <f t="shared" si="52"/>
        <v>0</v>
      </c>
      <c r="HU14" s="45"/>
      <c r="HV14" s="48"/>
      <c r="HW14" s="49"/>
      <c r="HX14" s="55">
        <f t="shared" si="53"/>
        <v>0</v>
      </c>
      <c r="HY14" s="45"/>
      <c r="HZ14" s="48"/>
      <c r="IA14" s="49"/>
      <c r="IB14" s="55">
        <f t="shared" si="54"/>
        <v>0</v>
      </c>
      <c r="IC14" s="45"/>
      <c r="ID14" s="48"/>
      <c r="IE14" s="49"/>
      <c r="IF14" s="55">
        <f t="shared" si="55"/>
        <v>0</v>
      </c>
      <c r="IG14" s="45"/>
      <c r="IH14" s="48"/>
      <c r="II14" s="49"/>
      <c r="IJ14" s="55">
        <f t="shared" si="56"/>
        <v>0</v>
      </c>
      <c r="IK14" s="45"/>
      <c r="IL14" s="48"/>
      <c r="IM14" s="49"/>
      <c r="IN14" s="55">
        <f t="shared" si="57"/>
        <v>0</v>
      </c>
      <c r="IO14" s="45"/>
      <c r="IP14" s="48"/>
      <c r="IQ14" s="49"/>
      <c r="IR14" s="55">
        <f t="shared" si="58"/>
        <v>0</v>
      </c>
      <c r="IS14" s="45"/>
      <c r="IT14" s="48"/>
      <c r="IU14" s="49"/>
      <c r="IV14" s="55">
        <f t="shared" si="59"/>
        <v>0</v>
      </c>
      <c r="IW14" s="45"/>
      <c r="IX14" s="48"/>
      <c r="IY14" s="49"/>
      <c r="IZ14" s="55">
        <f t="shared" si="60"/>
        <v>0</v>
      </c>
      <c r="JA14" s="45"/>
      <c r="JB14" s="35" t="e">
        <f t="shared" si="61"/>
        <v>#VALUE!</v>
      </c>
      <c r="JC14" s="35" t="e">
        <f t="shared" si="62"/>
        <v>#VALUE!</v>
      </c>
      <c r="JD14" s="35" t="e">
        <f t="shared" si="63"/>
        <v>#VALUE!</v>
      </c>
      <c r="JE14" s="35" t="e">
        <f>IF($F$4="F",0,+S14)+IF($V$4="F",0,+AJ14)+IF($AL$4="F",0,+AZ14)+IF($BB$4="F",0,+BP14)+IF($BR$4="F",0,+CF14)+IF($CH$4="F",0,+CV14)+IF($CX$4="F",0,+DL14)+IF($DN$4="F",0,+EB14)+IF($ED$4="F",0,+ER14)+IF($ET$4="F",0,FH14)+IF($FJ$4="F",0,+FX14)+IF($FZ$4="F",0,GN14)+IF($GP$4="F",0,+HD14)+IF($HF$4="F",0,+HT14)+IF($HV$4="F",0,+IJ14)+IF($IL$4="F",0,+IZ14)</f>
        <v>#VALUE!</v>
      </c>
      <c r="JF14" s="35"/>
      <c r="JP14" s="35"/>
    </row>
    <row r="15" spans="2:276" ht="30" customHeight="1" x14ac:dyDescent="0.3">
      <c r="B15" s="22">
        <v>6</v>
      </c>
      <c r="C15" s="75" t="e">
        <f>VLOOKUP(#REF!,EMPLEADO!C:Q,15,FALSE)</f>
        <v>#REF!</v>
      </c>
      <c r="D15" s="6" t="s">
        <v>40</v>
      </c>
      <c r="E15" s="37" t="s">
        <v>18</v>
      </c>
      <c r="F15" s="50"/>
      <c r="G15" s="51"/>
      <c r="H15" s="55">
        <f t="shared" si="64"/>
        <v>0</v>
      </c>
      <c r="I15" s="45"/>
      <c r="J15" s="48"/>
      <c r="K15" s="49"/>
      <c r="L15" s="55">
        <f t="shared" si="0"/>
        <v>0</v>
      </c>
      <c r="M15" s="45"/>
      <c r="N15" s="50"/>
      <c r="O15" s="51"/>
      <c r="P15" s="55">
        <f t="shared" si="1"/>
        <v>0</v>
      </c>
      <c r="Q15" s="45"/>
      <c r="R15" s="51"/>
      <c r="S15" s="51"/>
      <c r="T15" s="55">
        <f t="shared" si="65"/>
        <v>0</v>
      </c>
      <c r="U15" s="45"/>
      <c r="V15" s="48"/>
      <c r="W15" s="49"/>
      <c r="X15" s="55">
        <f t="shared" si="2"/>
        <v>0</v>
      </c>
      <c r="Y15" s="45"/>
      <c r="Z15" s="48"/>
      <c r="AA15" s="49"/>
      <c r="AB15" s="55">
        <f t="shared" si="3"/>
        <v>0</v>
      </c>
      <c r="AC15" s="45"/>
      <c r="AD15" s="48"/>
      <c r="AE15" s="49"/>
      <c r="AF15" s="55">
        <f t="shared" si="4"/>
        <v>0</v>
      </c>
      <c r="AG15" s="45"/>
      <c r="AH15" s="51"/>
      <c r="AI15" s="51"/>
      <c r="AJ15" s="73">
        <f t="shared" si="66"/>
        <v>0</v>
      </c>
      <c r="AK15" s="45"/>
      <c r="AL15" s="48"/>
      <c r="AM15" s="49"/>
      <c r="AN15" s="55">
        <f t="shared" si="5"/>
        <v>0</v>
      </c>
      <c r="AO15" s="45"/>
      <c r="AP15" s="48"/>
      <c r="AQ15" s="49"/>
      <c r="AR15" s="55">
        <f t="shared" si="6"/>
        <v>0</v>
      </c>
      <c r="AS15" s="45"/>
      <c r="AT15" s="48"/>
      <c r="AU15" s="49"/>
      <c r="AV15" s="55">
        <f t="shared" si="7"/>
        <v>0</v>
      </c>
      <c r="AW15" s="45"/>
      <c r="AX15" s="48"/>
      <c r="AY15" s="49"/>
      <c r="AZ15" s="55">
        <f t="shared" si="8"/>
        <v>0</v>
      </c>
      <c r="BA15" s="45"/>
      <c r="BB15" s="48"/>
      <c r="BC15" s="49"/>
      <c r="BD15" s="55">
        <f t="shared" si="9"/>
        <v>0</v>
      </c>
      <c r="BE15" s="45"/>
      <c r="BF15" s="48"/>
      <c r="BG15" s="49"/>
      <c r="BH15" s="55">
        <f t="shared" si="10"/>
        <v>0</v>
      </c>
      <c r="BI15" s="45"/>
      <c r="BJ15" s="48"/>
      <c r="BK15" s="49"/>
      <c r="BL15" s="55">
        <f t="shared" si="11"/>
        <v>0</v>
      </c>
      <c r="BM15" s="45"/>
      <c r="BN15" s="48"/>
      <c r="BO15" s="49"/>
      <c r="BP15" s="55">
        <f t="shared" si="12"/>
        <v>0</v>
      </c>
      <c r="BQ15" s="45"/>
      <c r="BR15" s="48"/>
      <c r="BS15" s="49"/>
      <c r="BT15" s="55">
        <f t="shared" si="13"/>
        <v>0</v>
      </c>
      <c r="BU15" s="45"/>
      <c r="BV15" s="48"/>
      <c r="BW15" s="49"/>
      <c r="BX15" s="55">
        <f t="shared" si="14"/>
        <v>0</v>
      </c>
      <c r="BY15" s="45"/>
      <c r="BZ15" s="48"/>
      <c r="CA15" s="49"/>
      <c r="CB15" s="55">
        <f t="shared" si="15"/>
        <v>0</v>
      </c>
      <c r="CC15" s="45"/>
      <c r="CD15" s="48"/>
      <c r="CE15" s="49"/>
      <c r="CF15" s="55">
        <f t="shared" si="16"/>
        <v>0</v>
      </c>
      <c r="CG15" s="45"/>
      <c r="CH15" s="48"/>
      <c r="CI15" s="49"/>
      <c r="CJ15" s="55">
        <f t="shared" si="17"/>
        <v>0</v>
      </c>
      <c r="CK15" s="45"/>
      <c r="CL15" s="48"/>
      <c r="CM15" s="49"/>
      <c r="CN15" s="55">
        <f t="shared" si="18"/>
        <v>0</v>
      </c>
      <c r="CO15" s="45"/>
      <c r="CP15" s="48"/>
      <c r="CQ15" s="49"/>
      <c r="CR15" s="55">
        <f t="shared" si="19"/>
        <v>0</v>
      </c>
      <c r="CS15" s="45"/>
      <c r="CT15" s="48"/>
      <c r="CU15" s="49"/>
      <c r="CV15" s="55">
        <f t="shared" si="20"/>
        <v>0</v>
      </c>
      <c r="CW15" s="45"/>
      <c r="CX15" s="48"/>
      <c r="CY15" s="49"/>
      <c r="CZ15" s="55">
        <f t="shared" si="21"/>
        <v>0</v>
      </c>
      <c r="DA15" s="45"/>
      <c r="DB15" s="48"/>
      <c r="DC15" s="49"/>
      <c r="DD15" s="55">
        <f t="shared" si="22"/>
        <v>0</v>
      </c>
      <c r="DE15" s="45"/>
      <c r="DF15" s="48"/>
      <c r="DG15" s="49"/>
      <c r="DH15" s="55">
        <f t="shared" si="23"/>
        <v>0</v>
      </c>
      <c r="DI15" s="45"/>
      <c r="DJ15" s="48"/>
      <c r="DK15" s="49"/>
      <c r="DL15" s="55">
        <f t="shared" si="24"/>
        <v>0</v>
      </c>
      <c r="DM15" s="45"/>
      <c r="DN15" s="48"/>
      <c r="DO15" s="49"/>
      <c r="DP15" s="55">
        <f t="shared" si="25"/>
        <v>0</v>
      </c>
      <c r="DQ15" s="45"/>
      <c r="DR15" s="48"/>
      <c r="DS15" s="49"/>
      <c r="DT15" s="55">
        <f t="shared" si="26"/>
        <v>0</v>
      </c>
      <c r="DU15" s="45"/>
      <c r="DV15" s="48"/>
      <c r="DW15" s="49"/>
      <c r="DX15" s="55">
        <f t="shared" si="27"/>
        <v>0</v>
      </c>
      <c r="DY15" s="45"/>
      <c r="DZ15" s="48"/>
      <c r="EA15" s="49"/>
      <c r="EB15" s="55">
        <f t="shared" si="28"/>
        <v>0</v>
      </c>
      <c r="EC15" s="45"/>
      <c r="ED15" s="48"/>
      <c r="EE15" s="49"/>
      <c r="EF15" s="55">
        <f t="shared" si="29"/>
        <v>0</v>
      </c>
      <c r="EG15" s="45"/>
      <c r="EH15" s="48"/>
      <c r="EI15" s="49"/>
      <c r="EJ15" s="55">
        <f t="shared" si="30"/>
        <v>0</v>
      </c>
      <c r="EK15" s="45"/>
      <c r="EL15" s="48"/>
      <c r="EM15" s="49"/>
      <c r="EN15" s="55">
        <f t="shared" si="31"/>
        <v>0</v>
      </c>
      <c r="EO15" s="45"/>
      <c r="EP15" s="48"/>
      <c r="EQ15" s="49"/>
      <c r="ER15" s="55">
        <f t="shared" si="32"/>
        <v>0</v>
      </c>
      <c r="ES15" s="45"/>
      <c r="ET15" s="48"/>
      <c r="EU15" s="49"/>
      <c r="EV15" s="55">
        <f t="shared" si="33"/>
        <v>0</v>
      </c>
      <c r="EW15" s="45"/>
      <c r="EX15" s="48"/>
      <c r="EY15" s="49"/>
      <c r="EZ15" s="55">
        <f t="shared" si="34"/>
        <v>0</v>
      </c>
      <c r="FA15" s="45"/>
      <c r="FB15" s="48"/>
      <c r="FC15" s="49"/>
      <c r="FD15" s="55">
        <f t="shared" si="35"/>
        <v>0</v>
      </c>
      <c r="FE15" s="45"/>
      <c r="FF15" s="48"/>
      <c r="FG15" s="49"/>
      <c r="FH15" s="55">
        <f t="shared" si="36"/>
        <v>0</v>
      </c>
      <c r="FI15" s="45"/>
      <c r="FJ15" s="48"/>
      <c r="FK15" s="49"/>
      <c r="FL15" s="55">
        <f t="shared" si="37"/>
        <v>0</v>
      </c>
      <c r="FM15" s="45"/>
      <c r="FN15" s="48"/>
      <c r="FO15" s="49"/>
      <c r="FP15" s="55">
        <f t="shared" si="38"/>
        <v>0</v>
      </c>
      <c r="FQ15" s="45"/>
      <c r="FR15" s="48"/>
      <c r="FS15" s="49"/>
      <c r="FT15" s="55">
        <f t="shared" si="39"/>
        <v>0</v>
      </c>
      <c r="FU15" s="45"/>
      <c r="FV15" s="48"/>
      <c r="FW15" s="49"/>
      <c r="FX15" s="55">
        <f t="shared" si="40"/>
        <v>0</v>
      </c>
      <c r="FY15" s="45"/>
      <c r="FZ15" s="48"/>
      <c r="GA15" s="49"/>
      <c r="GB15" s="55">
        <f t="shared" si="41"/>
        <v>0</v>
      </c>
      <c r="GC15" s="45"/>
      <c r="GD15" s="48"/>
      <c r="GE15" s="49"/>
      <c r="GF15" s="55">
        <f t="shared" si="42"/>
        <v>0</v>
      </c>
      <c r="GG15" s="45"/>
      <c r="GH15" s="48"/>
      <c r="GI15" s="49"/>
      <c r="GJ15" s="55">
        <f t="shared" si="43"/>
        <v>0</v>
      </c>
      <c r="GK15" s="45"/>
      <c r="GL15" s="48"/>
      <c r="GM15" s="49"/>
      <c r="GN15" s="55">
        <f t="shared" si="44"/>
        <v>0</v>
      </c>
      <c r="GO15" s="45"/>
      <c r="GP15" s="48"/>
      <c r="GQ15" s="49"/>
      <c r="GR15" s="55">
        <f t="shared" si="45"/>
        <v>0</v>
      </c>
      <c r="GS15" s="45"/>
      <c r="GT15" s="48"/>
      <c r="GU15" s="49"/>
      <c r="GV15" s="55">
        <f t="shared" si="46"/>
        <v>0</v>
      </c>
      <c r="GW15" s="45"/>
      <c r="GX15" s="48"/>
      <c r="GY15" s="49"/>
      <c r="GZ15" s="55">
        <f t="shared" si="47"/>
        <v>0</v>
      </c>
      <c r="HA15" s="45"/>
      <c r="HB15" s="48"/>
      <c r="HC15" s="49"/>
      <c r="HD15" s="55">
        <f t="shared" si="48"/>
        <v>0</v>
      </c>
      <c r="HE15" s="45"/>
      <c r="HF15" s="48"/>
      <c r="HG15" s="49"/>
      <c r="HH15" s="55">
        <f t="shared" si="49"/>
        <v>0</v>
      </c>
      <c r="HI15" s="45"/>
      <c r="HJ15" s="48"/>
      <c r="HK15" s="49"/>
      <c r="HL15" s="55">
        <f t="shared" si="50"/>
        <v>0</v>
      </c>
      <c r="HM15" s="45"/>
      <c r="HN15" s="48"/>
      <c r="HO15" s="49"/>
      <c r="HP15" s="55">
        <f t="shared" si="51"/>
        <v>0</v>
      </c>
      <c r="HQ15" s="45"/>
      <c r="HR15" s="48"/>
      <c r="HS15" s="49"/>
      <c r="HT15" s="55">
        <f t="shared" si="52"/>
        <v>0</v>
      </c>
      <c r="HU15" s="45"/>
      <c r="HV15" s="48"/>
      <c r="HW15" s="49"/>
      <c r="HX15" s="55">
        <f t="shared" si="53"/>
        <v>0</v>
      </c>
      <c r="HY15" s="45"/>
      <c r="HZ15" s="48"/>
      <c r="IA15" s="49"/>
      <c r="IB15" s="55">
        <f t="shared" si="54"/>
        <v>0</v>
      </c>
      <c r="IC15" s="45"/>
      <c r="ID15" s="48"/>
      <c r="IE15" s="49"/>
      <c r="IF15" s="55">
        <f t="shared" si="55"/>
        <v>0</v>
      </c>
      <c r="IG15" s="45"/>
      <c r="IH15" s="48"/>
      <c r="II15" s="49"/>
      <c r="IJ15" s="55">
        <f t="shared" si="56"/>
        <v>0</v>
      </c>
      <c r="IK15" s="45"/>
      <c r="IL15" s="48"/>
      <c r="IM15" s="49"/>
      <c r="IN15" s="55">
        <f t="shared" si="57"/>
        <v>0</v>
      </c>
      <c r="IO15" s="45"/>
      <c r="IP15" s="48"/>
      <c r="IQ15" s="49"/>
      <c r="IR15" s="55">
        <f t="shared" si="58"/>
        <v>0</v>
      </c>
      <c r="IS15" s="45"/>
      <c r="IT15" s="48"/>
      <c r="IU15" s="49"/>
      <c r="IV15" s="55">
        <f t="shared" si="59"/>
        <v>0</v>
      </c>
      <c r="IW15" s="45"/>
      <c r="IX15" s="48"/>
      <c r="IY15" s="49"/>
      <c r="IZ15" s="55">
        <f t="shared" si="60"/>
        <v>0</v>
      </c>
      <c r="JA15" s="45"/>
      <c r="JB15" s="35" t="e">
        <f t="shared" si="61"/>
        <v>#VALUE!</v>
      </c>
      <c r="JC15" s="35" t="e">
        <f t="shared" si="62"/>
        <v>#VALUE!</v>
      </c>
      <c r="JD15" s="35" t="e">
        <f t="shared" si="63"/>
        <v>#VALUE!</v>
      </c>
      <c r="JE15" s="35" t="e">
        <f>IF($F$4="F",0,+T15)+IF($V$4="F",0,+AJ15)+IF($AL$4="F",0,+AZ15)+IF($BB$4="F",0,+BP15)+IF($BR$4="F",0,+CF15)+IF($CH$4="F",0,+CV15)+IF($CX$4="F",0,+DL15)+IF($DN$4="F",0,+EB15)+IF($ED$4="F",0,+ER15)+IF($ET$4="F",0,FH15)+IF($FJ$4="F",0,+FX15)+IF($FZ$4="F",0,GN15)+IF($GP$4="F",0,+HD15)+IF($HF$4="F",0,+HT15)+IF($HV$4="F",0,+IJ15)+IF($IL$4="F",0,+IZ15)</f>
        <v>#VALUE!</v>
      </c>
      <c r="JF15" s="35"/>
      <c r="JP15" s="35"/>
    </row>
    <row r="16" spans="2:276" ht="30" customHeight="1" x14ac:dyDescent="0.3">
      <c r="B16" s="22">
        <v>7</v>
      </c>
      <c r="C16" s="75" t="e">
        <f>VLOOKUP(#REF!,EMPLEADO!C:Q,15,FALSE)</f>
        <v>#REF!</v>
      </c>
      <c r="D16" s="6" t="s">
        <v>41</v>
      </c>
      <c r="E16" s="37" t="s">
        <v>18</v>
      </c>
      <c r="F16" s="48"/>
      <c r="G16" s="49"/>
      <c r="H16" s="55">
        <f t="shared" si="64"/>
        <v>0</v>
      </c>
      <c r="I16" s="45"/>
      <c r="J16" s="48"/>
      <c r="K16" s="49"/>
      <c r="L16" s="55">
        <f t="shared" si="0"/>
        <v>0</v>
      </c>
      <c r="M16" s="45"/>
      <c r="N16" s="50"/>
      <c r="O16" s="51"/>
      <c r="P16" s="55">
        <f t="shared" si="1"/>
        <v>0</v>
      </c>
      <c r="Q16" s="45"/>
      <c r="R16" s="51"/>
      <c r="S16" s="51"/>
      <c r="T16" s="55">
        <f t="shared" si="65"/>
        <v>0</v>
      </c>
      <c r="U16" s="45"/>
      <c r="V16" s="48"/>
      <c r="W16" s="49"/>
      <c r="X16" s="55">
        <f t="shared" si="2"/>
        <v>0</v>
      </c>
      <c r="Y16" s="45"/>
      <c r="Z16" s="48"/>
      <c r="AA16" s="49"/>
      <c r="AB16" s="55">
        <f t="shared" si="3"/>
        <v>0</v>
      </c>
      <c r="AC16" s="45"/>
      <c r="AD16" s="48"/>
      <c r="AE16" s="49"/>
      <c r="AF16" s="55">
        <f t="shared" si="4"/>
        <v>0</v>
      </c>
      <c r="AG16" s="45"/>
      <c r="AH16" s="51"/>
      <c r="AI16" s="51"/>
      <c r="AJ16" s="73">
        <f t="shared" si="66"/>
        <v>0</v>
      </c>
      <c r="AK16" s="45"/>
      <c r="AL16" s="48"/>
      <c r="AM16" s="49"/>
      <c r="AN16" s="55">
        <f t="shared" si="5"/>
        <v>0</v>
      </c>
      <c r="AO16" s="45"/>
      <c r="AP16" s="48"/>
      <c r="AQ16" s="49"/>
      <c r="AR16" s="55">
        <f t="shared" si="6"/>
        <v>0</v>
      </c>
      <c r="AS16" s="45"/>
      <c r="AT16" s="48"/>
      <c r="AU16" s="49"/>
      <c r="AV16" s="55">
        <f t="shared" si="7"/>
        <v>0</v>
      </c>
      <c r="AW16" s="45"/>
      <c r="AX16" s="48"/>
      <c r="AY16" s="49"/>
      <c r="AZ16" s="55">
        <f t="shared" si="8"/>
        <v>0</v>
      </c>
      <c r="BA16" s="45"/>
      <c r="BB16" s="48"/>
      <c r="BC16" s="49"/>
      <c r="BD16" s="55">
        <f t="shared" si="9"/>
        <v>0</v>
      </c>
      <c r="BE16" s="45"/>
      <c r="BF16" s="48"/>
      <c r="BG16" s="49"/>
      <c r="BH16" s="55">
        <f t="shared" si="10"/>
        <v>0</v>
      </c>
      <c r="BI16" s="45"/>
      <c r="BJ16" s="48"/>
      <c r="BK16" s="49"/>
      <c r="BL16" s="55">
        <f t="shared" si="11"/>
        <v>0</v>
      </c>
      <c r="BM16" s="45"/>
      <c r="BN16" s="48"/>
      <c r="BO16" s="49"/>
      <c r="BP16" s="55">
        <f t="shared" si="12"/>
        <v>0</v>
      </c>
      <c r="BQ16" s="45"/>
      <c r="BR16" s="48"/>
      <c r="BS16" s="49"/>
      <c r="BT16" s="55">
        <f t="shared" si="13"/>
        <v>0</v>
      </c>
      <c r="BU16" s="45"/>
      <c r="BV16" s="48"/>
      <c r="BW16" s="49"/>
      <c r="BX16" s="55">
        <f t="shared" si="14"/>
        <v>0</v>
      </c>
      <c r="BY16" s="45"/>
      <c r="BZ16" s="48"/>
      <c r="CA16" s="49"/>
      <c r="CB16" s="55">
        <f t="shared" si="15"/>
        <v>0</v>
      </c>
      <c r="CC16" s="45"/>
      <c r="CD16" s="48"/>
      <c r="CE16" s="49"/>
      <c r="CF16" s="55">
        <f t="shared" si="16"/>
        <v>0</v>
      </c>
      <c r="CG16" s="45"/>
      <c r="CH16" s="48"/>
      <c r="CI16" s="49"/>
      <c r="CJ16" s="55">
        <f t="shared" si="17"/>
        <v>0</v>
      </c>
      <c r="CK16" s="45"/>
      <c r="CL16" s="48"/>
      <c r="CM16" s="49"/>
      <c r="CN16" s="55">
        <f t="shared" si="18"/>
        <v>0</v>
      </c>
      <c r="CO16" s="45"/>
      <c r="CP16" s="48"/>
      <c r="CQ16" s="49"/>
      <c r="CR16" s="55">
        <f t="shared" si="19"/>
        <v>0</v>
      </c>
      <c r="CS16" s="45"/>
      <c r="CT16" s="48"/>
      <c r="CU16" s="49"/>
      <c r="CV16" s="55">
        <f t="shared" si="20"/>
        <v>0</v>
      </c>
      <c r="CW16" s="45"/>
      <c r="CX16" s="48"/>
      <c r="CY16" s="49"/>
      <c r="CZ16" s="55">
        <f t="shared" si="21"/>
        <v>0</v>
      </c>
      <c r="DA16" s="45"/>
      <c r="DB16" s="48"/>
      <c r="DC16" s="49"/>
      <c r="DD16" s="55">
        <f t="shared" si="22"/>
        <v>0</v>
      </c>
      <c r="DE16" s="45"/>
      <c r="DF16" s="48"/>
      <c r="DG16" s="49"/>
      <c r="DH16" s="55">
        <f t="shared" si="23"/>
        <v>0</v>
      </c>
      <c r="DI16" s="45"/>
      <c r="DJ16" s="48"/>
      <c r="DK16" s="49"/>
      <c r="DL16" s="55">
        <f t="shared" si="24"/>
        <v>0</v>
      </c>
      <c r="DM16" s="45"/>
      <c r="DN16" s="48"/>
      <c r="DO16" s="49"/>
      <c r="DP16" s="55">
        <f t="shared" si="25"/>
        <v>0</v>
      </c>
      <c r="DQ16" s="45"/>
      <c r="DR16" s="48"/>
      <c r="DS16" s="49"/>
      <c r="DT16" s="55">
        <f t="shared" si="26"/>
        <v>0</v>
      </c>
      <c r="DU16" s="45"/>
      <c r="DV16" s="48"/>
      <c r="DW16" s="49"/>
      <c r="DX16" s="55">
        <f t="shared" si="27"/>
        <v>0</v>
      </c>
      <c r="DY16" s="45"/>
      <c r="DZ16" s="48"/>
      <c r="EA16" s="49"/>
      <c r="EB16" s="55">
        <f t="shared" si="28"/>
        <v>0</v>
      </c>
      <c r="EC16" s="45"/>
      <c r="ED16" s="48"/>
      <c r="EE16" s="49"/>
      <c r="EF16" s="55">
        <f t="shared" si="29"/>
        <v>0</v>
      </c>
      <c r="EG16" s="45"/>
      <c r="EH16" s="48"/>
      <c r="EI16" s="49"/>
      <c r="EJ16" s="55">
        <f t="shared" si="30"/>
        <v>0</v>
      </c>
      <c r="EK16" s="45"/>
      <c r="EL16" s="48"/>
      <c r="EM16" s="49"/>
      <c r="EN16" s="55">
        <f t="shared" si="31"/>
        <v>0</v>
      </c>
      <c r="EO16" s="45"/>
      <c r="EP16" s="48"/>
      <c r="EQ16" s="49"/>
      <c r="ER16" s="55">
        <f t="shared" si="32"/>
        <v>0</v>
      </c>
      <c r="ES16" s="45"/>
      <c r="ET16" s="48"/>
      <c r="EU16" s="49"/>
      <c r="EV16" s="55">
        <f t="shared" si="33"/>
        <v>0</v>
      </c>
      <c r="EW16" s="45"/>
      <c r="EX16" s="48"/>
      <c r="EY16" s="49"/>
      <c r="EZ16" s="55">
        <f t="shared" si="34"/>
        <v>0</v>
      </c>
      <c r="FA16" s="45"/>
      <c r="FB16" s="48"/>
      <c r="FC16" s="49"/>
      <c r="FD16" s="55">
        <f t="shared" si="35"/>
        <v>0</v>
      </c>
      <c r="FE16" s="45"/>
      <c r="FF16" s="48"/>
      <c r="FG16" s="49"/>
      <c r="FH16" s="55">
        <f t="shared" si="36"/>
        <v>0</v>
      </c>
      <c r="FI16" s="45"/>
      <c r="FJ16" s="48"/>
      <c r="FK16" s="49"/>
      <c r="FL16" s="55">
        <f t="shared" si="37"/>
        <v>0</v>
      </c>
      <c r="FM16" s="45"/>
      <c r="FN16" s="48"/>
      <c r="FO16" s="49"/>
      <c r="FP16" s="55">
        <f t="shared" si="38"/>
        <v>0</v>
      </c>
      <c r="FQ16" s="45"/>
      <c r="FR16" s="48"/>
      <c r="FS16" s="49"/>
      <c r="FT16" s="55">
        <f t="shared" si="39"/>
        <v>0</v>
      </c>
      <c r="FU16" s="45"/>
      <c r="FV16" s="48"/>
      <c r="FW16" s="49"/>
      <c r="FX16" s="55">
        <f t="shared" si="40"/>
        <v>0</v>
      </c>
      <c r="FY16" s="45"/>
      <c r="FZ16" s="48"/>
      <c r="GA16" s="49"/>
      <c r="GB16" s="55">
        <f t="shared" si="41"/>
        <v>0</v>
      </c>
      <c r="GC16" s="45"/>
      <c r="GD16" s="48"/>
      <c r="GE16" s="49"/>
      <c r="GF16" s="55">
        <f t="shared" si="42"/>
        <v>0</v>
      </c>
      <c r="GG16" s="45"/>
      <c r="GH16" s="48"/>
      <c r="GI16" s="49"/>
      <c r="GJ16" s="55">
        <f t="shared" si="43"/>
        <v>0</v>
      </c>
      <c r="GK16" s="45"/>
      <c r="GL16" s="48"/>
      <c r="GM16" s="49"/>
      <c r="GN16" s="55">
        <f t="shared" si="44"/>
        <v>0</v>
      </c>
      <c r="GO16" s="45"/>
      <c r="GP16" s="48"/>
      <c r="GQ16" s="49"/>
      <c r="GR16" s="55">
        <f t="shared" si="45"/>
        <v>0</v>
      </c>
      <c r="GS16" s="45"/>
      <c r="GT16" s="48"/>
      <c r="GU16" s="49"/>
      <c r="GV16" s="55">
        <f t="shared" si="46"/>
        <v>0</v>
      </c>
      <c r="GW16" s="45"/>
      <c r="GX16" s="48"/>
      <c r="GY16" s="49"/>
      <c r="GZ16" s="55">
        <f t="shared" si="47"/>
        <v>0</v>
      </c>
      <c r="HA16" s="45"/>
      <c r="HB16" s="48"/>
      <c r="HC16" s="49"/>
      <c r="HD16" s="55">
        <f t="shared" si="48"/>
        <v>0</v>
      </c>
      <c r="HE16" s="45"/>
      <c r="HF16" s="48"/>
      <c r="HG16" s="49"/>
      <c r="HH16" s="55">
        <f t="shared" si="49"/>
        <v>0</v>
      </c>
      <c r="HI16" s="45"/>
      <c r="HJ16" s="48"/>
      <c r="HK16" s="49"/>
      <c r="HL16" s="55">
        <f t="shared" si="50"/>
        <v>0</v>
      </c>
      <c r="HM16" s="45"/>
      <c r="HN16" s="48"/>
      <c r="HO16" s="49"/>
      <c r="HP16" s="55">
        <f t="shared" si="51"/>
        <v>0</v>
      </c>
      <c r="HQ16" s="45"/>
      <c r="HR16" s="48"/>
      <c r="HS16" s="49"/>
      <c r="HT16" s="55">
        <f t="shared" si="52"/>
        <v>0</v>
      </c>
      <c r="HU16" s="45"/>
      <c r="HV16" s="48"/>
      <c r="HW16" s="49"/>
      <c r="HX16" s="55">
        <f t="shared" si="53"/>
        <v>0</v>
      </c>
      <c r="HY16" s="45"/>
      <c r="HZ16" s="48"/>
      <c r="IA16" s="49"/>
      <c r="IB16" s="55">
        <f t="shared" si="54"/>
        <v>0</v>
      </c>
      <c r="IC16" s="45"/>
      <c r="ID16" s="48"/>
      <c r="IE16" s="49"/>
      <c r="IF16" s="55">
        <f t="shared" si="55"/>
        <v>0</v>
      </c>
      <c r="IG16" s="45"/>
      <c r="IH16" s="48"/>
      <c r="II16" s="49"/>
      <c r="IJ16" s="55">
        <f t="shared" si="56"/>
        <v>0</v>
      </c>
      <c r="IK16" s="45"/>
      <c r="IL16" s="48"/>
      <c r="IM16" s="49"/>
      <c r="IN16" s="55">
        <f t="shared" si="57"/>
        <v>0</v>
      </c>
      <c r="IO16" s="45"/>
      <c r="IP16" s="48"/>
      <c r="IQ16" s="49"/>
      <c r="IR16" s="55">
        <f t="shared" si="58"/>
        <v>0</v>
      </c>
      <c r="IS16" s="45"/>
      <c r="IT16" s="48"/>
      <c r="IU16" s="49"/>
      <c r="IV16" s="55">
        <f t="shared" si="59"/>
        <v>0</v>
      </c>
      <c r="IW16" s="45"/>
      <c r="IX16" s="48"/>
      <c r="IY16" s="49"/>
      <c r="IZ16" s="55">
        <f t="shared" si="60"/>
        <v>0</v>
      </c>
      <c r="JA16" s="45"/>
      <c r="JB16" s="35" t="e">
        <f t="shared" si="61"/>
        <v>#VALUE!</v>
      </c>
      <c r="JC16" s="35" t="e">
        <f t="shared" si="62"/>
        <v>#VALUE!</v>
      </c>
      <c r="JD16" s="35" t="e">
        <f t="shared" si="63"/>
        <v>#VALUE!</v>
      </c>
      <c r="JE16" s="35" t="e">
        <f t="shared" ref="JE16:JE32" si="67">IF($F$4="F",0,+S16)+IF($V$4="F",0,+AJ16)+IF($AL$4="F",0,+AZ16)+IF($BB$4="F",0,+BP16)+IF($BR$4="F",0,+CF16)+IF($CH$4="F",0,+CV16)+IF($CX$4="F",0,+DL16)+IF($DN$4="F",0,+EB16)+IF($ED$4="F",0,+ER16)+IF($ET$4="F",0,FH16)+IF($FJ$4="F",0,+FX16)+IF($FZ$4="F",0,GN16)+IF($GP$4="F",0,+HD16)+IF($HF$4="F",0,+HT16)+IF($HV$4="F",0,+IJ16)+IF($IL$4="F",0,+IZ16)</f>
        <v>#VALUE!</v>
      </c>
      <c r="JF16" s="35"/>
      <c r="JP16" s="35"/>
    </row>
    <row r="17" spans="2:276" ht="30" customHeight="1" x14ac:dyDescent="0.3">
      <c r="B17" s="22">
        <v>8</v>
      </c>
      <c r="C17" s="75" t="e">
        <f>VLOOKUP(#REF!,EMPLEADO!C:Q,15,FALSE)</f>
        <v>#REF!</v>
      </c>
      <c r="D17" s="6" t="s">
        <v>48</v>
      </c>
      <c r="E17" s="37" t="s">
        <v>21</v>
      </c>
      <c r="F17" s="48"/>
      <c r="G17" s="49"/>
      <c r="H17" s="55">
        <f t="shared" si="64"/>
        <v>0</v>
      </c>
      <c r="I17" s="45"/>
      <c r="J17" s="48"/>
      <c r="K17" s="49"/>
      <c r="L17" s="55">
        <f t="shared" si="0"/>
        <v>0</v>
      </c>
      <c r="M17" s="45"/>
      <c r="N17" s="50"/>
      <c r="O17" s="51"/>
      <c r="P17" s="55">
        <f t="shared" si="1"/>
        <v>0</v>
      </c>
      <c r="Q17" s="45"/>
      <c r="R17" s="51"/>
      <c r="S17" s="51"/>
      <c r="T17" s="55">
        <f t="shared" si="65"/>
        <v>0</v>
      </c>
      <c r="U17" s="45"/>
      <c r="V17" s="48"/>
      <c r="W17" s="49"/>
      <c r="X17" s="55">
        <f t="shared" si="2"/>
        <v>0</v>
      </c>
      <c r="Y17" s="45"/>
      <c r="Z17" s="48"/>
      <c r="AA17" s="49"/>
      <c r="AB17" s="55">
        <f t="shared" si="3"/>
        <v>0</v>
      </c>
      <c r="AC17" s="45"/>
      <c r="AD17" s="48"/>
      <c r="AE17" s="49"/>
      <c r="AF17" s="55">
        <f t="shared" si="4"/>
        <v>0</v>
      </c>
      <c r="AG17" s="45"/>
      <c r="AH17" s="51"/>
      <c r="AI17" s="51"/>
      <c r="AJ17" s="73">
        <f t="shared" si="66"/>
        <v>0</v>
      </c>
      <c r="AK17" s="45"/>
      <c r="AL17" s="48"/>
      <c r="AM17" s="49"/>
      <c r="AN17" s="55">
        <f t="shared" si="5"/>
        <v>0</v>
      </c>
      <c r="AO17" s="45"/>
      <c r="AP17" s="48"/>
      <c r="AQ17" s="49"/>
      <c r="AR17" s="55">
        <f t="shared" si="6"/>
        <v>0</v>
      </c>
      <c r="AS17" s="45"/>
      <c r="AT17" s="48"/>
      <c r="AU17" s="49"/>
      <c r="AV17" s="55">
        <f t="shared" si="7"/>
        <v>0</v>
      </c>
      <c r="AW17" s="45"/>
      <c r="AX17" s="48"/>
      <c r="AY17" s="49"/>
      <c r="AZ17" s="55">
        <f t="shared" si="8"/>
        <v>0</v>
      </c>
      <c r="BA17" s="45"/>
      <c r="BB17" s="48"/>
      <c r="BC17" s="49"/>
      <c r="BD17" s="55">
        <f t="shared" si="9"/>
        <v>0</v>
      </c>
      <c r="BE17" s="45"/>
      <c r="BF17" s="48"/>
      <c r="BG17" s="49"/>
      <c r="BH17" s="55">
        <f t="shared" si="10"/>
        <v>0</v>
      </c>
      <c r="BI17" s="45"/>
      <c r="BJ17" s="48"/>
      <c r="BK17" s="49"/>
      <c r="BL17" s="55">
        <f t="shared" si="11"/>
        <v>0</v>
      </c>
      <c r="BM17" s="45"/>
      <c r="BN17" s="48"/>
      <c r="BO17" s="49"/>
      <c r="BP17" s="55">
        <f t="shared" si="12"/>
        <v>0</v>
      </c>
      <c r="BQ17" s="45"/>
      <c r="BR17" s="48"/>
      <c r="BS17" s="49"/>
      <c r="BT17" s="55">
        <f t="shared" si="13"/>
        <v>0</v>
      </c>
      <c r="BU17" s="45"/>
      <c r="BV17" s="48"/>
      <c r="BW17" s="49"/>
      <c r="BX17" s="55">
        <f t="shared" si="14"/>
        <v>0</v>
      </c>
      <c r="BY17" s="45"/>
      <c r="BZ17" s="48"/>
      <c r="CA17" s="49"/>
      <c r="CB17" s="55">
        <f t="shared" si="15"/>
        <v>0</v>
      </c>
      <c r="CC17" s="45"/>
      <c r="CD17" s="48"/>
      <c r="CE17" s="49"/>
      <c r="CF17" s="55">
        <f t="shared" si="16"/>
        <v>0</v>
      </c>
      <c r="CG17" s="45"/>
      <c r="CH17" s="48"/>
      <c r="CI17" s="49"/>
      <c r="CJ17" s="55">
        <f t="shared" si="17"/>
        <v>0</v>
      </c>
      <c r="CK17" s="45"/>
      <c r="CL17" s="48"/>
      <c r="CM17" s="49"/>
      <c r="CN17" s="55">
        <f t="shared" si="18"/>
        <v>0</v>
      </c>
      <c r="CO17" s="45"/>
      <c r="CP17" s="48"/>
      <c r="CQ17" s="49"/>
      <c r="CR17" s="55">
        <f t="shared" si="19"/>
        <v>0</v>
      </c>
      <c r="CS17" s="45"/>
      <c r="CT17" s="48"/>
      <c r="CU17" s="49"/>
      <c r="CV17" s="55">
        <f t="shared" si="20"/>
        <v>0</v>
      </c>
      <c r="CW17" s="45"/>
      <c r="CX17" s="48"/>
      <c r="CY17" s="49"/>
      <c r="CZ17" s="55">
        <f t="shared" si="21"/>
        <v>0</v>
      </c>
      <c r="DA17" s="45"/>
      <c r="DB17" s="48"/>
      <c r="DC17" s="49"/>
      <c r="DD17" s="55">
        <f t="shared" si="22"/>
        <v>0</v>
      </c>
      <c r="DE17" s="45"/>
      <c r="DF17" s="48"/>
      <c r="DG17" s="49"/>
      <c r="DH17" s="55">
        <f t="shared" si="23"/>
        <v>0</v>
      </c>
      <c r="DI17" s="45"/>
      <c r="DJ17" s="48"/>
      <c r="DK17" s="49"/>
      <c r="DL17" s="55">
        <f t="shared" si="24"/>
        <v>0</v>
      </c>
      <c r="DM17" s="45"/>
      <c r="DN17" s="48"/>
      <c r="DO17" s="49"/>
      <c r="DP17" s="55">
        <f t="shared" si="25"/>
        <v>0</v>
      </c>
      <c r="DQ17" s="45"/>
      <c r="DR17" s="48"/>
      <c r="DS17" s="49"/>
      <c r="DT17" s="55">
        <f t="shared" si="26"/>
        <v>0</v>
      </c>
      <c r="DU17" s="45"/>
      <c r="DV17" s="48"/>
      <c r="DW17" s="49"/>
      <c r="DX17" s="55">
        <f t="shared" si="27"/>
        <v>0</v>
      </c>
      <c r="DY17" s="45"/>
      <c r="DZ17" s="48"/>
      <c r="EA17" s="49"/>
      <c r="EB17" s="55">
        <f t="shared" si="28"/>
        <v>0</v>
      </c>
      <c r="EC17" s="45"/>
      <c r="ED17" s="48"/>
      <c r="EE17" s="49"/>
      <c r="EF17" s="55">
        <f t="shared" si="29"/>
        <v>0</v>
      </c>
      <c r="EG17" s="45"/>
      <c r="EH17" s="48"/>
      <c r="EI17" s="49"/>
      <c r="EJ17" s="55">
        <f t="shared" si="30"/>
        <v>0</v>
      </c>
      <c r="EK17" s="45"/>
      <c r="EL17" s="48"/>
      <c r="EM17" s="49"/>
      <c r="EN17" s="55">
        <f t="shared" si="31"/>
        <v>0</v>
      </c>
      <c r="EO17" s="45"/>
      <c r="EP17" s="48"/>
      <c r="EQ17" s="49"/>
      <c r="ER17" s="55">
        <f t="shared" si="32"/>
        <v>0</v>
      </c>
      <c r="ES17" s="45"/>
      <c r="ET17" s="48"/>
      <c r="EU17" s="49"/>
      <c r="EV17" s="55">
        <f t="shared" si="33"/>
        <v>0</v>
      </c>
      <c r="EW17" s="45"/>
      <c r="EX17" s="48"/>
      <c r="EY17" s="49"/>
      <c r="EZ17" s="55">
        <f t="shared" si="34"/>
        <v>0</v>
      </c>
      <c r="FA17" s="45"/>
      <c r="FB17" s="48"/>
      <c r="FC17" s="49"/>
      <c r="FD17" s="55">
        <f t="shared" si="35"/>
        <v>0</v>
      </c>
      <c r="FE17" s="45"/>
      <c r="FF17" s="48"/>
      <c r="FG17" s="49"/>
      <c r="FH17" s="55">
        <f t="shared" si="36"/>
        <v>0</v>
      </c>
      <c r="FI17" s="45"/>
      <c r="FJ17" s="48"/>
      <c r="FK17" s="49"/>
      <c r="FL17" s="55">
        <f t="shared" si="37"/>
        <v>0</v>
      </c>
      <c r="FM17" s="45"/>
      <c r="FN17" s="48"/>
      <c r="FO17" s="49"/>
      <c r="FP17" s="55">
        <f t="shared" si="38"/>
        <v>0</v>
      </c>
      <c r="FQ17" s="45"/>
      <c r="FR17" s="48"/>
      <c r="FS17" s="49"/>
      <c r="FT17" s="55">
        <f t="shared" si="39"/>
        <v>0</v>
      </c>
      <c r="FU17" s="45"/>
      <c r="FV17" s="48"/>
      <c r="FW17" s="49"/>
      <c r="FX17" s="55">
        <f t="shared" si="40"/>
        <v>0</v>
      </c>
      <c r="FY17" s="45"/>
      <c r="FZ17" s="48"/>
      <c r="GA17" s="49"/>
      <c r="GB17" s="55">
        <f t="shared" si="41"/>
        <v>0</v>
      </c>
      <c r="GC17" s="45"/>
      <c r="GD17" s="48"/>
      <c r="GE17" s="49"/>
      <c r="GF17" s="55">
        <f t="shared" si="42"/>
        <v>0</v>
      </c>
      <c r="GG17" s="45"/>
      <c r="GH17" s="48"/>
      <c r="GI17" s="49"/>
      <c r="GJ17" s="55">
        <f t="shared" si="43"/>
        <v>0</v>
      </c>
      <c r="GK17" s="45"/>
      <c r="GL17" s="48"/>
      <c r="GM17" s="49"/>
      <c r="GN17" s="55">
        <f t="shared" si="44"/>
        <v>0</v>
      </c>
      <c r="GO17" s="45"/>
      <c r="GP17" s="48"/>
      <c r="GQ17" s="49"/>
      <c r="GR17" s="55">
        <f t="shared" si="45"/>
        <v>0</v>
      </c>
      <c r="GS17" s="45"/>
      <c r="GT17" s="48"/>
      <c r="GU17" s="49"/>
      <c r="GV17" s="55">
        <f t="shared" si="46"/>
        <v>0</v>
      </c>
      <c r="GW17" s="45"/>
      <c r="GX17" s="48"/>
      <c r="GY17" s="49"/>
      <c r="GZ17" s="55">
        <f t="shared" si="47"/>
        <v>0</v>
      </c>
      <c r="HA17" s="45"/>
      <c r="HB17" s="48"/>
      <c r="HC17" s="49"/>
      <c r="HD17" s="55">
        <f t="shared" si="48"/>
        <v>0</v>
      </c>
      <c r="HE17" s="45"/>
      <c r="HF17" s="48"/>
      <c r="HG17" s="49"/>
      <c r="HH17" s="55">
        <f t="shared" si="49"/>
        <v>0</v>
      </c>
      <c r="HI17" s="45"/>
      <c r="HJ17" s="48"/>
      <c r="HK17" s="49"/>
      <c r="HL17" s="55">
        <f t="shared" si="50"/>
        <v>0</v>
      </c>
      <c r="HM17" s="45"/>
      <c r="HN17" s="48"/>
      <c r="HO17" s="49"/>
      <c r="HP17" s="55">
        <f t="shared" si="51"/>
        <v>0</v>
      </c>
      <c r="HQ17" s="45"/>
      <c r="HR17" s="48"/>
      <c r="HS17" s="49"/>
      <c r="HT17" s="55">
        <f t="shared" si="52"/>
        <v>0</v>
      </c>
      <c r="HU17" s="45"/>
      <c r="HV17" s="48"/>
      <c r="HW17" s="49"/>
      <c r="HX17" s="55">
        <f t="shared" si="53"/>
        <v>0</v>
      </c>
      <c r="HY17" s="45"/>
      <c r="HZ17" s="48"/>
      <c r="IA17" s="49"/>
      <c r="IB17" s="55">
        <f t="shared" si="54"/>
        <v>0</v>
      </c>
      <c r="IC17" s="45"/>
      <c r="ID17" s="48"/>
      <c r="IE17" s="49"/>
      <c r="IF17" s="55">
        <f t="shared" si="55"/>
        <v>0</v>
      </c>
      <c r="IG17" s="45"/>
      <c r="IH17" s="48"/>
      <c r="II17" s="49"/>
      <c r="IJ17" s="55">
        <f t="shared" si="56"/>
        <v>0</v>
      </c>
      <c r="IK17" s="45"/>
      <c r="IL17" s="48"/>
      <c r="IM17" s="49"/>
      <c r="IN17" s="55">
        <f t="shared" si="57"/>
        <v>0</v>
      </c>
      <c r="IO17" s="45"/>
      <c r="IP17" s="48"/>
      <c r="IQ17" s="49"/>
      <c r="IR17" s="55">
        <f t="shared" si="58"/>
        <v>0</v>
      </c>
      <c r="IS17" s="45"/>
      <c r="IT17" s="48"/>
      <c r="IU17" s="49"/>
      <c r="IV17" s="55">
        <f t="shared" si="59"/>
        <v>0</v>
      </c>
      <c r="IW17" s="45"/>
      <c r="IX17" s="48"/>
      <c r="IY17" s="49"/>
      <c r="IZ17" s="55">
        <f t="shared" si="60"/>
        <v>0</v>
      </c>
      <c r="JA17" s="45"/>
      <c r="JB17" s="35" t="e">
        <f t="shared" si="61"/>
        <v>#VALUE!</v>
      </c>
      <c r="JC17" s="35" t="e">
        <f t="shared" si="62"/>
        <v>#VALUE!</v>
      </c>
      <c r="JD17" s="35" t="e">
        <f t="shared" si="63"/>
        <v>#VALUE!</v>
      </c>
      <c r="JE17" s="35" t="e">
        <f t="shared" si="67"/>
        <v>#VALUE!</v>
      </c>
      <c r="JF17" s="35"/>
      <c r="JP17" s="35"/>
    </row>
    <row r="18" spans="2:276" ht="30" customHeight="1" x14ac:dyDescent="0.3">
      <c r="B18" s="22">
        <v>9</v>
      </c>
      <c r="C18" s="75" t="e">
        <f>VLOOKUP(#REF!,EMPLEADO!C:Q,15,FALSE)</f>
        <v>#REF!</v>
      </c>
      <c r="D18" s="16" t="s">
        <v>50</v>
      </c>
      <c r="E18" s="38" t="s">
        <v>18</v>
      </c>
      <c r="F18" s="48"/>
      <c r="G18" s="49"/>
      <c r="H18" s="55">
        <f t="shared" si="64"/>
        <v>0</v>
      </c>
      <c r="I18" s="45"/>
      <c r="J18" s="48"/>
      <c r="K18" s="49"/>
      <c r="L18" s="55">
        <f t="shared" si="0"/>
        <v>0</v>
      </c>
      <c r="M18" s="45"/>
      <c r="N18" s="50"/>
      <c r="O18" s="51"/>
      <c r="P18" s="55">
        <f t="shared" si="1"/>
        <v>0</v>
      </c>
      <c r="Q18" s="45"/>
      <c r="R18" s="51"/>
      <c r="S18" s="51"/>
      <c r="T18" s="55">
        <f t="shared" si="65"/>
        <v>0</v>
      </c>
      <c r="U18" s="45"/>
      <c r="V18" s="48"/>
      <c r="W18" s="49"/>
      <c r="X18" s="55">
        <f t="shared" si="2"/>
        <v>0</v>
      </c>
      <c r="Y18" s="45"/>
      <c r="Z18" s="48"/>
      <c r="AA18" s="49"/>
      <c r="AB18" s="55">
        <f t="shared" si="3"/>
        <v>0</v>
      </c>
      <c r="AC18" s="45"/>
      <c r="AD18" s="48"/>
      <c r="AE18" s="49"/>
      <c r="AF18" s="55">
        <f t="shared" si="4"/>
        <v>0</v>
      </c>
      <c r="AG18" s="45"/>
      <c r="AH18" s="51"/>
      <c r="AI18" s="51"/>
      <c r="AJ18" s="73">
        <f t="shared" si="66"/>
        <v>0</v>
      </c>
      <c r="AK18" s="45"/>
      <c r="AL18" s="48"/>
      <c r="AM18" s="49"/>
      <c r="AN18" s="55">
        <f t="shared" si="5"/>
        <v>0</v>
      </c>
      <c r="AO18" s="45"/>
      <c r="AP18" s="48"/>
      <c r="AQ18" s="49"/>
      <c r="AR18" s="55">
        <f t="shared" si="6"/>
        <v>0</v>
      </c>
      <c r="AS18" s="45"/>
      <c r="AT18" s="48"/>
      <c r="AU18" s="49"/>
      <c r="AV18" s="55">
        <f t="shared" si="7"/>
        <v>0</v>
      </c>
      <c r="AW18" s="45"/>
      <c r="AX18" s="48"/>
      <c r="AY18" s="49"/>
      <c r="AZ18" s="55">
        <f t="shared" si="8"/>
        <v>0</v>
      </c>
      <c r="BA18" s="45"/>
      <c r="BB18" s="48"/>
      <c r="BC18" s="49"/>
      <c r="BD18" s="55">
        <f t="shared" si="9"/>
        <v>0</v>
      </c>
      <c r="BE18" s="45"/>
      <c r="BF18" s="48"/>
      <c r="BG18" s="49"/>
      <c r="BH18" s="55">
        <f t="shared" si="10"/>
        <v>0</v>
      </c>
      <c r="BI18" s="45"/>
      <c r="BJ18" s="48"/>
      <c r="BK18" s="49"/>
      <c r="BL18" s="55">
        <f t="shared" si="11"/>
        <v>0</v>
      </c>
      <c r="BM18" s="45"/>
      <c r="BN18" s="48"/>
      <c r="BO18" s="49"/>
      <c r="BP18" s="55">
        <f t="shared" si="12"/>
        <v>0</v>
      </c>
      <c r="BQ18" s="45"/>
      <c r="BR18" s="48"/>
      <c r="BS18" s="49"/>
      <c r="BT18" s="55">
        <f t="shared" si="13"/>
        <v>0</v>
      </c>
      <c r="BU18" s="45"/>
      <c r="BV18" s="48"/>
      <c r="BW18" s="49"/>
      <c r="BX18" s="55">
        <f t="shared" si="14"/>
        <v>0</v>
      </c>
      <c r="BY18" s="45"/>
      <c r="BZ18" s="48"/>
      <c r="CA18" s="49"/>
      <c r="CB18" s="55">
        <f t="shared" si="15"/>
        <v>0</v>
      </c>
      <c r="CC18" s="45"/>
      <c r="CD18" s="48"/>
      <c r="CE18" s="49"/>
      <c r="CF18" s="55">
        <f t="shared" si="16"/>
        <v>0</v>
      </c>
      <c r="CG18" s="45"/>
      <c r="CH18" s="48"/>
      <c r="CI18" s="49"/>
      <c r="CJ18" s="55">
        <f t="shared" si="17"/>
        <v>0</v>
      </c>
      <c r="CK18" s="45"/>
      <c r="CL18" s="48"/>
      <c r="CM18" s="49"/>
      <c r="CN18" s="55">
        <f t="shared" si="18"/>
        <v>0</v>
      </c>
      <c r="CO18" s="45"/>
      <c r="CP18" s="48"/>
      <c r="CQ18" s="49"/>
      <c r="CR18" s="55">
        <f t="shared" si="19"/>
        <v>0</v>
      </c>
      <c r="CS18" s="45"/>
      <c r="CT18" s="48"/>
      <c r="CU18" s="49"/>
      <c r="CV18" s="55">
        <f t="shared" si="20"/>
        <v>0</v>
      </c>
      <c r="CW18" s="45"/>
      <c r="CX18" s="48"/>
      <c r="CY18" s="49"/>
      <c r="CZ18" s="55">
        <f t="shared" si="21"/>
        <v>0</v>
      </c>
      <c r="DA18" s="45"/>
      <c r="DB18" s="48"/>
      <c r="DC18" s="49"/>
      <c r="DD18" s="55">
        <f t="shared" si="22"/>
        <v>0</v>
      </c>
      <c r="DE18" s="45"/>
      <c r="DF18" s="48"/>
      <c r="DG18" s="49"/>
      <c r="DH18" s="55">
        <f t="shared" si="23"/>
        <v>0</v>
      </c>
      <c r="DI18" s="45"/>
      <c r="DJ18" s="48"/>
      <c r="DK18" s="49"/>
      <c r="DL18" s="55">
        <f t="shared" si="24"/>
        <v>0</v>
      </c>
      <c r="DM18" s="45"/>
      <c r="DN18" s="48"/>
      <c r="DO18" s="49"/>
      <c r="DP18" s="55">
        <f t="shared" si="25"/>
        <v>0</v>
      </c>
      <c r="DQ18" s="45"/>
      <c r="DR18" s="48"/>
      <c r="DS18" s="49"/>
      <c r="DT18" s="55">
        <f t="shared" si="26"/>
        <v>0</v>
      </c>
      <c r="DU18" s="45"/>
      <c r="DV18" s="48"/>
      <c r="DW18" s="49"/>
      <c r="DX18" s="55">
        <f t="shared" si="27"/>
        <v>0</v>
      </c>
      <c r="DY18" s="45"/>
      <c r="DZ18" s="48"/>
      <c r="EA18" s="49"/>
      <c r="EB18" s="55">
        <f t="shared" si="28"/>
        <v>0</v>
      </c>
      <c r="EC18" s="45"/>
      <c r="ED18" s="48"/>
      <c r="EE18" s="49"/>
      <c r="EF18" s="55">
        <f t="shared" si="29"/>
        <v>0</v>
      </c>
      <c r="EG18" s="45"/>
      <c r="EH18" s="48"/>
      <c r="EI18" s="49"/>
      <c r="EJ18" s="55">
        <f t="shared" si="30"/>
        <v>0</v>
      </c>
      <c r="EK18" s="45"/>
      <c r="EL18" s="48"/>
      <c r="EM18" s="49"/>
      <c r="EN18" s="55">
        <f t="shared" si="31"/>
        <v>0</v>
      </c>
      <c r="EO18" s="45"/>
      <c r="EP18" s="48"/>
      <c r="EQ18" s="49"/>
      <c r="ER18" s="55">
        <f t="shared" si="32"/>
        <v>0</v>
      </c>
      <c r="ES18" s="45"/>
      <c r="ET18" s="48"/>
      <c r="EU18" s="49"/>
      <c r="EV18" s="55">
        <f t="shared" si="33"/>
        <v>0</v>
      </c>
      <c r="EW18" s="45"/>
      <c r="EX18" s="48"/>
      <c r="EY18" s="49"/>
      <c r="EZ18" s="55">
        <f t="shared" si="34"/>
        <v>0</v>
      </c>
      <c r="FA18" s="45"/>
      <c r="FB18" s="48"/>
      <c r="FC18" s="49"/>
      <c r="FD18" s="55">
        <f t="shared" si="35"/>
        <v>0</v>
      </c>
      <c r="FE18" s="45"/>
      <c r="FF18" s="48"/>
      <c r="FG18" s="49"/>
      <c r="FH18" s="55">
        <f t="shared" si="36"/>
        <v>0</v>
      </c>
      <c r="FI18" s="45"/>
      <c r="FJ18" s="48"/>
      <c r="FK18" s="49"/>
      <c r="FL18" s="55">
        <f t="shared" si="37"/>
        <v>0</v>
      </c>
      <c r="FM18" s="45"/>
      <c r="FN18" s="48"/>
      <c r="FO18" s="49"/>
      <c r="FP18" s="55">
        <f t="shared" si="38"/>
        <v>0</v>
      </c>
      <c r="FQ18" s="45"/>
      <c r="FR18" s="48"/>
      <c r="FS18" s="49"/>
      <c r="FT18" s="55">
        <f t="shared" si="39"/>
        <v>0</v>
      </c>
      <c r="FU18" s="45"/>
      <c r="FV18" s="48"/>
      <c r="FW18" s="49"/>
      <c r="FX18" s="55">
        <f t="shared" si="40"/>
        <v>0</v>
      </c>
      <c r="FY18" s="45"/>
      <c r="FZ18" s="48"/>
      <c r="GA18" s="49"/>
      <c r="GB18" s="55">
        <f t="shared" si="41"/>
        <v>0</v>
      </c>
      <c r="GC18" s="45"/>
      <c r="GD18" s="48"/>
      <c r="GE18" s="49"/>
      <c r="GF18" s="55">
        <f t="shared" si="42"/>
        <v>0</v>
      </c>
      <c r="GG18" s="45"/>
      <c r="GH18" s="48"/>
      <c r="GI18" s="49"/>
      <c r="GJ18" s="55">
        <f t="shared" si="43"/>
        <v>0</v>
      </c>
      <c r="GK18" s="45"/>
      <c r="GL18" s="48"/>
      <c r="GM18" s="49"/>
      <c r="GN18" s="55">
        <f t="shared" si="44"/>
        <v>0</v>
      </c>
      <c r="GO18" s="45"/>
      <c r="GP18" s="48"/>
      <c r="GQ18" s="49"/>
      <c r="GR18" s="55">
        <f t="shared" si="45"/>
        <v>0</v>
      </c>
      <c r="GS18" s="45"/>
      <c r="GT18" s="48"/>
      <c r="GU18" s="49"/>
      <c r="GV18" s="55">
        <f t="shared" si="46"/>
        <v>0</v>
      </c>
      <c r="GW18" s="45"/>
      <c r="GX18" s="48"/>
      <c r="GY18" s="49"/>
      <c r="GZ18" s="55">
        <f t="shared" si="47"/>
        <v>0</v>
      </c>
      <c r="HA18" s="45"/>
      <c r="HB18" s="48"/>
      <c r="HC18" s="49"/>
      <c r="HD18" s="55">
        <f t="shared" si="48"/>
        <v>0</v>
      </c>
      <c r="HE18" s="45"/>
      <c r="HF18" s="48"/>
      <c r="HG18" s="49"/>
      <c r="HH18" s="55">
        <f t="shared" si="49"/>
        <v>0</v>
      </c>
      <c r="HI18" s="45"/>
      <c r="HJ18" s="48"/>
      <c r="HK18" s="49"/>
      <c r="HL18" s="55">
        <f t="shared" si="50"/>
        <v>0</v>
      </c>
      <c r="HM18" s="45"/>
      <c r="HN18" s="48"/>
      <c r="HO18" s="49"/>
      <c r="HP18" s="55">
        <f t="shared" si="51"/>
        <v>0</v>
      </c>
      <c r="HQ18" s="45"/>
      <c r="HR18" s="48"/>
      <c r="HS18" s="49"/>
      <c r="HT18" s="55">
        <f t="shared" si="52"/>
        <v>0</v>
      </c>
      <c r="HU18" s="45"/>
      <c r="HV18" s="48"/>
      <c r="HW18" s="49"/>
      <c r="HX18" s="55">
        <f t="shared" si="53"/>
        <v>0</v>
      </c>
      <c r="HY18" s="45"/>
      <c r="HZ18" s="48"/>
      <c r="IA18" s="49"/>
      <c r="IB18" s="55">
        <f t="shared" si="54"/>
        <v>0</v>
      </c>
      <c r="IC18" s="45"/>
      <c r="ID18" s="48"/>
      <c r="IE18" s="49"/>
      <c r="IF18" s="55">
        <f t="shared" si="55"/>
        <v>0</v>
      </c>
      <c r="IG18" s="45"/>
      <c r="IH18" s="48"/>
      <c r="II18" s="49"/>
      <c r="IJ18" s="55">
        <f t="shared" si="56"/>
        <v>0</v>
      </c>
      <c r="IK18" s="45"/>
      <c r="IL18" s="48"/>
      <c r="IM18" s="49"/>
      <c r="IN18" s="55">
        <f t="shared" si="57"/>
        <v>0</v>
      </c>
      <c r="IO18" s="45"/>
      <c r="IP18" s="48"/>
      <c r="IQ18" s="49"/>
      <c r="IR18" s="55">
        <f t="shared" si="58"/>
        <v>0</v>
      </c>
      <c r="IS18" s="45"/>
      <c r="IT18" s="48"/>
      <c r="IU18" s="49"/>
      <c r="IV18" s="55">
        <f t="shared" si="59"/>
        <v>0</v>
      </c>
      <c r="IW18" s="45"/>
      <c r="IX18" s="48"/>
      <c r="IY18" s="49"/>
      <c r="IZ18" s="55">
        <f t="shared" si="60"/>
        <v>0</v>
      </c>
      <c r="JA18" s="45"/>
      <c r="JB18" s="35" t="e">
        <f t="shared" si="61"/>
        <v>#VALUE!</v>
      </c>
      <c r="JC18" s="35" t="e">
        <f t="shared" si="62"/>
        <v>#VALUE!</v>
      </c>
      <c r="JD18" s="35" t="e">
        <f t="shared" si="63"/>
        <v>#VALUE!</v>
      </c>
      <c r="JE18" s="35" t="e">
        <f t="shared" si="67"/>
        <v>#VALUE!</v>
      </c>
      <c r="JF18" s="35"/>
      <c r="JP18" s="35"/>
    </row>
    <row r="19" spans="2:276" ht="30" customHeight="1" x14ac:dyDescent="0.3">
      <c r="B19" s="22">
        <v>10</v>
      </c>
      <c r="C19" s="75" t="e">
        <f>VLOOKUP(#REF!,EMPLEADO!C:Q,15,FALSE)</f>
        <v>#REF!</v>
      </c>
      <c r="D19" s="16" t="s">
        <v>51</v>
      </c>
      <c r="E19" s="38" t="s">
        <v>18</v>
      </c>
      <c r="F19" s="48"/>
      <c r="G19" s="49"/>
      <c r="H19" s="55">
        <f t="shared" si="64"/>
        <v>0</v>
      </c>
      <c r="I19" s="45"/>
      <c r="J19" s="48"/>
      <c r="K19" s="49"/>
      <c r="L19" s="55">
        <f t="shared" si="0"/>
        <v>0</v>
      </c>
      <c r="M19" s="45"/>
      <c r="N19" s="50"/>
      <c r="O19" s="51"/>
      <c r="P19" s="55">
        <f t="shared" si="1"/>
        <v>0</v>
      </c>
      <c r="Q19" s="45"/>
      <c r="R19" s="51"/>
      <c r="S19" s="51"/>
      <c r="T19" s="55">
        <f t="shared" si="65"/>
        <v>0</v>
      </c>
      <c r="U19" s="45"/>
      <c r="V19" s="48"/>
      <c r="W19" s="49"/>
      <c r="X19" s="55">
        <f t="shared" si="2"/>
        <v>0</v>
      </c>
      <c r="Y19" s="45"/>
      <c r="Z19" s="48"/>
      <c r="AA19" s="49"/>
      <c r="AB19" s="55">
        <f t="shared" si="3"/>
        <v>0</v>
      </c>
      <c r="AC19" s="45"/>
      <c r="AD19" s="48"/>
      <c r="AE19" s="49"/>
      <c r="AF19" s="55">
        <f t="shared" si="4"/>
        <v>0</v>
      </c>
      <c r="AG19" s="45"/>
      <c r="AH19" s="51"/>
      <c r="AI19" s="51"/>
      <c r="AJ19" s="73">
        <f t="shared" si="66"/>
        <v>0</v>
      </c>
      <c r="AK19" s="45"/>
      <c r="AL19" s="48"/>
      <c r="AM19" s="49"/>
      <c r="AN19" s="55">
        <f t="shared" si="5"/>
        <v>0</v>
      </c>
      <c r="AO19" s="45"/>
      <c r="AP19" s="48"/>
      <c r="AQ19" s="49"/>
      <c r="AR19" s="55">
        <f t="shared" si="6"/>
        <v>0</v>
      </c>
      <c r="AS19" s="45"/>
      <c r="AT19" s="48"/>
      <c r="AU19" s="49"/>
      <c r="AV19" s="55">
        <f t="shared" si="7"/>
        <v>0</v>
      </c>
      <c r="AW19" s="45"/>
      <c r="AX19" s="48"/>
      <c r="AY19" s="49"/>
      <c r="AZ19" s="55">
        <f t="shared" si="8"/>
        <v>0</v>
      </c>
      <c r="BA19" s="45"/>
      <c r="BB19" s="48"/>
      <c r="BC19" s="49"/>
      <c r="BD19" s="55">
        <f t="shared" si="9"/>
        <v>0</v>
      </c>
      <c r="BE19" s="45"/>
      <c r="BF19" s="48"/>
      <c r="BG19" s="49"/>
      <c r="BH19" s="55">
        <f t="shared" si="10"/>
        <v>0</v>
      </c>
      <c r="BI19" s="45"/>
      <c r="BJ19" s="48"/>
      <c r="BK19" s="49"/>
      <c r="BL19" s="55">
        <f t="shared" si="11"/>
        <v>0</v>
      </c>
      <c r="BM19" s="45"/>
      <c r="BN19" s="48"/>
      <c r="BO19" s="49"/>
      <c r="BP19" s="55">
        <f t="shared" si="12"/>
        <v>0</v>
      </c>
      <c r="BQ19" s="45"/>
      <c r="BR19" s="48"/>
      <c r="BS19" s="49"/>
      <c r="BT19" s="55">
        <f t="shared" si="13"/>
        <v>0</v>
      </c>
      <c r="BU19" s="45"/>
      <c r="BV19" s="48"/>
      <c r="BW19" s="49"/>
      <c r="BX19" s="55">
        <f t="shared" si="14"/>
        <v>0</v>
      </c>
      <c r="BY19" s="45"/>
      <c r="BZ19" s="48"/>
      <c r="CA19" s="49"/>
      <c r="CB19" s="55">
        <f t="shared" si="15"/>
        <v>0</v>
      </c>
      <c r="CC19" s="45"/>
      <c r="CD19" s="48"/>
      <c r="CE19" s="49"/>
      <c r="CF19" s="55">
        <f t="shared" si="16"/>
        <v>0</v>
      </c>
      <c r="CG19" s="45"/>
      <c r="CH19" s="48"/>
      <c r="CI19" s="49"/>
      <c r="CJ19" s="55">
        <f t="shared" si="17"/>
        <v>0</v>
      </c>
      <c r="CK19" s="45"/>
      <c r="CL19" s="48"/>
      <c r="CM19" s="49"/>
      <c r="CN19" s="55">
        <f t="shared" si="18"/>
        <v>0</v>
      </c>
      <c r="CO19" s="45"/>
      <c r="CP19" s="48"/>
      <c r="CQ19" s="49"/>
      <c r="CR19" s="55">
        <f t="shared" si="19"/>
        <v>0</v>
      </c>
      <c r="CS19" s="45"/>
      <c r="CT19" s="48"/>
      <c r="CU19" s="49"/>
      <c r="CV19" s="55">
        <f t="shared" si="20"/>
        <v>0</v>
      </c>
      <c r="CW19" s="45"/>
      <c r="CX19" s="48"/>
      <c r="CY19" s="49"/>
      <c r="CZ19" s="55">
        <f t="shared" si="21"/>
        <v>0</v>
      </c>
      <c r="DA19" s="45"/>
      <c r="DB19" s="48"/>
      <c r="DC19" s="49"/>
      <c r="DD19" s="55">
        <f t="shared" si="22"/>
        <v>0</v>
      </c>
      <c r="DE19" s="45"/>
      <c r="DF19" s="48"/>
      <c r="DG19" s="49"/>
      <c r="DH19" s="55">
        <f t="shared" si="23"/>
        <v>0</v>
      </c>
      <c r="DI19" s="45"/>
      <c r="DJ19" s="48"/>
      <c r="DK19" s="49"/>
      <c r="DL19" s="55">
        <f t="shared" si="24"/>
        <v>0</v>
      </c>
      <c r="DM19" s="45"/>
      <c r="DN19" s="48"/>
      <c r="DO19" s="49"/>
      <c r="DP19" s="55">
        <f t="shared" si="25"/>
        <v>0</v>
      </c>
      <c r="DQ19" s="45"/>
      <c r="DR19" s="48"/>
      <c r="DS19" s="49"/>
      <c r="DT19" s="55">
        <f t="shared" si="26"/>
        <v>0</v>
      </c>
      <c r="DU19" s="45"/>
      <c r="DV19" s="48"/>
      <c r="DW19" s="49"/>
      <c r="DX19" s="55">
        <f t="shared" si="27"/>
        <v>0</v>
      </c>
      <c r="DY19" s="45"/>
      <c r="DZ19" s="48"/>
      <c r="EA19" s="49"/>
      <c r="EB19" s="55">
        <f t="shared" si="28"/>
        <v>0</v>
      </c>
      <c r="EC19" s="45"/>
      <c r="ED19" s="48"/>
      <c r="EE19" s="49"/>
      <c r="EF19" s="55">
        <f t="shared" si="29"/>
        <v>0</v>
      </c>
      <c r="EG19" s="45"/>
      <c r="EH19" s="48"/>
      <c r="EI19" s="49"/>
      <c r="EJ19" s="55">
        <f t="shared" si="30"/>
        <v>0</v>
      </c>
      <c r="EK19" s="45"/>
      <c r="EL19" s="48"/>
      <c r="EM19" s="49"/>
      <c r="EN19" s="55">
        <f t="shared" si="31"/>
        <v>0</v>
      </c>
      <c r="EO19" s="45"/>
      <c r="EP19" s="48"/>
      <c r="EQ19" s="49"/>
      <c r="ER19" s="55">
        <f t="shared" si="32"/>
        <v>0</v>
      </c>
      <c r="ES19" s="45"/>
      <c r="ET19" s="48"/>
      <c r="EU19" s="49"/>
      <c r="EV19" s="55">
        <f t="shared" si="33"/>
        <v>0</v>
      </c>
      <c r="EW19" s="45"/>
      <c r="EX19" s="48"/>
      <c r="EY19" s="49"/>
      <c r="EZ19" s="55">
        <f t="shared" si="34"/>
        <v>0</v>
      </c>
      <c r="FA19" s="45"/>
      <c r="FB19" s="48"/>
      <c r="FC19" s="49"/>
      <c r="FD19" s="55">
        <f t="shared" si="35"/>
        <v>0</v>
      </c>
      <c r="FE19" s="45"/>
      <c r="FF19" s="48"/>
      <c r="FG19" s="49"/>
      <c r="FH19" s="55">
        <f t="shared" si="36"/>
        <v>0</v>
      </c>
      <c r="FI19" s="45"/>
      <c r="FJ19" s="48"/>
      <c r="FK19" s="49"/>
      <c r="FL19" s="55">
        <f t="shared" si="37"/>
        <v>0</v>
      </c>
      <c r="FM19" s="45"/>
      <c r="FN19" s="48"/>
      <c r="FO19" s="49"/>
      <c r="FP19" s="55">
        <f t="shared" si="38"/>
        <v>0</v>
      </c>
      <c r="FQ19" s="45"/>
      <c r="FR19" s="48"/>
      <c r="FS19" s="49"/>
      <c r="FT19" s="55">
        <f t="shared" si="39"/>
        <v>0</v>
      </c>
      <c r="FU19" s="45"/>
      <c r="FV19" s="48"/>
      <c r="FW19" s="49"/>
      <c r="FX19" s="55">
        <f t="shared" si="40"/>
        <v>0</v>
      </c>
      <c r="FY19" s="45"/>
      <c r="FZ19" s="48"/>
      <c r="GA19" s="49"/>
      <c r="GB19" s="55">
        <f t="shared" si="41"/>
        <v>0</v>
      </c>
      <c r="GC19" s="45"/>
      <c r="GD19" s="48"/>
      <c r="GE19" s="49"/>
      <c r="GF19" s="55">
        <f t="shared" si="42"/>
        <v>0</v>
      </c>
      <c r="GG19" s="45"/>
      <c r="GH19" s="48"/>
      <c r="GI19" s="49"/>
      <c r="GJ19" s="55">
        <f t="shared" si="43"/>
        <v>0</v>
      </c>
      <c r="GK19" s="45"/>
      <c r="GL19" s="48"/>
      <c r="GM19" s="49"/>
      <c r="GN19" s="55">
        <f t="shared" si="44"/>
        <v>0</v>
      </c>
      <c r="GO19" s="45"/>
      <c r="GP19" s="48"/>
      <c r="GQ19" s="49"/>
      <c r="GR19" s="55">
        <f t="shared" si="45"/>
        <v>0</v>
      </c>
      <c r="GS19" s="45"/>
      <c r="GT19" s="48"/>
      <c r="GU19" s="49"/>
      <c r="GV19" s="55">
        <f t="shared" si="46"/>
        <v>0</v>
      </c>
      <c r="GW19" s="45"/>
      <c r="GX19" s="48"/>
      <c r="GY19" s="49"/>
      <c r="GZ19" s="55">
        <f t="shared" si="47"/>
        <v>0</v>
      </c>
      <c r="HA19" s="45"/>
      <c r="HB19" s="48"/>
      <c r="HC19" s="49"/>
      <c r="HD19" s="55">
        <f t="shared" si="48"/>
        <v>0</v>
      </c>
      <c r="HE19" s="45"/>
      <c r="HF19" s="48"/>
      <c r="HG19" s="49"/>
      <c r="HH19" s="55">
        <f t="shared" si="49"/>
        <v>0</v>
      </c>
      <c r="HI19" s="45"/>
      <c r="HJ19" s="48"/>
      <c r="HK19" s="49"/>
      <c r="HL19" s="55">
        <f t="shared" si="50"/>
        <v>0</v>
      </c>
      <c r="HM19" s="45"/>
      <c r="HN19" s="48"/>
      <c r="HO19" s="49"/>
      <c r="HP19" s="55">
        <f t="shared" si="51"/>
        <v>0</v>
      </c>
      <c r="HQ19" s="45"/>
      <c r="HR19" s="48"/>
      <c r="HS19" s="49"/>
      <c r="HT19" s="55">
        <f t="shared" si="52"/>
        <v>0</v>
      </c>
      <c r="HU19" s="45"/>
      <c r="HV19" s="48"/>
      <c r="HW19" s="49"/>
      <c r="HX19" s="55">
        <f t="shared" si="53"/>
        <v>0</v>
      </c>
      <c r="HY19" s="45"/>
      <c r="HZ19" s="48"/>
      <c r="IA19" s="49"/>
      <c r="IB19" s="55">
        <f t="shared" si="54"/>
        <v>0</v>
      </c>
      <c r="IC19" s="45"/>
      <c r="ID19" s="48"/>
      <c r="IE19" s="49"/>
      <c r="IF19" s="55">
        <f t="shared" si="55"/>
        <v>0</v>
      </c>
      <c r="IG19" s="45"/>
      <c r="IH19" s="48"/>
      <c r="II19" s="49"/>
      <c r="IJ19" s="55">
        <f t="shared" si="56"/>
        <v>0</v>
      </c>
      <c r="IK19" s="45"/>
      <c r="IL19" s="48"/>
      <c r="IM19" s="49"/>
      <c r="IN19" s="55">
        <f t="shared" si="57"/>
        <v>0</v>
      </c>
      <c r="IO19" s="45"/>
      <c r="IP19" s="48"/>
      <c r="IQ19" s="49"/>
      <c r="IR19" s="55">
        <f t="shared" si="58"/>
        <v>0</v>
      </c>
      <c r="IS19" s="45"/>
      <c r="IT19" s="48"/>
      <c r="IU19" s="49"/>
      <c r="IV19" s="55">
        <f t="shared" si="59"/>
        <v>0</v>
      </c>
      <c r="IW19" s="45"/>
      <c r="IX19" s="48"/>
      <c r="IY19" s="49"/>
      <c r="IZ19" s="55">
        <f t="shared" si="60"/>
        <v>0</v>
      </c>
      <c r="JA19" s="45"/>
      <c r="JB19" s="35" t="e">
        <f t="shared" si="61"/>
        <v>#VALUE!</v>
      </c>
      <c r="JC19" s="35" t="e">
        <f t="shared" si="62"/>
        <v>#VALUE!</v>
      </c>
      <c r="JD19" s="35" t="e">
        <f t="shared" si="63"/>
        <v>#VALUE!</v>
      </c>
      <c r="JE19" s="35" t="e">
        <f t="shared" si="67"/>
        <v>#VALUE!</v>
      </c>
      <c r="JF19" s="35"/>
      <c r="JP19" s="35"/>
    </row>
    <row r="20" spans="2:276" ht="30" customHeight="1" x14ac:dyDescent="0.3">
      <c r="B20" s="22">
        <v>11</v>
      </c>
      <c r="C20" s="75" t="e">
        <f>VLOOKUP(#REF!,EMPLEADO!C:Q,15,FALSE)</f>
        <v>#REF!</v>
      </c>
      <c r="D20" s="17" t="s">
        <v>54</v>
      </c>
      <c r="E20" s="39" t="s">
        <v>18</v>
      </c>
      <c r="F20" s="48"/>
      <c r="G20" s="49"/>
      <c r="H20" s="55">
        <f t="shared" si="64"/>
        <v>0</v>
      </c>
      <c r="I20" s="45"/>
      <c r="J20" s="48"/>
      <c r="K20" s="49"/>
      <c r="L20" s="55">
        <f t="shared" si="0"/>
        <v>0</v>
      </c>
      <c r="M20" s="45"/>
      <c r="N20" s="50"/>
      <c r="O20" s="51"/>
      <c r="P20" s="55">
        <f t="shared" si="1"/>
        <v>0</v>
      </c>
      <c r="Q20" s="45"/>
      <c r="R20" s="51"/>
      <c r="S20" s="51"/>
      <c r="T20" s="55">
        <f t="shared" si="65"/>
        <v>0</v>
      </c>
      <c r="U20" s="45"/>
      <c r="V20" s="48"/>
      <c r="W20" s="49"/>
      <c r="X20" s="55">
        <f t="shared" si="2"/>
        <v>0</v>
      </c>
      <c r="Y20" s="45"/>
      <c r="Z20" s="48"/>
      <c r="AA20" s="49"/>
      <c r="AB20" s="55">
        <f t="shared" si="3"/>
        <v>0</v>
      </c>
      <c r="AC20" s="45"/>
      <c r="AD20" s="48"/>
      <c r="AE20" s="49"/>
      <c r="AF20" s="55">
        <f t="shared" si="4"/>
        <v>0</v>
      </c>
      <c r="AG20" s="45"/>
      <c r="AH20" s="51"/>
      <c r="AI20" s="51"/>
      <c r="AJ20" s="73">
        <f t="shared" si="66"/>
        <v>0</v>
      </c>
      <c r="AK20" s="45"/>
      <c r="AL20" s="48"/>
      <c r="AM20" s="49"/>
      <c r="AN20" s="55">
        <f t="shared" si="5"/>
        <v>0</v>
      </c>
      <c r="AO20" s="45"/>
      <c r="AP20" s="48"/>
      <c r="AQ20" s="49"/>
      <c r="AR20" s="55">
        <f t="shared" si="6"/>
        <v>0</v>
      </c>
      <c r="AS20" s="45"/>
      <c r="AT20" s="48"/>
      <c r="AU20" s="49"/>
      <c r="AV20" s="55">
        <f t="shared" si="7"/>
        <v>0</v>
      </c>
      <c r="AW20" s="45"/>
      <c r="AX20" s="48"/>
      <c r="AY20" s="49"/>
      <c r="AZ20" s="55">
        <f t="shared" si="8"/>
        <v>0</v>
      </c>
      <c r="BA20" s="45"/>
      <c r="BB20" s="48"/>
      <c r="BC20" s="49"/>
      <c r="BD20" s="55">
        <f t="shared" si="9"/>
        <v>0</v>
      </c>
      <c r="BE20" s="45"/>
      <c r="BF20" s="48"/>
      <c r="BG20" s="49"/>
      <c r="BH20" s="55">
        <f t="shared" si="10"/>
        <v>0</v>
      </c>
      <c r="BI20" s="45"/>
      <c r="BJ20" s="48"/>
      <c r="BK20" s="49"/>
      <c r="BL20" s="55">
        <f t="shared" si="11"/>
        <v>0</v>
      </c>
      <c r="BM20" s="45"/>
      <c r="BN20" s="48"/>
      <c r="BO20" s="49"/>
      <c r="BP20" s="55">
        <f t="shared" si="12"/>
        <v>0</v>
      </c>
      <c r="BQ20" s="45"/>
      <c r="BR20" s="48"/>
      <c r="BS20" s="49"/>
      <c r="BT20" s="55">
        <f t="shared" si="13"/>
        <v>0</v>
      </c>
      <c r="BU20" s="45"/>
      <c r="BV20" s="48"/>
      <c r="BW20" s="49"/>
      <c r="BX20" s="55">
        <f t="shared" si="14"/>
        <v>0</v>
      </c>
      <c r="BY20" s="45"/>
      <c r="BZ20" s="48"/>
      <c r="CA20" s="49"/>
      <c r="CB20" s="55">
        <f t="shared" si="15"/>
        <v>0</v>
      </c>
      <c r="CC20" s="45"/>
      <c r="CD20" s="48"/>
      <c r="CE20" s="49"/>
      <c r="CF20" s="55">
        <f t="shared" si="16"/>
        <v>0</v>
      </c>
      <c r="CG20" s="45"/>
      <c r="CH20" s="48"/>
      <c r="CI20" s="49"/>
      <c r="CJ20" s="55">
        <f t="shared" si="17"/>
        <v>0</v>
      </c>
      <c r="CK20" s="45"/>
      <c r="CL20" s="48"/>
      <c r="CM20" s="49"/>
      <c r="CN20" s="55">
        <f t="shared" si="18"/>
        <v>0</v>
      </c>
      <c r="CO20" s="45"/>
      <c r="CP20" s="48"/>
      <c r="CQ20" s="49"/>
      <c r="CR20" s="55">
        <f t="shared" si="19"/>
        <v>0</v>
      </c>
      <c r="CS20" s="45"/>
      <c r="CT20" s="48"/>
      <c r="CU20" s="49"/>
      <c r="CV20" s="55">
        <f t="shared" si="20"/>
        <v>0</v>
      </c>
      <c r="CW20" s="45"/>
      <c r="CX20" s="48"/>
      <c r="CY20" s="49"/>
      <c r="CZ20" s="55">
        <f t="shared" si="21"/>
        <v>0</v>
      </c>
      <c r="DA20" s="45"/>
      <c r="DB20" s="48"/>
      <c r="DC20" s="49"/>
      <c r="DD20" s="55">
        <f t="shared" si="22"/>
        <v>0</v>
      </c>
      <c r="DE20" s="45"/>
      <c r="DF20" s="48"/>
      <c r="DG20" s="49"/>
      <c r="DH20" s="55">
        <f t="shared" si="23"/>
        <v>0</v>
      </c>
      <c r="DI20" s="45"/>
      <c r="DJ20" s="48"/>
      <c r="DK20" s="49"/>
      <c r="DL20" s="55">
        <f t="shared" si="24"/>
        <v>0</v>
      </c>
      <c r="DM20" s="45"/>
      <c r="DN20" s="48"/>
      <c r="DO20" s="49"/>
      <c r="DP20" s="55">
        <f t="shared" si="25"/>
        <v>0</v>
      </c>
      <c r="DQ20" s="45"/>
      <c r="DR20" s="48"/>
      <c r="DS20" s="49"/>
      <c r="DT20" s="55">
        <f t="shared" si="26"/>
        <v>0</v>
      </c>
      <c r="DU20" s="45"/>
      <c r="DV20" s="48"/>
      <c r="DW20" s="49"/>
      <c r="DX20" s="55">
        <f t="shared" si="27"/>
        <v>0</v>
      </c>
      <c r="DY20" s="45"/>
      <c r="DZ20" s="48"/>
      <c r="EA20" s="49"/>
      <c r="EB20" s="55">
        <f t="shared" si="28"/>
        <v>0</v>
      </c>
      <c r="EC20" s="45"/>
      <c r="ED20" s="48"/>
      <c r="EE20" s="49"/>
      <c r="EF20" s="55">
        <f t="shared" si="29"/>
        <v>0</v>
      </c>
      <c r="EG20" s="45"/>
      <c r="EH20" s="48"/>
      <c r="EI20" s="49"/>
      <c r="EJ20" s="55">
        <f t="shared" si="30"/>
        <v>0</v>
      </c>
      <c r="EK20" s="45"/>
      <c r="EL20" s="48"/>
      <c r="EM20" s="49"/>
      <c r="EN20" s="55">
        <f t="shared" si="31"/>
        <v>0</v>
      </c>
      <c r="EO20" s="45"/>
      <c r="EP20" s="48"/>
      <c r="EQ20" s="49"/>
      <c r="ER20" s="55">
        <f t="shared" si="32"/>
        <v>0</v>
      </c>
      <c r="ES20" s="45"/>
      <c r="ET20" s="48"/>
      <c r="EU20" s="49"/>
      <c r="EV20" s="55">
        <f t="shared" si="33"/>
        <v>0</v>
      </c>
      <c r="EW20" s="45"/>
      <c r="EX20" s="48"/>
      <c r="EY20" s="49"/>
      <c r="EZ20" s="55">
        <f t="shared" si="34"/>
        <v>0</v>
      </c>
      <c r="FA20" s="45"/>
      <c r="FB20" s="48"/>
      <c r="FC20" s="49"/>
      <c r="FD20" s="55">
        <f t="shared" si="35"/>
        <v>0</v>
      </c>
      <c r="FE20" s="45"/>
      <c r="FF20" s="48"/>
      <c r="FG20" s="49"/>
      <c r="FH20" s="55">
        <f t="shared" si="36"/>
        <v>0</v>
      </c>
      <c r="FI20" s="45"/>
      <c r="FJ20" s="48"/>
      <c r="FK20" s="49"/>
      <c r="FL20" s="55">
        <f t="shared" si="37"/>
        <v>0</v>
      </c>
      <c r="FM20" s="45"/>
      <c r="FN20" s="48"/>
      <c r="FO20" s="49"/>
      <c r="FP20" s="55">
        <f t="shared" si="38"/>
        <v>0</v>
      </c>
      <c r="FQ20" s="45"/>
      <c r="FR20" s="48"/>
      <c r="FS20" s="49"/>
      <c r="FT20" s="55">
        <f t="shared" si="39"/>
        <v>0</v>
      </c>
      <c r="FU20" s="45"/>
      <c r="FV20" s="48"/>
      <c r="FW20" s="49"/>
      <c r="FX20" s="55">
        <f t="shared" si="40"/>
        <v>0</v>
      </c>
      <c r="FY20" s="45"/>
      <c r="FZ20" s="48"/>
      <c r="GA20" s="49"/>
      <c r="GB20" s="55">
        <f t="shared" si="41"/>
        <v>0</v>
      </c>
      <c r="GC20" s="45"/>
      <c r="GD20" s="48"/>
      <c r="GE20" s="49"/>
      <c r="GF20" s="55">
        <f t="shared" si="42"/>
        <v>0</v>
      </c>
      <c r="GG20" s="45"/>
      <c r="GH20" s="48"/>
      <c r="GI20" s="49"/>
      <c r="GJ20" s="55">
        <f t="shared" si="43"/>
        <v>0</v>
      </c>
      <c r="GK20" s="45"/>
      <c r="GL20" s="48"/>
      <c r="GM20" s="49"/>
      <c r="GN20" s="55">
        <f t="shared" si="44"/>
        <v>0</v>
      </c>
      <c r="GO20" s="45"/>
      <c r="GP20" s="48"/>
      <c r="GQ20" s="49"/>
      <c r="GR20" s="55">
        <f t="shared" si="45"/>
        <v>0</v>
      </c>
      <c r="GS20" s="45"/>
      <c r="GT20" s="48"/>
      <c r="GU20" s="49"/>
      <c r="GV20" s="55">
        <f t="shared" si="46"/>
        <v>0</v>
      </c>
      <c r="GW20" s="45"/>
      <c r="GX20" s="48"/>
      <c r="GY20" s="49"/>
      <c r="GZ20" s="55">
        <f t="shared" si="47"/>
        <v>0</v>
      </c>
      <c r="HA20" s="45"/>
      <c r="HB20" s="48"/>
      <c r="HC20" s="49"/>
      <c r="HD20" s="55">
        <f t="shared" si="48"/>
        <v>0</v>
      </c>
      <c r="HE20" s="45"/>
      <c r="HF20" s="48"/>
      <c r="HG20" s="49"/>
      <c r="HH20" s="55">
        <f t="shared" si="49"/>
        <v>0</v>
      </c>
      <c r="HI20" s="45"/>
      <c r="HJ20" s="48"/>
      <c r="HK20" s="49"/>
      <c r="HL20" s="55">
        <f t="shared" si="50"/>
        <v>0</v>
      </c>
      <c r="HM20" s="45"/>
      <c r="HN20" s="48"/>
      <c r="HO20" s="49"/>
      <c r="HP20" s="55">
        <f t="shared" si="51"/>
        <v>0</v>
      </c>
      <c r="HQ20" s="45"/>
      <c r="HR20" s="48"/>
      <c r="HS20" s="49"/>
      <c r="HT20" s="55">
        <f t="shared" si="52"/>
        <v>0</v>
      </c>
      <c r="HU20" s="45"/>
      <c r="HV20" s="48"/>
      <c r="HW20" s="49"/>
      <c r="HX20" s="55">
        <f t="shared" si="53"/>
        <v>0</v>
      </c>
      <c r="HY20" s="45"/>
      <c r="HZ20" s="48"/>
      <c r="IA20" s="49"/>
      <c r="IB20" s="55">
        <f t="shared" si="54"/>
        <v>0</v>
      </c>
      <c r="IC20" s="45"/>
      <c r="ID20" s="48"/>
      <c r="IE20" s="49"/>
      <c r="IF20" s="55">
        <f t="shared" si="55"/>
        <v>0</v>
      </c>
      <c r="IG20" s="45"/>
      <c r="IH20" s="48"/>
      <c r="II20" s="49"/>
      <c r="IJ20" s="55">
        <f t="shared" si="56"/>
        <v>0</v>
      </c>
      <c r="IK20" s="45"/>
      <c r="IL20" s="48"/>
      <c r="IM20" s="49"/>
      <c r="IN20" s="55">
        <f t="shared" si="57"/>
        <v>0</v>
      </c>
      <c r="IO20" s="45"/>
      <c r="IP20" s="48"/>
      <c r="IQ20" s="49"/>
      <c r="IR20" s="55">
        <f t="shared" si="58"/>
        <v>0</v>
      </c>
      <c r="IS20" s="45"/>
      <c r="IT20" s="48"/>
      <c r="IU20" s="49"/>
      <c r="IV20" s="55">
        <f t="shared" si="59"/>
        <v>0</v>
      </c>
      <c r="IW20" s="45"/>
      <c r="IX20" s="48"/>
      <c r="IY20" s="49"/>
      <c r="IZ20" s="55">
        <f t="shared" si="60"/>
        <v>0</v>
      </c>
      <c r="JA20" s="45"/>
      <c r="JB20" s="35" t="e">
        <f t="shared" si="61"/>
        <v>#VALUE!</v>
      </c>
      <c r="JC20" s="35" t="e">
        <f t="shared" si="62"/>
        <v>#VALUE!</v>
      </c>
      <c r="JD20" s="35" t="e">
        <f t="shared" si="63"/>
        <v>#VALUE!</v>
      </c>
      <c r="JE20" s="35" t="e">
        <f t="shared" si="67"/>
        <v>#VALUE!</v>
      </c>
      <c r="JF20" s="35"/>
      <c r="JP20" s="35"/>
    </row>
    <row r="21" spans="2:276" ht="30" customHeight="1" x14ac:dyDescent="0.3">
      <c r="B21" s="22">
        <v>12</v>
      </c>
      <c r="C21" s="75" t="e">
        <f>VLOOKUP(#REF!,EMPLEADO!C:Q,15,FALSE)</f>
        <v>#REF!</v>
      </c>
      <c r="D21" s="17" t="s">
        <v>55</v>
      </c>
      <c r="E21" s="39" t="s">
        <v>18</v>
      </c>
      <c r="F21" s="48"/>
      <c r="G21" s="49"/>
      <c r="H21" s="55">
        <f t="shared" si="64"/>
        <v>0</v>
      </c>
      <c r="I21" s="45"/>
      <c r="J21" s="48"/>
      <c r="K21" s="49"/>
      <c r="L21" s="55">
        <f t="shared" si="0"/>
        <v>0</v>
      </c>
      <c r="M21" s="45"/>
      <c r="N21" s="50"/>
      <c r="O21" s="51"/>
      <c r="P21" s="55">
        <f t="shared" si="1"/>
        <v>0</v>
      </c>
      <c r="Q21" s="45"/>
      <c r="R21" s="51"/>
      <c r="S21" s="51"/>
      <c r="T21" s="55">
        <f t="shared" si="65"/>
        <v>0</v>
      </c>
      <c r="U21" s="45"/>
      <c r="V21" s="48"/>
      <c r="W21" s="49"/>
      <c r="X21" s="55">
        <f t="shared" si="2"/>
        <v>0</v>
      </c>
      <c r="Y21" s="45"/>
      <c r="Z21" s="48"/>
      <c r="AA21" s="49"/>
      <c r="AB21" s="55">
        <f t="shared" si="3"/>
        <v>0</v>
      </c>
      <c r="AC21" s="45"/>
      <c r="AD21" s="48"/>
      <c r="AE21" s="49"/>
      <c r="AF21" s="55">
        <f t="shared" si="4"/>
        <v>0</v>
      </c>
      <c r="AG21" s="45"/>
      <c r="AH21" s="51"/>
      <c r="AI21" s="51"/>
      <c r="AJ21" s="73">
        <f t="shared" si="66"/>
        <v>0</v>
      </c>
      <c r="AK21" s="45"/>
      <c r="AL21" s="48"/>
      <c r="AM21" s="49"/>
      <c r="AN21" s="55">
        <f t="shared" si="5"/>
        <v>0</v>
      </c>
      <c r="AO21" s="45"/>
      <c r="AP21" s="48"/>
      <c r="AQ21" s="49"/>
      <c r="AR21" s="55">
        <f t="shared" si="6"/>
        <v>0</v>
      </c>
      <c r="AS21" s="45"/>
      <c r="AT21" s="48"/>
      <c r="AU21" s="49"/>
      <c r="AV21" s="55">
        <f t="shared" si="7"/>
        <v>0</v>
      </c>
      <c r="AW21" s="45"/>
      <c r="AX21" s="48"/>
      <c r="AY21" s="49"/>
      <c r="AZ21" s="55">
        <f t="shared" si="8"/>
        <v>0</v>
      </c>
      <c r="BA21" s="45"/>
      <c r="BB21" s="48"/>
      <c r="BC21" s="49"/>
      <c r="BD21" s="55">
        <f t="shared" si="9"/>
        <v>0</v>
      </c>
      <c r="BE21" s="45"/>
      <c r="BF21" s="48"/>
      <c r="BG21" s="49"/>
      <c r="BH21" s="55">
        <f t="shared" si="10"/>
        <v>0</v>
      </c>
      <c r="BI21" s="45"/>
      <c r="BJ21" s="48"/>
      <c r="BK21" s="49"/>
      <c r="BL21" s="55">
        <f t="shared" si="11"/>
        <v>0</v>
      </c>
      <c r="BM21" s="45"/>
      <c r="BN21" s="48"/>
      <c r="BO21" s="49"/>
      <c r="BP21" s="55">
        <f t="shared" si="12"/>
        <v>0</v>
      </c>
      <c r="BQ21" s="45"/>
      <c r="BR21" s="48"/>
      <c r="BS21" s="49"/>
      <c r="BT21" s="55">
        <f t="shared" si="13"/>
        <v>0</v>
      </c>
      <c r="BU21" s="45"/>
      <c r="BV21" s="48"/>
      <c r="BW21" s="49"/>
      <c r="BX21" s="55">
        <f t="shared" si="14"/>
        <v>0</v>
      </c>
      <c r="BY21" s="45"/>
      <c r="BZ21" s="48"/>
      <c r="CA21" s="49"/>
      <c r="CB21" s="55">
        <f t="shared" si="15"/>
        <v>0</v>
      </c>
      <c r="CC21" s="45"/>
      <c r="CD21" s="48"/>
      <c r="CE21" s="49"/>
      <c r="CF21" s="55">
        <f t="shared" si="16"/>
        <v>0</v>
      </c>
      <c r="CG21" s="45"/>
      <c r="CH21" s="48"/>
      <c r="CI21" s="49"/>
      <c r="CJ21" s="55">
        <f t="shared" si="17"/>
        <v>0</v>
      </c>
      <c r="CK21" s="45"/>
      <c r="CL21" s="48"/>
      <c r="CM21" s="49"/>
      <c r="CN21" s="55">
        <f t="shared" si="18"/>
        <v>0</v>
      </c>
      <c r="CO21" s="45"/>
      <c r="CP21" s="48"/>
      <c r="CQ21" s="49"/>
      <c r="CR21" s="55">
        <f t="shared" si="19"/>
        <v>0</v>
      </c>
      <c r="CS21" s="45"/>
      <c r="CT21" s="48"/>
      <c r="CU21" s="49"/>
      <c r="CV21" s="55">
        <f t="shared" si="20"/>
        <v>0</v>
      </c>
      <c r="CW21" s="45"/>
      <c r="CX21" s="48"/>
      <c r="CY21" s="49"/>
      <c r="CZ21" s="55">
        <f t="shared" si="21"/>
        <v>0</v>
      </c>
      <c r="DA21" s="45"/>
      <c r="DB21" s="48"/>
      <c r="DC21" s="49"/>
      <c r="DD21" s="55">
        <f t="shared" si="22"/>
        <v>0</v>
      </c>
      <c r="DE21" s="45"/>
      <c r="DF21" s="48"/>
      <c r="DG21" s="49"/>
      <c r="DH21" s="55">
        <f t="shared" si="23"/>
        <v>0</v>
      </c>
      <c r="DI21" s="45"/>
      <c r="DJ21" s="48"/>
      <c r="DK21" s="49"/>
      <c r="DL21" s="55">
        <f t="shared" si="24"/>
        <v>0</v>
      </c>
      <c r="DM21" s="45"/>
      <c r="DN21" s="48"/>
      <c r="DO21" s="49"/>
      <c r="DP21" s="55">
        <f t="shared" si="25"/>
        <v>0</v>
      </c>
      <c r="DQ21" s="45"/>
      <c r="DR21" s="48"/>
      <c r="DS21" s="49"/>
      <c r="DT21" s="55">
        <f t="shared" si="26"/>
        <v>0</v>
      </c>
      <c r="DU21" s="45"/>
      <c r="DV21" s="48"/>
      <c r="DW21" s="49"/>
      <c r="DX21" s="55">
        <f t="shared" si="27"/>
        <v>0</v>
      </c>
      <c r="DY21" s="45"/>
      <c r="DZ21" s="48"/>
      <c r="EA21" s="49"/>
      <c r="EB21" s="55">
        <f t="shared" si="28"/>
        <v>0</v>
      </c>
      <c r="EC21" s="45"/>
      <c r="ED21" s="48"/>
      <c r="EE21" s="49"/>
      <c r="EF21" s="55">
        <f t="shared" si="29"/>
        <v>0</v>
      </c>
      <c r="EG21" s="45"/>
      <c r="EH21" s="48"/>
      <c r="EI21" s="49"/>
      <c r="EJ21" s="55">
        <f t="shared" si="30"/>
        <v>0</v>
      </c>
      <c r="EK21" s="45"/>
      <c r="EL21" s="48"/>
      <c r="EM21" s="49"/>
      <c r="EN21" s="55">
        <f t="shared" si="31"/>
        <v>0</v>
      </c>
      <c r="EO21" s="45"/>
      <c r="EP21" s="48"/>
      <c r="EQ21" s="49"/>
      <c r="ER21" s="55">
        <f t="shared" si="32"/>
        <v>0</v>
      </c>
      <c r="ES21" s="45"/>
      <c r="ET21" s="48"/>
      <c r="EU21" s="49"/>
      <c r="EV21" s="55">
        <f t="shared" si="33"/>
        <v>0</v>
      </c>
      <c r="EW21" s="45"/>
      <c r="EX21" s="48"/>
      <c r="EY21" s="49"/>
      <c r="EZ21" s="55">
        <f t="shared" si="34"/>
        <v>0</v>
      </c>
      <c r="FA21" s="45"/>
      <c r="FB21" s="48"/>
      <c r="FC21" s="49"/>
      <c r="FD21" s="55">
        <f t="shared" si="35"/>
        <v>0</v>
      </c>
      <c r="FE21" s="45"/>
      <c r="FF21" s="48"/>
      <c r="FG21" s="49"/>
      <c r="FH21" s="55">
        <f t="shared" si="36"/>
        <v>0</v>
      </c>
      <c r="FI21" s="45"/>
      <c r="FJ21" s="48"/>
      <c r="FK21" s="49"/>
      <c r="FL21" s="55">
        <f t="shared" si="37"/>
        <v>0</v>
      </c>
      <c r="FM21" s="45"/>
      <c r="FN21" s="48"/>
      <c r="FO21" s="49"/>
      <c r="FP21" s="55">
        <f t="shared" si="38"/>
        <v>0</v>
      </c>
      <c r="FQ21" s="45"/>
      <c r="FR21" s="48"/>
      <c r="FS21" s="49"/>
      <c r="FT21" s="55">
        <f t="shared" si="39"/>
        <v>0</v>
      </c>
      <c r="FU21" s="45"/>
      <c r="FV21" s="48"/>
      <c r="FW21" s="49"/>
      <c r="FX21" s="55">
        <f t="shared" si="40"/>
        <v>0</v>
      </c>
      <c r="FY21" s="45"/>
      <c r="FZ21" s="48"/>
      <c r="GA21" s="49"/>
      <c r="GB21" s="55">
        <f t="shared" si="41"/>
        <v>0</v>
      </c>
      <c r="GC21" s="45"/>
      <c r="GD21" s="48"/>
      <c r="GE21" s="49"/>
      <c r="GF21" s="55">
        <f t="shared" si="42"/>
        <v>0</v>
      </c>
      <c r="GG21" s="45"/>
      <c r="GH21" s="48"/>
      <c r="GI21" s="49"/>
      <c r="GJ21" s="55">
        <f t="shared" si="43"/>
        <v>0</v>
      </c>
      <c r="GK21" s="45"/>
      <c r="GL21" s="48"/>
      <c r="GM21" s="49"/>
      <c r="GN21" s="55">
        <f t="shared" si="44"/>
        <v>0</v>
      </c>
      <c r="GO21" s="45"/>
      <c r="GP21" s="48"/>
      <c r="GQ21" s="49"/>
      <c r="GR21" s="55">
        <f t="shared" si="45"/>
        <v>0</v>
      </c>
      <c r="GS21" s="45"/>
      <c r="GT21" s="48"/>
      <c r="GU21" s="49"/>
      <c r="GV21" s="55">
        <f t="shared" si="46"/>
        <v>0</v>
      </c>
      <c r="GW21" s="45"/>
      <c r="GX21" s="48"/>
      <c r="GY21" s="49"/>
      <c r="GZ21" s="55">
        <f t="shared" si="47"/>
        <v>0</v>
      </c>
      <c r="HA21" s="45"/>
      <c r="HB21" s="48"/>
      <c r="HC21" s="49"/>
      <c r="HD21" s="55">
        <f t="shared" si="48"/>
        <v>0</v>
      </c>
      <c r="HE21" s="45"/>
      <c r="HF21" s="48"/>
      <c r="HG21" s="49"/>
      <c r="HH21" s="55">
        <f t="shared" si="49"/>
        <v>0</v>
      </c>
      <c r="HI21" s="45"/>
      <c r="HJ21" s="48"/>
      <c r="HK21" s="49"/>
      <c r="HL21" s="55">
        <f t="shared" si="50"/>
        <v>0</v>
      </c>
      <c r="HM21" s="45"/>
      <c r="HN21" s="48"/>
      <c r="HO21" s="49"/>
      <c r="HP21" s="55">
        <f t="shared" si="51"/>
        <v>0</v>
      </c>
      <c r="HQ21" s="45"/>
      <c r="HR21" s="48"/>
      <c r="HS21" s="49"/>
      <c r="HT21" s="55">
        <f t="shared" si="52"/>
        <v>0</v>
      </c>
      <c r="HU21" s="45"/>
      <c r="HV21" s="48"/>
      <c r="HW21" s="49"/>
      <c r="HX21" s="55">
        <f t="shared" si="53"/>
        <v>0</v>
      </c>
      <c r="HY21" s="45"/>
      <c r="HZ21" s="48"/>
      <c r="IA21" s="49"/>
      <c r="IB21" s="55">
        <f t="shared" si="54"/>
        <v>0</v>
      </c>
      <c r="IC21" s="45"/>
      <c r="ID21" s="48"/>
      <c r="IE21" s="49"/>
      <c r="IF21" s="55">
        <f t="shared" si="55"/>
        <v>0</v>
      </c>
      <c r="IG21" s="45"/>
      <c r="IH21" s="48"/>
      <c r="II21" s="49"/>
      <c r="IJ21" s="55">
        <f t="shared" si="56"/>
        <v>0</v>
      </c>
      <c r="IK21" s="45"/>
      <c r="IL21" s="48"/>
      <c r="IM21" s="49"/>
      <c r="IN21" s="55">
        <f t="shared" si="57"/>
        <v>0</v>
      </c>
      <c r="IO21" s="45"/>
      <c r="IP21" s="48"/>
      <c r="IQ21" s="49"/>
      <c r="IR21" s="55">
        <f t="shared" si="58"/>
        <v>0</v>
      </c>
      <c r="IS21" s="45"/>
      <c r="IT21" s="48"/>
      <c r="IU21" s="49"/>
      <c r="IV21" s="55">
        <f t="shared" si="59"/>
        <v>0</v>
      </c>
      <c r="IW21" s="45"/>
      <c r="IX21" s="48"/>
      <c r="IY21" s="49"/>
      <c r="IZ21" s="55">
        <f t="shared" si="60"/>
        <v>0</v>
      </c>
      <c r="JA21" s="45"/>
      <c r="JB21" s="35" t="e">
        <f t="shared" si="61"/>
        <v>#VALUE!</v>
      </c>
      <c r="JC21" s="35" t="e">
        <f t="shared" si="62"/>
        <v>#VALUE!</v>
      </c>
      <c r="JD21" s="35" t="e">
        <f t="shared" si="63"/>
        <v>#VALUE!</v>
      </c>
      <c r="JE21" s="35" t="e">
        <f t="shared" si="67"/>
        <v>#VALUE!</v>
      </c>
      <c r="JF21" s="35"/>
      <c r="JP21" s="35"/>
    </row>
    <row r="22" spans="2:276" ht="30" customHeight="1" x14ac:dyDescent="0.3">
      <c r="B22" s="22">
        <v>13</v>
      </c>
      <c r="C22" s="75" t="e">
        <f>VLOOKUP(#REF!,EMPLEADO!C:Q,15,FALSE)</f>
        <v>#REF!</v>
      </c>
      <c r="D22" s="16" t="s">
        <v>56</v>
      </c>
      <c r="E22" s="38" t="s">
        <v>18</v>
      </c>
      <c r="F22" s="50"/>
      <c r="G22" s="51"/>
      <c r="H22" s="55">
        <f t="shared" si="64"/>
        <v>0</v>
      </c>
      <c r="I22" s="45"/>
      <c r="J22" s="48"/>
      <c r="K22" s="49"/>
      <c r="L22" s="55">
        <f t="shared" si="0"/>
        <v>0</v>
      </c>
      <c r="M22" s="45"/>
      <c r="N22" s="50"/>
      <c r="O22" s="51"/>
      <c r="P22" s="55">
        <f t="shared" si="1"/>
        <v>0</v>
      </c>
      <c r="Q22" s="45"/>
      <c r="R22" s="51"/>
      <c r="S22" s="51"/>
      <c r="T22" s="55">
        <f t="shared" si="65"/>
        <v>0</v>
      </c>
      <c r="U22" s="45"/>
      <c r="V22" s="48"/>
      <c r="W22" s="49"/>
      <c r="X22" s="55">
        <f t="shared" si="2"/>
        <v>0</v>
      </c>
      <c r="Y22" s="45"/>
      <c r="Z22" s="48"/>
      <c r="AA22" s="49"/>
      <c r="AB22" s="55">
        <f t="shared" si="3"/>
        <v>0</v>
      </c>
      <c r="AC22" s="45"/>
      <c r="AD22" s="48"/>
      <c r="AE22" s="49"/>
      <c r="AF22" s="55">
        <f t="shared" si="4"/>
        <v>0</v>
      </c>
      <c r="AG22" s="45"/>
      <c r="AH22" s="51"/>
      <c r="AI22" s="51"/>
      <c r="AJ22" s="73">
        <f t="shared" si="66"/>
        <v>0</v>
      </c>
      <c r="AK22" s="45"/>
      <c r="AL22" s="48"/>
      <c r="AM22" s="49"/>
      <c r="AN22" s="55">
        <f t="shared" si="5"/>
        <v>0</v>
      </c>
      <c r="AO22" s="45"/>
      <c r="AP22" s="48"/>
      <c r="AQ22" s="49"/>
      <c r="AR22" s="55">
        <f t="shared" si="6"/>
        <v>0</v>
      </c>
      <c r="AS22" s="45"/>
      <c r="AT22" s="48"/>
      <c r="AU22" s="49"/>
      <c r="AV22" s="55">
        <f t="shared" si="7"/>
        <v>0</v>
      </c>
      <c r="AW22" s="45"/>
      <c r="AX22" s="48"/>
      <c r="AY22" s="49"/>
      <c r="AZ22" s="55">
        <f t="shared" si="8"/>
        <v>0</v>
      </c>
      <c r="BA22" s="45"/>
      <c r="BB22" s="48"/>
      <c r="BC22" s="49"/>
      <c r="BD22" s="55">
        <f t="shared" si="9"/>
        <v>0</v>
      </c>
      <c r="BE22" s="45"/>
      <c r="BF22" s="48"/>
      <c r="BG22" s="49"/>
      <c r="BH22" s="55">
        <f t="shared" si="10"/>
        <v>0</v>
      </c>
      <c r="BI22" s="45"/>
      <c r="BJ22" s="48"/>
      <c r="BK22" s="49"/>
      <c r="BL22" s="55">
        <f t="shared" si="11"/>
        <v>0</v>
      </c>
      <c r="BM22" s="45"/>
      <c r="BN22" s="48"/>
      <c r="BO22" s="49"/>
      <c r="BP22" s="55">
        <f t="shared" si="12"/>
        <v>0</v>
      </c>
      <c r="BQ22" s="45"/>
      <c r="BR22" s="48"/>
      <c r="BS22" s="49"/>
      <c r="BT22" s="55">
        <f t="shared" si="13"/>
        <v>0</v>
      </c>
      <c r="BU22" s="45"/>
      <c r="BV22" s="48"/>
      <c r="BW22" s="49"/>
      <c r="BX22" s="55">
        <f t="shared" si="14"/>
        <v>0</v>
      </c>
      <c r="BY22" s="45"/>
      <c r="BZ22" s="48"/>
      <c r="CA22" s="49"/>
      <c r="CB22" s="55">
        <f t="shared" si="15"/>
        <v>0</v>
      </c>
      <c r="CC22" s="45"/>
      <c r="CD22" s="48"/>
      <c r="CE22" s="49"/>
      <c r="CF22" s="55">
        <f t="shared" si="16"/>
        <v>0</v>
      </c>
      <c r="CG22" s="45"/>
      <c r="CH22" s="48"/>
      <c r="CI22" s="49"/>
      <c r="CJ22" s="55">
        <f t="shared" si="17"/>
        <v>0</v>
      </c>
      <c r="CK22" s="45"/>
      <c r="CL22" s="48"/>
      <c r="CM22" s="49"/>
      <c r="CN22" s="55">
        <f t="shared" si="18"/>
        <v>0</v>
      </c>
      <c r="CO22" s="45"/>
      <c r="CP22" s="48"/>
      <c r="CQ22" s="49"/>
      <c r="CR22" s="55">
        <f t="shared" si="19"/>
        <v>0</v>
      </c>
      <c r="CS22" s="45"/>
      <c r="CT22" s="48"/>
      <c r="CU22" s="49"/>
      <c r="CV22" s="55">
        <f t="shared" si="20"/>
        <v>0</v>
      </c>
      <c r="CW22" s="45"/>
      <c r="CX22" s="48"/>
      <c r="CY22" s="49"/>
      <c r="CZ22" s="55">
        <f t="shared" si="21"/>
        <v>0</v>
      </c>
      <c r="DA22" s="45"/>
      <c r="DB22" s="48"/>
      <c r="DC22" s="49"/>
      <c r="DD22" s="55">
        <f t="shared" si="22"/>
        <v>0</v>
      </c>
      <c r="DE22" s="45"/>
      <c r="DF22" s="48"/>
      <c r="DG22" s="49"/>
      <c r="DH22" s="55">
        <f t="shared" si="23"/>
        <v>0</v>
      </c>
      <c r="DI22" s="45"/>
      <c r="DJ22" s="48"/>
      <c r="DK22" s="49"/>
      <c r="DL22" s="55">
        <f t="shared" si="24"/>
        <v>0</v>
      </c>
      <c r="DM22" s="45"/>
      <c r="DN22" s="48"/>
      <c r="DO22" s="49"/>
      <c r="DP22" s="55">
        <f t="shared" si="25"/>
        <v>0</v>
      </c>
      <c r="DQ22" s="45"/>
      <c r="DR22" s="48"/>
      <c r="DS22" s="49"/>
      <c r="DT22" s="55">
        <f t="shared" si="26"/>
        <v>0</v>
      </c>
      <c r="DU22" s="45"/>
      <c r="DV22" s="48"/>
      <c r="DW22" s="49"/>
      <c r="DX22" s="55">
        <f t="shared" si="27"/>
        <v>0</v>
      </c>
      <c r="DY22" s="45"/>
      <c r="DZ22" s="48"/>
      <c r="EA22" s="49"/>
      <c r="EB22" s="55">
        <f t="shared" si="28"/>
        <v>0</v>
      </c>
      <c r="EC22" s="45"/>
      <c r="ED22" s="48"/>
      <c r="EE22" s="49"/>
      <c r="EF22" s="55">
        <f t="shared" si="29"/>
        <v>0</v>
      </c>
      <c r="EG22" s="45"/>
      <c r="EH22" s="48"/>
      <c r="EI22" s="49"/>
      <c r="EJ22" s="55">
        <f t="shared" si="30"/>
        <v>0</v>
      </c>
      <c r="EK22" s="45"/>
      <c r="EL22" s="48"/>
      <c r="EM22" s="49"/>
      <c r="EN22" s="55">
        <f t="shared" si="31"/>
        <v>0</v>
      </c>
      <c r="EO22" s="45"/>
      <c r="EP22" s="48"/>
      <c r="EQ22" s="49"/>
      <c r="ER22" s="55">
        <f t="shared" si="32"/>
        <v>0</v>
      </c>
      <c r="ES22" s="45"/>
      <c r="ET22" s="48"/>
      <c r="EU22" s="49"/>
      <c r="EV22" s="55">
        <f t="shared" si="33"/>
        <v>0</v>
      </c>
      <c r="EW22" s="45"/>
      <c r="EX22" s="48"/>
      <c r="EY22" s="49"/>
      <c r="EZ22" s="55">
        <f t="shared" si="34"/>
        <v>0</v>
      </c>
      <c r="FA22" s="45"/>
      <c r="FB22" s="48"/>
      <c r="FC22" s="49"/>
      <c r="FD22" s="55">
        <f t="shared" si="35"/>
        <v>0</v>
      </c>
      <c r="FE22" s="45"/>
      <c r="FF22" s="48"/>
      <c r="FG22" s="49"/>
      <c r="FH22" s="55">
        <f t="shared" si="36"/>
        <v>0</v>
      </c>
      <c r="FI22" s="45"/>
      <c r="FJ22" s="48"/>
      <c r="FK22" s="49"/>
      <c r="FL22" s="55">
        <f t="shared" si="37"/>
        <v>0</v>
      </c>
      <c r="FM22" s="45"/>
      <c r="FN22" s="48"/>
      <c r="FO22" s="49"/>
      <c r="FP22" s="55">
        <f t="shared" si="38"/>
        <v>0</v>
      </c>
      <c r="FQ22" s="45"/>
      <c r="FR22" s="48"/>
      <c r="FS22" s="49"/>
      <c r="FT22" s="55">
        <f t="shared" si="39"/>
        <v>0</v>
      </c>
      <c r="FU22" s="45"/>
      <c r="FV22" s="48"/>
      <c r="FW22" s="49"/>
      <c r="FX22" s="55">
        <f t="shared" si="40"/>
        <v>0</v>
      </c>
      <c r="FY22" s="45"/>
      <c r="FZ22" s="48"/>
      <c r="GA22" s="49"/>
      <c r="GB22" s="55">
        <f t="shared" si="41"/>
        <v>0</v>
      </c>
      <c r="GC22" s="45"/>
      <c r="GD22" s="48"/>
      <c r="GE22" s="49"/>
      <c r="GF22" s="55">
        <f t="shared" si="42"/>
        <v>0</v>
      </c>
      <c r="GG22" s="45"/>
      <c r="GH22" s="48"/>
      <c r="GI22" s="49"/>
      <c r="GJ22" s="55">
        <f t="shared" si="43"/>
        <v>0</v>
      </c>
      <c r="GK22" s="45"/>
      <c r="GL22" s="48"/>
      <c r="GM22" s="49"/>
      <c r="GN22" s="55">
        <f t="shared" si="44"/>
        <v>0</v>
      </c>
      <c r="GO22" s="45"/>
      <c r="GP22" s="48"/>
      <c r="GQ22" s="49"/>
      <c r="GR22" s="55">
        <f t="shared" si="45"/>
        <v>0</v>
      </c>
      <c r="GS22" s="45"/>
      <c r="GT22" s="48"/>
      <c r="GU22" s="49"/>
      <c r="GV22" s="55">
        <f t="shared" si="46"/>
        <v>0</v>
      </c>
      <c r="GW22" s="45"/>
      <c r="GX22" s="48"/>
      <c r="GY22" s="49"/>
      <c r="GZ22" s="55">
        <f t="shared" si="47"/>
        <v>0</v>
      </c>
      <c r="HA22" s="45"/>
      <c r="HB22" s="48"/>
      <c r="HC22" s="49"/>
      <c r="HD22" s="55">
        <f t="shared" si="48"/>
        <v>0</v>
      </c>
      <c r="HE22" s="45"/>
      <c r="HF22" s="48"/>
      <c r="HG22" s="49"/>
      <c r="HH22" s="55">
        <f t="shared" si="49"/>
        <v>0</v>
      </c>
      <c r="HI22" s="45"/>
      <c r="HJ22" s="48"/>
      <c r="HK22" s="49"/>
      <c r="HL22" s="55">
        <f t="shared" si="50"/>
        <v>0</v>
      </c>
      <c r="HM22" s="45"/>
      <c r="HN22" s="48"/>
      <c r="HO22" s="49"/>
      <c r="HP22" s="55">
        <f t="shared" si="51"/>
        <v>0</v>
      </c>
      <c r="HQ22" s="45"/>
      <c r="HR22" s="48"/>
      <c r="HS22" s="49"/>
      <c r="HT22" s="55">
        <f t="shared" si="52"/>
        <v>0</v>
      </c>
      <c r="HU22" s="45"/>
      <c r="HV22" s="48"/>
      <c r="HW22" s="49"/>
      <c r="HX22" s="55">
        <f t="shared" si="53"/>
        <v>0</v>
      </c>
      <c r="HY22" s="45"/>
      <c r="HZ22" s="48"/>
      <c r="IA22" s="49"/>
      <c r="IB22" s="55">
        <f t="shared" si="54"/>
        <v>0</v>
      </c>
      <c r="IC22" s="45"/>
      <c r="ID22" s="48"/>
      <c r="IE22" s="49"/>
      <c r="IF22" s="55">
        <f t="shared" si="55"/>
        <v>0</v>
      </c>
      <c r="IG22" s="45"/>
      <c r="IH22" s="48"/>
      <c r="II22" s="49"/>
      <c r="IJ22" s="55">
        <f t="shared" si="56"/>
        <v>0</v>
      </c>
      <c r="IK22" s="45"/>
      <c r="IL22" s="48"/>
      <c r="IM22" s="49"/>
      <c r="IN22" s="55">
        <f t="shared" si="57"/>
        <v>0</v>
      </c>
      <c r="IO22" s="45"/>
      <c r="IP22" s="48"/>
      <c r="IQ22" s="49"/>
      <c r="IR22" s="55">
        <f t="shared" si="58"/>
        <v>0</v>
      </c>
      <c r="IS22" s="45"/>
      <c r="IT22" s="48"/>
      <c r="IU22" s="49"/>
      <c r="IV22" s="55">
        <f t="shared" si="59"/>
        <v>0</v>
      </c>
      <c r="IW22" s="45"/>
      <c r="IX22" s="48"/>
      <c r="IY22" s="49"/>
      <c r="IZ22" s="55">
        <f t="shared" si="60"/>
        <v>0</v>
      </c>
      <c r="JA22" s="45"/>
      <c r="JB22" s="35" t="e">
        <f t="shared" si="61"/>
        <v>#VALUE!</v>
      </c>
      <c r="JC22" s="35" t="e">
        <f t="shared" si="62"/>
        <v>#VALUE!</v>
      </c>
      <c r="JD22" s="35" t="e">
        <f t="shared" si="63"/>
        <v>#VALUE!</v>
      </c>
      <c r="JE22" s="35" t="e">
        <f t="shared" si="67"/>
        <v>#VALUE!</v>
      </c>
      <c r="JF22" s="35"/>
      <c r="JP22" s="35"/>
    </row>
    <row r="23" spans="2:276" ht="30" customHeight="1" x14ac:dyDescent="0.3">
      <c r="B23" s="22">
        <v>14</v>
      </c>
      <c r="C23" s="75" t="e">
        <f>VLOOKUP(#REF!,EMPLEADO!C:Q,15,FALSE)</f>
        <v>#REF!</v>
      </c>
      <c r="D23" s="16" t="s">
        <v>79</v>
      </c>
      <c r="E23" s="38" t="s">
        <v>18</v>
      </c>
      <c r="F23" s="48"/>
      <c r="G23" s="49"/>
      <c r="H23" s="55">
        <f t="shared" si="64"/>
        <v>0</v>
      </c>
      <c r="I23" s="45"/>
      <c r="J23" s="48"/>
      <c r="K23" s="49"/>
      <c r="L23" s="55">
        <f t="shared" si="0"/>
        <v>0</v>
      </c>
      <c r="M23" s="45"/>
      <c r="N23" s="50"/>
      <c r="O23" s="51"/>
      <c r="P23" s="55">
        <f t="shared" si="1"/>
        <v>0</v>
      </c>
      <c r="Q23" s="45"/>
      <c r="R23" s="51"/>
      <c r="S23" s="51"/>
      <c r="T23" s="55">
        <f t="shared" si="65"/>
        <v>0</v>
      </c>
      <c r="U23" s="45"/>
      <c r="V23" s="48"/>
      <c r="W23" s="49"/>
      <c r="X23" s="55">
        <f t="shared" si="2"/>
        <v>0</v>
      </c>
      <c r="Y23" s="45"/>
      <c r="Z23" s="48"/>
      <c r="AA23" s="49"/>
      <c r="AB23" s="55">
        <f t="shared" si="3"/>
        <v>0</v>
      </c>
      <c r="AC23" s="45"/>
      <c r="AD23" s="48"/>
      <c r="AE23" s="49"/>
      <c r="AF23" s="55">
        <f t="shared" si="4"/>
        <v>0</v>
      </c>
      <c r="AG23" s="45"/>
      <c r="AH23" s="51"/>
      <c r="AI23" s="51"/>
      <c r="AJ23" s="73">
        <f t="shared" si="66"/>
        <v>0</v>
      </c>
      <c r="AK23" s="45"/>
      <c r="AL23" s="48"/>
      <c r="AM23" s="49"/>
      <c r="AN23" s="55">
        <f t="shared" si="5"/>
        <v>0</v>
      </c>
      <c r="AO23" s="45"/>
      <c r="AP23" s="48"/>
      <c r="AQ23" s="49"/>
      <c r="AR23" s="55">
        <f t="shared" si="6"/>
        <v>0</v>
      </c>
      <c r="AS23" s="45"/>
      <c r="AT23" s="48"/>
      <c r="AU23" s="49"/>
      <c r="AV23" s="55">
        <f t="shared" si="7"/>
        <v>0</v>
      </c>
      <c r="AW23" s="45"/>
      <c r="AX23" s="48"/>
      <c r="AY23" s="49"/>
      <c r="AZ23" s="55">
        <f t="shared" si="8"/>
        <v>0</v>
      </c>
      <c r="BA23" s="45"/>
      <c r="BB23" s="48"/>
      <c r="BC23" s="49"/>
      <c r="BD23" s="55">
        <f t="shared" si="9"/>
        <v>0</v>
      </c>
      <c r="BE23" s="45"/>
      <c r="BF23" s="48"/>
      <c r="BG23" s="49"/>
      <c r="BH23" s="55">
        <f t="shared" si="10"/>
        <v>0</v>
      </c>
      <c r="BI23" s="45"/>
      <c r="BJ23" s="48"/>
      <c r="BK23" s="49"/>
      <c r="BL23" s="55">
        <f t="shared" si="11"/>
        <v>0</v>
      </c>
      <c r="BM23" s="45"/>
      <c r="BN23" s="48"/>
      <c r="BO23" s="49"/>
      <c r="BP23" s="55">
        <f t="shared" si="12"/>
        <v>0</v>
      </c>
      <c r="BQ23" s="45"/>
      <c r="BR23" s="48"/>
      <c r="BS23" s="49"/>
      <c r="BT23" s="55">
        <f t="shared" si="13"/>
        <v>0</v>
      </c>
      <c r="BU23" s="45"/>
      <c r="BV23" s="48"/>
      <c r="BW23" s="49"/>
      <c r="BX23" s="55">
        <f t="shared" si="14"/>
        <v>0</v>
      </c>
      <c r="BY23" s="45"/>
      <c r="BZ23" s="48"/>
      <c r="CA23" s="49"/>
      <c r="CB23" s="55">
        <f t="shared" si="15"/>
        <v>0</v>
      </c>
      <c r="CC23" s="45"/>
      <c r="CD23" s="48"/>
      <c r="CE23" s="49"/>
      <c r="CF23" s="55">
        <f t="shared" si="16"/>
        <v>0</v>
      </c>
      <c r="CG23" s="45"/>
      <c r="CH23" s="48"/>
      <c r="CI23" s="49"/>
      <c r="CJ23" s="55">
        <f t="shared" si="17"/>
        <v>0</v>
      </c>
      <c r="CK23" s="45"/>
      <c r="CL23" s="48"/>
      <c r="CM23" s="49"/>
      <c r="CN23" s="55">
        <f t="shared" si="18"/>
        <v>0</v>
      </c>
      <c r="CO23" s="45"/>
      <c r="CP23" s="48"/>
      <c r="CQ23" s="49"/>
      <c r="CR23" s="55">
        <f t="shared" si="19"/>
        <v>0</v>
      </c>
      <c r="CS23" s="45"/>
      <c r="CT23" s="48"/>
      <c r="CU23" s="49"/>
      <c r="CV23" s="55">
        <f t="shared" si="20"/>
        <v>0</v>
      </c>
      <c r="CW23" s="45"/>
      <c r="CX23" s="48"/>
      <c r="CY23" s="49"/>
      <c r="CZ23" s="55">
        <f t="shared" si="21"/>
        <v>0</v>
      </c>
      <c r="DA23" s="45"/>
      <c r="DB23" s="48"/>
      <c r="DC23" s="49"/>
      <c r="DD23" s="55">
        <f t="shared" si="22"/>
        <v>0</v>
      </c>
      <c r="DE23" s="45"/>
      <c r="DF23" s="48"/>
      <c r="DG23" s="49"/>
      <c r="DH23" s="55">
        <f t="shared" si="23"/>
        <v>0</v>
      </c>
      <c r="DI23" s="45"/>
      <c r="DJ23" s="48"/>
      <c r="DK23" s="49"/>
      <c r="DL23" s="55">
        <f t="shared" si="24"/>
        <v>0</v>
      </c>
      <c r="DM23" s="45"/>
      <c r="DN23" s="48"/>
      <c r="DO23" s="49"/>
      <c r="DP23" s="55">
        <f t="shared" si="25"/>
        <v>0</v>
      </c>
      <c r="DQ23" s="45"/>
      <c r="DR23" s="48"/>
      <c r="DS23" s="49"/>
      <c r="DT23" s="55">
        <f t="shared" si="26"/>
        <v>0</v>
      </c>
      <c r="DU23" s="45"/>
      <c r="DV23" s="48"/>
      <c r="DW23" s="49"/>
      <c r="DX23" s="55">
        <f t="shared" si="27"/>
        <v>0</v>
      </c>
      <c r="DY23" s="45"/>
      <c r="DZ23" s="48"/>
      <c r="EA23" s="49"/>
      <c r="EB23" s="55">
        <f t="shared" si="28"/>
        <v>0</v>
      </c>
      <c r="EC23" s="45"/>
      <c r="ED23" s="48"/>
      <c r="EE23" s="49"/>
      <c r="EF23" s="55">
        <f t="shared" si="29"/>
        <v>0</v>
      </c>
      <c r="EG23" s="45"/>
      <c r="EH23" s="48"/>
      <c r="EI23" s="49"/>
      <c r="EJ23" s="55">
        <f t="shared" si="30"/>
        <v>0</v>
      </c>
      <c r="EK23" s="45"/>
      <c r="EL23" s="48"/>
      <c r="EM23" s="49"/>
      <c r="EN23" s="55">
        <f t="shared" si="31"/>
        <v>0</v>
      </c>
      <c r="EO23" s="45"/>
      <c r="EP23" s="48"/>
      <c r="EQ23" s="49"/>
      <c r="ER23" s="55">
        <f t="shared" si="32"/>
        <v>0</v>
      </c>
      <c r="ES23" s="45"/>
      <c r="ET23" s="48"/>
      <c r="EU23" s="49"/>
      <c r="EV23" s="55">
        <f t="shared" si="33"/>
        <v>0</v>
      </c>
      <c r="EW23" s="45"/>
      <c r="EX23" s="48"/>
      <c r="EY23" s="49"/>
      <c r="EZ23" s="55">
        <f t="shared" si="34"/>
        <v>0</v>
      </c>
      <c r="FA23" s="45"/>
      <c r="FB23" s="48"/>
      <c r="FC23" s="49"/>
      <c r="FD23" s="55">
        <f t="shared" si="35"/>
        <v>0</v>
      </c>
      <c r="FE23" s="45"/>
      <c r="FF23" s="48"/>
      <c r="FG23" s="49"/>
      <c r="FH23" s="55">
        <f t="shared" si="36"/>
        <v>0</v>
      </c>
      <c r="FI23" s="45"/>
      <c r="FJ23" s="48"/>
      <c r="FK23" s="49"/>
      <c r="FL23" s="55">
        <f t="shared" si="37"/>
        <v>0</v>
      </c>
      <c r="FM23" s="45"/>
      <c r="FN23" s="48"/>
      <c r="FO23" s="49"/>
      <c r="FP23" s="55">
        <f t="shared" si="38"/>
        <v>0</v>
      </c>
      <c r="FQ23" s="45"/>
      <c r="FR23" s="48"/>
      <c r="FS23" s="49"/>
      <c r="FT23" s="55">
        <f t="shared" si="39"/>
        <v>0</v>
      </c>
      <c r="FU23" s="45"/>
      <c r="FV23" s="48"/>
      <c r="FW23" s="49"/>
      <c r="FX23" s="55">
        <f t="shared" si="40"/>
        <v>0</v>
      </c>
      <c r="FY23" s="45"/>
      <c r="FZ23" s="48"/>
      <c r="GA23" s="49"/>
      <c r="GB23" s="55">
        <f t="shared" si="41"/>
        <v>0</v>
      </c>
      <c r="GC23" s="45"/>
      <c r="GD23" s="48"/>
      <c r="GE23" s="49"/>
      <c r="GF23" s="55">
        <f t="shared" si="42"/>
        <v>0</v>
      </c>
      <c r="GG23" s="45"/>
      <c r="GH23" s="48"/>
      <c r="GI23" s="49"/>
      <c r="GJ23" s="55">
        <f t="shared" si="43"/>
        <v>0</v>
      </c>
      <c r="GK23" s="45"/>
      <c r="GL23" s="48"/>
      <c r="GM23" s="49"/>
      <c r="GN23" s="55">
        <f t="shared" si="44"/>
        <v>0</v>
      </c>
      <c r="GO23" s="45"/>
      <c r="GP23" s="48"/>
      <c r="GQ23" s="49"/>
      <c r="GR23" s="55">
        <f t="shared" si="45"/>
        <v>0</v>
      </c>
      <c r="GS23" s="45"/>
      <c r="GT23" s="48"/>
      <c r="GU23" s="49"/>
      <c r="GV23" s="55">
        <f t="shared" si="46"/>
        <v>0</v>
      </c>
      <c r="GW23" s="45"/>
      <c r="GX23" s="48"/>
      <c r="GY23" s="49"/>
      <c r="GZ23" s="55">
        <f t="shared" si="47"/>
        <v>0</v>
      </c>
      <c r="HA23" s="45"/>
      <c r="HB23" s="48"/>
      <c r="HC23" s="49"/>
      <c r="HD23" s="55">
        <f t="shared" si="48"/>
        <v>0</v>
      </c>
      <c r="HE23" s="45"/>
      <c r="HF23" s="48"/>
      <c r="HG23" s="49"/>
      <c r="HH23" s="55">
        <f t="shared" si="49"/>
        <v>0</v>
      </c>
      <c r="HI23" s="45"/>
      <c r="HJ23" s="48"/>
      <c r="HK23" s="49"/>
      <c r="HL23" s="55">
        <f t="shared" si="50"/>
        <v>0</v>
      </c>
      <c r="HM23" s="45"/>
      <c r="HN23" s="48"/>
      <c r="HO23" s="49"/>
      <c r="HP23" s="55">
        <f t="shared" si="51"/>
        <v>0</v>
      </c>
      <c r="HQ23" s="45"/>
      <c r="HR23" s="48"/>
      <c r="HS23" s="49"/>
      <c r="HT23" s="55">
        <f t="shared" si="52"/>
        <v>0</v>
      </c>
      <c r="HU23" s="45"/>
      <c r="HV23" s="48"/>
      <c r="HW23" s="49"/>
      <c r="HX23" s="55">
        <f t="shared" si="53"/>
        <v>0</v>
      </c>
      <c r="HY23" s="45"/>
      <c r="HZ23" s="48"/>
      <c r="IA23" s="49"/>
      <c r="IB23" s="55">
        <f t="shared" si="54"/>
        <v>0</v>
      </c>
      <c r="IC23" s="45"/>
      <c r="ID23" s="48"/>
      <c r="IE23" s="49"/>
      <c r="IF23" s="55">
        <f t="shared" si="55"/>
        <v>0</v>
      </c>
      <c r="IG23" s="45"/>
      <c r="IH23" s="48"/>
      <c r="II23" s="49"/>
      <c r="IJ23" s="55">
        <f t="shared" si="56"/>
        <v>0</v>
      </c>
      <c r="IK23" s="45"/>
      <c r="IL23" s="48"/>
      <c r="IM23" s="49"/>
      <c r="IN23" s="55">
        <f t="shared" si="57"/>
        <v>0</v>
      </c>
      <c r="IO23" s="45"/>
      <c r="IP23" s="48"/>
      <c r="IQ23" s="49"/>
      <c r="IR23" s="55">
        <f t="shared" si="58"/>
        <v>0</v>
      </c>
      <c r="IS23" s="45"/>
      <c r="IT23" s="48"/>
      <c r="IU23" s="49"/>
      <c r="IV23" s="55">
        <f t="shared" si="59"/>
        <v>0</v>
      </c>
      <c r="IW23" s="45"/>
      <c r="IX23" s="48"/>
      <c r="IY23" s="49"/>
      <c r="IZ23" s="55">
        <f t="shared" si="60"/>
        <v>0</v>
      </c>
      <c r="JA23" s="45"/>
      <c r="JB23" s="35" t="e">
        <f t="shared" si="61"/>
        <v>#VALUE!</v>
      </c>
      <c r="JC23" s="35" t="e">
        <f t="shared" si="62"/>
        <v>#VALUE!</v>
      </c>
      <c r="JD23" s="35" t="e">
        <f t="shared" si="63"/>
        <v>#VALUE!</v>
      </c>
      <c r="JE23" s="35" t="e">
        <f t="shared" si="67"/>
        <v>#VALUE!</v>
      </c>
      <c r="JF23" s="35"/>
      <c r="JP23" s="35"/>
    </row>
    <row r="24" spans="2:276" ht="30" customHeight="1" x14ac:dyDescent="0.3">
      <c r="B24" s="22">
        <v>15</v>
      </c>
      <c r="C24" s="75" t="e">
        <f>VLOOKUP(#REF!,EMPLEADO!C:Q,15,FALSE)</f>
        <v>#REF!</v>
      </c>
      <c r="D24" s="15" t="s">
        <v>78</v>
      </c>
      <c r="E24" s="38" t="s">
        <v>57</v>
      </c>
      <c r="F24" s="48"/>
      <c r="G24" s="49"/>
      <c r="H24" s="55">
        <f t="shared" si="64"/>
        <v>0</v>
      </c>
      <c r="I24" s="45"/>
      <c r="J24" s="48"/>
      <c r="K24" s="49"/>
      <c r="L24" s="55">
        <f t="shared" si="0"/>
        <v>0</v>
      </c>
      <c r="M24" s="45"/>
      <c r="N24" s="50"/>
      <c r="O24" s="51"/>
      <c r="P24" s="55">
        <f t="shared" si="1"/>
        <v>0</v>
      </c>
      <c r="Q24" s="45"/>
      <c r="R24" s="51"/>
      <c r="S24" s="51"/>
      <c r="T24" s="55">
        <f t="shared" si="65"/>
        <v>0</v>
      </c>
      <c r="U24" s="45"/>
      <c r="V24" s="48"/>
      <c r="W24" s="49"/>
      <c r="X24" s="55">
        <f t="shared" si="2"/>
        <v>0</v>
      </c>
      <c r="Y24" s="45"/>
      <c r="Z24" s="48"/>
      <c r="AA24" s="49"/>
      <c r="AB24" s="55">
        <f t="shared" si="3"/>
        <v>0</v>
      </c>
      <c r="AC24" s="45"/>
      <c r="AD24" s="48"/>
      <c r="AE24" s="49"/>
      <c r="AF24" s="55">
        <f t="shared" si="4"/>
        <v>0</v>
      </c>
      <c r="AG24" s="45"/>
      <c r="AH24" s="51"/>
      <c r="AI24" s="51"/>
      <c r="AJ24" s="73">
        <f t="shared" si="66"/>
        <v>0</v>
      </c>
      <c r="AK24" s="45"/>
      <c r="AL24" s="48"/>
      <c r="AM24" s="49"/>
      <c r="AN24" s="55">
        <f t="shared" si="5"/>
        <v>0</v>
      </c>
      <c r="AO24" s="45"/>
      <c r="AP24" s="48"/>
      <c r="AQ24" s="49"/>
      <c r="AR24" s="55">
        <f t="shared" si="6"/>
        <v>0</v>
      </c>
      <c r="AS24" s="45"/>
      <c r="AT24" s="48"/>
      <c r="AU24" s="49"/>
      <c r="AV24" s="55">
        <f t="shared" si="7"/>
        <v>0</v>
      </c>
      <c r="AW24" s="45"/>
      <c r="AX24" s="48"/>
      <c r="AY24" s="49"/>
      <c r="AZ24" s="55">
        <f t="shared" si="8"/>
        <v>0</v>
      </c>
      <c r="BA24" s="45"/>
      <c r="BB24" s="48"/>
      <c r="BC24" s="49"/>
      <c r="BD24" s="55">
        <f t="shared" si="9"/>
        <v>0</v>
      </c>
      <c r="BE24" s="45"/>
      <c r="BF24" s="48"/>
      <c r="BG24" s="49"/>
      <c r="BH24" s="55">
        <f t="shared" si="10"/>
        <v>0</v>
      </c>
      <c r="BI24" s="45"/>
      <c r="BJ24" s="48"/>
      <c r="BK24" s="49"/>
      <c r="BL24" s="55">
        <f t="shared" si="11"/>
        <v>0</v>
      </c>
      <c r="BM24" s="45"/>
      <c r="BN24" s="48"/>
      <c r="BO24" s="49"/>
      <c r="BP24" s="55">
        <f t="shared" si="12"/>
        <v>0</v>
      </c>
      <c r="BQ24" s="45"/>
      <c r="BR24" s="48"/>
      <c r="BS24" s="49"/>
      <c r="BT24" s="55">
        <f t="shared" si="13"/>
        <v>0</v>
      </c>
      <c r="BU24" s="45"/>
      <c r="BV24" s="48"/>
      <c r="BW24" s="49"/>
      <c r="BX24" s="55">
        <f t="shared" si="14"/>
        <v>0</v>
      </c>
      <c r="BY24" s="45"/>
      <c r="BZ24" s="48"/>
      <c r="CA24" s="49"/>
      <c r="CB24" s="55">
        <f t="shared" si="15"/>
        <v>0</v>
      </c>
      <c r="CC24" s="45"/>
      <c r="CD24" s="48"/>
      <c r="CE24" s="49"/>
      <c r="CF24" s="55">
        <f t="shared" si="16"/>
        <v>0</v>
      </c>
      <c r="CG24" s="45"/>
      <c r="CH24" s="48"/>
      <c r="CI24" s="49"/>
      <c r="CJ24" s="55">
        <f t="shared" si="17"/>
        <v>0</v>
      </c>
      <c r="CK24" s="45"/>
      <c r="CL24" s="48"/>
      <c r="CM24" s="49"/>
      <c r="CN24" s="55">
        <f t="shared" si="18"/>
        <v>0</v>
      </c>
      <c r="CO24" s="45"/>
      <c r="CP24" s="48"/>
      <c r="CQ24" s="49"/>
      <c r="CR24" s="55">
        <f t="shared" si="19"/>
        <v>0</v>
      </c>
      <c r="CS24" s="45"/>
      <c r="CT24" s="48"/>
      <c r="CU24" s="49"/>
      <c r="CV24" s="55">
        <f t="shared" si="20"/>
        <v>0</v>
      </c>
      <c r="CW24" s="45"/>
      <c r="CX24" s="48"/>
      <c r="CY24" s="49"/>
      <c r="CZ24" s="55">
        <f t="shared" si="21"/>
        <v>0</v>
      </c>
      <c r="DA24" s="45"/>
      <c r="DB24" s="48"/>
      <c r="DC24" s="49"/>
      <c r="DD24" s="55">
        <f t="shared" si="22"/>
        <v>0</v>
      </c>
      <c r="DE24" s="45"/>
      <c r="DF24" s="48"/>
      <c r="DG24" s="49"/>
      <c r="DH24" s="55">
        <f t="shared" si="23"/>
        <v>0</v>
      </c>
      <c r="DI24" s="45"/>
      <c r="DJ24" s="48"/>
      <c r="DK24" s="49"/>
      <c r="DL24" s="55">
        <f t="shared" si="24"/>
        <v>0</v>
      </c>
      <c r="DM24" s="45"/>
      <c r="DN24" s="48"/>
      <c r="DO24" s="49"/>
      <c r="DP24" s="55">
        <f t="shared" si="25"/>
        <v>0</v>
      </c>
      <c r="DQ24" s="45"/>
      <c r="DR24" s="48"/>
      <c r="DS24" s="49"/>
      <c r="DT24" s="55">
        <f t="shared" si="26"/>
        <v>0</v>
      </c>
      <c r="DU24" s="45"/>
      <c r="DV24" s="48"/>
      <c r="DW24" s="49"/>
      <c r="DX24" s="55">
        <f t="shared" si="27"/>
        <v>0</v>
      </c>
      <c r="DY24" s="45"/>
      <c r="DZ24" s="48"/>
      <c r="EA24" s="49"/>
      <c r="EB24" s="55">
        <f t="shared" si="28"/>
        <v>0</v>
      </c>
      <c r="EC24" s="45"/>
      <c r="ED24" s="48"/>
      <c r="EE24" s="49"/>
      <c r="EF24" s="55">
        <f t="shared" si="29"/>
        <v>0</v>
      </c>
      <c r="EG24" s="45"/>
      <c r="EH24" s="48"/>
      <c r="EI24" s="49"/>
      <c r="EJ24" s="55">
        <f t="shared" si="30"/>
        <v>0</v>
      </c>
      <c r="EK24" s="45"/>
      <c r="EL24" s="48"/>
      <c r="EM24" s="49"/>
      <c r="EN24" s="55">
        <f t="shared" si="31"/>
        <v>0</v>
      </c>
      <c r="EO24" s="45"/>
      <c r="EP24" s="48"/>
      <c r="EQ24" s="49"/>
      <c r="ER24" s="55">
        <f t="shared" si="32"/>
        <v>0</v>
      </c>
      <c r="ES24" s="45"/>
      <c r="ET24" s="48"/>
      <c r="EU24" s="49"/>
      <c r="EV24" s="55">
        <f t="shared" si="33"/>
        <v>0</v>
      </c>
      <c r="EW24" s="45"/>
      <c r="EX24" s="48"/>
      <c r="EY24" s="49"/>
      <c r="EZ24" s="55">
        <f t="shared" si="34"/>
        <v>0</v>
      </c>
      <c r="FA24" s="45"/>
      <c r="FB24" s="48"/>
      <c r="FC24" s="49"/>
      <c r="FD24" s="55">
        <f t="shared" si="35"/>
        <v>0</v>
      </c>
      <c r="FE24" s="45"/>
      <c r="FF24" s="48"/>
      <c r="FG24" s="49"/>
      <c r="FH24" s="55">
        <f t="shared" si="36"/>
        <v>0</v>
      </c>
      <c r="FI24" s="45"/>
      <c r="FJ24" s="48"/>
      <c r="FK24" s="49"/>
      <c r="FL24" s="55">
        <f t="shared" si="37"/>
        <v>0</v>
      </c>
      <c r="FM24" s="45"/>
      <c r="FN24" s="48"/>
      <c r="FO24" s="49"/>
      <c r="FP24" s="55">
        <f t="shared" si="38"/>
        <v>0</v>
      </c>
      <c r="FQ24" s="45"/>
      <c r="FR24" s="48"/>
      <c r="FS24" s="49"/>
      <c r="FT24" s="55">
        <f t="shared" si="39"/>
        <v>0</v>
      </c>
      <c r="FU24" s="45"/>
      <c r="FV24" s="48"/>
      <c r="FW24" s="49"/>
      <c r="FX24" s="55">
        <f t="shared" si="40"/>
        <v>0</v>
      </c>
      <c r="FY24" s="45"/>
      <c r="FZ24" s="48"/>
      <c r="GA24" s="49"/>
      <c r="GB24" s="55">
        <f t="shared" si="41"/>
        <v>0</v>
      </c>
      <c r="GC24" s="45"/>
      <c r="GD24" s="48"/>
      <c r="GE24" s="49"/>
      <c r="GF24" s="55">
        <f t="shared" si="42"/>
        <v>0</v>
      </c>
      <c r="GG24" s="45"/>
      <c r="GH24" s="48"/>
      <c r="GI24" s="49"/>
      <c r="GJ24" s="55">
        <f t="shared" si="43"/>
        <v>0</v>
      </c>
      <c r="GK24" s="45"/>
      <c r="GL24" s="48"/>
      <c r="GM24" s="49"/>
      <c r="GN24" s="55">
        <f t="shared" si="44"/>
        <v>0</v>
      </c>
      <c r="GO24" s="45"/>
      <c r="GP24" s="48"/>
      <c r="GQ24" s="49"/>
      <c r="GR24" s="55">
        <f t="shared" si="45"/>
        <v>0</v>
      </c>
      <c r="GS24" s="45"/>
      <c r="GT24" s="48"/>
      <c r="GU24" s="49"/>
      <c r="GV24" s="55">
        <f t="shared" si="46"/>
        <v>0</v>
      </c>
      <c r="GW24" s="45"/>
      <c r="GX24" s="48"/>
      <c r="GY24" s="49"/>
      <c r="GZ24" s="55">
        <f t="shared" si="47"/>
        <v>0</v>
      </c>
      <c r="HA24" s="45"/>
      <c r="HB24" s="48"/>
      <c r="HC24" s="49"/>
      <c r="HD24" s="55">
        <f t="shared" si="48"/>
        <v>0</v>
      </c>
      <c r="HE24" s="45"/>
      <c r="HF24" s="48"/>
      <c r="HG24" s="49"/>
      <c r="HH24" s="55">
        <f t="shared" si="49"/>
        <v>0</v>
      </c>
      <c r="HI24" s="45"/>
      <c r="HJ24" s="48"/>
      <c r="HK24" s="49"/>
      <c r="HL24" s="55">
        <f t="shared" si="50"/>
        <v>0</v>
      </c>
      <c r="HM24" s="45"/>
      <c r="HN24" s="48"/>
      <c r="HO24" s="49"/>
      <c r="HP24" s="55">
        <f t="shared" si="51"/>
        <v>0</v>
      </c>
      <c r="HQ24" s="45"/>
      <c r="HR24" s="48"/>
      <c r="HS24" s="49"/>
      <c r="HT24" s="55">
        <f t="shared" si="52"/>
        <v>0</v>
      </c>
      <c r="HU24" s="45"/>
      <c r="HV24" s="48"/>
      <c r="HW24" s="49"/>
      <c r="HX24" s="55">
        <f t="shared" si="53"/>
        <v>0</v>
      </c>
      <c r="HY24" s="45"/>
      <c r="HZ24" s="48"/>
      <c r="IA24" s="49"/>
      <c r="IB24" s="55">
        <f t="shared" si="54"/>
        <v>0</v>
      </c>
      <c r="IC24" s="45"/>
      <c r="ID24" s="48"/>
      <c r="IE24" s="49"/>
      <c r="IF24" s="55">
        <f t="shared" si="55"/>
        <v>0</v>
      </c>
      <c r="IG24" s="45"/>
      <c r="IH24" s="48"/>
      <c r="II24" s="49"/>
      <c r="IJ24" s="55">
        <f t="shared" si="56"/>
        <v>0</v>
      </c>
      <c r="IK24" s="45"/>
      <c r="IL24" s="48"/>
      <c r="IM24" s="49"/>
      <c r="IN24" s="55">
        <f t="shared" si="57"/>
        <v>0</v>
      </c>
      <c r="IO24" s="45"/>
      <c r="IP24" s="48"/>
      <c r="IQ24" s="49"/>
      <c r="IR24" s="55">
        <f t="shared" si="58"/>
        <v>0</v>
      </c>
      <c r="IS24" s="45"/>
      <c r="IT24" s="48"/>
      <c r="IU24" s="49"/>
      <c r="IV24" s="55">
        <f t="shared" si="59"/>
        <v>0</v>
      </c>
      <c r="IW24" s="45"/>
      <c r="IX24" s="48"/>
      <c r="IY24" s="49"/>
      <c r="IZ24" s="55">
        <f t="shared" si="60"/>
        <v>0</v>
      </c>
      <c r="JA24" s="45"/>
      <c r="JB24" s="35" t="e">
        <f t="shared" si="61"/>
        <v>#VALUE!</v>
      </c>
      <c r="JC24" s="35" t="e">
        <f t="shared" si="62"/>
        <v>#VALUE!</v>
      </c>
      <c r="JD24" s="35" t="e">
        <f t="shared" si="63"/>
        <v>#VALUE!</v>
      </c>
      <c r="JE24" s="35" t="e">
        <f t="shared" si="67"/>
        <v>#VALUE!</v>
      </c>
      <c r="JF24" s="35"/>
      <c r="JP24" s="35"/>
    </row>
    <row r="25" spans="2:276" ht="30" customHeight="1" x14ac:dyDescent="0.3">
      <c r="B25" s="22">
        <v>16</v>
      </c>
      <c r="C25" s="75" t="e">
        <f>VLOOKUP(#REF!,EMPLEADO!C:Q,15,FALSE)</f>
        <v>#REF!</v>
      </c>
      <c r="D25" s="15" t="s">
        <v>80</v>
      </c>
      <c r="E25" s="38" t="s">
        <v>18</v>
      </c>
      <c r="F25" s="48"/>
      <c r="G25" s="49"/>
      <c r="H25" s="55">
        <f t="shared" si="64"/>
        <v>0</v>
      </c>
      <c r="I25" s="45"/>
      <c r="J25" s="48"/>
      <c r="K25" s="49"/>
      <c r="L25" s="55">
        <f t="shared" si="0"/>
        <v>0</v>
      </c>
      <c r="M25" s="45"/>
      <c r="N25" s="50"/>
      <c r="O25" s="51"/>
      <c r="P25" s="55">
        <f t="shared" si="1"/>
        <v>0</v>
      </c>
      <c r="Q25" s="45"/>
      <c r="R25" s="51"/>
      <c r="S25" s="51"/>
      <c r="T25" s="55">
        <f t="shared" si="65"/>
        <v>0</v>
      </c>
      <c r="U25" s="45"/>
      <c r="V25" s="48"/>
      <c r="W25" s="49"/>
      <c r="X25" s="55">
        <f t="shared" si="2"/>
        <v>0</v>
      </c>
      <c r="Y25" s="45"/>
      <c r="Z25" s="48"/>
      <c r="AA25" s="49"/>
      <c r="AB25" s="55">
        <f t="shared" si="3"/>
        <v>0</v>
      </c>
      <c r="AC25" s="45"/>
      <c r="AD25" s="48"/>
      <c r="AE25" s="49"/>
      <c r="AF25" s="55">
        <f t="shared" si="4"/>
        <v>0</v>
      </c>
      <c r="AG25" s="45"/>
      <c r="AH25" s="51"/>
      <c r="AI25" s="51"/>
      <c r="AJ25" s="73">
        <f t="shared" si="66"/>
        <v>0</v>
      </c>
      <c r="AK25" s="45"/>
      <c r="AL25" s="48"/>
      <c r="AM25" s="49"/>
      <c r="AN25" s="55">
        <f t="shared" si="5"/>
        <v>0</v>
      </c>
      <c r="AO25" s="45"/>
      <c r="AP25" s="48"/>
      <c r="AQ25" s="49"/>
      <c r="AR25" s="55">
        <f t="shared" si="6"/>
        <v>0</v>
      </c>
      <c r="AS25" s="45"/>
      <c r="AT25" s="48"/>
      <c r="AU25" s="49"/>
      <c r="AV25" s="55">
        <f t="shared" si="7"/>
        <v>0</v>
      </c>
      <c r="AW25" s="45"/>
      <c r="AX25" s="48"/>
      <c r="AY25" s="49"/>
      <c r="AZ25" s="55">
        <f t="shared" si="8"/>
        <v>0</v>
      </c>
      <c r="BA25" s="45"/>
      <c r="BB25" s="48"/>
      <c r="BC25" s="49"/>
      <c r="BD25" s="55">
        <f t="shared" si="9"/>
        <v>0</v>
      </c>
      <c r="BE25" s="45"/>
      <c r="BF25" s="48"/>
      <c r="BG25" s="49"/>
      <c r="BH25" s="55">
        <f t="shared" si="10"/>
        <v>0</v>
      </c>
      <c r="BI25" s="45"/>
      <c r="BJ25" s="48"/>
      <c r="BK25" s="49"/>
      <c r="BL25" s="55">
        <f t="shared" si="11"/>
        <v>0</v>
      </c>
      <c r="BM25" s="45"/>
      <c r="BN25" s="48"/>
      <c r="BO25" s="49"/>
      <c r="BP25" s="55">
        <f t="shared" si="12"/>
        <v>0</v>
      </c>
      <c r="BQ25" s="45"/>
      <c r="BR25" s="48"/>
      <c r="BS25" s="49"/>
      <c r="BT25" s="55">
        <f t="shared" si="13"/>
        <v>0</v>
      </c>
      <c r="BU25" s="45"/>
      <c r="BV25" s="48"/>
      <c r="BW25" s="49"/>
      <c r="BX25" s="55">
        <f t="shared" si="14"/>
        <v>0</v>
      </c>
      <c r="BY25" s="45"/>
      <c r="BZ25" s="48"/>
      <c r="CA25" s="49"/>
      <c r="CB25" s="55">
        <f t="shared" si="15"/>
        <v>0</v>
      </c>
      <c r="CC25" s="45"/>
      <c r="CD25" s="48"/>
      <c r="CE25" s="49"/>
      <c r="CF25" s="55">
        <f t="shared" si="16"/>
        <v>0</v>
      </c>
      <c r="CG25" s="45"/>
      <c r="CH25" s="48"/>
      <c r="CI25" s="49"/>
      <c r="CJ25" s="55">
        <f t="shared" si="17"/>
        <v>0</v>
      </c>
      <c r="CK25" s="45"/>
      <c r="CL25" s="48"/>
      <c r="CM25" s="49"/>
      <c r="CN25" s="55">
        <f t="shared" si="18"/>
        <v>0</v>
      </c>
      <c r="CO25" s="45"/>
      <c r="CP25" s="48"/>
      <c r="CQ25" s="49"/>
      <c r="CR25" s="55">
        <f t="shared" si="19"/>
        <v>0</v>
      </c>
      <c r="CS25" s="45"/>
      <c r="CT25" s="48"/>
      <c r="CU25" s="49"/>
      <c r="CV25" s="55">
        <f t="shared" si="20"/>
        <v>0</v>
      </c>
      <c r="CW25" s="45"/>
      <c r="CX25" s="48"/>
      <c r="CY25" s="49"/>
      <c r="CZ25" s="55">
        <f t="shared" si="21"/>
        <v>0</v>
      </c>
      <c r="DA25" s="45"/>
      <c r="DB25" s="48"/>
      <c r="DC25" s="49"/>
      <c r="DD25" s="55">
        <f t="shared" si="22"/>
        <v>0</v>
      </c>
      <c r="DE25" s="45"/>
      <c r="DF25" s="48"/>
      <c r="DG25" s="49"/>
      <c r="DH25" s="55">
        <f t="shared" si="23"/>
        <v>0</v>
      </c>
      <c r="DI25" s="45"/>
      <c r="DJ25" s="48"/>
      <c r="DK25" s="49"/>
      <c r="DL25" s="55">
        <f t="shared" si="24"/>
        <v>0</v>
      </c>
      <c r="DM25" s="45"/>
      <c r="DN25" s="48"/>
      <c r="DO25" s="49"/>
      <c r="DP25" s="55">
        <f t="shared" si="25"/>
        <v>0</v>
      </c>
      <c r="DQ25" s="45"/>
      <c r="DR25" s="48"/>
      <c r="DS25" s="49"/>
      <c r="DT25" s="55">
        <f t="shared" si="26"/>
        <v>0</v>
      </c>
      <c r="DU25" s="45"/>
      <c r="DV25" s="48"/>
      <c r="DW25" s="49"/>
      <c r="DX25" s="55">
        <f t="shared" si="27"/>
        <v>0</v>
      </c>
      <c r="DY25" s="45"/>
      <c r="DZ25" s="48"/>
      <c r="EA25" s="49"/>
      <c r="EB25" s="55">
        <f t="shared" si="28"/>
        <v>0</v>
      </c>
      <c r="EC25" s="45"/>
      <c r="ED25" s="48"/>
      <c r="EE25" s="49"/>
      <c r="EF25" s="55">
        <f t="shared" si="29"/>
        <v>0</v>
      </c>
      <c r="EG25" s="45"/>
      <c r="EH25" s="48"/>
      <c r="EI25" s="49"/>
      <c r="EJ25" s="55">
        <f t="shared" si="30"/>
        <v>0</v>
      </c>
      <c r="EK25" s="45"/>
      <c r="EL25" s="48"/>
      <c r="EM25" s="49"/>
      <c r="EN25" s="55">
        <f t="shared" si="31"/>
        <v>0</v>
      </c>
      <c r="EO25" s="45"/>
      <c r="EP25" s="48"/>
      <c r="EQ25" s="49"/>
      <c r="ER25" s="55">
        <f t="shared" si="32"/>
        <v>0</v>
      </c>
      <c r="ES25" s="45"/>
      <c r="ET25" s="48"/>
      <c r="EU25" s="49"/>
      <c r="EV25" s="55">
        <f t="shared" si="33"/>
        <v>0</v>
      </c>
      <c r="EW25" s="45"/>
      <c r="EX25" s="48"/>
      <c r="EY25" s="49"/>
      <c r="EZ25" s="55">
        <f t="shared" si="34"/>
        <v>0</v>
      </c>
      <c r="FA25" s="45"/>
      <c r="FB25" s="48"/>
      <c r="FC25" s="49"/>
      <c r="FD25" s="55">
        <f t="shared" si="35"/>
        <v>0</v>
      </c>
      <c r="FE25" s="45"/>
      <c r="FF25" s="48"/>
      <c r="FG25" s="49"/>
      <c r="FH25" s="55">
        <f t="shared" si="36"/>
        <v>0</v>
      </c>
      <c r="FI25" s="45"/>
      <c r="FJ25" s="48"/>
      <c r="FK25" s="49"/>
      <c r="FL25" s="55">
        <f t="shared" si="37"/>
        <v>0</v>
      </c>
      <c r="FM25" s="45"/>
      <c r="FN25" s="48"/>
      <c r="FO25" s="49"/>
      <c r="FP25" s="55">
        <f t="shared" si="38"/>
        <v>0</v>
      </c>
      <c r="FQ25" s="45"/>
      <c r="FR25" s="48"/>
      <c r="FS25" s="49"/>
      <c r="FT25" s="55">
        <f t="shared" si="39"/>
        <v>0</v>
      </c>
      <c r="FU25" s="45"/>
      <c r="FV25" s="48"/>
      <c r="FW25" s="49"/>
      <c r="FX25" s="55">
        <f t="shared" si="40"/>
        <v>0</v>
      </c>
      <c r="FY25" s="45"/>
      <c r="FZ25" s="48"/>
      <c r="GA25" s="49"/>
      <c r="GB25" s="55">
        <f t="shared" si="41"/>
        <v>0</v>
      </c>
      <c r="GC25" s="45"/>
      <c r="GD25" s="48"/>
      <c r="GE25" s="49"/>
      <c r="GF25" s="55">
        <f t="shared" si="42"/>
        <v>0</v>
      </c>
      <c r="GG25" s="45"/>
      <c r="GH25" s="48"/>
      <c r="GI25" s="49"/>
      <c r="GJ25" s="55">
        <f t="shared" si="43"/>
        <v>0</v>
      </c>
      <c r="GK25" s="45"/>
      <c r="GL25" s="48"/>
      <c r="GM25" s="49"/>
      <c r="GN25" s="55">
        <f t="shared" si="44"/>
        <v>0</v>
      </c>
      <c r="GO25" s="45"/>
      <c r="GP25" s="48"/>
      <c r="GQ25" s="49"/>
      <c r="GR25" s="55">
        <f t="shared" si="45"/>
        <v>0</v>
      </c>
      <c r="GS25" s="45"/>
      <c r="GT25" s="48"/>
      <c r="GU25" s="49"/>
      <c r="GV25" s="55">
        <f t="shared" si="46"/>
        <v>0</v>
      </c>
      <c r="GW25" s="45"/>
      <c r="GX25" s="48"/>
      <c r="GY25" s="49"/>
      <c r="GZ25" s="55">
        <f t="shared" si="47"/>
        <v>0</v>
      </c>
      <c r="HA25" s="45"/>
      <c r="HB25" s="48"/>
      <c r="HC25" s="49"/>
      <c r="HD25" s="55">
        <f t="shared" si="48"/>
        <v>0</v>
      </c>
      <c r="HE25" s="45"/>
      <c r="HF25" s="48"/>
      <c r="HG25" s="49"/>
      <c r="HH25" s="55">
        <f t="shared" si="49"/>
        <v>0</v>
      </c>
      <c r="HI25" s="45"/>
      <c r="HJ25" s="48"/>
      <c r="HK25" s="49"/>
      <c r="HL25" s="55">
        <f t="shared" si="50"/>
        <v>0</v>
      </c>
      <c r="HM25" s="45"/>
      <c r="HN25" s="48"/>
      <c r="HO25" s="49"/>
      <c r="HP25" s="55">
        <f t="shared" si="51"/>
        <v>0</v>
      </c>
      <c r="HQ25" s="45"/>
      <c r="HR25" s="48"/>
      <c r="HS25" s="49"/>
      <c r="HT25" s="55">
        <f t="shared" si="52"/>
        <v>0</v>
      </c>
      <c r="HU25" s="45"/>
      <c r="HV25" s="48"/>
      <c r="HW25" s="49"/>
      <c r="HX25" s="55">
        <f t="shared" si="53"/>
        <v>0</v>
      </c>
      <c r="HY25" s="45"/>
      <c r="HZ25" s="48"/>
      <c r="IA25" s="49"/>
      <c r="IB25" s="55">
        <f t="shared" si="54"/>
        <v>0</v>
      </c>
      <c r="IC25" s="45"/>
      <c r="ID25" s="48"/>
      <c r="IE25" s="49"/>
      <c r="IF25" s="55">
        <f t="shared" si="55"/>
        <v>0</v>
      </c>
      <c r="IG25" s="45"/>
      <c r="IH25" s="48"/>
      <c r="II25" s="49"/>
      <c r="IJ25" s="55">
        <f t="shared" si="56"/>
        <v>0</v>
      </c>
      <c r="IK25" s="45"/>
      <c r="IL25" s="48"/>
      <c r="IM25" s="49"/>
      <c r="IN25" s="55">
        <f t="shared" si="57"/>
        <v>0</v>
      </c>
      <c r="IO25" s="45"/>
      <c r="IP25" s="48"/>
      <c r="IQ25" s="49"/>
      <c r="IR25" s="55">
        <f t="shared" si="58"/>
        <v>0</v>
      </c>
      <c r="IS25" s="45"/>
      <c r="IT25" s="48"/>
      <c r="IU25" s="49"/>
      <c r="IV25" s="55">
        <f t="shared" si="59"/>
        <v>0</v>
      </c>
      <c r="IW25" s="45"/>
      <c r="IX25" s="48"/>
      <c r="IY25" s="49"/>
      <c r="IZ25" s="55">
        <f t="shared" si="60"/>
        <v>0</v>
      </c>
      <c r="JA25" s="45"/>
      <c r="JB25" s="35" t="e">
        <f t="shared" si="61"/>
        <v>#VALUE!</v>
      </c>
      <c r="JC25" s="35" t="e">
        <f t="shared" si="62"/>
        <v>#VALUE!</v>
      </c>
      <c r="JD25" s="35" t="e">
        <f t="shared" si="63"/>
        <v>#VALUE!</v>
      </c>
      <c r="JE25" s="35" t="e">
        <f t="shared" si="67"/>
        <v>#VALUE!</v>
      </c>
      <c r="JF25" s="35"/>
      <c r="JP25" s="35"/>
    </row>
    <row r="26" spans="2:276" ht="30" customHeight="1" x14ac:dyDescent="0.3">
      <c r="B26" s="22">
        <v>17</v>
      </c>
      <c r="C26" s="75" t="e">
        <f>VLOOKUP(#REF!,EMPLEADO!C:Q,15,FALSE)</f>
        <v>#REF!</v>
      </c>
      <c r="D26" s="15" t="s">
        <v>81</v>
      </c>
      <c r="E26" s="39" t="s">
        <v>18</v>
      </c>
      <c r="F26" s="50"/>
      <c r="G26" s="51"/>
      <c r="H26" s="55">
        <f t="shared" si="64"/>
        <v>0</v>
      </c>
      <c r="I26" s="45"/>
      <c r="J26" s="48"/>
      <c r="K26" s="49"/>
      <c r="L26" s="55">
        <f t="shared" si="0"/>
        <v>0</v>
      </c>
      <c r="M26" s="45"/>
      <c r="N26" s="50"/>
      <c r="O26" s="51"/>
      <c r="P26" s="55">
        <f t="shared" si="1"/>
        <v>0</v>
      </c>
      <c r="Q26" s="45"/>
      <c r="R26" s="51"/>
      <c r="S26" s="51"/>
      <c r="T26" s="55">
        <f t="shared" si="65"/>
        <v>0</v>
      </c>
      <c r="U26" s="45"/>
      <c r="V26" s="48"/>
      <c r="W26" s="49"/>
      <c r="X26" s="55">
        <f t="shared" si="2"/>
        <v>0</v>
      </c>
      <c r="Y26" s="45"/>
      <c r="Z26" s="48"/>
      <c r="AA26" s="49"/>
      <c r="AB26" s="55">
        <f t="shared" si="3"/>
        <v>0</v>
      </c>
      <c r="AC26" s="45"/>
      <c r="AD26" s="48"/>
      <c r="AE26" s="49"/>
      <c r="AF26" s="55">
        <f t="shared" si="4"/>
        <v>0</v>
      </c>
      <c r="AG26" s="45"/>
      <c r="AH26" s="51"/>
      <c r="AI26" s="51"/>
      <c r="AJ26" s="73">
        <f t="shared" si="66"/>
        <v>0</v>
      </c>
      <c r="AK26" s="45"/>
      <c r="AL26" s="48"/>
      <c r="AM26" s="49"/>
      <c r="AN26" s="55">
        <f t="shared" si="5"/>
        <v>0</v>
      </c>
      <c r="AO26" s="45"/>
      <c r="AP26" s="48"/>
      <c r="AQ26" s="49"/>
      <c r="AR26" s="55">
        <f t="shared" si="6"/>
        <v>0</v>
      </c>
      <c r="AS26" s="45"/>
      <c r="AT26" s="48"/>
      <c r="AU26" s="49"/>
      <c r="AV26" s="55">
        <f t="shared" si="7"/>
        <v>0</v>
      </c>
      <c r="AW26" s="45"/>
      <c r="AX26" s="48"/>
      <c r="AY26" s="49"/>
      <c r="AZ26" s="55">
        <f t="shared" si="8"/>
        <v>0</v>
      </c>
      <c r="BA26" s="45"/>
      <c r="BB26" s="48"/>
      <c r="BC26" s="49"/>
      <c r="BD26" s="55">
        <f t="shared" si="9"/>
        <v>0</v>
      </c>
      <c r="BE26" s="45"/>
      <c r="BF26" s="48"/>
      <c r="BG26" s="49"/>
      <c r="BH26" s="55">
        <f t="shared" si="10"/>
        <v>0</v>
      </c>
      <c r="BI26" s="45"/>
      <c r="BJ26" s="48"/>
      <c r="BK26" s="49"/>
      <c r="BL26" s="55">
        <f t="shared" si="11"/>
        <v>0</v>
      </c>
      <c r="BM26" s="45"/>
      <c r="BN26" s="48"/>
      <c r="BO26" s="49"/>
      <c r="BP26" s="55">
        <f t="shared" si="12"/>
        <v>0</v>
      </c>
      <c r="BQ26" s="45"/>
      <c r="BR26" s="48"/>
      <c r="BS26" s="49"/>
      <c r="BT26" s="55">
        <f t="shared" si="13"/>
        <v>0</v>
      </c>
      <c r="BU26" s="45"/>
      <c r="BV26" s="48"/>
      <c r="BW26" s="49"/>
      <c r="BX26" s="55">
        <f t="shared" si="14"/>
        <v>0</v>
      </c>
      <c r="BY26" s="45"/>
      <c r="BZ26" s="48"/>
      <c r="CA26" s="49"/>
      <c r="CB26" s="55">
        <f t="shared" si="15"/>
        <v>0</v>
      </c>
      <c r="CC26" s="45"/>
      <c r="CD26" s="48"/>
      <c r="CE26" s="49"/>
      <c r="CF26" s="55">
        <f t="shared" si="16"/>
        <v>0</v>
      </c>
      <c r="CG26" s="45"/>
      <c r="CH26" s="48"/>
      <c r="CI26" s="49"/>
      <c r="CJ26" s="55">
        <f t="shared" si="17"/>
        <v>0</v>
      </c>
      <c r="CK26" s="45"/>
      <c r="CL26" s="48"/>
      <c r="CM26" s="49"/>
      <c r="CN26" s="55">
        <f t="shared" si="18"/>
        <v>0</v>
      </c>
      <c r="CO26" s="45"/>
      <c r="CP26" s="48"/>
      <c r="CQ26" s="49"/>
      <c r="CR26" s="55">
        <f t="shared" si="19"/>
        <v>0</v>
      </c>
      <c r="CS26" s="45"/>
      <c r="CT26" s="48"/>
      <c r="CU26" s="49"/>
      <c r="CV26" s="55">
        <f t="shared" si="20"/>
        <v>0</v>
      </c>
      <c r="CW26" s="45"/>
      <c r="CX26" s="48"/>
      <c r="CY26" s="49"/>
      <c r="CZ26" s="55">
        <f t="shared" si="21"/>
        <v>0</v>
      </c>
      <c r="DA26" s="45"/>
      <c r="DB26" s="48"/>
      <c r="DC26" s="49"/>
      <c r="DD26" s="55">
        <f t="shared" si="22"/>
        <v>0</v>
      </c>
      <c r="DE26" s="45"/>
      <c r="DF26" s="48"/>
      <c r="DG26" s="49"/>
      <c r="DH26" s="55">
        <f t="shared" si="23"/>
        <v>0</v>
      </c>
      <c r="DI26" s="45"/>
      <c r="DJ26" s="48"/>
      <c r="DK26" s="49"/>
      <c r="DL26" s="55">
        <f t="shared" si="24"/>
        <v>0</v>
      </c>
      <c r="DM26" s="45"/>
      <c r="DN26" s="48"/>
      <c r="DO26" s="49"/>
      <c r="DP26" s="55">
        <f t="shared" si="25"/>
        <v>0</v>
      </c>
      <c r="DQ26" s="45"/>
      <c r="DR26" s="48"/>
      <c r="DS26" s="49"/>
      <c r="DT26" s="55">
        <f t="shared" si="26"/>
        <v>0</v>
      </c>
      <c r="DU26" s="45"/>
      <c r="DV26" s="48"/>
      <c r="DW26" s="49"/>
      <c r="DX26" s="55">
        <f t="shared" si="27"/>
        <v>0</v>
      </c>
      <c r="DY26" s="45"/>
      <c r="DZ26" s="48"/>
      <c r="EA26" s="49"/>
      <c r="EB26" s="55">
        <f t="shared" si="28"/>
        <v>0</v>
      </c>
      <c r="EC26" s="45"/>
      <c r="ED26" s="48"/>
      <c r="EE26" s="49"/>
      <c r="EF26" s="55">
        <f t="shared" si="29"/>
        <v>0</v>
      </c>
      <c r="EG26" s="45"/>
      <c r="EH26" s="48"/>
      <c r="EI26" s="49"/>
      <c r="EJ26" s="55">
        <f t="shared" si="30"/>
        <v>0</v>
      </c>
      <c r="EK26" s="45"/>
      <c r="EL26" s="48"/>
      <c r="EM26" s="49"/>
      <c r="EN26" s="55">
        <f t="shared" si="31"/>
        <v>0</v>
      </c>
      <c r="EO26" s="45"/>
      <c r="EP26" s="48"/>
      <c r="EQ26" s="49"/>
      <c r="ER26" s="55">
        <f t="shared" si="32"/>
        <v>0</v>
      </c>
      <c r="ES26" s="45"/>
      <c r="ET26" s="48"/>
      <c r="EU26" s="49"/>
      <c r="EV26" s="55">
        <f t="shared" si="33"/>
        <v>0</v>
      </c>
      <c r="EW26" s="45"/>
      <c r="EX26" s="48"/>
      <c r="EY26" s="49"/>
      <c r="EZ26" s="55">
        <f t="shared" si="34"/>
        <v>0</v>
      </c>
      <c r="FA26" s="45"/>
      <c r="FB26" s="48"/>
      <c r="FC26" s="49"/>
      <c r="FD26" s="55">
        <f t="shared" si="35"/>
        <v>0</v>
      </c>
      <c r="FE26" s="45"/>
      <c r="FF26" s="48"/>
      <c r="FG26" s="49"/>
      <c r="FH26" s="55">
        <f t="shared" si="36"/>
        <v>0</v>
      </c>
      <c r="FI26" s="45"/>
      <c r="FJ26" s="48"/>
      <c r="FK26" s="49"/>
      <c r="FL26" s="55">
        <f t="shared" si="37"/>
        <v>0</v>
      </c>
      <c r="FM26" s="45"/>
      <c r="FN26" s="48"/>
      <c r="FO26" s="49"/>
      <c r="FP26" s="55">
        <f t="shared" si="38"/>
        <v>0</v>
      </c>
      <c r="FQ26" s="45"/>
      <c r="FR26" s="48"/>
      <c r="FS26" s="49"/>
      <c r="FT26" s="55">
        <f t="shared" si="39"/>
        <v>0</v>
      </c>
      <c r="FU26" s="45"/>
      <c r="FV26" s="48"/>
      <c r="FW26" s="49"/>
      <c r="FX26" s="55">
        <f t="shared" si="40"/>
        <v>0</v>
      </c>
      <c r="FY26" s="45"/>
      <c r="FZ26" s="48"/>
      <c r="GA26" s="49"/>
      <c r="GB26" s="55">
        <f t="shared" si="41"/>
        <v>0</v>
      </c>
      <c r="GC26" s="45"/>
      <c r="GD26" s="48"/>
      <c r="GE26" s="49"/>
      <c r="GF26" s="55">
        <f t="shared" si="42"/>
        <v>0</v>
      </c>
      <c r="GG26" s="45"/>
      <c r="GH26" s="48"/>
      <c r="GI26" s="49"/>
      <c r="GJ26" s="55">
        <f t="shared" si="43"/>
        <v>0</v>
      </c>
      <c r="GK26" s="45"/>
      <c r="GL26" s="48"/>
      <c r="GM26" s="49"/>
      <c r="GN26" s="55">
        <f t="shared" si="44"/>
        <v>0</v>
      </c>
      <c r="GO26" s="45"/>
      <c r="GP26" s="48"/>
      <c r="GQ26" s="49"/>
      <c r="GR26" s="55">
        <f t="shared" si="45"/>
        <v>0</v>
      </c>
      <c r="GS26" s="45"/>
      <c r="GT26" s="48"/>
      <c r="GU26" s="49"/>
      <c r="GV26" s="55">
        <f t="shared" si="46"/>
        <v>0</v>
      </c>
      <c r="GW26" s="45"/>
      <c r="GX26" s="48"/>
      <c r="GY26" s="49"/>
      <c r="GZ26" s="55">
        <f t="shared" si="47"/>
        <v>0</v>
      </c>
      <c r="HA26" s="45"/>
      <c r="HB26" s="48"/>
      <c r="HC26" s="49"/>
      <c r="HD26" s="55">
        <f t="shared" si="48"/>
        <v>0</v>
      </c>
      <c r="HE26" s="45"/>
      <c r="HF26" s="48"/>
      <c r="HG26" s="49"/>
      <c r="HH26" s="55">
        <f t="shared" si="49"/>
        <v>0</v>
      </c>
      <c r="HI26" s="45"/>
      <c r="HJ26" s="48"/>
      <c r="HK26" s="49"/>
      <c r="HL26" s="55">
        <f t="shared" si="50"/>
        <v>0</v>
      </c>
      <c r="HM26" s="45"/>
      <c r="HN26" s="48"/>
      <c r="HO26" s="49"/>
      <c r="HP26" s="55">
        <f t="shared" si="51"/>
        <v>0</v>
      </c>
      <c r="HQ26" s="45"/>
      <c r="HR26" s="48"/>
      <c r="HS26" s="49"/>
      <c r="HT26" s="55">
        <f t="shared" si="52"/>
        <v>0</v>
      </c>
      <c r="HU26" s="45"/>
      <c r="HV26" s="48"/>
      <c r="HW26" s="49"/>
      <c r="HX26" s="55">
        <f t="shared" si="53"/>
        <v>0</v>
      </c>
      <c r="HY26" s="45"/>
      <c r="HZ26" s="48"/>
      <c r="IA26" s="49"/>
      <c r="IB26" s="55">
        <f t="shared" si="54"/>
        <v>0</v>
      </c>
      <c r="IC26" s="45"/>
      <c r="ID26" s="48"/>
      <c r="IE26" s="49"/>
      <c r="IF26" s="55">
        <f t="shared" si="55"/>
        <v>0</v>
      </c>
      <c r="IG26" s="45"/>
      <c r="IH26" s="48"/>
      <c r="II26" s="49"/>
      <c r="IJ26" s="55">
        <f t="shared" si="56"/>
        <v>0</v>
      </c>
      <c r="IK26" s="45"/>
      <c r="IL26" s="48"/>
      <c r="IM26" s="49"/>
      <c r="IN26" s="55">
        <f t="shared" si="57"/>
        <v>0</v>
      </c>
      <c r="IO26" s="45"/>
      <c r="IP26" s="48"/>
      <c r="IQ26" s="49"/>
      <c r="IR26" s="55">
        <f t="shared" si="58"/>
        <v>0</v>
      </c>
      <c r="IS26" s="45"/>
      <c r="IT26" s="48"/>
      <c r="IU26" s="49"/>
      <c r="IV26" s="55">
        <f t="shared" si="59"/>
        <v>0</v>
      </c>
      <c r="IW26" s="45"/>
      <c r="IX26" s="48"/>
      <c r="IY26" s="49"/>
      <c r="IZ26" s="55">
        <f t="shared" si="60"/>
        <v>0</v>
      </c>
      <c r="JA26" s="45"/>
      <c r="JB26" s="35" t="e">
        <f t="shared" si="61"/>
        <v>#VALUE!</v>
      </c>
      <c r="JC26" s="35" t="e">
        <f t="shared" si="62"/>
        <v>#VALUE!</v>
      </c>
      <c r="JD26" s="35" t="e">
        <f t="shared" si="63"/>
        <v>#VALUE!</v>
      </c>
      <c r="JE26" s="35" t="e">
        <f t="shared" si="67"/>
        <v>#VALUE!</v>
      </c>
      <c r="JF26" s="35"/>
      <c r="JP26" s="35"/>
    </row>
    <row r="27" spans="2:276" ht="30" customHeight="1" x14ac:dyDescent="0.3">
      <c r="B27" s="22">
        <v>18</v>
      </c>
      <c r="C27" s="75" t="e">
        <f>VLOOKUP(#REF!,EMPLEADO!C:Q,15,FALSE)</f>
        <v>#REF!</v>
      </c>
      <c r="D27" s="15" t="s">
        <v>82</v>
      </c>
      <c r="E27" s="39" t="s">
        <v>18</v>
      </c>
      <c r="F27" s="50"/>
      <c r="G27" s="51"/>
      <c r="H27" s="55">
        <f t="shared" si="64"/>
        <v>0</v>
      </c>
      <c r="I27" s="45"/>
      <c r="J27" s="48"/>
      <c r="K27" s="49"/>
      <c r="L27" s="55">
        <f t="shared" si="0"/>
        <v>0</v>
      </c>
      <c r="M27" s="45"/>
      <c r="N27" s="50"/>
      <c r="O27" s="51"/>
      <c r="P27" s="55">
        <f t="shared" si="1"/>
        <v>0</v>
      </c>
      <c r="Q27" s="45"/>
      <c r="R27" s="51"/>
      <c r="S27" s="51"/>
      <c r="T27" s="55">
        <f t="shared" si="65"/>
        <v>0</v>
      </c>
      <c r="U27" s="45"/>
      <c r="V27" s="48"/>
      <c r="W27" s="49"/>
      <c r="X27" s="55">
        <f t="shared" si="2"/>
        <v>0</v>
      </c>
      <c r="Y27" s="45"/>
      <c r="Z27" s="48"/>
      <c r="AA27" s="49"/>
      <c r="AB27" s="55">
        <f t="shared" si="3"/>
        <v>0</v>
      </c>
      <c r="AC27" s="45"/>
      <c r="AD27" s="48"/>
      <c r="AE27" s="49"/>
      <c r="AF27" s="55">
        <f t="shared" si="4"/>
        <v>0</v>
      </c>
      <c r="AG27" s="45"/>
      <c r="AH27" s="51"/>
      <c r="AI27" s="51"/>
      <c r="AJ27" s="73">
        <f t="shared" si="66"/>
        <v>0</v>
      </c>
      <c r="AK27" s="45"/>
      <c r="AL27" s="48"/>
      <c r="AM27" s="49"/>
      <c r="AN27" s="55">
        <f t="shared" si="5"/>
        <v>0</v>
      </c>
      <c r="AO27" s="45"/>
      <c r="AP27" s="48"/>
      <c r="AQ27" s="49"/>
      <c r="AR27" s="55">
        <f t="shared" si="6"/>
        <v>0</v>
      </c>
      <c r="AS27" s="45"/>
      <c r="AT27" s="48"/>
      <c r="AU27" s="49"/>
      <c r="AV27" s="55">
        <f t="shared" si="7"/>
        <v>0</v>
      </c>
      <c r="AW27" s="45"/>
      <c r="AX27" s="48"/>
      <c r="AY27" s="49"/>
      <c r="AZ27" s="55">
        <f t="shared" si="8"/>
        <v>0</v>
      </c>
      <c r="BA27" s="45"/>
      <c r="BB27" s="48"/>
      <c r="BC27" s="49"/>
      <c r="BD27" s="55">
        <f t="shared" si="9"/>
        <v>0</v>
      </c>
      <c r="BE27" s="45"/>
      <c r="BF27" s="48"/>
      <c r="BG27" s="49"/>
      <c r="BH27" s="55">
        <f t="shared" si="10"/>
        <v>0</v>
      </c>
      <c r="BI27" s="45"/>
      <c r="BJ27" s="48"/>
      <c r="BK27" s="49"/>
      <c r="BL27" s="55">
        <f t="shared" si="11"/>
        <v>0</v>
      </c>
      <c r="BM27" s="45"/>
      <c r="BN27" s="48"/>
      <c r="BO27" s="49"/>
      <c r="BP27" s="55">
        <f t="shared" si="12"/>
        <v>0</v>
      </c>
      <c r="BQ27" s="45"/>
      <c r="BR27" s="48"/>
      <c r="BS27" s="49"/>
      <c r="BT27" s="55">
        <f t="shared" si="13"/>
        <v>0</v>
      </c>
      <c r="BU27" s="45"/>
      <c r="BV27" s="48"/>
      <c r="BW27" s="49"/>
      <c r="BX27" s="55">
        <f t="shared" si="14"/>
        <v>0</v>
      </c>
      <c r="BY27" s="45"/>
      <c r="BZ27" s="48"/>
      <c r="CA27" s="49"/>
      <c r="CB27" s="55">
        <f t="shared" si="15"/>
        <v>0</v>
      </c>
      <c r="CC27" s="45"/>
      <c r="CD27" s="48"/>
      <c r="CE27" s="49"/>
      <c r="CF27" s="55">
        <f t="shared" si="16"/>
        <v>0</v>
      </c>
      <c r="CG27" s="45"/>
      <c r="CH27" s="48"/>
      <c r="CI27" s="49"/>
      <c r="CJ27" s="55">
        <f t="shared" si="17"/>
        <v>0</v>
      </c>
      <c r="CK27" s="45"/>
      <c r="CL27" s="48"/>
      <c r="CM27" s="49"/>
      <c r="CN27" s="55">
        <f t="shared" si="18"/>
        <v>0</v>
      </c>
      <c r="CO27" s="45"/>
      <c r="CP27" s="48"/>
      <c r="CQ27" s="49"/>
      <c r="CR27" s="55">
        <f t="shared" si="19"/>
        <v>0</v>
      </c>
      <c r="CS27" s="45"/>
      <c r="CT27" s="48"/>
      <c r="CU27" s="49"/>
      <c r="CV27" s="55">
        <f t="shared" si="20"/>
        <v>0</v>
      </c>
      <c r="CW27" s="45"/>
      <c r="CX27" s="48"/>
      <c r="CY27" s="49"/>
      <c r="CZ27" s="55">
        <f t="shared" si="21"/>
        <v>0</v>
      </c>
      <c r="DA27" s="45"/>
      <c r="DB27" s="48"/>
      <c r="DC27" s="49"/>
      <c r="DD27" s="55">
        <f t="shared" si="22"/>
        <v>0</v>
      </c>
      <c r="DE27" s="45"/>
      <c r="DF27" s="48"/>
      <c r="DG27" s="49"/>
      <c r="DH27" s="55">
        <f t="shared" si="23"/>
        <v>0</v>
      </c>
      <c r="DI27" s="45"/>
      <c r="DJ27" s="48"/>
      <c r="DK27" s="49"/>
      <c r="DL27" s="55">
        <f t="shared" si="24"/>
        <v>0</v>
      </c>
      <c r="DM27" s="45"/>
      <c r="DN27" s="48"/>
      <c r="DO27" s="49"/>
      <c r="DP27" s="55">
        <f t="shared" si="25"/>
        <v>0</v>
      </c>
      <c r="DQ27" s="45"/>
      <c r="DR27" s="48"/>
      <c r="DS27" s="49"/>
      <c r="DT27" s="55">
        <f t="shared" si="26"/>
        <v>0</v>
      </c>
      <c r="DU27" s="45"/>
      <c r="DV27" s="48"/>
      <c r="DW27" s="49"/>
      <c r="DX27" s="55">
        <f t="shared" si="27"/>
        <v>0</v>
      </c>
      <c r="DY27" s="45"/>
      <c r="DZ27" s="48"/>
      <c r="EA27" s="49"/>
      <c r="EB27" s="55">
        <f t="shared" si="28"/>
        <v>0</v>
      </c>
      <c r="EC27" s="45"/>
      <c r="ED27" s="48"/>
      <c r="EE27" s="49"/>
      <c r="EF27" s="55">
        <f t="shared" si="29"/>
        <v>0</v>
      </c>
      <c r="EG27" s="45"/>
      <c r="EH27" s="48"/>
      <c r="EI27" s="49"/>
      <c r="EJ27" s="55">
        <f t="shared" si="30"/>
        <v>0</v>
      </c>
      <c r="EK27" s="45"/>
      <c r="EL27" s="48"/>
      <c r="EM27" s="49"/>
      <c r="EN27" s="55">
        <f t="shared" si="31"/>
        <v>0</v>
      </c>
      <c r="EO27" s="45"/>
      <c r="EP27" s="48"/>
      <c r="EQ27" s="49"/>
      <c r="ER27" s="55">
        <f t="shared" si="32"/>
        <v>0</v>
      </c>
      <c r="ES27" s="45"/>
      <c r="ET27" s="48"/>
      <c r="EU27" s="49"/>
      <c r="EV27" s="55">
        <f t="shared" si="33"/>
        <v>0</v>
      </c>
      <c r="EW27" s="45"/>
      <c r="EX27" s="48"/>
      <c r="EY27" s="49"/>
      <c r="EZ27" s="55">
        <f t="shared" si="34"/>
        <v>0</v>
      </c>
      <c r="FA27" s="45"/>
      <c r="FB27" s="48"/>
      <c r="FC27" s="49"/>
      <c r="FD27" s="55">
        <f t="shared" si="35"/>
        <v>0</v>
      </c>
      <c r="FE27" s="45"/>
      <c r="FF27" s="48"/>
      <c r="FG27" s="49"/>
      <c r="FH27" s="55">
        <f t="shared" si="36"/>
        <v>0</v>
      </c>
      <c r="FI27" s="45"/>
      <c r="FJ27" s="48"/>
      <c r="FK27" s="49"/>
      <c r="FL27" s="55">
        <f t="shared" si="37"/>
        <v>0</v>
      </c>
      <c r="FM27" s="45"/>
      <c r="FN27" s="48"/>
      <c r="FO27" s="49"/>
      <c r="FP27" s="55">
        <f t="shared" si="38"/>
        <v>0</v>
      </c>
      <c r="FQ27" s="45"/>
      <c r="FR27" s="48"/>
      <c r="FS27" s="49"/>
      <c r="FT27" s="55">
        <f t="shared" si="39"/>
        <v>0</v>
      </c>
      <c r="FU27" s="45"/>
      <c r="FV27" s="48"/>
      <c r="FW27" s="49"/>
      <c r="FX27" s="55">
        <f t="shared" si="40"/>
        <v>0</v>
      </c>
      <c r="FY27" s="45"/>
      <c r="FZ27" s="48"/>
      <c r="GA27" s="49"/>
      <c r="GB27" s="55">
        <f t="shared" si="41"/>
        <v>0</v>
      </c>
      <c r="GC27" s="45"/>
      <c r="GD27" s="48"/>
      <c r="GE27" s="49"/>
      <c r="GF27" s="55">
        <f t="shared" si="42"/>
        <v>0</v>
      </c>
      <c r="GG27" s="45"/>
      <c r="GH27" s="48"/>
      <c r="GI27" s="49"/>
      <c r="GJ27" s="55">
        <f t="shared" si="43"/>
        <v>0</v>
      </c>
      <c r="GK27" s="45"/>
      <c r="GL27" s="48"/>
      <c r="GM27" s="49"/>
      <c r="GN27" s="55">
        <f t="shared" si="44"/>
        <v>0</v>
      </c>
      <c r="GO27" s="45"/>
      <c r="GP27" s="48"/>
      <c r="GQ27" s="49"/>
      <c r="GR27" s="55">
        <f t="shared" si="45"/>
        <v>0</v>
      </c>
      <c r="GS27" s="45"/>
      <c r="GT27" s="48"/>
      <c r="GU27" s="49"/>
      <c r="GV27" s="55">
        <f t="shared" si="46"/>
        <v>0</v>
      </c>
      <c r="GW27" s="45"/>
      <c r="GX27" s="48"/>
      <c r="GY27" s="49"/>
      <c r="GZ27" s="55">
        <f t="shared" si="47"/>
        <v>0</v>
      </c>
      <c r="HA27" s="45"/>
      <c r="HB27" s="48"/>
      <c r="HC27" s="49"/>
      <c r="HD27" s="55">
        <f t="shared" si="48"/>
        <v>0</v>
      </c>
      <c r="HE27" s="45"/>
      <c r="HF27" s="48"/>
      <c r="HG27" s="49"/>
      <c r="HH27" s="55">
        <f t="shared" si="49"/>
        <v>0</v>
      </c>
      <c r="HI27" s="45"/>
      <c r="HJ27" s="48"/>
      <c r="HK27" s="49"/>
      <c r="HL27" s="55">
        <f t="shared" si="50"/>
        <v>0</v>
      </c>
      <c r="HM27" s="45"/>
      <c r="HN27" s="48"/>
      <c r="HO27" s="49"/>
      <c r="HP27" s="55">
        <f t="shared" si="51"/>
        <v>0</v>
      </c>
      <c r="HQ27" s="45"/>
      <c r="HR27" s="48"/>
      <c r="HS27" s="49"/>
      <c r="HT27" s="55">
        <f t="shared" si="52"/>
        <v>0</v>
      </c>
      <c r="HU27" s="45"/>
      <c r="HV27" s="48"/>
      <c r="HW27" s="49"/>
      <c r="HX27" s="55">
        <f t="shared" si="53"/>
        <v>0</v>
      </c>
      <c r="HY27" s="45"/>
      <c r="HZ27" s="48"/>
      <c r="IA27" s="49"/>
      <c r="IB27" s="55">
        <f t="shared" si="54"/>
        <v>0</v>
      </c>
      <c r="IC27" s="45"/>
      <c r="ID27" s="48"/>
      <c r="IE27" s="49"/>
      <c r="IF27" s="55">
        <f t="shared" si="55"/>
        <v>0</v>
      </c>
      <c r="IG27" s="45"/>
      <c r="IH27" s="48"/>
      <c r="II27" s="49"/>
      <c r="IJ27" s="55">
        <f t="shared" si="56"/>
        <v>0</v>
      </c>
      <c r="IK27" s="45"/>
      <c r="IL27" s="48"/>
      <c r="IM27" s="49"/>
      <c r="IN27" s="55">
        <f t="shared" si="57"/>
        <v>0</v>
      </c>
      <c r="IO27" s="45"/>
      <c r="IP27" s="48"/>
      <c r="IQ27" s="49"/>
      <c r="IR27" s="55">
        <f t="shared" si="58"/>
        <v>0</v>
      </c>
      <c r="IS27" s="45"/>
      <c r="IT27" s="48"/>
      <c r="IU27" s="49"/>
      <c r="IV27" s="55">
        <f t="shared" si="59"/>
        <v>0</v>
      </c>
      <c r="IW27" s="45"/>
      <c r="IX27" s="48"/>
      <c r="IY27" s="49"/>
      <c r="IZ27" s="55">
        <f t="shared" si="60"/>
        <v>0</v>
      </c>
      <c r="JA27" s="45"/>
      <c r="JB27" s="35" t="e">
        <f t="shared" si="61"/>
        <v>#VALUE!</v>
      </c>
      <c r="JC27" s="35" t="e">
        <f t="shared" si="62"/>
        <v>#VALUE!</v>
      </c>
      <c r="JD27" s="35" t="e">
        <f t="shared" si="63"/>
        <v>#VALUE!</v>
      </c>
      <c r="JE27" s="35" t="e">
        <f t="shared" si="67"/>
        <v>#VALUE!</v>
      </c>
      <c r="JF27" s="35"/>
      <c r="JP27" s="35"/>
    </row>
    <row r="28" spans="2:276" ht="30" customHeight="1" x14ac:dyDescent="0.3">
      <c r="B28" s="22">
        <v>19</v>
      </c>
      <c r="C28" s="75" t="e">
        <f>VLOOKUP(#REF!,EMPLEADO!C:Q,15,FALSE)</f>
        <v>#REF!</v>
      </c>
      <c r="D28" s="15" t="s">
        <v>83</v>
      </c>
      <c r="E28" s="39" t="s">
        <v>18</v>
      </c>
      <c r="F28" s="50"/>
      <c r="G28" s="51"/>
      <c r="H28" s="55">
        <f t="shared" si="64"/>
        <v>0</v>
      </c>
      <c r="I28" s="45"/>
      <c r="J28" s="48"/>
      <c r="K28" s="49"/>
      <c r="L28" s="55">
        <f t="shared" si="0"/>
        <v>0</v>
      </c>
      <c r="M28" s="45"/>
      <c r="N28" s="50"/>
      <c r="O28" s="51"/>
      <c r="P28" s="55">
        <f t="shared" si="1"/>
        <v>0</v>
      </c>
      <c r="Q28" s="45"/>
      <c r="R28" s="51"/>
      <c r="S28" s="51"/>
      <c r="T28" s="55">
        <f t="shared" si="65"/>
        <v>0</v>
      </c>
      <c r="U28" s="45"/>
      <c r="V28" s="48"/>
      <c r="W28" s="49"/>
      <c r="X28" s="55">
        <f t="shared" si="2"/>
        <v>0</v>
      </c>
      <c r="Y28" s="45"/>
      <c r="Z28" s="48"/>
      <c r="AA28" s="49"/>
      <c r="AB28" s="55">
        <f t="shared" si="3"/>
        <v>0</v>
      </c>
      <c r="AC28" s="45"/>
      <c r="AD28" s="48"/>
      <c r="AE28" s="49"/>
      <c r="AF28" s="55">
        <f t="shared" si="4"/>
        <v>0</v>
      </c>
      <c r="AG28" s="45"/>
      <c r="AH28" s="51"/>
      <c r="AI28" s="51"/>
      <c r="AJ28" s="73">
        <f t="shared" si="66"/>
        <v>0</v>
      </c>
      <c r="AK28" s="45"/>
      <c r="AL28" s="48"/>
      <c r="AM28" s="49"/>
      <c r="AN28" s="55">
        <f t="shared" si="5"/>
        <v>0</v>
      </c>
      <c r="AO28" s="45"/>
      <c r="AP28" s="48"/>
      <c r="AQ28" s="49"/>
      <c r="AR28" s="55">
        <f t="shared" si="6"/>
        <v>0</v>
      </c>
      <c r="AS28" s="45"/>
      <c r="AT28" s="48"/>
      <c r="AU28" s="49"/>
      <c r="AV28" s="55">
        <f t="shared" si="7"/>
        <v>0</v>
      </c>
      <c r="AW28" s="45"/>
      <c r="AX28" s="48"/>
      <c r="AY28" s="49"/>
      <c r="AZ28" s="55">
        <f t="shared" si="8"/>
        <v>0</v>
      </c>
      <c r="BA28" s="45"/>
      <c r="BB28" s="48"/>
      <c r="BC28" s="49"/>
      <c r="BD28" s="55">
        <f t="shared" si="9"/>
        <v>0</v>
      </c>
      <c r="BE28" s="45"/>
      <c r="BF28" s="48"/>
      <c r="BG28" s="49"/>
      <c r="BH28" s="55">
        <f t="shared" si="10"/>
        <v>0</v>
      </c>
      <c r="BI28" s="45"/>
      <c r="BJ28" s="48"/>
      <c r="BK28" s="49"/>
      <c r="BL28" s="55">
        <f t="shared" si="11"/>
        <v>0</v>
      </c>
      <c r="BM28" s="45"/>
      <c r="BN28" s="48"/>
      <c r="BO28" s="49"/>
      <c r="BP28" s="55">
        <f t="shared" si="12"/>
        <v>0</v>
      </c>
      <c r="BQ28" s="45"/>
      <c r="BR28" s="48"/>
      <c r="BS28" s="49"/>
      <c r="BT28" s="55">
        <f t="shared" si="13"/>
        <v>0</v>
      </c>
      <c r="BU28" s="45"/>
      <c r="BV28" s="48"/>
      <c r="BW28" s="49"/>
      <c r="BX28" s="55">
        <f t="shared" si="14"/>
        <v>0</v>
      </c>
      <c r="BY28" s="45"/>
      <c r="BZ28" s="48"/>
      <c r="CA28" s="49"/>
      <c r="CB28" s="55">
        <f t="shared" si="15"/>
        <v>0</v>
      </c>
      <c r="CC28" s="45"/>
      <c r="CD28" s="48"/>
      <c r="CE28" s="49"/>
      <c r="CF28" s="55">
        <f t="shared" si="16"/>
        <v>0</v>
      </c>
      <c r="CG28" s="45"/>
      <c r="CH28" s="48"/>
      <c r="CI28" s="49"/>
      <c r="CJ28" s="55">
        <f t="shared" si="17"/>
        <v>0</v>
      </c>
      <c r="CK28" s="45"/>
      <c r="CL28" s="48"/>
      <c r="CM28" s="49"/>
      <c r="CN28" s="55">
        <f t="shared" si="18"/>
        <v>0</v>
      </c>
      <c r="CO28" s="45"/>
      <c r="CP28" s="48"/>
      <c r="CQ28" s="49"/>
      <c r="CR28" s="55">
        <f t="shared" si="19"/>
        <v>0</v>
      </c>
      <c r="CS28" s="45"/>
      <c r="CT28" s="48"/>
      <c r="CU28" s="49"/>
      <c r="CV28" s="55">
        <f t="shared" si="20"/>
        <v>0</v>
      </c>
      <c r="CW28" s="45"/>
      <c r="CX28" s="48"/>
      <c r="CY28" s="49"/>
      <c r="CZ28" s="55">
        <f t="shared" si="21"/>
        <v>0</v>
      </c>
      <c r="DA28" s="45"/>
      <c r="DB28" s="48"/>
      <c r="DC28" s="49"/>
      <c r="DD28" s="55">
        <f t="shared" si="22"/>
        <v>0</v>
      </c>
      <c r="DE28" s="45"/>
      <c r="DF28" s="48"/>
      <c r="DG28" s="49"/>
      <c r="DH28" s="55">
        <f t="shared" si="23"/>
        <v>0</v>
      </c>
      <c r="DI28" s="45"/>
      <c r="DJ28" s="48"/>
      <c r="DK28" s="49"/>
      <c r="DL28" s="55">
        <f t="shared" si="24"/>
        <v>0</v>
      </c>
      <c r="DM28" s="45"/>
      <c r="DN28" s="48"/>
      <c r="DO28" s="49"/>
      <c r="DP28" s="55">
        <f t="shared" si="25"/>
        <v>0</v>
      </c>
      <c r="DQ28" s="45"/>
      <c r="DR28" s="48"/>
      <c r="DS28" s="49"/>
      <c r="DT28" s="55">
        <f t="shared" si="26"/>
        <v>0</v>
      </c>
      <c r="DU28" s="45"/>
      <c r="DV28" s="48"/>
      <c r="DW28" s="49"/>
      <c r="DX28" s="55">
        <f t="shared" si="27"/>
        <v>0</v>
      </c>
      <c r="DY28" s="45"/>
      <c r="DZ28" s="48"/>
      <c r="EA28" s="49"/>
      <c r="EB28" s="55">
        <f t="shared" si="28"/>
        <v>0</v>
      </c>
      <c r="EC28" s="45"/>
      <c r="ED28" s="48"/>
      <c r="EE28" s="49"/>
      <c r="EF28" s="55">
        <f t="shared" si="29"/>
        <v>0</v>
      </c>
      <c r="EG28" s="45"/>
      <c r="EH28" s="48"/>
      <c r="EI28" s="49"/>
      <c r="EJ28" s="55">
        <f t="shared" si="30"/>
        <v>0</v>
      </c>
      <c r="EK28" s="45"/>
      <c r="EL28" s="48"/>
      <c r="EM28" s="49"/>
      <c r="EN28" s="55">
        <f t="shared" si="31"/>
        <v>0</v>
      </c>
      <c r="EO28" s="45"/>
      <c r="EP28" s="48"/>
      <c r="EQ28" s="49"/>
      <c r="ER28" s="55">
        <f t="shared" si="32"/>
        <v>0</v>
      </c>
      <c r="ES28" s="45"/>
      <c r="ET28" s="48"/>
      <c r="EU28" s="49"/>
      <c r="EV28" s="55">
        <f t="shared" si="33"/>
        <v>0</v>
      </c>
      <c r="EW28" s="45"/>
      <c r="EX28" s="48"/>
      <c r="EY28" s="49"/>
      <c r="EZ28" s="55">
        <f t="shared" si="34"/>
        <v>0</v>
      </c>
      <c r="FA28" s="45"/>
      <c r="FB28" s="48"/>
      <c r="FC28" s="49"/>
      <c r="FD28" s="55">
        <f t="shared" si="35"/>
        <v>0</v>
      </c>
      <c r="FE28" s="45"/>
      <c r="FF28" s="48"/>
      <c r="FG28" s="49"/>
      <c r="FH28" s="55">
        <f t="shared" si="36"/>
        <v>0</v>
      </c>
      <c r="FI28" s="45"/>
      <c r="FJ28" s="48"/>
      <c r="FK28" s="49"/>
      <c r="FL28" s="55">
        <f t="shared" si="37"/>
        <v>0</v>
      </c>
      <c r="FM28" s="45"/>
      <c r="FN28" s="48"/>
      <c r="FO28" s="49"/>
      <c r="FP28" s="55">
        <f t="shared" si="38"/>
        <v>0</v>
      </c>
      <c r="FQ28" s="45"/>
      <c r="FR28" s="48"/>
      <c r="FS28" s="49"/>
      <c r="FT28" s="55">
        <f t="shared" si="39"/>
        <v>0</v>
      </c>
      <c r="FU28" s="45"/>
      <c r="FV28" s="48"/>
      <c r="FW28" s="49"/>
      <c r="FX28" s="55">
        <f t="shared" si="40"/>
        <v>0</v>
      </c>
      <c r="FY28" s="45"/>
      <c r="FZ28" s="48"/>
      <c r="GA28" s="49"/>
      <c r="GB28" s="55">
        <f t="shared" si="41"/>
        <v>0</v>
      </c>
      <c r="GC28" s="45"/>
      <c r="GD28" s="48"/>
      <c r="GE28" s="49"/>
      <c r="GF28" s="55">
        <f t="shared" si="42"/>
        <v>0</v>
      </c>
      <c r="GG28" s="45"/>
      <c r="GH28" s="48"/>
      <c r="GI28" s="49"/>
      <c r="GJ28" s="55">
        <f t="shared" si="43"/>
        <v>0</v>
      </c>
      <c r="GK28" s="45"/>
      <c r="GL28" s="48"/>
      <c r="GM28" s="49"/>
      <c r="GN28" s="55">
        <f t="shared" si="44"/>
        <v>0</v>
      </c>
      <c r="GO28" s="45"/>
      <c r="GP28" s="48"/>
      <c r="GQ28" s="49"/>
      <c r="GR28" s="55">
        <f t="shared" si="45"/>
        <v>0</v>
      </c>
      <c r="GS28" s="45"/>
      <c r="GT28" s="48"/>
      <c r="GU28" s="49"/>
      <c r="GV28" s="55">
        <f t="shared" si="46"/>
        <v>0</v>
      </c>
      <c r="GW28" s="45"/>
      <c r="GX28" s="48"/>
      <c r="GY28" s="49"/>
      <c r="GZ28" s="55">
        <f t="shared" si="47"/>
        <v>0</v>
      </c>
      <c r="HA28" s="45"/>
      <c r="HB28" s="48"/>
      <c r="HC28" s="49"/>
      <c r="HD28" s="55">
        <f t="shared" si="48"/>
        <v>0</v>
      </c>
      <c r="HE28" s="45"/>
      <c r="HF28" s="48"/>
      <c r="HG28" s="49"/>
      <c r="HH28" s="55">
        <f t="shared" si="49"/>
        <v>0</v>
      </c>
      <c r="HI28" s="45"/>
      <c r="HJ28" s="48"/>
      <c r="HK28" s="49"/>
      <c r="HL28" s="55">
        <f t="shared" si="50"/>
        <v>0</v>
      </c>
      <c r="HM28" s="45"/>
      <c r="HN28" s="48"/>
      <c r="HO28" s="49"/>
      <c r="HP28" s="55">
        <f t="shared" si="51"/>
        <v>0</v>
      </c>
      <c r="HQ28" s="45"/>
      <c r="HR28" s="48"/>
      <c r="HS28" s="49"/>
      <c r="HT28" s="55">
        <f t="shared" si="52"/>
        <v>0</v>
      </c>
      <c r="HU28" s="45"/>
      <c r="HV28" s="48"/>
      <c r="HW28" s="49"/>
      <c r="HX28" s="55">
        <f t="shared" si="53"/>
        <v>0</v>
      </c>
      <c r="HY28" s="45"/>
      <c r="HZ28" s="48"/>
      <c r="IA28" s="49"/>
      <c r="IB28" s="55">
        <f t="shared" si="54"/>
        <v>0</v>
      </c>
      <c r="IC28" s="45"/>
      <c r="ID28" s="48"/>
      <c r="IE28" s="49"/>
      <c r="IF28" s="55">
        <f t="shared" si="55"/>
        <v>0</v>
      </c>
      <c r="IG28" s="45"/>
      <c r="IH28" s="48"/>
      <c r="II28" s="49"/>
      <c r="IJ28" s="55">
        <f t="shared" si="56"/>
        <v>0</v>
      </c>
      <c r="IK28" s="45"/>
      <c r="IL28" s="48"/>
      <c r="IM28" s="49"/>
      <c r="IN28" s="55">
        <f t="shared" si="57"/>
        <v>0</v>
      </c>
      <c r="IO28" s="45"/>
      <c r="IP28" s="48"/>
      <c r="IQ28" s="49"/>
      <c r="IR28" s="55">
        <f t="shared" si="58"/>
        <v>0</v>
      </c>
      <c r="IS28" s="45"/>
      <c r="IT28" s="48"/>
      <c r="IU28" s="49"/>
      <c r="IV28" s="55">
        <f t="shared" si="59"/>
        <v>0</v>
      </c>
      <c r="IW28" s="45"/>
      <c r="IX28" s="48"/>
      <c r="IY28" s="49"/>
      <c r="IZ28" s="55">
        <f t="shared" si="60"/>
        <v>0</v>
      </c>
      <c r="JA28" s="45"/>
      <c r="JB28" s="35" t="e">
        <f t="shared" si="61"/>
        <v>#VALUE!</v>
      </c>
      <c r="JC28" s="35" t="e">
        <f t="shared" si="62"/>
        <v>#VALUE!</v>
      </c>
      <c r="JD28" s="35" t="e">
        <f t="shared" si="63"/>
        <v>#VALUE!</v>
      </c>
      <c r="JE28" s="35" t="e">
        <f t="shared" si="67"/>
        <v>#VALUE!</v>
      </c>
      <c r="JF28" s="35"/>
      <c r="JP28" s="35"/>
    </row>
    <row r="29" spans="2:276" ht="30" customHeight="1" x14ac:dyDescent="0.3">
      <c r="B29" s="22">
        <v>20</v>
      </c>
      <c r="C29" s="75" t="e">
        <f>VLOOKUP(#REF!,EMPLEADO!C:Q,15,FALSE)</f>
        <v>#REF!</v>
      </c>
      <c r="D29" s="15" t="s">
        <v>84</v>
      </c>
      <c r="E29" s="39" t="s">
        <v>18</v>
      </c>
      <c r="F29" s="48"/>
      <c r="G29" s="49"/>
      <c r="H29" s="55">
        <f t="shared" si="64"/>
        <v>0</v>
      </c>
      <c r="I29" s="45"/>
      <c r="J29" s="48"/>
      <c r="K29" s="49"/>
      <c r="L29" s="55">
        <f t="shared" si="0"/>
        <v>0</v>
      </c>
      <c r="M29" s="45"/>
      <c r="N29" s="50"/>
      <c r="O29" s="51"/>
      <c r="P29" s="55">
        <f t="shared" si="1"/>
        <v>0</v>
      </c>
      <c r="Q29" s="45"/>
      <c r="R29" s="51"/>
      <c r="S29" s="51"/>
      <c r="T29" s="55">
        <f t="shared" si="65"/>
        <v>0</v>
      </c>
      <c r="U29" s="45"/>
      <c r="V29" s="48"/>
      <c r="W29" s="49"/>
      <c r="X29" s="55">
        <f t="shared" si="2"/>
        <v>0</v>
      </c>
      <c r="Y29" s="45"/>
      <c r="Z29" s="48"/>
      <c r="AA29" s="49"/>
      <c r="AB29" s="55">
        <f t="shared" si="3"/>
        <v>0</v>
      </c>
      <c r="AC29" s="45"/>
      <c r="AD29" s="48"/>
      <c r="AE29" s="49"/>
      <c r="AF29" s="55">
        <f t="shared" si="4"/>
        <v>0</v>
      </c>
      <c r="AG29" s="45"/>
      <c r="AH29" s="51"/>
      <c r="AI29" s="51"/>
      <c r="AJ29" s="73">
        <f t="shared" si="66"/>
        <v>0</v>
      </c>
      <c r="AK29" s="45"/>
      <c r="AL29" s="48"/>
      <c r="AM29" s="49"/>
      <c r="AN29" s="55">
        <f t="shared" si="5"/>
        <v>0</v>
      </c>
      <c r="AO29" s="45"/>
      <c r="AP29" s="48"/>
      <c r="AQ29" s="49"/>
      <c r="AR29" s="55">
        <f t="shared" si="6"/>
        <v>0</v>
      </c>
      <c r="AS29" s="45"/>
      <c r="AT29" s="48"/>
      <c r="AU29" s="49"/>
      <c r="AV29" s="55">
        <f t="shared" si="7"/>
        <v>0</v>
      </c>
      <c r="AW29" s="45"/>
      <c r="AX29" s="48"/>
      <c r="AY29" s="49"/>
      <c r="AZ29" s="55">
        <f t="shared" si="8"/>
        <v>0</v>
      </c>
      <c r="BA29" s="45"/>
      <c r="BB29" s="48"/>
      <c r="BC29" s="49"/>
      <c r="BD29" s="55">
        <f t="shared" si="9"/>
        <v>0</v>
      </c>
      <c r="BE29" s="45"/>
      <c r="BF29" s="48"/>
      <c r="BG29" s="49"/>
      <c r="BH29" s="55">
        <f t="shared" si="10"/>
        <v>0</v>
      </c>
      <c r="BI29" s="45"/>
      <c r="BJ29" s="48"/>
      <c r="BK29" s="49"/>
      <c r="BL29" s="55">
        <f t="shared" si="11"/>
        <v>0</v>
      </c>
      <c r="BM29" s="45"/>
      <c r="BN29" s="48"/>
      <c r="BO29" s="49"/>
      <c r="BP29" s="55">
        <f t="shared" si="12"/>
        <v>0</v>
      </c>
      <c r="BQ29" s="45"/>
      <c r="BR29" s="48"/>
      <c r="BS29" s="49"/>
      <c r="BT29" s="55">
        <f t="shared" si="13"/>
        <v>0</v>
      </c>
      <c r="BU29" s="45"/>
      <c r="BV29" s="48"/>
      <c r="BW29" s="49"/>
      <c r="BX29" s="55">
        <f t="shared" si="14"/>
        <v>0</v>
      </c>
      <c r="BY29" s="45"/>
      <c r="BZ29" s="48"/>
      <c r="CA29" s="49"/>
      <c r="CB29" s="55">
        <f t="shared" si="15"/>
        <v>0</v>
      </c>
      <c r="CC29" s="45"/>
      <c r="CD29" s="48"/>
      <c r="CE29" s="49"/>
      <c r="CF29" s="55">
        <f t="shared" si="16"/>
        <v>0</v>
      </c>
      <c r="CG29" s="45"/>
      <c r="CH29" s="48"/>
      <c r="CI29" s="49"/>
      <c r="CJ29" s="55">
        <f t="shared" si="17"/>
        <v>0</v>
      </c>
      <c r="CK29" s="45"/>
      <c r="CL29" s="48"/>
      <c r="CM29" s="49"/>
      <c r="CN29" s="55">
        <f t="shared" si="18"/>
        <v>0</v>
      </c>
      <c r="CO29" s="45"/>
      <c r="CP29" s="48"/>
      <c r="CQ29" s="49"/>
      <c r="CR29" s="55">
        <f t="shared" si="19"/>
        <v>0</v>
      </c>
      <c r="CS29" s="45"/>
      <c r="CT29" s="48"/>
      <c r="CU29" s="49"/>
      <c r="CV29" s="55">
        <f t="shared" si="20"/>
        <v>0</v>
      </c>
      <c r="CW29" s="45"/>
      <c r="CX29" s="48"/>
      <c r="CY29" s="49"/>
      <c r="CZ29" s="55">
        <f t="shared" si="21"/>
        <v>0</v>
      </c>
      <c r="DA29" s="45"/>
      <c r="DB29" s="48"/>
      <c r="DC29" s="49"/>
      <c r="DD29" s="55">
        <f t="shared" si="22"/>
        <v>0</v>
      </c>
      <c r="DE29" s="45"/>
      <c r="DF29" s="48"/>
      <c r="DG29" s="49"/>
      <c r="DH29" s="55">
        <f t="shared" si="23"/>
        <v>0</v>
      </c>
      <c r="DI29" s="45"/>
      <c r="DJ29" s="48"/>
      <c r="DK29" s="49"/>
      <c r="DL29" s="55">
        <f t="shared" si="24"/>
        <v>0</v>
      </c>
      <c r="DM29" s="45"/>
      <c r="DN29" s="48"/>
      <c r="DO29" s="49"/>
      <c r="DP29" s="55">
        <f t="shared" si="25"/>
        <v>0</v>
      </c>
      <c r="DQ29" s="45"/>
      <c r="DR29" s="48"/>
      <c r="DS29" s="49"/>
      <c r="DT29" s="55">
        <f t="shared" si="26"/>
        <v>0</v>
      </c>
      <c r="DU29" s="45"/>
      <c r="DV29" s="48"/>
      <c r="DW29" s="49"/>
      <c r="DX29" s="55">
        <f t="shared" si="27"/>
        <v>0</v>
      </c>
      <c r="DY29" s="45"/>
      <c r="DZ29" s="48"/>
      <c r="EA29" s="49"/>
      <c r="EB29" s="55">
        <f t="shared" si="28"/>
        <v>0</v>
      </c>
      <c r="EC29" s="45"/>
      <c r="ED29" s="48"/>
      <c r="EE29" s="49"/>
      <c r="EF29" s="55">
        <f t="shared" si="29"/>
        <v>0</v>
      </c>
      <c r="EG29" s="45"/>
      <c r="EH29" s="48"/>
      <c r="EI29" s="49"/>
      <c r="EJ29" s="55">
        <f t="shared" si="30"/>
        <v>0</v>
      </c>
      <c r="EK29" s="45"/>
      <c r="EL29" s="48"/>
      <c r="EM29" s="49"/>
      <c r="EN29" s="55">
        <f t="shared" si="31"/>
        <v>0</v>
      </c>
      <c r="EO29" s="45"/>
      <c r="EP29" s="48"/>
      <c r="EQ29" s="49"/>
      <c r="ER29" s="55">
        <f t="shared" si="32"/>
        <v>0</v>
      </c>
      <c r="ES29" s="45"/>
      <c r="ET29" s="48"/>
      <c r="EU29" s="49"/>
      <c r="EV29" s="55">
        <f t="shared" si="33"/>
        <v>0</v>
      </c>
      <c r="EW29" s="45"/>
      <c r="EX29" s="48"/>
      <c r="EY29" s="49"/>
      <c r="EZ29" s="55">
        <f t="shared" si="34"/>
        <v>0</v>
      </c>
      <c r="FA29" s="45"/>
      <c r="FB29" s="48"/>
      <c r="FC29" s="49"/>
      <c r="FD29" s="55">
        <f t="shared" si="35"/>
        <v>0</v>
      </c>
      <c r="FE29" s="45"/>
      <c r="FF29" s="48"/>
      <c r="FG29" s="49"/>
      <c r="FH29" s="55">
        <f t="shared" si="36"/>
        <v>0</v>
      </c>
      <c r="FI29" s="45"/>
      <c r="FJ29" s="48"/>
      <c r="FK29" s="49"/>
      <c r="FL29" s="55">
        <f t="shared" si="37"/>
        <v>0</v>
      </c>
      <c r="FM29" s="45"/>
      <c r="FN29" s="48"/>
      <c r="FO29" s="49"/>
      <c r="FP29" s="55">
        <f t="shared" si="38"/>
        <v>0</v>
      </c>
      <c r="FQ29" s="45"/>
      <c r="FR29" s="48"/>
      <c r="FS29" s="49"/>
      <c r="FT29" s="55">
        <f t="shared" si="39"/>
        <v>0</v>
      </c>
      <c r="FU29" s="45"/>
      <c r="FV29" s="48"/>
      <c r="FW29" s="49"/>
      <c r="FX29" s="55">
        <f t="shared" si="40"/>
        <v>0</v>
      </c>
      <c r="FY29" s="45"/>
      <c r="FZ29" s="48"/>
      <c r="GA29" s="49"/>
      <c r="GB29" s="55">
        <f t="shared" si="41"/>
        <v>0</v>
      </c>
      <c r="GC29" s="45"/>
      <c r="GD29" s="48"/>
      <c r="GE29" s="49"/>
      <c r="GF29" s="55">
        <f t="shared" si="42"/>
        <v>0</v>
      </c>
      <c r="GG29" s="45"/>
      <c r="GH29" s="48"/>
      <c r="GI29" s="49"/>
      <c r="GJ29" s="55">
        <f t="shared" si="43"/>
        <v>0</v>
      </c>
      <c r="GK29" s="45"/>
      <c r="GL29" s="48"/>
      <c r="GM29" s="49"/>
      <c r="GN29" s="55">
        <f t="shared" si="44"/>
        <v>0</v>
      </c>
      <c r="GO29" s="45"/>
      <c r="GP29" s="48"/>
      <c r="GQ29" s="49"/>
      <c r="GR29" s="55">
        <f t="shared" si="45"/>
        <v>0</v>
      </c>
      <c r="GS29" s="45"/>
      <c r="GT29" s="48"/>
      <c r="GU29" s="49"/>
      <c r="GV29" s="55">
        <f t="shared" si="46"/>
        <v>0</v>
      </c>
      <c r="GW29" s="45"/>
      <c r="GX29" s="48"/>
      <c r="GY29" s="49"/>
      <c r="GZ29" s="55">
        <f t="shared" si="47"/>
        <v>0</v>
      </c>
      <c r="HA29" s="45"/>
      <c r="HB29" s="48"/>
      <c r="HC29" s="49"/>
      <c r="HD29" s="55">
        <f t="shared" si="48"/>
        <v>0</v>
      </c>
      <c r="HE29" s="45"/>
      <c r="HF29" s="48"/>
      <c r="HG29" s="49"/>
      <c r="HH29" s="55">
        <f t="shared" si="49"/>
        <v>0</v>
      </c>
      <c r="HI29" s="45"/>
      <c r="HJ29" s="48"/>
      <c r="HK29" s="49"/>
      <c r="HL29" s="55">
        <f t="shared" si="50"/>
        <v>0</v>
      </c>
      <c r="HM29" s="45"/>
      <c r="HN29" s="48"/>
      <c r="HO29" s="49"/>
      <c r="HP29" s="55">
        <f t="shared" si="51"/>
        <v>0</v>
      </c>
      <c r="HQ29" s="45"/>
      <c r="HR29" s="48"/>
      <c r="HS29" s="49"/>
      <c r="HT29" s="55">
        <f t="shared" si="52"/>
        <v>0</v>
      </c>
      <c r="HU29" s="45"/>
      <c r="HV29" s="48"/>
      <c r="HW29" s="49"/>
      <c r="HX29" s="55">
        <f t="shared" si="53"/>
        <v>0</v>
      </c>
      <c r="HY29" s="45"/>
      <c r="HZ29" s="48"/>
      <c r="IA29" s="49"/>
      <c r="IB29" s="55">
        <f t="shared" si="54"/>
        <v>0</v>
      </c>
      <c r="IC29" s="45"/>
      <c r="ID29" s="48"/>
      <c r="IE29" s="49"/>
      <c r="IF29" s="55">
        <f t="shared" si="55"/>
        <v>0</v>
      </c>
      <c r="IG29" s="45"/>
      <c r="IH29" s="48"/>
      <c r="II29" s="49"/>
      <c r="IJ29" s="55">
        <f t="shared" si="56"/>
        <v>0</v>
      </c>
      <c r="IK29" s="45"/>
      <c r="IL29" s="48"/>
      <c r="IM29" s="49"/>
      <c r="IN29" s="55">
        <f t="shared" si="57"/>
        <v>0</v>
      </c>
      <c r="IO29" s="45"/>
      <c r="IP29" s="48"/>
      <c r="IQ29" s="49"/>
      <c r="IR29" s="55">
        <f t="shared" si="58"/>
        <v>0</v>
      </c>
      <c r="IS29" s="45"/>
      <c r="IT29" s="48"/>
      <c r="IU29" s="49"/>
      <c r="IV29" s="55">
        <f t="shared" si="59"/>
        <v>0</v>
      </c>
      <c r="IW29" s="45"/>
      <c r="IX29" s="48"/>
      <c r="IY29" s="49"/>
      <c r="IZ29" s="55">
        <f t="shared" si="60"/>
        <v>0</v>
      </c>
      <c r="JA29" s="45"/>
      <c r="JB29" s="35" t="e">
        <f t="shared" si="61"/>
        <v>#VALUE!</v>
      </c>
      <c r="JC29" s="35" t="e">
        <f t="shared" si="62"/>
        <v>#VALUE!</v>
      </c>
      <c r="JD29" s="35" t="e">
        <f t="shared" si="63"/>
        <v>#VALUE!</v>
      </c>
      <c r="JE29" s="35" t="e">
        <f t="shared" si="67"/>
        <v>#VALUE!</v>
      </c>
      <c r="JF29" s="35"/>
      <c r="JP29" s="35"/>
    </row>
    <row r="30" spans="2:276" ht="30" customHeight="1" x14ac:dyDescent="0.3">
      <c r="B30" s="22">
        <v>21</v>
      </c>
      <c r="C30" s="75" t="e">
        <f>VLOOKUP(#REF!,EMPLEADO!C:Q,15,FALSE)</f>
        <v>#REF!</v>
      </c>
      <c r="D30" s="15" t="s">
        <v>85</v>
      </c>
      <c r="E30" s="39" t="s">
        <v>18</v>
      </c>
      <c r="F30" s="48"/>
      <c r="G30" s="49"/>
      <c r="H30" s="55">
        <f t="shared" si="64"/>
        <v>0</v>
      </c>
      <c r="I30" s="45"/>
      <c r="J30" s="48"/>
      <c r="K30" s="49"/>
      <c r="L30" s="55">
        <f t="shared" si="0"/>
        <v>0</v>
      </c>
      <c r="M30" s="45"/>
      <c r="N30" s="50"/>
      <c r="O30" s="51"/>
      <c r="P30" s="55">
        <f t="shared" si="1"/>
        <v>0</v>
      </c>
      <c r="Q30" s="45"/>
      <c r="R30" s="51"/>
      <c r="S30" s="51"/>
      <c r="T30" s="55">
        <f t="shared" si="65"/>
        <v>0</v>
      </c>
      <c r="U30" s="45"/>
      <c r="V30" s="48"/>
      <c r="W30" s="49"/>
      <c r="X30" s="55">
        <f t="shared" si="2"/>
        <v>0</v>
      </c>
      <c r="Y30" s="45"/>
      <c r="Z30" s="48"/>
      <c r="AA30" s="49"/>
      <c r="AB30" s="55">
        <f t="shared" si="3"/>
        <v>0</v>
      </c>
      <c r="AC30" s="45"/>
      <c r="AD30" s="48"/>
      <c r="AE30" s="49"/>
      <c r="AF30" s="55">
        <f t="shared" si="4"/>
        <v>0</v>
      </c>
      <c r="AG30" s="45"/>
      <c r="AH30" s="51"/>
      <c r="AI30" s="51"/>
      <c r="AJ30" s="73">
        <f t="shared" si="66"/>
        <v>0</v>
      </c>
      <c r="AK30" s="45"/>
      <c r="AL30" s="48"/>
      <c r="AM30" s="49"/>
      <c r="AN30" s="55">
        <f t="shared" si="5"/>
        <v>0</v>
      </c>
      <c r="AO30" s="45"/>
      <c r="AP30" s="48"/>
      <c r="AQ30" s="49"/>
      <c r="AR30" s="55">
        <f t="shared" si="6"/>
        <v>0</v>
      </c>
      <c r="AS30" s="45"/>
      <c r="AT30" s="48"/>
      <c r="AU30" s="49"/>
      <c r="AV30" s="55">
        <f t="shared" si="7"/>
        <v>0</v>
      </c>
      <c r="AW30" s="45"/>
      <c r="AX30" s="48"/>
      <c r="AY30" s="49"/>
      <c r="AZ30" s="55">
        <f t="shared" si="8"/>
        <v>0</v>
      </c>
      <c r="BA30" s="45"/>
      <c r="BB30" s="48"/>
      <c r="BC30" s="49"/>
      <c r="BD30" s="55">
        <f t="shared" si="9"/>
        <v>0</v>
      </c>
      <c r="BE30" s="45"/>
      <c r="BF30" s="48"/>
      <c r="BG30" s="49"/>
      <c r="BH30" s="55">
        <f t="shared" si="10"/>
        <v>0</v>
      </c>
      <c r="BI30" s="45"/>
      <c r="BJ30" s="48"/>
      <c r="BK30" s="49"/>
      <c r="BL30" s="55">
        <f t="shared" si="11"/>
        <v>0</v>
      </c>
      <c r="BM30" s="45"/>
      <c r="BN30" s="48"/>
      <c r="BO30" s="49"/>
      <c r="BP30" s="55">
        <f t="shared" si="12"/>
        <v>0</v>
      </c>
      <c r="BQ30" s="45"/>
      <c r="BR30" s="48"/>
      <c r="BS30" s="49"/>
      <c r="BT30" s="55">
        <f t="shared" si="13"/>
        <v>0</v>
      </c>
      <c r="BU30" s="45"/>
      <c r="BV30" s="48"/>
      <c r="BW30" s="49"/>
      <c r="BX30" s="55">
        <f t="shared" si="14"/>
        <v>0</v>
      </c>
      <c r="BY30" s="45"/>
      <c r="BZ30" s="48"/>
      <c r="CA30" s="49"/>
      <c r="CB30" s="55">
        <f t="shared" si="15"/>
        <v>0</v>
      </c>
      <c r="CC30" s="45"/>
      <c r="CD30" s="48"/>
      <c r="CE30" s="49"/>
      <c r="CF30" s="55">
        <f t="shared" si="16"/>
        <v>0</v>
      </c>
      <c r="CG30" s="45"/>
      <c r="CH30" s="48"/>
      <c r="CI30" s="49"/>
      <c r="CJ30" s="55">
        <f t="shared" si="17"/>
        <v>0</v>
      </c>
      <c r="CK30" s="45"/>
      <c r="CL30" s="48"/>
      <c r="CM30" s="49"/>
      <c r="CN30" s="55">
        <f t="shared" si="18"/>
        <v>0</v>
      </c>
      <c r="CO30" s="45"/>
      <c r="CP30" s="48"/>
      <c r="CQ30" s="49"/>
      <c r="CR30" s="55">
        <f t="shared" si="19"/>
        <v>0</v>
      </c>
      <c r="CS30" s="45"/>
      <c r="CT30" s="48"/>
      <c r="CU30" s="49"/>
      <c r="CV30" s="55">
        <f t="shared" si="20"/>
        <v>0</v>
      </c>
      <c r="CW30" s="45"/>
      <c r="CX30" s="48"/>
      <c r="CY30" s="49"/>
      <c r="CZ30" s="55">
        <f t="shared" si="21"/>
        <v>0</v>
      </c>
      <c r="DA30" s="45"/>
      <c r="DB30" s="48"/>
      <c r="DC30" s="49"/>
      <c r="DD30" s="55">
        <f t="shared" si="22"/>
        <v>0</v>
      </c>
      <c r="DE30" s="45"/>
      <c r="DF30" s="48"/>
      <c r="DG30" s="49"/>
      <c r="DH30" s="55">
        <f t="shared" si="23"/>
        <v>0</v>
      </c>
      <c r="DI30" s="45"/>
      <c r="DJ30" s="48"/>
      <c r="DK30" s="49"/>
      <c r="DL30" s="55">
        <f t="shared" si="24"/>
        <v>0</v>
      </c>
      <c r="DM30" s="45"/>
      <c r="DN30" s="48"/>
      <c r="DO30" s="49"/>
      <c r="DP30" s="55">
        <f t="shared" si="25"/>
        <v>0</v>
      </c>
      <c r="DQ30" s="45"/>
      <c r="DR30" s="48"/>
      <c r="DS30" s="49"/>
      <c r="DT30" s="55">
        <f t="shared" si="26"/>
        <v>0</v>
      </c>
      <c r="DU30" s="45"/>
      <c r="DV30" s="48"/>
      <c r="DW30" s="49"/>
      <c r="DX30" s="55">
        <f t="shared" si="27"/>
        <v>0</v>
      </c>
      <c r="DY30" s="45"/>
      <c r="DZ30" s="48"/>
      <c r="EA30" s="49"/>
      <c r="EB30" s="55">
        <f t="shared" si="28"/>
        <v>0</v>
      </c>
      <c r="EC30" s="45"/>
      <c r="ED30" s="48"/>
      <c r="EE30" s="49"/>
      <c r="EF30" s="55">
        <f t="shared" si="29"/>
        <v>0</v>
      </c>
      <c r="EG30" s="45"/>
      <c r="EH30" s="48"/>
      <c r="EI30" s="49"/>
      <c r="EJ30" s="55">
        <f t="shared" si="30"/>
        <v>0</v>
      </c>
      <c r="EK30" s="45"/>
      <c r="EL30" s="48"/>
      <c r="EM30" s="49"/>
      <c r="EN30" s="55">
        <f t="shared" si="31"/>
        <v>0</v>
      </c>
      <c r="EO30" s="45"/>
      <c r="EP30" s="48"/>
      <c r="EQ30" s="49"/>
      <c r="ER30" s="55">
        <f t="shared" si="32"/>
        <v>0</v>
      </c>
      <c r="ES30" s="45"/>
      <c r="ET30" s="48"/>
      <c r="EU30" s="49"/>
      <c r="EV30" s="55">
        <f t="shared" si="33"/>
        <v>0</v>
      </c>
      <c r="EW30" s="45"/>
      <c r="EX30" s="48"/>
      <c r="EY30" s="49"/>
      <c r="EZ30" s="55">
        <f t="shared" si="34"/>
        <v>0</v>
      </c>
      <c r="FA30" s="45"/>
      <c r="FB30" s="48"/>
      <c r="FC30" s="49"/>
      <c r="FD30" s="55">
        <f t="shared" si="35"/>
        <v>0</v>
      </c>
      <c r="FE30" s="45"/>
      <c r="FF30" s="48"/>
      <c r="FG30" s="49"/>
      <c r="FH30" s="55">
        <f t="shared" si="36"/>
        <v>0</v>
      </c>
      <c r="FI30" s="45"/>
      <c r="FJ30" s="48"/>
      <c r="FK30" s="49"/>
      <c r="FL30" s="55">
        <f t="shared" si="37"/>
        <v>0</v>
      </c>
      <c r="FM30" s="45"/>
      <c r="FN30" s="48"/>
      <c r="FO30" s="49"/>
      <c r="FP30" s="55">
        <f t="shared" si="38"/>
        <v>0</v>
      </c>
      <c r="FQ30" s="45"/>
      <c r="FR30" s="48"/>
      <c r="FS30" s="49"/>
      <c r="FT30" s="55">
        <f t="shared" si="39"/>
        <v>0</v>
      </c>
      <c r="FU30" s="45"/>
      <c r="FV30" s="48"/>
      <c r="FW30" s="49"/>
      <c r="FX30" s="55">
        <f t="shared" si="40"/>
        <v>0</v>
      </c>
      <c r="FY30" s="45"/>
      <c r="FZ30" s="48"/>
      <c r="GA30" s="49"/>
      <c r="GB30" s="55">
        <f t="shared" si="41"/>
        <v>0</v>
      </c>
      <c r="GC30" s="45"/>
      <c r="GD30" s="48"/>
      <c r="GE30" s="49"/>
      <c r="GF30" s="55">
        <f t="shared" si="42"/>
        <v>0</v>
      </c>
      <c r="GG30" s="45"/>
      <c r="GH30" s="48"/>
      <c r="GI30" s="49"/>
      <c r="GJ30" s="55">
        <f t="shared" si="43"/>
        <v>0</v>
      </c>
      <c r="GK30" s="45"/>
      <c r="GL30" s="48"/>
      <c r="GM30" s="49"/>
      <c r="GN30" s="55">
        <f t="shared" si="44"/>
        <v>0</v>
      </c>
      <c r="GO30" s="45"/>
      <c r="GP30" s="48"/>
      <c r="GQ30" s="49"/>
      <c r="GR30" s="55">
        <f t="shared" si="45"/>
        <v>0</v>
      </c>
      <c r="GS30" s="45"/>
      <c r="GT30" s="48"/>
      <c r="GU30" s="49"/>
      <c r="GV30" s="55">
        <f t="shared" si="46"/>
        <v>0</v>
      </c>
      <c r="GW30" s="45"/>
      <c r="GX30" s="48"/>
      <c r="GY30" s="49"/>
      <c r="GZ30" s="55">
        <f t="shared" si="47"/>
        <v>0</v>
      </c>
      <c r="HA30" s="45"/>
      <c r="HB30" s="48"/>
      <c r="HC30" s="49"/>
      <c r="HD30" s="55">
        <f t="shared" si="48"/>
        <v>0</v>
      </c>
      <c r="HE30" s="45"/>
      <c r="HF30" s="48"/>
      <c r="HG30" s="49"/>
      <c r="HH30" s="55">
        <f t="shared" si="49"/>
        <v>0</v>
      </c>
      <c r="HI30" s="45"/>
      <c r="HJ30" s="48"/>
      <c r="HK30" s="49"/>
      <c r="HL30" s="55">
        <f t="shared" si="50"/>
        <v>0</v>
      </c>
      <c r="HM30" s="45"/>
      <c r="HN30" s="48"/>
      <c r="HO30" s="49"/>
      <c r="HP30" s="55">
        <f t="shared" si="51"/>
        <v>0</v>
      </c>
      <c r="HQ30" s="45"/>
      <c r="HR30" s="48"/>
      <c r="HS30" s="49"/>
      <c r="HT30" s="55">
        <f t="shared" si="52"/>
        <v>0</v>
      </c>
      <c r="HU30" s="45"/>
      <c r="HV30" s="48"/>
      <c r="HW30" s="49"/>
      <c r="HX30" s="55">
        <f t="shared" si="53"/>
        <v>0</v>
      </c>
      <c r="HY30" s="45"/>
      <c r="HZ30" s="48"/>
      <c r="IA30" s="49"/>
      <c r="IB30" s="55">
        <f t="shared" si="54"/>
        <v>0</v>
      </c>
      <c r="IC30" s="45"/>
      <c r="ID30" s="48"/>
      <c r="IE30" s="49"/>
      <c r="IF30" s="55">
        <f t="shared" si="55"/>
        <v>0</v>
      </c>
      <c r="IG30" s="45"/>
      <c r="IH30" s="48"/>
      <c r="II30" s="49"/>
      <c r="IJ30" s="55">
        <f t="shared" si="56"/>
        <v>0</v>
      </c>
      <c r="IK30" s="45"/>
      <c r="IL30" s="48"/>
      <c r="IM30" s="49"/>
      <c r="IN30" s="55">
        <f t="shared" si="57"/>
        <v>0</v>
      </c>
      <c r="IO30" s="45"/>
      <c r="IP30" s="48"/>
      <c r="IQ30" s="49"/>
      <c r="IR30" s="55">
        <f t="shared" si="58"/>
        <v>0</v>
      </c>
      <c r="IS30" s="45"/>
      <c r="IT30" s="48"/>
      <c r="IU30" s="49"/>
      <c r="IV30" s="55">
        <f t="shared" si="59"/>
        <v>0</v>
      </c>
      <c r="IW30" s="45"/>
      <c r="IX30" s="48"/>
      <c r="IY30" s="49"/>
      <c r="IZ30" s="55">
        <f t="shared" si="60"/>
        <v>0</v>
      </c>
      <c r="JA30" s="45"/>
      <c r="JB30" s="35" t="e">
        <f t="shared" si="61"/>
        <v>#VALUE!</v>
      </c>
      <c r="JC30" s="35" t="e">
        <f t="shared" si="62"/>
        <v>#VALUE!</v>
      </c>
      <c r="JD30" s="35" t="e">
        <f t="shared" si="63"/>
        <v>#VALUE!</v>
      </c>
      <c r="JE30" s="35" t="e">
        <f t="shared" si="67"/>
        <v>#VALUE!</v>
      </c>
      <c r="JF30" s="35"/>
      <c r="JP30" s="35"/>
    </row>
    <row r="31" spans="2:276" ht="30" customHeight="1" x14ac:dyDescent="0.3">
      <c r="B31" s="22">
        <v>22</v>
      </c>
      <c r="C31" s="75" t="e">
        <f>VLOOKUP(#REF!,EMPLEADO!C:Q,15,FALSE)</f>
        <v>#REF!</v>
      </c>
      <c r="D31" s="15" t="s">
        <v>88</v>
      </c>
      <c r="E31" s="39" t="s">
        <v>18</v>
      </c>
      <c r="F31" s="48"/>
      <c r="G31" s="49"/>
      <c r="H31" s="55">
        <f t="shared" si="64"/>
        <v>0</v>
      </c>
      <c r="I31" s="45"/>
      <c r="J31" s="48"/>
      <c r="K31" s="49"/>
      <c r="L31" s="55">
        <f t="shared" si="0"/>
        <v>0</v>
      </c>
      <c r="M31" s="45"/>
      <c r="N31" s="50"/>
      <c r="O31" s="51"/>
      <c r="P31" s="55">
        <f t="shared" si="1"/>
        <v>0</v>
      </c>
      <c r="Q31" s="45"/>
      <c r="R31" s="51"/>
      <c r="S31" s="51"/>
      <c r="T31" s="55">
        <f t="shared" si="65"/>
        <v>0</v>
      </c>
      <c r="U31" s="45"/>
      <c r="V31" s="48"/>
      <c r="W31" s="49"/>
      <c r="X31" s="55">
        <f t="shared" si="2"/>
        <v>0</v>
      </c>
      <c r="Y31" s="45"/>
      <c r="Z31" s="48"/>
      <c r="AA31" s="49"/>
      <c r="AB31" s="55">
        <f t="shared" si="3"/>
        <v>0</v>
      </c>
      <c r="AC31" s="45"/>
      <c r="AD31" s="48"/>
      <c r="AE31" s="49"/>
      <c r="AF31" s="55">
        <f t="shared" si="4"/>
        <v>0</v>
      </c>
      <c r="AG31" s="45"/>
      <c r="AH31" s="51"/>
      <c r="AI31" s="51"/>
      <c r="AJ31" s="73">
        <f t="shared" si="66"/>
        <v>0</v>
      </c>
      <c r="AK31" s="45"/>
      <c r="AL31" s="48"/>
      <c r="AM31" s="49"/>
      <c r="AN31" s="55">
        <f t="shared" si="5"/>
        <v>0</v>
      </c>
      <c r="AO31" s="45"/>
      <c r="AP31" s="48"/>
      <c r="AQ31" s="49"/>
      <c r="AR31" s="55">
        <f t="shared" si="6"/>
        <v>0</v>
      </c>
      <c r="AS31" s="45"/>
      <c r="AT31" s="48"/>
      <c r="AU31" s="49"/>
      <c r="AV31" s="55">
        <f t="shared" si="7"/>
        <v>0</v>
      </c>
      <c r="AW31" s="45"/>
      <c r="AX31" s="48"/>
      <c r="AY31" s="49"/>
      <c r="AZ31" s="55">
        <f t="shared" si="8"/>
        <v>0</v>
      </c>
      <c r="BA31" s="45"/>
      <c r="BB31" s="48"/>
      <c r="BC31" s="49"/>
      <c r="BD31" s="55">
        <f t="shared" si="9"/>
        <v>0</v>
      </c>
      <c r="BE31" s="45"/>
      <c r="BF31" s="48"/>
      <c r="BG31" s="49"/>
      <c r="BH31" s="55">
        <f t="shared" si="10"/>
        <v>0</v>
      </c>
      <c r="BI31" s="45"/>
      <c r="BJ31" s="48"/>
      <c r="BK31" s="49"/>
      <c r="BL31" s="55">
        <f t="shared" si="11"/>
        <v>0</v>
      </c>
      <c r="BM31" s="45"/>
      <c r="BN31" s="48"/>
      <c r="BO31" s="49"/>
      <c r="BP31" s="55">
        <f t="shared" si="12"/>
        <v>0</v>
      </c>
      <c r="BQ31" s="45"/>
      <c r="BR31" s="48"/>
      <c r="BS31" s="49"/>
      <c r="BT31" s="55">
        <f t="shared" si="13"/>
        <v>0</v>
      </c>
      <c r="BU31" s="45"/>
      <c r="BV31" s="48"/>
      <c r="BW31" s="49"/>
      <c r="BX31" s="55">
        <f t="shared" si="14"/>
        <v>0</v>
      </c>
      <c r="BY31" s="45"/>
      <c r="BZ31" s="48"/>
      <c r="CA31" s="49"/>
      <c r="CB31" s="55">
        <f t="shared" si="15"/>
        <v>0</v>
      </c>
      <c r="CC31" s="45"/>
      <c r="CD31" s="48"/>
      <c r="CE31" s="49"/>
      <c r="CF31" s="55">
        <f t="shared" si="16"/>
        <v>0</v>
      </c>
      <c r="CG31" s="45"/>
      <c r="CH31" s="48"/>
      <c r="CI31" s="49"/>
      <c r="CJ31" s="55">
        <f t="shared" si="17"/>
        <v>0</v>
      </c>
      <c r="CK31" s="45"/>
      <c r="CL31" s="48"/>
      <c r="CM31" s="49"/>
      <c r="CN31" s="55">
        <f t="shared" si="18"/>
        <v>0</v>
      </c>
      <c r="CO31" s="45"/>
      <c r="CP31" s="48"/>
      <c r="CQ31" s="49"/>
      <c r="CR31" s="55">
        <f t="shared" si="19"/>
        <v>0</v>
      </c>
      <c r="CS31" s="45"/>
      <c r="CT31" s="48"/>
      <c r="CU31" s="49"/>
      <c r="CV31" s="55">
        <f t="shared" si="20"/>
        <v>0</v>
      </c>
      <c r="CW31" s="45"/>
      <c r="CX31" s="48"/>
      <c r="CY31" s="49"/>
      <c r="CZ31" s="55">
        <f t="shared" si="21"/>
        <v>0</v>
      </c>
      <c r="DA31" s="45"/>
      <c r="DB31" s="48"/>
      <c r="DC31" s="49"/>
      <c r="DD31" s="55">
        <f t="shared" si="22"/>
        <v>0</v>
      </c>
      <c r="DE31" s="45"/>
      <c r="DF31" s="48"/>
      <c r="DG31" s="49"/>
      <c r="DH31" s="55">
        <f t="shared" si="23"/>
        <v>0</v>
      </c>
      <c r="DI31" s="45"/>
      <c r="DJ31" s="48"/>
      <c r="DK31" s="49"/>
      <c r="DL31" s="55">
        <f t="shared" si="24"/>
        <v>0</v>
      </c>
      <c r="DM31" s="45"/>
      <c r="DN31" s="48"/>
      <c r="DO31" s="49"/>
      <c r="DP31" s="55">
        <f t="shared" si="25"/>
        <v>0</v>
      </c>
      <c r="DQ31" s="45"/>
      <c r="DR31" s="48"/>
      <c r="DS31" s="49"/>
      <c r="DT31" s="55">
        <f t="shared" si="26"/>
        <v>0</v>
      </c>
      <c r="DU31" s="45"/>
      <c r="DV31" s="48"/>
      <c r="DW31" s="49"/>
      <c r="DX31" s="55">
        <f t="shared" si="27"/>
        <v>0</v>
      </c>
      <c r="DY31" s="45"/>
      <c r="DZ31" s="48"/>
      <c r="EA31" s="49"/>
      <c r="EB31" s="55">
        <f t="shared" si="28"/>
        <v>0</v>
      </c>
      <c r="EC31" s="45"/>
      <c r="ED31" s="48"/>
      <c r="EE31" s="49"/>
      <c r="EF31" s="55">
        <f t="shared" si="29"/>
        <v>0</v>
      </c>
      <c r="EG31" s="45"/>
      <c r="EH31" s="48"/>
      <c r="EI31" s="49"/>
      <c r="EJ31" s="55">
        <f t="shared" si="30"/>
        <v>0</v>
      </c>
      <c r="EK31" s="45"/>
      <c r="EL31" s="48"/>
      <c r="EM31" s="49"/>
      <c r="EN31" s="55">
        <f t="shared" si="31"/>
        <v>0</v>
      </c>
      <c r="EO31" s="45"/>
      <c r="EP31" s="48"/>
      <c r="EQ31" s="49"/>
      <c r="ER31" s="55">
        <f t="shared" si="32"/>
        <v>0</v>
      </c>
      <c r="ES31" s="45"/>
      <c r="ET31" s="48"/>
      <c r="EU31" s="49"/>
      <c r="EV31" s="55">
        <f t="shared" si="33"/>
        <v>0</v>
      </c>
      <c r="EW31" s="45"/>
      <c r="EX31" s="48"/>
      <c r="EY31" s="49"/>
      <c r="EZ31" s="55">
        <f t="shared" si="34"/>
        <v>0</v>
      </c>
      <c r="FA31" s="45"/>
      <c r="FB31" s="48"/>
      <c r="FC31" s="49"/>
      <c r="FD31" s="55">
        <f t="shared" si="35"/>
        <v>0</v>
      </c>
      <c r="FE31" s="45"/>
      <c r="FF31" s="48"/>
      <c r="FG31" s="49"/>
      <c r="FH31" s="55">
        <f t="shared" si="36"/>
        <v>0</v>
      </c>
      <c r="FI31" s="45"/>
      <c r="FJ31" s="48"/>
      <c r="FK31" s="49"/>
      <c r="FL31" s="55">
        <f t="shared" si="37"/>
        <v>0</v>
      </c>
      <c r="FM31" s="45"/>
      <c r="FN31" s="48"/>
      <c r="FO31" s="49"/>
      <c r="FP31" s="55">
        <f t="shared" si="38"/>
        <v>0</v>
      </c>
      <c r="FQ31" s="45"/>
      <c r="FR31" s="48"/>
      <c r="FS31" s="49"/>
      <c r="FT31" s="55">
        <f t="shared" si="39"/>
        <v>0</v>
      </c>
      <c r="FU31" s="45"/>
      <c r="FV31" s="48"/>
      <c r="FW31" s="49"/>
      <c r="FX31" s="55">
        <f t="shared" si="40"/>
        <v>0</v>
      </c>
      <c r="FY31" s="45"/>
      <c r="FZ31" s="48"/>
      <c r="GA31" s="49"/>
      <c r="GB31" s="55">
        <f t="shared" si="41"/>
        <v>0</v>
      </c>
      <c r="GC31" s="45"/>
      <c r="GD31" s="48"/>
      <c r="GE31" s="49"/>
      <c r="GF31" s="55">
        <f t="shared" si="42"/>
        <v>0</v>
      </c>
      <c r="GG31" s="45"/>
      <c r="GH31" s="48"/>
      <c r="GI31" s="49"/>
      <c r="GJ31" s="55">
        <f t="shared" si="43"/>
        <v>0</v>
      </c>
      <c r="GK31" s="45"/>
      <c r="GL31" s="48"/>
      <c r="GM31" s="49"/>
      <c r="GN31" s="55">
        <f t="shared" si="44"/>
        <v>0</v>
      </c>
      <c r="GO31" s="45"/>
      <c r="GP31" s="48"/>
      <c r="GQ31" s="49"/>
      <c r="GR31" s="55">
        <f t="shared" si="45"/>
        <v>0</v>
      </c>
      <c r="GS31" s="45"/>
      <c r="GT31" s="48"/>
      <c r="GU31" s="49"/>
      <c r="GV31" s="55">
        <f t="shared" si="46"/>
        <v>0</v>
      </c>
      <c r="GW31" s="45"/>
      <c r="GX31" s="48"/>
      <c r="GY31" s="49"/>
      <c r="GZ31" s="55">
        <f t="shared" si="47"/>
        <v>0</v>
      </c>
      <c r="HA31" s="45"/>
      <c r="HB31" s="48"/>
      <c r="HC31" s="49"/>
      <c r="HD31" s="55">
        <f t="shared" si="48"/>
        <v>0</v>
      </c>
      <c r="HE31" s="45"/>
      <c r="HF31" s="48"/>
      <c r="HG31" s="49"/>
      <c r="HH31" s="55">
        <f t="shared" si="49"/>
        <v>0</v>
      </c>
      <c r="HI31" s="45"/>
      <c r="HJ31" s="48"/>
      <c r="HK31" s="49"/>
      <c r="HL31" s="55">
        <f t="shared" si="50"/>
        <v>0</v>
      </c>
      <c r="HM31" s="45"/>
      <c r="HN31" s="48"/>
      <c r="HO31" s="49"/>
      <c r="HP31" s="55">
        <f t="shared" si="51"/>
        <v>0</v>
      </c>
      <c r="HQ31" s="45"/>
      <c r="HR31" s="48"/>
      <c r="HS31" s="49"/>
      <c r="HT31" s="55">
        <f t="shared" si="52"/>
        <v>0</v>
      </c>
      <c r="HU31" s="45"/>
      <c r="HV31" s="48"/>
      <c r="HW31" s="49"/>
      <c r="HX31" s="55">
        <f t="shared" si="53"/>
        <v>0</v>
      </c>
      <c r="HY31" s="45"/>
      <c r="HZ31" s="48"/>
      <c r="IA31" s="49"/>
      <c r="IB31" s="55">
        <f t="shared" si="54"/>
        <v>0</v>
      </c>
      <c r="IC31" s="45"/>
      <c r="ID31" s="48"/>
      <c r="IE31" s="49"/>
      <c r="IF31" s="55">
        <f t="shared" si="55"/>
        <v>0</v>
      </c>
      <c r="IG31" s="45"/>
      <c r="IH31" s="48"/>
      <c r="II31" s="49"/>
      <c r="IJ31" s="55">
        <f t="shared" si="56"/>
        <v>0</v>
      </c>
      <c r="IK31" s="45"/>
      <c r="IL31" s="48"/>
      <c r="IM31" s="49"/>
      <c r="IN31" s="55">
        <f t="shared" si="57"/>
        <v>0</v>
      </c>
      <c r="IO31" s="45"/>
      <c r="IP31" s="48"/>
      <c r="IQ31" s="49"/>
      <c r="IR31" s="55">
        <f t="shared" si="58"/>
        <v>0</v>
      </c>
      <c r="IS31" s="45"/>
      <c r="IT31" s="48"/>
      <c r="IU31" s="49"/>
      <c r="IV31" s="55">
        <f t="shared" si="59"/>
        <v>0</v>
      </c>
      <c r="IW31" s="45"/>
      <c r="IX31" s="48"/>
      <c r="IY31" s="49"/>
      <c r="IZ31" s="55">
        <f t="shared" si="60"/>
        <v>0</v>
      </c>
      <c r="JA31" s="45"/>
      <c r="JB31" s="35" t="e">
        <f t="shared" si="61"/>
        <v>#VALUE!</v>
      </c>
      <c r="JC31" s="35" t="e">
        <f t="shared" si="62"/>
        <v>#VALUE!</v>
      </c>
      <c r="JD31" s="35" t="e">
        <f t="shared" si="63"/>
        <v>#VALUE!</v>
      </c>
      <c r="JE31" s="35" t="e">
        <f t="shared" si="67"/>
        <v>#VALUE!</v>
      </c>
      <c r="JF31" s="35"/>
      <c r="JP31" s="35"/>
    </row>
    <row r="32" spans="2:276" ht="30" customHeight="1" thickBot="1" x14ac:dyDescent="0.35">
      <c r="B32" s="22"/>
      <c r="C32" s="76"/>
      <c r="D32" s="15"/>
      <c r="E32" s="38"/>
      <c r="F32" s="52"/>
      <c r="G32" s="53"/>
      <c r="H32" s="56"/>
      <c r="I32" s="46"/>
      <c r="J32" s="52"/>
      <c r="K32" s="53"/>
      <c r="L32" s="56"/>
      <c r="M32" s="46"/>
      <c r="N32" s="52"/>
      <c r="O32" s="53"/>
      <c r="P32" s="56"/>
      <c r="Q32" s="46"/>
      <c r="R32" s="54"/>
      <c r="S32" s="54"/>
      <c r="T32" s="56"/>
      <c r="U32" s="46"/>
      <c r="V32" s="52"/>
      <c r="W32" s="53"/>
      <c r="X32" s="56"/>
      <c r="Y32" s="46"/>
      <c r="Z32" s="52"/>
      <c r="AA32" s="53"/>
      <c r="AB32" s="56"/>
      <c r="AC32" s="46"/>
      <c r="AD32" s="52"/>
      <c r="AE32" s="53"/>
      <c r="AF32" s="56"/>
      <c r="AG32" s="46"/>
      <c r="AH32" s="54"/>
      <c r="AI32" s="54"/>
      <c r="AJ32" s="74"/>
      <c r="AK32" s="46"/>
      <c r="AL32" s="52"/>
      <c r="AM32" s="53"/>
      <c r="AN32" s="56"/>
      <c r="AO32" s="46"/>
      <c r="AP32" s="52"/>
      <c r="AQ32" s="53"/>
      <c r="AR32" s="56"/>
      <c r="AS32" s="46"/>
      <c r="AT32" s="52"/>
      <c r="AU32" s="53"/>
      <c r="AV32" s="56"/>
      <c r="AW32" s="46"/>
      <c r="AX32" s="52"/>
      <c r="AY32" s="53"/>
      <c r="AZ32" s="56"/>
      <c r="BA32" s="46"/>
      <c r="BB32" s="52"/>
      <c r="BC32" s="53"/>
      <c r="BD32" s="56">
        <f t="shared" si="9"/>
        <v>0</v>
      </c>
      <c r="BE32" s="46"/>
      <c r="BF32" s="52"/>
      <c r="BG32" s="53"/>
      <c r="BH32" s="56">
        <f t="shared" si="10"/>
        <v>0</v>
      </c>
      <c r="BI32" s="46"/>
      <c r="BJ32" s="52"/>
      <c r="BK32" s="53"/>
      <c r="BL32" s="56">
        <f t="shared" si="11"/>
        <v>0</v>
      </c>
      <c r="BM32" s="46"/>
      <c r="BN32" s="52"/>
      <c r="BO32" s="53"/>
      <c r="BP32" s="56">
        <f t="shared" si="12"/>
        <v>0</v>
      </c>
      <c r="BQ32" s="46"/>
      <c r="BR32" s="52"/>
      <c r="BS32" s="53"/>
      <c r="BT32" s="56">
        <f t="shared" si="13"/>
        <v>0</v>
      </c>
      <c r="BU32" s="46"/>
      <c r="BV32" s="52"/>
      <c r="BW32" s="53"/>
      <c r="BX32" s="56">
        <f t="shared" si="14"/>
        <v>0</v>
      </c>
      <c r="BY32" s="46"/>
      <c r="BZ32" s="52"/>
      <c r="CA32" s="53"/>
      <c r="CB32" s="56">
        <f t="shared" si="15"/>
        <v>0</v>
      </c>
      <c r="CC32" s="46"/>
      <c r="CD32" s="52"/>
      <c r="CE32" s="53"/>
      <c r="CF32" s="56">
        <f t="shared" si="16"/>
        <v>0</v>
      </c>
      <c r="CG32" s="46"/>
      <c r="CH32" s="52"/>
      <c r="CI32" s="53"/>
      <c r="CJ32" s="56">
        <f t="shared" si="17"/>
        <v>0</v>
      </c>
      <c r="CK32" s="46"/>
      <c r="CL32" s="52"/>
      <c r="CM32" s="53"/>
      <c r="CN32" s="56">
        <f t="shared" si="18"/>
        <v>0</v>
      </c>
      <c r="CO32" s="46"/>
      <c r="CP32" s="52"/>
      <c r="CQ32" s="53"/>
      <c r="CR32" s="56">
        <f t="shared" si="19"/>
        <v>0</v>
      </c>
      <c r="CS32" s="46"/>
      <c r="CT32" s="52"/>
      <c r="CU32" s="53"/>
      <c r="CV32" s="56">
        <f t="shared" si="20"/>
        <v>0</v>
      </c>
      <c r="CW32" s="46"/>
      <c r="CX32" s="52"/>
      <c r="CY32" s="53"/>
      <c r="CZ32" s="56">
        <f t="shared" si="21"/>
        <v>0</v>
      </c>
      <c r="DA32" s="46"/>
      <c r="DB32" s="52"/>
      <c r="DC32" s="53"/>
      <c r="DD32" s="56">
        <f t="shared" si="22"/>
        <v>0</v>
      </c>
      <c r="DE32" s="46"/>
      <c r="DF32" s="52"/>
      <c r="DG32" s="53"/>
      <c r="DH32" s="56">
        <f t="shared" si="23"/>
        <v>0</v>
      </c>
      <c r="DI32" s="46"/>
      <c r="DJ32" s="52"/>
      <c r="DK32" s="53"/>
      <c r="DL32" s="56">
        <f t="shared" si="24"/>
        <v>0</v>
      </c>
      <c r="DM32" s="46"/>
      <c r="DN32" s="52"/>
      <c r="DO32" s="53"/>
      <c r="DP32" s="56">
        <f t="shared" si="25"/>
        <v>0</v>
      </c>
      <c r="DQ32" s="46"/>
      <c r="DR32" s="52"/>
      <c r="DS32" s="53"/>
      <c r="DT32" s="56">
        <f t="shared" si="26"/>
        <v>0</v>
      </c>
      <c r="DU32" s="46"/>
      <c r="DV32" s="52"/>
      <c r="DW32" s="53"/>
      <c r="DX32" s="56">
        <f t="shared" si="27"/>
        <v>0</v>
      </c>
      <c r="DY32" s="46"/>
      <c r="DZ32" s="52"/>
      <c r="EA32" s="53"/>
      <c r="EB32" s="56">
        <f t="shared" si="28"/>
        <v>0</v>
      </c>
      <c r="EC32" s="46"/>
      <c r="ED32" s="52"/>
      <c r="EE32" s="53"/>
      <c r="EF32" s="56">
        <f t="shared" si="29"/>
        <v>0</v>
      </c>
      <c r="EG32" s="46"/>
      <c r="EH32" s="52"/>
      <c r="EI32" s="53"/>
      <c r="EJ32" s="56">
        <f t="shared" si="30"/>
        <v>0</v>
      </c>
      <c r="EK32" s="46"/>
      <c r="EL32" s="52"/>
      <c r="EM32" s="53"/>
      <c r="EN32" s="56">
        <f t="shared" si="31"/>
        <v>0</v>
      </c>
      <c r="EO32" s="46"/>
      <c r="EP32" s="52"/>
      <c r="EQ32" s="53"/>
      <c r="ER32" s="56">
        <f t="shared" si="32"/>
        <v>0</v>
      </c>
      <c r="ES32" s="46"/>
      <c r="ET32" s="52"/>
      <c r="EU32" s="53"/>
      <c r="EV32" s="56">
        <f t="shared" si="33"/>
        <v>0</v>
      </c>
      <c r="EW32" s="46"/>
      <c r="EX32" s="52"/>
      <c r="EY32" s="53"/>
      <c r="EZ32" s="56">
        <f t="shared" si="34"/>
        <v>0</v>
      </c>
      <c r="FA32" s="46"/>
      <c r="FB32" s="52"/>
      <c r="FC32" s="53"/>
      <c r="FD32" s="56">
        <f t="shared" si="35"/>
        <v>0</v>
      </c>
      <c r="FE32" s="46"/>
      <c r="FF32" s="52"/>
      <c r="FG32" s="53"/>
      <c r="FH32" s="56">
        <f t="shared" si="36"/>
        <v>0</v>
      </c>
      <c r="FI32" s="46"/>
      <c r="FJ32" s="52"/>
      <c r="FK32" s="53"/>
      <c r="FL32" s="56">
        <f t="shared" si="37"/>
        <v>0</v>
      </c>
      <c r="FM32" s="46"/>
      <c r="FN32" s="52"/>
      <c r="FO32" s="53"/>
      <c r="FP32" s="56">
        <f t="shared" si="38"/>
        <v>0</v>
      </c>
      <c r="FQ32" s="46"/>
      <c r="FR32" s="52"/>
      <c r="FS32" s="53"/>
      <c r="FT32" s="56">
        <f t="shared" si="39"/>
        <v>0</v>
      </c>
      <c r="FU32" s="46"/>
      <c r="FV32" s="52"/>
      <c r="FW32" s="53"/>
      <c r="FX32" s="56">
        <f t="shared" si="40"/>
        <v>0</v>
      </c>
      <c r="FY32" s="46"/>
      <c r="FZ32" s="52"/>
      <c r="GA32" s="53"/>
      <c r="GB32" s="56">
        <f t="shared" si="41"/>
        <v>0</v>
      </c>
      <c r="GC32" s="46"/>
      <c r="GD32" s="52"/>
      <c r="GE32" s="53"/>
      <c r="GF32" s="56">
        <f t="shared" si="42"/>
        <v>0</v>
      </c>
      <c r="GG32" s="46"/>
      <c r="GH32" s="52"/>
      <c r="GI32" s="53"/>
      <c r="GJ32" s="56">
        <f t="shared" si="43"/>
        <v>0</v>
      </c>
      <c r="GK32" s="46"/>
      <c r="GL32" s="52"/>
      <c r="GM32" s="53"/>
      <c r="GN32" s="56">
        <f t="shared" si="44"/>
        <v>0</v>
      </c>
      <c r="GO32" s="46"/>
      <c r="GP32" s="52"/>
      <c r="GQ32" s="53"/>
      <c r="GR32" s="56">
        <f t="shared" si="45"/>
        <v>0</v>
      </c>
      <c r="GS32" s="46"/>
      <c r="GT32" s="52"/>
      <c r="GU32" s="53"/>
      <c r="GV32" s="56">
        <f t="shared" si="46"/>
        <v>0</v>
      </c>
      <c r="GW32" s="46"/>
      <c r="GX32" s="52"/>
      <c r="GY32" s="53"/>
      <c r="GZ32" s="56">
        <f t="shared" si="47"/>
        <v>0</v>
      </c>
      <c r="HA32" s="46"/>
      <c r="HB32" s="52"/>
      <c r="HC32" s="53"/>
      <c r="HD32" s="56">
        <f t="shared" si="48"/>
        <v>0</v>
      </c>
      <c r="HE32" s="46"/>
      <c r="HF32" s="52"/>
      <c r="HG32" s="53"/>
      <c r="HH32" s="56">
        <f t="shared" si="49"/>
        <v>0</v>
      </c>
      <c r="HI32" s="46"/>
      <c r="HJ32" s="52"/>
      <c r="HK32" s="53"/>
      <c r="HL32" s="56">
        <f t="shared" si="50"/>
        <v>0</v>
      </c>
      <c r="HM32" s="46"/>
      <c r="HN32" s="52"/>
      <c r="HO32" s="53"/>
      <c r="HP32" s="56">
        <f t="shared" si="51"/>
        <v>0</v>
      </c>
      <c r="HQ32" s="46"/>
      <c r="HR32" s="52"/>
      <c r="HS32" s="53"/>
      <c r="HT32" s="56">
        <f t="shared" si="52"/>
        <v>0</v>
      </c>
      <c r="HU32" s="46"/>
      <c r="HV32" s="52"/>
      <c r="HW32" s="53"/>
      <c r="HX32" s="56">
        <f t="shared" si="53"/>
        <v>0</v>
      </c>
      <c r="HY32" s="46"/>
      <c r="HZ32" s="52"/>
      <c r="IA32" s="53"/>
      <c r="IB32" s="56">
        <f t="shared" si="54"/>
        <v>0</v>
      </c>
      <c r="IC32" s="46"/>
      <c r="ID32" s="52"/>
      <c r="IE32" s="53"/>
      <c r="IF32" s="56">
        <f t="shared" si="55"/>
        <v>0</v>
      </c>
      <c r="IG32" s="46"/>
      <c r="IH32" s="52"/>
      <c r="II32" s="53"/>
      <c r="IJ32" s="56">
        <f t="shared" si="56"/>
        <v>0</v>
      </c>
      <c r="IK32" s="46"/>
      <c r="IL32" s="52"/>
      <c r="IM32" s="53"/>
      <c r="IN32" s="56">
        <f t="shared" si="57"/>
        <v>0</v>
      </c>
      <c r="IO32" s="46"/>
      <c r="IP32" s="52"/>
      <c r="IQ32" s="53"/>
      <c r="IR32" s="56">
        <f t="shared" si="58"/>
        <v>0</v>
      </c>
      <c r="IS32" s="46"/>
      <c r="IT32" s="52"/>
      <c r="IU32" s="53"/>
      <c r="IV32" s="56">
        <f t="shared" si="59"/>
        <v>0</v>
      </c>
      <c r="IW32" s="46"/>
      <c r="IX32" s="52"/>
      <c r="IY32" s="53"/>
      <c r="IZ32" s="56">
        <f t="shared" si="60"/>
        <v>0</v>
      </c>
      <c r="JA32" s="46"/>
      <c r="JB32" s="35" t="e">
        <f t="shared" si="61"/>
        <v>#VALUE!</v>
      </c>
      <c r="JC32" s="35" t="e">
        <f t="shared" si="62"/>
        <v>#VALUE!</v>
      </c>
      <c r="JD32" s="35" t="e">
        <f t="shared" si="63"/>
        <v>#VALUE!</v>
      </c>
      <c r="JE32" s="35" t="e">
        <f t="shared" si="67"/>
        <v>#VALUE!</v>
      </c>
      <c r="JP32" s="35"/>
    </row>
    <row r="33" spans="3:261" ht="15.75" thickBot="1" x14ac:dyDescent="0.3"/>
    <row r="34" spans="3:261" ht="15" customHeight="1" x14ac:dyDescent="0.3">
      <c r="C34" s="68"/>
      <c r="D34" s="28"/>
      <c r="H34" s="362"/>
      <c r="I34" s="362"/>
      <c r="J34" s="362"/>
      <c r="K34" s="362"/>
      <c r="L34" s="362"/>
      <c r="M34" s="362"/>
      <c r="N34" s="362"/>
      <c r="O34" s="362"/>
      <c r="P34" s="362"/>
      <c r="Q34" s="362"/>
      <c r="R34" s="362"/>
      <c r="S34" s="362"/>
      <c r="T34" s="362"/>
      <c r="U34" s="362"/>
      <c r="V34" s="362"/>
      <c r="W34" s="362"/>
      <c r="X34" s="362"/>
      <c r="Y34" s="362"/>
      <c r="Z34" s="362"/>
      <c r="AA34" s="362"/>
      <c r="AB34" s="362"/>
      <c r="AC34" s="362"/>
      <c r="AD34" s="362"/>
      <c r="AE34" s="362"/>
      <c r="AF34" s="362"/>
      <c r="AG34" s="362"/>
      <c r="AH34" s="362"/>
      <c r="AI34" s="362"/>
      <c r="AJ34" s="362"/>
      <c r="AK34" s="362"/>
      <c r="AL34" s="362"/>
      <c r="AM34" s="362"/>
      <c r="AN34" s="362"/>
      <c r="AO34" s="362"/>
      <c r="AP34" s="362"/>
      <c r="AQ34" s="362"/>
      <c r="AR34" s="362"/>
      <c r="AS34" s="362"/>
      <c r="AT34" s="362"/>
      <c r="AU34" s="362"/>
      <c r="AV34" s="362"/>
      <c r="AW34" s="362"/>
      <c r="AX34" s="362"/>
      <c r="AY34" s="362"/>
      <c r="AZ34" s="362"/>
      <c r="BA34" s="362"/>
      <c r="BB34" s="362"/>
      <c r="BC34" s="362"/>
      <c r="BD34" s="362"/>
      <c r="BE34" s="362"/>
      <c r="BF34" s="362"/>
      <c r="BG34" s="362"/>
      <c r="BH34" s="362"/>
      <c r="BI34" s="362"/>
      <c r="BJ34" s="362"/>
      <c r="BK34" s="362"/>
      <c r="BL34" s="362"/>
      <c r="BM34" s="362"/>
      <c r="BN34" s="362"/>
      <c r="BO34" s="362"/>
      <c r="BP34" s="362"/>
      <c r="BQ34" s="362"/>
      <c r="BR34" s="362"/>
      <c r="BS34" s="362"/>
      <c r="BT34" s="362"/>
      <c r="BU34" s="362"/>
      <c r="BV34" s="362"/>
      <c r="BW34" s="362"/>
      <c r="BX34" s="362"/>
      <c r="BY34" s="362"/>
      <c r="BZ34" s="362"/>
      <c r="CA34" s="362"/>
      <c r="CB34" s="362"/>
      <c r="CC34" s="362"/>
      <c r="CD34" s="362"/>
      <c r="CE34" s="362"/>
      <c r="CF34" s="362"/>
      <c r="CG34" s="362"/>
      <c r="CH34" s="362"/>
      <c r="CI34" s="362"/>
      <c r="CJ34" s="362"/>
      <c r="CK34" s="362"/>
      <c r="CL34" s="362"/>
      <c r="CM34" s="362"/>
      <c r="CN34" s="362"/>
      <c r="CO34" s="362"/>
      <c r="CP34" s="362"/>
      <c r="CQ34" s="362"/>
      <c r="CR34" s="362"/>
      <c r="CS34" s="362"/>
      <c r="CT34" s="362"/>
      <c r="CU34" s="362"/>
      <c r="CV34" s="362"/>
      <c r="CW34" s="362"/>
      <c r="CX34" s="362"/>
      <c r="CY34" s="362"/>
      <c r="CZ34" s="362"/>
      <c r="DA34" s="362"/>
      <c r="DB34" s="362"/>
      <c r="DC34" s="362"/>
      <c r="DD34" s="362"/>
      <c r="DE34" s="362"/>
      <c r="DF34" s="362"/>
      <c r="DG34" s="362"/>
      <c r="DH34" s="362"/>
      <c r="DI34" s="362"/>
      <c r="DJ34" s="362"/>
      <c r="DK34" s="362"/>
      <c r="DL34" s="362"/>
      <c r="DM34" s="362"/>
      <c r="DN34" s="362"/>
      <c r="DO34" s="362"/>
      <c r="DP34" s="362"/>
      <c r="DQ34" s="362"/>
      <c r="DR34" s="362"/>
      <c r="DS34" s="362"/>
      <c r="DT34" s="362"/>
      <c r="DU34" s="362"/>
      <c r="DV34" s="362"/>
      <c r="DW34" s="362"/>
      <c r="DX34" s="362"/>
      <c r="DY34" s="362"/>
      <c r="DZ34" s="362"/>
      <c r="EA34" s="362"/>
      <c r="EB34" s="362"/>
      <c r="EC34" s="362"/>
      <c r="ED34" s="362"/>
      <c r="EE34" s="362"/>
      <c r="EF34" s="362"/>
      <c r="EG34" s="362"/>
      <c r="EH34" s="362"/>
      <c r="EI34" s="362"/>
      <c r="EJ34" s="362"/>
      <c r="EK34" s="362"/>
      <c r="EL34" s="362"/>
      <c r="EM34" s="362"/>
      <c r="EN34" s="362"/>
      <c r="EO34" s="362"/>
      <c r="EP34" s="362"/>
      <c r="EQ34" s="362"/>
      <c r="ER34" s="362"/>
      <c r="ES34" s="362"/>
      <c r="ET34" s="362"/>
      <c r="EU34" s="362"/>
      <c r="EV34" s="362"/>
      <c r="EW34" s="362"/>
      <c r="EX34" s="362"/>
      <c r="EY34" s="362"/>
      <c r="EZ34" s="362"/>
      <c r="FA34" s="362"/>
      <c r="FB34" s="362"/>
      <c r="FC34" s="362"/>
      <c r="FD34" s="362"/>
      <c r="FE34" s="362"/>
      <c r="FF34" s="362"/>
      <c r="FG34" s="362"/>
      <c r="FH34" s="362"/>
      <c r="FI34" s="362"/>
      <c r="FJ34" s="362"/>
      <c r="FK34" s="362"/>
      <c r="FL34" s="362"/>
      <c r="FM34" s="362"/>
      <c r="FN34" s="362"/>
      <c r="FO34" s="362"/>
      <c r="FP34" s="362"/>
      <c r="FQ34" s="362"/>
      <c r="FR34" s="362"/>
      <c r="FS34" s="362"/>
      <c r="FT34" s="362"/>
      <c r="FU34" s="362"/>
      <c r="FV34" s="362"/>
      <c r="FW34" s="362"/>
      <c r="FX34" s="362"/>
      <c r="FY34" s="362"/>
      <c r="FZ34" s="362"/>
      <c r="GA34" s="362"/>
      <c r="GB34" s="362"/>
      <c r="GC34" s="362"/>
      <c r="GD34" s="362"/>
      <c r="GE34" s="362"/>
      <c r="GF34" s="362"/>
      <c r="GG34" s="362"/>
      <c r="GH34" s="362"/>
      <c r="GI34" s="362"/>
      <c r="GJ34" s="362"/>
      <c r="GK34" s="362"/>
      <c r="GL34" s="362"/>
      <c r="GM34" s="362"/>
      <c r="GN34" s="362"/>
      <c r="GO34" s="362"/>
      <c r="GP34" s="362"/>
      <c r="GQ34" s="362"/>
      <c r="GR34" s="362"/>
      <c r="GS34" s="362"/>
      <c r="GT34" s="362"/>
      <c r="GU34" s="362"/>
      <c r="GV34" s="362"/>
      <c r="GW34" s="362"/>
      <c r="GX34" s="362"/>
      <c r="GY34" s="362"/>
      <c r="GZ34" s="362"/>
      <c r="HA34" s="362"/>
      <c r="HB34" s="362"/>
      <c r="HC34" s="362"/>
      <c r="HD34" s="362"/>
      <c r="HE34" s="362"/>
      <c r="HF34" s="362"/>
      <c r="HG34" s="362"/>
      <c r="HH34" s="362"/>
      <c r="HI34" s="362"/>
      <c r="HJ34" s="362"/>
      <c r="HK34" s="362"/>
      <c r="HL34" s="362"/>
      <c r="HM34" s="362"/>
      <c r="HN34" s="362"/>
      <c r="HO34" s="362"/>
      <c r="HP34" s="362"/>
      <c r="HQ34" s="362"/>
      <c r="HR34" s="362"/>
      <c r="HS34" s="362"/>
      <c r="HT34" s="362"/>
      <c r="HU34" s="362"/>
      <c r="HV34" s="362"/>
      <c r="HW34" s="362"/>
      <c r="HX34" s="362"/>
      <c r="HY34" s="362"/>
      <c r="HZ34" s="362"/>
      <c r="IA34" s="362"/>
      <c r="IB34" s="362"/>
      <c r="IC34" s="362"/>
      <c r="ID34" s="362"/>
      <c r="IE34" s="362"/>
      <c r="IF34" s="362"/>
      <c r="IG34" s="362"/>
      <c r="IH34" s="362"/>
      <c r="II34" s="362"/>
      <c r="IJ34" s="362"/>
      <c r="IK34" s="362"/>
      <c r="IL34" s="362"/>
      <c r="IM34" s="362"/>
      <c r="IN34" s="362"/>
      <c r="IO34" s="362"/>
      <c r="IP34" s="362"/>
      <c r="IQ34" s="362"/>
      <c r="IR34" s="362"/>
      <c r="IS34" s="362"/>
      <c r="IT34" s="362"/>
      <c r="IU34" s="362"/>
      <c r="IV34" s="362"/>
      <c r="IW34" s="362"/>
      <c r="IX34" s="362"/>
      <c r="IY34" s="362"/>
      <c r="IZ34" s="362"/>
      <c r="JA34" s="362"/>
    </row>
    <row r="35" spans="3:261" x14ac:dyDescent="0.25">
      <c r="H35" s="363"/>
      <c r="I35" s="363"/>
      <c r="J35" s="363"/>
      <c r="K35" s="363"/>
      <c r="L35" s="363"/>
      <c r="M35" s="363"/>
      <c r="N35" s="363"/>
      <c r="O35" s="363"/>
      <c r="P35" s="363"/>
      <c r="Q35" s="363"/>
      <c r="R35" s="363"/>
      <c r="S35" s="363"/>
      <c r="T35" s="363"/>
      <c r="U35" s="363"/>
      <c r="V35" s="363"/>
      <c r="W35" s="363"/>
      <c r="X35" s="363"/>
      <c r="Y35" s="363"/>
      <c r="Z35" s="363"/>
      <c r="AA35" s="363"/>
      <c r="AB35" s="363"/>
      <c r="AC35" s="363"/>
      <c r="AD35" s="363"/>
      <c r="AE35" s="363"/>
      <c r="AF35" s="363"/>
      <c r="AG35" s="363"/>
      <c r="AH35" s="363"/>
      <c r="AI35" s="363"/>
      <c r="AJ35" s="363"/>
      <c r="AK35" s="363"/>
      <c r="AL35" s="363"/>
      <c r="AM35" s="363"/>
      <c r="AN35" s="363"/>
      <c r="AO35" s="363"/>
      <c r="AP35" s="363"/>
      <c r="AQ35" s="363"/>
      <c r="AR35" s="363"/>
      <c r="AS35" s="363"/>
      <c r="AT35" s="363"/>
      <c r="AU35" s="363"/>
      <c r="AV35" s="363"/>
      <c r="AW35" s="363"/>
      <c r="AX35" s="363"/>
      <c r="AY35" s="363"/>
      <c r="AZ35" s="363"/>
      <c r="BA35" s="363"/>
      <c r="BB35" s="363"/>
      <c r="BC35" s="363"/>
      <c r="BD35" s="363"/>
      <c r="BE35" s="363"/>
      <c r="BF35" s="363"/>
      <c r="BG35" s="363"/>
      <c r="BH35" s="363"/>
      <c r="BI35" s="363"/>
      <c r="BJ35" s="363"/>
      <c r="BK35" s="363"/>
      <c r="BL35" s="363"/>
      <c r="BM35" s="363"/>
      <c r="BN35" s="363"/>
      <c r="BO35" s="363"/>
      <c r="BP35" s="363"/>
      <c r="BQ35" s="363"/>
      <c r="BR35" s="363"/>
      <c r="BS35" s="363"/>
      <c r="BT35" s="363"/>
      <c r="BU35" s="363"/>
      <c r="BV35" s="363"/>
      <c r="BW35" s="363"/>
      <c r="BX35" s="363"/>
      <c r="BY35" s="363"/>
      <c r="BZ35" s="363"/>
      <c r="CA35" s="363"/>
      <c r="CB35" s="363"/>
      <c r="CC35" s="363"/>
      <c r="CD35" s="363"/>
      <c r="CE35" s="363"/>
      <c r="CF35" s="363"/>
      <c r="CG35" s="363"/>
      <c r="CH35" s="363"/>
      <c r="CI35" s="363"/>
      <c r="CJ35" s="363"/>
      <c r="CK35" s="363"/>
      <c r="CL35" s="363"/>
      <c r="CM35" s="363"/>
      <c r="CN35" s="363"/>
      <c r="CO35" s="363"/>
      <c r="CP35" s="363"/>
      <c r="CQ35" s="363"/>
      <c r="CR35" s="363"/>
      <c r="CS35" s="363"/>
      <c r="CT35" s="363"/>
      <c r="CU35" s="363"/>
      <c r="CV35" s="363"/>
      <c r="CW35" s="363"/>
      <c r="CX35" s="363"/>
      <c r="CY35" s="363"/>
      <c r="CZ35" s="363"/>
      <c r="DA35" s="363"/>
      <c r="DB35" s="363"/>
      <c r="DC35" s="363"/>
      <c r="DD35" s="363"/>
      <c r="DE35" s="363"/>
      <c r="DF35" s="363"/>
      <c r="DG35" s="363"/>
      <c r="DH35" s="363"/>
      <c r="DI35" s="363"/>
      <c r="DJ35" s="363"/>
      <c r="DK35" s="363"/>
      <c r="DL35" s="363"/>
      <c r="DM35" s="363"/>
      <c r="DN35" s="363"/>
      <c r="DO35" s="363"/>
      <c r="DP35" s="363"/>
      <c r="DQ35" s="363"/>
      <c r="DR35" s="363"/>
      <c r="DS35" s="363"/>
      <c r="DT35" s="363"/>
      <c r="DU35" s="363"/>
      <c r="DV35" s="363"/>
      <c r="DW35" s="363"/>
      <c r="DX35" s="363"/>
      <c r="DY35" s="363"/>
      <c r="DZ35" s="363"/>
      <c r="EA35" s="363"/>
      <c r="EB35" s="363"/>
      <c r="EC35" s="363"/>
      <c r="ED35" s="363"/>
      <c r="EE35" s="363"/>
      <c r="EF35" s="363"/>
      <c r="EG35" s="363"/>
      <c r="EH35" s="363"/>
      <c r="EI35" s="363"/>
      <c r="EJ35" s="363"/>
      <c r="EK35" s="363"/>
      <c r="EL35" s="363"/>
      <c r="EM35" s="363"/>
      <c r="EN35" s="363"/>
      <c r="EO35" s="363"/>
      <c r="EP35" s="363"/>
      <c r="EQ35" s="363"/>
      <c r="ER35" s="363"/>
      <c r="ES35" s="363"/>
      <c r="ET35" s="363"/>
      <c r="EU35" s="363"/>
      <c r="EV35" s="363"/>
      <c r="EW35" s="363"/>
      <c r="EX35" s="363"/>
      <c r="EY35" s="363"/>
      <c r="EZ35" s="363"/>
      <c r="FA35" s="363"/>
      <c r="FB35" s="363"/>
      <c r="FC35" s="363"/>
      <c r="FD35" s="363"/>
      <c r="FE35" s="363"/>
      <c r="FF35" s="363"/>
      <c r="FG35" s="363"/>
      <c r="FH35" s="363"/>
      <c r="FI35" s="363"/>
      <c r="FJ35" s="363"/>
      <c r="FK35" s="363"/>
      <c r="FL35" s="363"/>
      <c r="FM35" s="363"/>
      <c r="FN35" s="363"/>
      <c r="FO35" s="363"/>
      <c r="FP35" s="363"/>
      <c r="FQ35" s="363"/>
      <c r="FR35" s="363"/>
      <c r="FS35" s="363"/>
      <c r="FT35" s="363"/>
      <c r="FU35" s="363"/>
      <c r="FV35" s="363"/>
      <c r="FW35" s="363"/>
      <c r="FX35" s="363"/>
      <c r="FY35" s="363"/>
      <c r="FZ35" s="363"/>
      <c r="GA35" s="363"/>
      <c r="GB35" s="363"/>
      <c r="GC35" s="363"/>
      <c r="GD35" s="363"/>
      <c r="GE35" s="363"/>
      <c r="GF35" s="363"/>
      <c r="GG35" s="363"/>
      <c r="GH35" s="363"/>
      <c r="GI35" s="363"/>
      <c r="GJ35" s="363"/>
      <c r="GK35" s="363"/>
      <c r="GL35" s="363"/>
      <c r="GM35" s="363"/>
      <c r="GN35" s="363"/>
      <c r="GO35" s="363"/>
      <c r="GP35" s="363"/>
      <c r="GQ35" s="363"/>
      <c r="GR35" s="363"/>
      <c r="GS35" s="363"/>
      <c r="GT35" s="363"/>
      <c r="GU35" s="363"/>
      <c r="GV35" s="363"/>
      <c r="GW35" s="363"/>
      <c r="GX35" s="363"/>
      <c r="GY35" s="363"/>
      <c r="GZ35" s="363"/>
      <c r="HA35" s="363"/>
      <c r="HB35" s="363"/>
      <c r="HC35" s="363"/>
      <c r="HD35" s="363"/>
      <c r="HE35" s="363"/>
      <c r="HF35" s="363"/>
      <c r="HG35" s="363"/>
      <c r="HH35" s="363"/>
      <c r="HI35" s="363"/>
      <c r="HJ35" s="363"/>
      <c r="HK35" s="363"/>
      <c r="HL35" s="363"/>
      <c r="HM35" s="363"/>
      <c r="HN35" s="363"/>
      <c r="HO35" s="363"/>
      <c r="HP35" s="363"/>
      <c r="HQ35" s="363"/>
      <c r="HR35" s="363"/>
      <c r="HS35" s="363"/>
      <c r="HT35" s="363"/>
      <c r="HU35" s="363"/>
      <c r="HV35" s="363"/>
      <c r="HW35" s="363"/>
      <c r="HX35" s="363"/>
      <c r="HY35" s="363"/>
      <c r="HZ35" s="363"/>
      <c r="IA35" s="363"/>
      <c r="IB35" s="363"/>
      <c r="IC35" s="363"/>
      <c r="ID35" s="363"/>
      <c r="IE35" s="363"/>
      <c r="IF35" s="363"/>
      <c r="IG35" s="363"/>
      <c r="IH35" s="363"/>
      <c r="II35" s="363"/>
      <c r="IJ35" s="363"/>
      <c r="IK35" s="363"/>
      <c r="IL35" s="363"/>
      <c r="IM35" s="363"/>
      <c r="IN35" s="363"/>
      <c r="IO35" s="363"/>
      <c r="IP35" s="363"/>
      <c r="IQ35" s="363"/>
      <c r="IR35" s="363"/>
      <c r="IS35" s="363"/>
      <c r="IT35" s="363"/>
      <c r="IU35" s="363"/>
      <c r="IV35" s="363"/>
      <c r="IW35" s="363"/>
      <c r="IX35" s="363"/>
      <c r="IY35" s="363"/>
      <c r="IZ35" s="363"/>
      <c r="JA35" s="363"/>
    </row>
    <row r="36" spans="3:261" x14ac:dyDescent="0.25">
      <c r="H36" s="363"/>
      <c r="I36" s="363"/>
      <c r="J36" s="363"/>
      <c r="K36" s="363"/>
      <c r="L36" s="363"/>
      <c r="M36" s="363"/>
      <c r="N36" s="363"/>
      <c r="O36" s="363"/>
      <c r="P36" s="363"/>
      <c r="Q36" s="363"/>
      <c r="R36" s="363"/>
      <c r="S36" s="363"/>
      <c r="T36" s="363"/>
      <c r="U36" s="363"/>
      <c r="V36" s="363"/>
      <c r="W36" s="363"/>
      <c r="X36" s="363"/>
      <c r="Y36" s="363"/>
      <c r="Z36" s="363"/>
      <c r="AA36" s="363"/>
      <c r="AB36" s="363"/>
      <c r="AC36" s="363"/>
      <c r="AD36" s="363"/>
      <c r="AE36" s="363"/>
      <c r="AF36" s="363"/>
      <c r="AG36" s="363"/>
      <c r="AH36" s="363"/>
      <c r="AI36" s="363"/>
      <c r="AJ36" s="363"/>
      <c r="AK36" s="363"/>
      <c r="AL36" s="363"/>
      <c r="AM36" s="363"/>
      <c r="AN36" s="363"/>
      <c r="AO36" s="363"/>
      <c r="AP36" s="363"/>
      <c r="AQ36" s="363"/>
      <c r="AR36" s="363"/>
      <c r="AS36" s="363"/>
      <c r="AT36" s="363"/>
      <c r="AU36" s="363"/>
      <c r="AV36" s="363"/>
      <c r="AW36" s="363"/>
      <c r="AX36" s="363"/>
      <c r="AY36" s="363"/>
      <c r="AZ36" s="363"/>
      <c r="BA36" s="363"/>
      <c r="BB36" s="363"/>
      <c r="BC36" s="363"/>
      <c r="BD36" s="363"/>
      <c r="BE36" s="363"/>
      <c r="BF36" s="363"/>
      <c r="BG36" s="363"/>
      <c r="BH36" s="363"/>
      <c r="BI36" s="363"/>
      <c r="BJ36" s="363"/>
      <c r="BK36" s="363"/>
      <c r="BL36" s="363"/>
      <c r="BM36" s="363"/>
      <c r="BN36" s="363"/>
      <c r="BO36" s="363"/>
      <c r="BP36" s="363"/>
      <c r="BQ36" s="363"/>
      <c r="BR36" s="363"/>
      <c r="BS36" s="363"/>
      <c r="BT36" s="363"/>
      <c r="BU36" s="363"/>
      <c r="BV36" s="363"/>
      <c r="BW36" s="363"/>
      <c r="BX36" s="363"/>
      <c r="BY36" s="363"/>
      <c r="BZ36" s="363"/>
      <c r="CA36" s="363"/>
      <c r="CB36" s="363"/>
      <c r="CC36" s="363"/>
      <c r="CD36" s="363"/>
      <c r="CE36" s="363"/>
      <c r="CF36" s="363"/>
      <c r="CG36" s="363"/>
      <c r="CH36" s="363"/>
      <c r="CI36" s="363"/>
      <c r="CJ36" s="363"/>
      <c r="CK36" s="363"/>
      <c r="CL36" s="363"/>
      <c r="CM36" s="363"/>
      <c r="CN36" s="363"/>
      <c r="CO36" s="363"/>
      <c r="CP36" s="363"/>
      <c r="CQ36" s="363"/>
      <c r="CR36" s="363"/>
      <c r="CS36" s="363"/>
      <c r="CT36" s="363"/>
      <c r="CU36" s="363"/>
      <c r="CV36" s="363"/>
      <c r="CW36" s="363"/>
      <c r="CX36" s="363"/>
      <c r="CY36" s="363"/>
      <c r="CZ36" s="363"/>
      <c r="DA36" s="363"/>
      <c r="DB36" s="363"/>
      <c r="DC36" s="363"/>
      <c r="DD36" s="363"/>
      <c r="DE36" s="363"/>
      <c r="DF36" s="363"/>
      <c r="DG36" s="363"/>
      <c r="DH36" s="363"/>
      <c r="DI36" s="363"/>
      <c r="DJ36" s="363"/>
      <c r="DK36" s="363"/>
      <c r="DL36" s="363"/>
      <c r="DM36" s="363"/>
      <c r="DN36" s="363"/>
      <c r="DO36" s="363"/>
      <c r="DP36" s="363"/>
      <c r="DQ36" s="363"/>
      <c r="DR36" s="363"/>
      <c r="DS36" s="363"/>
      <c r="DT36" s="363"/>
      <c r="DU36" s="363"/>
      <c r="DV36" s="363"/>
      <c r="DW36" s="363"/>
      <c r="DX36" s="363"/>
      <c r="DY36" s="363"/>
      <c r="DZ36" s="363"/>
      <c r="EA36" s="363"/>
      <c r="EB36" s="363"/>
      <c r="EC36" s="363"/>
      <c r="ED36" s="363"/>
      <c r="EE36" s="363"/>
      <c r="EF36" s="363"/>
      <c r="EG36" s="363"/>
      <c r="EH36" s="363"/>
      <c r="EI36" s="363"/>
      <c r="EJ36" s="363"/>
      <c r="EK36" s="363"/>
      <c r="EL36" s="363"/>
      <c r="EM36" s="363"/>
      <c r="EN36" s="363"/>
      <c r="EO36" s="363"/>
      <c r="EP36" s="363"/>
      <c r="EQ36" s="363"/>
      <c r="ER36" s="363"/>
      <c r="ES36" s="363"/>
      <c r="ET36" s="363"/>
      <c r="EU36" s="363"/>
      <c r="EV36" s="363"/>
      <c r="EW36" s="363"/>
      <c r="EX36" s="363"/>
      <c r="EY36" s="363"/>
      <c r="EZ36" s="363"/>
      <c r="FA36" s="363"/>
      <c r="FB36" s="363"/>
      <c r="FC36" s="363"/>
      <c r="FD36" s="363"/>
      <c r="FE36" s="363"/>
      <c r="FF36" s="363"/>
      <c r="FG36" s="363"/>
      <c r="FH36" s="363"/>
      <c r="FI36" s="363"/>
      <c r="FJ36" s="363"/>
      <c r="FK36" s="363"/>
      <c r="FL36" s="363"/>
      <c r="FM36" s="363"/>
      <c r="FN36" s="363"/>
      <c r="FO36" s="363"/>
      <c r="FP36" s="363"/>
      <c r="FQ36" s="363"/>
      <c r="FR36" s="363"/>
      <c r="FS36" s="363"/>
      <c r="FT36" s="363"/>
      <c r="FU36" s="363"/>
      <c r="FV36" s="363"/>
      <c r="FW36" s="363"/>
      <c r="FX36" s="363"/>
      <c r="FY36" s="363"/>
      <c r="FZ36" s="363"/>
      <c r="GA36" s="363"/>
      <c r="GB36" s="363"/>
      <c r="GC36" s="363"/>
      <c r="GD36" s="363"/>
      <c r="GE36" s="363"/>
      <c r="GF36" s="363"/>
      <c r="GG36" s="363"/>
      <c r="GH36" s="363"/>
      <c r="GI36" s="363"/>
      <c r="GJ36" s="363"/>
      <c r="GK36" s="363"/>
      <c r="GL36" s="363"/>
      <c r="GM36" s="363"/>
      <c r="GN36" s="363"/>
      <c r="GO36" s="363"/>
      <c r="GP36" s="363"/>
      <c r="GQ36" s="363"/>
      <c r="GR36" s="363"/>
      <c r="GS36" s="363"/>
      <c r="GT36" s="363"/>
      <c r="GU36" s="363"/>
      <c r="GV36" s="363"/>
      <c r="GW36" s="363"/>
      <c r="GX36" s="363"/>
      <c r="GY36" s="363"/>
      <c r="GZ36" s="363"/>
      <c r="HA36" s="363"/>
      <c r="HB36" s="363"/>
      <c r="HC36" s="363"/>
      <c r="HD36" s="363"/>
      <c r="HE36" s="363"/>
      <c r="HF36" s="363"/>
      <c r="HG36" s="363"/>
      <c r="HH36" s="363"/>
      <c r="HI36" s="363"/>
      <c r="HJ36" s="363"/>
      <c r="HK36" s="363"/>
      <c r="HL36" s="363"/>
      <c r="HM36" s="363"/>
      <c r="HN36" s="363"/>
      <c r="HO36" s="363"/>
      <c r="HP36" s="363"/>
      <c r="HQ36" s="363"/>
      <c r="HR36" s="363"/>
      <c r="HS36" s="363"/>
      <c r="HT36" s="363"/>
      <c r="HU36" s="363"/>
      <c r="HV36" s="363"/>
      <c r="HW36" s="363"/>
      <c r="HX36" s="363"/>
      <c r="HY36" s="363"/>
      <c r="HZ36" s="363"/>
      <c r="IA36" s="363"/>
      <c r="IB36" s="363"/>
      <c r="IC36" s="363"/>
      <c r="ID36" s="363"/>
      <c r="IE36" s="363"/>
      <c r="IF36" s="363"/>
      <c r="IG36" s="363"/>
      <c r="IH36" s="363"/>
      <c r="II36" s="363"/>
      <c r="IJ36" s="363"/>
      <c r="IK36" s="363"/>
      <c r="IL36" s="363"/>
      <c r="IM36" s="363"/>
      <c r="IN36" s="363"/>
      <c r="IO36" s="363"/>
      <c r="IP36" s="363"/>
      <c r="IQ36" s="363"/>
      <c r="IR36" s="363"/>
      <c r="IS36" s="363"/>
      <c r="IT36" s="363"/>
      <c r="IU36" s="363"/>
      <c r="IV36" s="363"/>
      <c r="IW36" s="363"/>
      <c r="IX36" s="363"/>
      <c r="IY36" s="363"/>
      <c r="IZ36" s="363"/>
      <c r="JA36" s="363"/>
    </row>
    <row r="37" spans="3:261" x14ac:dyDescent="0.25">
      <c r="H37" s="363"/>
      <c r="I37" s="363"/>
      <c r="J37" s="363"/>
      <c r="K37" s="363"/>
      <c r="L37" s="363"/>
      <c r="M37" s="363"/>
      <c r="N37" s="363"/>
      <c r="O37" s="363"/>
      <c r="P37" s="363"/>
      <c r="Q37" s="363"/>
      <c r="R37" s="363"/>
      <c r="S37" s="363"/>
      <c r="T37" s="363"/>
      <c r="U37" s="363"/>
      <c r="V37" s="363"/>
      <c r="W37" s="363"/>
      <c r="X37" s="363"/>
      <c r="Y37" s="363"/>
      <c r="Z37" s="363"/>
      <c r="AA37" s="363"/>
      <c r="AB37" s="363"/>
      <c r="AC37" s="363"/>
      <c r="AD37" s="363"/>
      <c r="AE37" s="363"/>
      <c r="AF37" s="363"/>
      <c r="AG37" s="363"/>
      <c r="AH37" s="363"/>
      <c r="AI37" s="363"/>
      <c r="AJ37" s="363"/>
      <c r="AK37" s="363"/>
      <c r="AL37" s="363"/>
      <c r="AM37" s="363"/>
      <c r="AN37" s="363"/>
      <c r="AO37" s="363"/>
      <c r="AP37" s="363"/>
      <c r="AQ37" s="363"/>
      <c r="AR37" s="363"/>
      <c r="AS37" s="363"/>
      <c r="AT37" s="363"/>
      <c r="AU37" s="363"/>
      <c r="AV37" s="363"/>
      <c r="AW37" s="363"/>
      <c r="AX37" s="363"/>
      <c r="AY37" s="363"/>
      <c r="AZ37" s="363"/>
      <c r="BA37" s="363"/>
      <c r="BB37" s="363"/>
      <c r="BC37" s="363"/>
      <c r="BD37" s="363"/>
      <c r="BE37" s="363"/>
      <c r="BF37" s="363"/>
      <c r="BG37" s="363"/>
      <c r="BH37" s="363"/>
      <c r="BI37" s="363"/>
      <c r="BJ37" s="363"/>
      <c r="BK37" s="363"/>
      <c r="BL37" s="363"/>
      <c r="BM37" s="363"/>
      <c r="BN37" s="363"/>
      <c r="BO37" s="363"/>
      <c r="BP37" s="363"/>
      <c r="BQ37" s="363"/>
      <c r="BR37" s="363"/>
      <c r="BS37" s="363"/>
      <c r="BT37" s="363"/>
      <c r="BU37" s="363"/>
      <c r="BV37" s="363"/>
      <c r="BW37" s="363"/>
      <c r="BX37" s="363"/>
      <c r="BY37" s="363"/>
      <c r="BZ37" s="363"/>
      <c r="CA37" s="363"/>
      <c r="CB37" s="363"/>
      <c r="CC37" s="363"/>
      <c r="CD37" s="363"/>
      <c r="CE37" s="363"/>
      <c r="CF37" s="363"/>
      <c r="CG37" s="363"/>
      <c r="CH37" s="363"/>
      <c r="CI37" s="363"/>
      <c r="CJ37" s="363"/>
      <c r="CK37" s="363"/>
      <c r="CL37" s="363"/>
      <c r="CM37" s="363"/>
      <c r="CN37" s="363"/>
      <c r="CO37" s="363"/>
      <c r="CP37" s="363"/>
      <c r="CQ37" s="363"/>
      <c r="CR37" s="363"/>
      <c r="CS37" s="363"/>
      <c r="CT37" s="363"/>
      <c r="CU37" s="363"/>
      <c r="CV37" s="363"/>
      <c r="CW37" s="363"/>
      <c r="CX37" s="363"/>
      <c r="CY37" s="363"/>
      <c r="CZ37" s="363"/>
      <c r="DA37" s="363"/>
      <c r="DB37" s="363"/>
      <c r="DC37" s="363"/>
      <c r="DD37" s="363"/>
      <c r="DE37" s="363"/>
      <c r="DF37" s="363"/>
      <c r="DG37" s="363"/>
      <c r="DH37" s="363"/>
      <c r="DI37" s="363"/>
      <c r="DJ37" s="363"/>
      <c r="DK37" s="363"/>
      <c r="DL37" s="363"/>
      <c r="DM37" s="363"/>
      <c r="DN37" s="363"/>
      <c r="DO37" s="363"/>
      <c r="DP37" s="363"/>
      <c r="DQ37" s="363"/>
      <c r="DR37" s="363"/>
      <c r="DS37" s="363"/>
      <c r="DT37" s="363"/>
      <c r="DU37" s="363"/>
      <c r="DV37" s="363"/>
      <c r="DW37" s="363"/>
      <c r="DX37" s="363"/>
      <c r="DY37" s="363"/>
      <c r="DZ37" s="363"/>
      <c r="EA37" s="363"/>
      <c r="EB37" s="363"/>
      <c r="EC37" s="363"/>
      <c r="ED37" s="363"/>
      <c r="EE37" s="363"/>
      <c r="EF37" s="363"/>
      <c r="EG37" s="363"/>
      <c r="EH37" s="363"/>
      <c r="EI37" s="363"/>
      <c r="EJ37" s="363"/>
      <c r="EK37" s="363"/>
      <c r="EL37" s="363"/>
      <c r="EM37" s="363"/>
      <c r="EN37" s="363"/>
      <c r="EO37" s="363"/>
      <c r="EP37" s="363"/>
      <c r="EQ37" s="363"/>
      <c r="ER37" s="363"/>
      <c r="ES37" s="363"/>
      <c r="ET37" s="363"/>
      <c r="EU37" s="363"/>
      <c r="EV37" s="363"/>
      <c r="EW37" s="363"/>
      <c r="EX37" s="363"/>
      <c r="EY37" s="363"/>
      <c r="EZ37" s="363"/>
      <c r="FA37" s="363"/>
      <c r="FB37" s="363"/>
      <c r="FC37" s="363"/>
      <c r="FD37" s="363"/>
      <c r="FE37" s="363"/>
      <c r="FF37" s="363"/>
      <c r="FG37" s="363"/>
      <c r="FH37" s="363"/>
      <c r="FI37" s="363"/>
      <c r="FJ37" s="363"/>
      <c r="FK37" s="363"/>
      <c r="FL37" s="363"/>
      <c r="FM37" s="363"/>
      <c r="FN37" s="363"/>
      <c r="FO37" s="363"/>
      <c r="FP37" s="363"/>
      <c r="FQ37" s="363"/>
      <c r="FR37" s="363"/>
      <c r="FS37" s="363"/>
      <c r="FT37" s="363"/>
      <c r="FU37" s="363"/>
      <c r="FV37" s="363"/>
      <c r="FW37" s="363"/>
      <c r="FX37" s="363"/>
      <c r="FY37" s="363"/>
      <c r="FZ37" s="363"/>
      <c r="GA37" s="363"/>
      <c r="GB37" s="363"/>
      <c r="GC37" s="363"/>
      <c r="GD37" s="363"/>
      <c r="GE37" s="363"/>
      <c r="GF37" s="363"/>
      <c r="GG37" s="363"/>
      <c r="GH37" s="363"/>
      <c r="GI37" s="363"/>
      <c r="GJ37" s="363"/>
      <c r="GK37" s="363"/>
      <c r="GL37" s="363"/>
      <c r="GM37" s="363"/>
      <c r="GN37" s="363"/>
      <c r="GO37" s="363"/>
      <c r="GP37" s="363"/>
      <c r="GQ37" s="363"/>
      <c r="GR37" s="363"/>
      <c r="GS37" s="363"/>
      <c r="GT37" s="363"/>
      <c r="GU37" s="363"/>
      <c r="GV37" s="363"/>
      <c r="GW37" s="363"/>
      <c r="GX37" s="363"/>
      <c r="GY37" s="363"/>
      <c r="GZ37" s="363"/>
      <c r="HA37" s="363"/>
      <c r="HB37" s="363"/>
      <c r="HC37" s="363"/>
      <c r="HD37" s="363"/>
      <c r="HE37" s="363"/>
      <c r="HF37" s="363"/>
      <c r="HG37" s="363"/>
      <c r="HH37" s="363"/>
      <c r="HI37" s="363"/>
      <c r="HJ37" s="363"/>
      <c r="HK37" s="363"/>
      <c r="HL37" s="363"/>
      <c r="HM37" s="363"/>
      <c r="HN37" s="363"/>
      <c r="HO37" s="363"/>
      <c r="HP37" s="363"/>
      <c r="HQ37" s="363"/>
      <c r="HR37" s="363"/>
      <c r="HS37" s="363"/>
      <c r="HT37" s="363"/>
      <c r="HU37" s="363"/>
      <c r="HV37" s="363"/>
      <c r="HW37" s="363"/>
      <c r="HX37" s="363"/>
      <c r="HY37" s="363"/>
      <c r="HZ37" s="363"/>
      <c r="IA37" s="363"/>
      <c r="IB37" s="363"/>
      <c r="IC37" s="363"/>
      <c r="ID37" s="363"/>
      <c r="IE37" s="363"/>
      <c r="IF37" s="363"/>
      <c r="IG37" s="363"/>
      <c r="IH37" s="363"/>
      <c r="II37" s="363"/>
      <c r="IJ37" s="363"/>
      <c r="IK37" s="363"/>
      <c r="IL37" s="363"/>
      <c r="IM37" s="363"/>
      <c r="IN37" s="363"/>
      <c r="IO37" s="363"/>
      <c r="IP37" s="363"/>
      <c r="IQ37" s="363"/>
      <c r="IR37" s="363"/>
      <c r="IS37" s="363"/>
      <c r="IT37" s="363"/>
      <c r="IU37" s="363"/>
      <c r="IV37" s="363"/>
      <c r="IW37" s="363"/>
      <c r="IX37" s="363"/>
      <c r="IY37" s="363"/>
      <c r="IZ37" s="363"/>
      <c r="JA37" s="363"/>
    </row>
    <row r="38" spans="3:261" ht="15.75" thickBot="1" x14ac:dyDescent="0.3">
      <c r="H38" s="364"/>
      <c r="I38" s="364"/>
      <c r="J38" s="364"/>
      <c r="K38" s="364"/>
      <c r="L38" s="364"/>
      <c r="M38" s="364"/>
      <c r="N38" s="364"/>
      <c r="O38" s="364"/>
      <c r="P38" s="364"/>
      <c r="Q38" s="364"/>
      <c r="R38" s="364"/>
      <c r="S38" s="364"/>
      <c r="T38" s="364"/>
      <c r="U38" s="364"/>
      <c r="V38" s="364"/>
      <c r="W38" s="364"/>
      <c r="X38" s="364"/>
      <c r="Y38" s="364"/>
      <c r="Z38" s="364"/>
      <c r="AA38" s="364"/>
      <c r="AB38" s="364"/>
      <c r="AC38" s="364"/>
      <c r="AD38" s="364"/>
      <c r="AE38" s="364"/>
      <c r="AF38" s="364"/>
      <c r="AG38" s="364"/>
      <c r="AH38" s="364"/>
      <c r="AI38" s="364"/>
      <c r="AJ38" s="364"/>
      <c r="AK38" s="364"/>
      <c r="AL38" s="364"/>
      <c r="AM38" s="364"/>
      <c r="AN38" s="364"/>
      <c r="AO38" s="364"/>
      <c r="AP38" s="364"/>
      <c r="AQ38" s="364"/>
      <c r="AR38" s="364"/>
      <c r="AS38" s="364"/>
      <c r="AT38" s="364"/>
      <c r="AU38" s="364"/>
      <c r="AV38" s="364"/>
      <c r="AW38" s="364"/>
      <c r="AX38" s="364"/>
      <c r="AY38" s="364"/>
      <c r="AZ38" s="364"/>
      <c r="BA38" s="364"/>
      <c r="BB38" s="364"/>
      <c r="BC38" s="364"/>
      <c r="BD38" s="364"/>
      <c r="BE38" s="364"/>
      <c r="BF38" s="364"/>
      <c r="BG38" s="364"/>
      <c r="BH38" s="364"/>
      <c r="BI38" s="364"/>
      <c r="BJ38" s="364"/>
      <c r="BK38" s="364"/>
      <c r="BL38" s="364"/>
      <c r="BM38" s="364"/>
      <c r="BN38" s="364"/>
      <c r="BO38" s="364"/>
      <c r="BP38" s="364"/>
      <c r="BQ38" s="364"/>
      <c r="BR38" s="364"/>
      <c r="BS38" s="364"/>
      <c r="BT38" s="364"/>
      <c r="BU38" s="364"/>
      <c r="BV38" s="364"/>
      <c r="BW38" s="364"/>
      <c r="BX38" s="364"/>
      <c r="BY38" s="364"/>
      <c r="BZ38" s="364"/>
      <c r="CA38" s="364"/>
      <c r="CB38" s="364"/>
      <c r="CC38" s="364"/>
      <c r="CD38" s="364"/>
      <c r="CE38" s="364"/>
      <c r="CF38" s="364"/>
      <c r="CG38" s="364"/>
      <c r="CH38" s="364"/>
      <c r="CI38" s="364"/>
      <c r="CJ38" s="364"/>
      <c r="CK38" s="364"/>
      <c r="CL38" s="364"/>
      <c r="CM38" s="364"/>
      <c r="CN38" s="364"/>
      <c r="CO38" s="364"/>
      <c r="CP38" s="364"/>
      <c r="CQ38" s="364"/>
      <c r="CR38" s="364"/>
      <c r="CS38" s="364"/>
      <c r="CT38" s="364"/>
      <c r="CU38" s="364"/>
      <c r="CV38" s="364"/>
      <c r="CW38" s="364"/>
      <c r="CX38" s="364"/>
      <c r="CY38" s="364"/>
      <c r="CZ38" s="364"/>
      <c r="DA38" s="364"/>
      <c r="DB38" s="364"/>
      <c r="DC38" s="364"/>
      <c r="DD38" s="364"/>
      <c r="DE38" s="364"/>
      <c r="DF38" s="364"/>
      <c r="DG38" s="364"/>
      <c r="DH38" s="364"/>
      <c r="DI38" s="364"/>
      <c r="DJ38" s="364"/>
      <c r="DK38" s="364"/>
      <c r="DL38" s="364"/>
      <c r="DM38" s="364"/>
      <c r="DN38" s="364"/>
      <c r="DO38" s="364"/>
      <c r="DP38" s="364"/>
      <c r="DQ38" s="364"/>
      <c r="DR38" s="364"/>
      <c r="DS38" s="364"/>
      <c r="DT38" s="364"/>
      <c r="DU38" s="364"/>
      <c r="DV38" s="364"/>
      <c r="DW38" s="364"/>
      <c r="DX38" s="364"/>
      <c r="DY38" s="364"/>
      <c r="DZ38" s="364"/>
      <c r="EA38" s="364"/>
      <c r="EB38" s="364"/>
      <c r="EC38" s="364"/>
      <c r="ED38" s="364"/>
      <c r="EE38" s="364"/>
      <c r="EF38" s="364"/>
      <c r="EG38" s="364"/>
      <c r="EH38" s="364"/>
      <c r="EI38" s="364"/>
      <c r="EJ38" s="364"/>
      <c r="EK38" s="364"/>
      <c r="EL38" s="364"/>
      <c r="EM38" s="364"/>
      <c r="EN38" s="364"/>
      <c r="EO38" s="364"/>
      <c r="EP38" s="364"/>
      <c r="EQ38" s="364"/>
      <c r="ER38" s="364"/>
      <c r="ES38" s="364"/>
      <c r="ET38" s="364"/>
      <c r="EU38" s="364"/>
      <c r="EV38" s="364"/>
      <c r="EW38" s="364"/>
      <c r="EX38" s="364"/>
      <c r="EY38" s="364"/>
      <c r="EZ38" s="364"/>
      <c r="FA38" s="364"/>
      <c r="FB38" s="364"/>
      <c r="FC38" s="364"/>
      <c r="FD38" s="364"/>
      <c r="FE38" s="364"/>
      <c r="FF38" s="364"/>
      <c r="FG38" s="364"/>
      <c r="FH38" s="364"/>
      <c r="FI38" s="364"/>
      <c r="FJ38" s="364"/>
      <c r="FK38" s="364"/>
      <c r="FL38" s="364"/>
      <c r="FM38" s="364"/>
      <c r="FN38" s="364"/>
      <c r="FO38" s="364"/>
      <c r="FP38" s="364"/>
      <c r="FQ38" s="364"/>
      <c r="FR38" s="364"/>
      <c r="FS38" s="364"/>
      <c r="FT38" s="364"/>
      <c r="FU38" s="364"/>
      <c r="FV38" s="364"/>
      <c r="FW38" s="364"/>
      <c r="FX38" s="364"/>
      <c r="FY38" s="364"/>
      <c r="FZ38" s="364"/>
      <c r="GA38" s="364"/>
      <c r="GB38" s="364"/>
      <c r="GC38" s="364"/>
      <c r="GD38" s="364"/>
      <c r="GE38" s="364"/>
      <c r="GF38" s="364"/>
      <c r="GG38" s="364"/>
      <c r="GH38" s="364"/>
      <c r="GI38" s="364"/>
      <c r="GJ38" s="364"/>
      <c r="GK38" s="364"/>
      <c r="GL38" s="364"/>
      <c r="GM38" s="364"/>
      <c r="GN38" s="364"/>
      <c r="GO38" s="364"/>
      <c r="GP38" s="364"/>
      <c r="GQ38" s="364"/>
      <c r="GR38" s="364"/>
      <c r="GS38" s="364"/>
      <c r="GT38" s="364"/>
      <c r="GU38" s="364"/>
      <c r="GV38" s="364"/>
      <c r="GW38" s="364"/>
      <c r="GX38" s="364"/>
      <c r="GY38" s="364"/>
      <c r="GZ38" s="364"/>
      <c r="HA38" s="364"/>
      <c r="HB38" s="364"/>
      <c r="HC38" s="364"/>
      <c r="HD38" s="364"/>
      <c r="HE38" s="364"/>
      <c r="HF38" s="364"/>
      <c r="HG38" s="364"/>
      <c r="HH38" s="364"/>
      <c r="HI38" s="364"/>
      <c r="HJ38" s="364"/>
      <c r="HK38" s="364"/>
      <c r="HL38" s="364"/>
      <c r="HM38" s="364"/>
      <c r="HN38" s="364"/>
      <c r="HO38" s="364"/>
      <c r="HP38" s="364"/>
      <c r="HQ38" s="364"/>
      <c r="HR38" s="364"/>
      <c r="HS38" s="364"/>
      <c r="HT38" s="364"/>
      <c r="HU38" s="364"/>
      <c r="HV38" s="364"/>
      <c r="HW38" s="364"/>
      <c r="HX38" s="364"/>
      <c r="HY38" s="364"/>
      <c r="HZ38" s="364"/>
      <c r="IA38" s="364"/>
      <c r="IB38" s="364"/>
      <c r="IC38" s="364"/>
      <c r="ID38" s="364"/>
      <c r="IE38" s="364"/>
      <c r="IF38" s="364"/>
      <c r="IG38" s="364"/>
      <c r="IH38" s="364"/>
      <c r="II38" s="364"/>
      <c r="IJ38" s="364"/>
      <c r="IK38" s="364"/>
      <c r="IL38" s="364"/>
      <c r="IM38" s="364"/>
      <c r="IN38" s="364"/>
      <c r="IO38" s="364"/>
      <c r="IP38" s="364"/>
      <c r="IQ38" s="364"/>
      <c r="IR38" s="364"/>
      <c r="IS38" s="364"/>
      <c r="IT38" s="364"/>
      <c r="IU38" s="364"/>
      <c r="IV38" s="364"/>
      <c r="IW38" s="364"/>
      <c r="IX38" s="364"/>
      <c r="IY38" s="364"/>
      <c r="IZ38" s="364"/>
      <c r="JA38" s="364"/>
    </row>
  </sheetData>
  <sheetProtection selectLockedCells="1" selectUnlockedCells="1"/>
  <mergeCells count="148">
    <mergeCell ref="HF34:HU38"/>
    <mergeCell ref="HV34:IK38"/>
    <mergeCell ref="IL34:JA38"/>
    <mergeCell ref="CX34:DM38"/>
    <mergeCell ref="DN34:EC38"/>
    <mergeCell ref="ED34:ES38"/>
    <mergeCell ref="ET34:FI38"/>
    <mergeCell ref="FJ34:FY38"/>
    <mergeCell ref="FZ34:GO38"/>
    <mergeCell ref="IP8:IS8"/>
    <mergeCell ref="IT8:IW8"/>
    <mergeCell ref="IX8:JA8"/>
    <mergeCell ref="H34:U38"/>
    <mergeCell ref="V34:AK38"/>
    <mergeCell ref="AL34:BA38"/>
    <mergeCell ref="BB34:BQ38"/>
    <mergeCell ref="BR34:CG38"/>
    <mergeCell ref="CH34:CW38"/>
    <mergeCell ref="HN8:HQ8"/>
    <mergeCell ref="HR8:HU8"/>
    <mergeCell ref="HV8:HY8"/>
    <mergeCell ref="HZ8:IC8"/>
    <mergeCell ref="ID8:IG8"/>
    <mergeCell ref="IH8:IK8"/>
    <mergeCell ref="GP8:GS8"/>
    <mergeCell ref="GT8:GW8"/>
    <mergeCell ref="GX8:HA8"/>
    <mergeCell ref="HB8:HE8"/>
    <mergeCell ref="HF8:HI8"/>
    <mergeCell ref="HJ8:HM8"/>
    <mergeCell ref="FR8:FU8"/>
    <mergeCell ref="FV8:FY8"/>
    <mergeCell ref="GP34:HE38"/>
    <mergeCell ref="GH8:GK8"/>
    <mergeCell ref="GL8:GO8"/>
    <mergeCell ref="ET8:EW8"/>
    <mergeCell ref="EX8:FA8"/>
    <mergeCell ref="FB8:FE8"/>
    <mergeCell ref="FF8:FI8"/>
    <mergeCell ref="FJ8:FM8"/>
    <mergeCell ref="FN8:FQ8"/>
    <mergeCell ref="IL8:IO8"/>
    <mergeCell ref="EP8:ES8"/>
    <mergeCell ref="CX8:DA8"/>
    <mergeCell ref="DB8:DE8"/>
    <mergeCell ref="DF8:DI8"/>
    <mergeCell ref="DJ8:DM8"/>
    <mergeCell ref="DN8:DQ8"/>
    <mergeCell ref="DR8:DU8"/>
    <mergeCell ref="FZ8:GC8"/>
    <mergeCell ref="GD8:GG8"/>
    <mergeCell ref="BJ8:BM8"/>
    <mergeCell ref="BN8:BQ8"/>
    <mergeCell ref="BR8:BU8"/>
    <mergeCell ref="BV8:BY8"/>
    <mergeCell ref="DV8:DY8"/>
    <mergeCell ref="DZ8:EC8"/>
    <mergeCell ref="ED8:EG8"/>
    <mergeCell ref="EH8:EK8"/>
    <mergeCell ref="EL8:EO8"/>
    <mergeCell ref="AD8:AG8"/>
    <mergeCell ref="AH8:AK8"/>
    <mergeCell ref="AL8:AO8"/>
    <mergeCell ref="AP8:AS8"/>
    <mergeCell ref="AT8:AW8"/>
    <mergeCell ref="AX8:BA8"/>
    <mergeCell ref="IL7:IS7"/>
    <mergeCell ref="IT7:JA7"/>
    <mergeCell ref="JB7:JC7"/>
    <mergeCell ref="EL7:ES7"/>
    <mergeCell ref="BB7:BI7"/>
    <mergeCell ref="BJ7:BQ7"/>
    <mergeCell ref="BR7:BY7"/>
    <mergeCell ref="BZ7:CG7"/>
    <mergeCell ref="CH7:CO7"/>
    <mergeCell ref="CP7:CW7"/>
    <mergeCell ref="BZ8:CC8"/>
    <mergeCell ref="CD8:CG8"/>
    <mergeCell ref="CH8:CK8"/>
    <mergeCell ref="CL8:CO8"/>
    <mergeCell ref="CP8:CS8"/>
    <mergeCell ref="CT8:CW8"/>
    <mergeCell ref="BB8:BE8"/>
    <mergeCell ref="BF8:BI8"/>
    <mergeCell ref="JD7:JE7"/>
    <mergeCell ref="F8:I8"/>
    <mergeCell ref="J8:M8"/>
    <mergeCell ref="N8:Q8"/>
    <mergeCell ref="R8:U8"/>
    <mergeCell ref="V8:Y8"/>
    <mergeCell ref="Z8:AC8"/>
    <mergeCell ref="GP7:GW7"/>
    <mergeCell ref="GX7:HE7"/>
    <mergeCell ref="HF7:HM7"/>
    <mergeCell ref="HN7:HU7"/>
    <mergeCell ref="HV7:IC7"/>
    <mergeCell ref="ID7:IK7"/>
    <mergeCell ref="ET7:FA7"/>
    <mergeCell ref="FB7:FI7"/>
    <mergeCell ref="FJ7:FQ7"/>
    <mergeCell ref="FR7:FY7"/>
    <mergeCell ref="FZ7:GG7"/>
    <mergeCell ref="GH7:GO7"/>
    <mergeCell ref="CX7:DE7"/>
    <mergeCell ref="DF7:DM7"/>
    <mergeCell ref="DN7:DU7"/>
    <mergeCell ref="DV7:EC7"/>
    <mergeCell ref="ED7:EK7"/>
    <mergeCell ref="GP6:HE6"/>
    <mergeCell ref="HF6:HU6"/>
    <mergeCell ref="HV6:IK6"/>
    <mergeCell ref="IL6:JA6"/>
    <mergeCell ref="F7:M7"/>
    <mergeCell ref="N7:U7"/>
    <mergeCell ref="V7:AC7"/>
    <mergeCell ref="AD7:AK7"/>
    <mergeCell ref="AL7:AS7"/>
    <mergeCell ref="AT7:BA7"/>
    <mergeCell ref="CX6:DM6"/>
    <mergeCell ref="DN6:EC6"/>
    <mergeCell ref="ED6:ES6"/>
    <mergeCell ref="ET6:FI6"/>
    <mergeCell ref="FJ6:FY6"/>
    <mergeCell ref="FZ6:GO6"/>
    <mergeCell ref="F6:U6"/>
    <mergeCell ref="V6:AK6"/>
    <mergeCell ref="AL6:BA6"/>
    <mergeCell ref="BB6:BQ6"/>
    <mergeCell ref="BR6:CG6"/>
    <mergeCell ref="CH6:CW6"/>
    <mergeCell ref="HF5:HU5"/>
    <mergeCell ref="HV5:IK5"/>
    <mergeCell ref="IL5:JA5"/>
    <mergeCell ref="BR5:CG5"/>
    <mergeCell ref="CH5:CW5"/>
    <mergeCell ref="CX5:DM5"/>
    <mergeCell ref="DN5:EC5"/>
    <mergeCell ref="ED5:ES5"/>
    <mergeCell ref="ET5:FI5"/>
    <mergeCell ref="C2:E2"/>
    <mergeCell ref="C3:E3"/>
    <mergeCell ref="F5:U5"/>
    <mergeCell ref="V5:AK5"/>
    <mergeCell ref="AL5:BA5"/>
    <mergeCell ref="BB5:BQ5"/>
    <mergeCell ref="FJ5:FY5"/>
    <mergeCell ref="FZ5:GO5"/>
    <mergeCell ref="GP5:HE5"/>
  </mergeCells>
  <dataValidations disablePrompts="1" count="1">
    <dataValidation type="list" allowBlank="1" showInputMessage="1" showErrorMessage="1" sqref="E20:E21">
      <formula1>#REF!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NOCHE_PESC'!$B$16:$B$26</xm:f>
          </x14:formula1>
          <xm:sqref>E10:E19 E22:E24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11</vt:i4>
      </vt:variant>
    </vt:vector>
  </HeadingPairs>
  <TitlesOfParts>
    <vt:vector size="23" baseType="lpstr">
      <vt:lpstr>EMPLEADO</vt:lpstr>
      <vt:lpstr>Reporte Asistencia Laboral</vt:lpstr>
      <vt:lpstr>CONTROL H.E.</vt:lpstr>
      <vt:lpstr>CONTROL H.E. Transf.</vt:lpstr>
      <vt:lpstr>Firma H.E</vt:lpstr>
      <vt:lpstr>Firma H.E. Transf.</vt:lpstr>
      <vt:lpstr>Dato_Pesc</vt:lpstr>
      <vt:lpstr>Dato_Transf</vt:lpstr>
      <vt:lpstr>MANUAL</vt:lpstr>
      <vt:lpstr>$ NOCHE_PESC</vt:lpstr>
      <vt:lpstr>VARIOS</vt:lpstr>
      <vt:lpstr>COPY HE</vt:lpstr>
      <vt:lpstr>'CONTROL H.E.'!Área_de_impresión</vt:lpstr>
      <vt:lpstr>'CONTROL H.E. Transf.'!Área_de_impresión</vt:lpstr>
      <vt:lpstr>EMPLEADO!Área_de_impresión</vt:lpstr>
      <vt:lpstr>'Firma H.E'!Área_de_impresión</vt:lpstr>
      <vt:lpstr>'Firma H.E. Transf.'!Área_de_impresión</vt:lpstr>
      <vt:lpstr>'Reporte Asistencia Laboral'!Área_de_impresión</vt:lpstr>
      <vt:lpstr>'CONTROL H.E.'!Títulos_a_imprimir</vt:lpstr>
      <vt:lpstr>'CONTROL H.E. Transf.'!Títulos_a_imprimir</vt:lpstr>
      <vt:lpstr>EMPLEADO!Títulos_a_imprimir</vt:lpstr>
      <vt:lpstr>'Firma H.E'!Títulos_a_imprimir</vt:lpstr>
      <vt:lpstr>'Firma H.E. Transf.'!Títulos_a_imprimir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SERVIDOR</dc:creator>
  <cp:lastModifiedBy>PRODUCCION01-PCEST</cp:lastModifiedBy>
  <cp:lastPrinted>2019-06-17T21:35:01Z</cp:lastPrinted>
  <dcterms:created xsi:type="dcterms:W3CDTF">2013-11-19T15:26:31Z</dcterms:created>
  <dcterms:modified xsi:type="dcterms:W3CDTF">2025-07-11T16:17:22Z</dcterms:modified>
</cp:coreProperties>
</file>