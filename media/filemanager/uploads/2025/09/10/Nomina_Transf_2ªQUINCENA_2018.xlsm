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PRODUCCION-02\Dropbox\1 PSM\ADMINISTRACION\ROLES\roles 2018\1. ENERO\2ª QUINCENA\"/>
    </mc:Choice>
  </mc:AlternateContent>
  <bookViews>
    <workbookView xWindow="0" yWindow="0" windowWidth="12264" windowHeight="4176" tabRatio="790" activeTab="5"/>
  </bookViews>
  <sheets>
    <sheet name="NOMINAS PSM&amp;BIO" sheetId="1" r:id="rId1"/>
    <sheet name="FUNCIONES" sheetId="2" state="hidden" r:id="rId2"/>
    <sheet name="Nomina Transfer." sheetId="4" r:id="rId3"/>
    <sheet name="Reg_Partic_Transf" sheetId="5" r:id="rId4"/>
    <sheet name="Resumen" sheetId="6" r:id="rId5"/>
    <sheet name="Resumen H.E. Transf" sheetId="9" r:id="rId6"/>
    <sheet name="Consulta x Transf" sheetId="8" r:id="rId7"/>
  </sheets>
  <definedNames>
    <definedName name="_xlnm._FilterDatabase" localSheetId="2" hidden="1">'Nomina Transfer.'!$J$9:$M$9</definedName>
    <definedName name="_xlnm._FilterDatabase" localSheetId="3" hidden="1">Reg_Partic_Transf!$A$2:$N$166</definedName>
    <definedName name="_xlnm.Print_Area" localSheetId="6">'Consulta x Transf'!$B$1:$E$34</definedName>
    <definedName name="_xlnm.Print_Area" localSheetId="2">'Nomina Transfer.'!$I$59:$L$110</definedName>
    <definedName name="_xlnm.Print_Area" localSheetId="5">'Resumen H.E. Transf'!$A$1:$G$41</definedName>
  </definedNames>
  <calcPr calcId="152511"/>
  <pivotCaches>
    <pivotCache cacheId="0" r:id="rId8"/>
    <pivotCache cacheId="1" r:id="rId9"/>
    <pivotCache cacheId="2" r:id="rId10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" l="1"/>
  <c r="U4" i="6" l="1"/>
  <c r="G5" i="6"/>
  <c r="N5" i="6"/>
  <c r="U5" i="6"/>
  <c r="G6" i="6"/>
  <c r="N6" i="6"/>
  <c r="U6" i="6"/>
  <c r="G7" i="6"/>
  <c r="N7" i="6"/>
  <c r="U7" i="6"/>
  <c r="G8" i="6"/>
  <c r="N8" i="6"/>
  <c r="U8" i="6"/>
  <c r="G9" i="6"/>
  <c r="N9" i="6"/>
  <c r="U9" i="6"/>
  <c r="G10" i="6"/>
  <c r="N10" i="6"/>
  <c r="U10" i="6"/>
  <c r="G11" i="6"/>
  <c r="N11" i="6"/>
  <c r="U11" i="6"/>
  <c r="G12" i="6"/>
  <c r="N12" i="6"/>
  <c r="U12" i="6"/>
  <c r="G13" i="6"/>
  <c r="N13" i="6"/>
  <c r="U13" i="6"/>
  <c r="G14" i="6"/>
  <c r="N14" i="6"/>
  <c r="U14" i="6"/>
  <c r="G15" i="6"/>
  <c r="N15" i="6"/>
  <c r="U15" i="6"/>
  <c r="G16" i="6"/>
  <c r="N16" i="6"/>
  <c r="U16" i="6"/>
  <c r="G17" i="6"/>
  <c r="N17" i="6"/>
  <c r="U17" i="6"/>
  <c r="G18" i="6"/>
  <c r="N18" i="6"/>
  <c r="U18" i="6"/>
  <c r="G19" i="6"/>
  <c r="N19" i="6"/>
  <c r="U19" i="6"/>
  <c r="G20" i="6"/>
  <c r="N20" i="6"/>
  <c r="U20" i="6"/>
  <c r="G21" i="6"/>
  <c r="N21" i="6"/>
  <c r="U21" i="6"/>
  <c r="G22" i="6"/>
  <c r="N22" i="6"/>
  <c r="U22" i="6"/>
  <c r="G23" i="6"/>
  <c r="N23" i="6"/>
  <c r="U23" i="6"/>
  <c r="G24" i="6"/>
  <c r="N24" i="6"/>
  <c r="U24" i="6"/>
  <c r="G25" i="6"/>
  <c r="N25" i="6"/>
  <c r="U25" i="6"/>
  <c r="G26" i="6"/>
  <c r="N26" i="6"/>
  <c r="U26" i="6"/>
  <c r="G27" i="6"/>
  <c r="N27" i="6"/>
  <c r="U27" i="6"/>
  <c r="G28" i="6"/>
  <c r="N28" i="6"/>
  <c r="U28" i="6"/>
  <c r="G29" i="6"/>
  <c r="N29" i="6"/>
  <c r="U29" i="6"/>
  <c r="G30" i="6"/>
  <c r="N30" i="6"/>
  <c r="U30" i="6"/>
  <c r="G31" i="6"/>
  <c r="N31" i="6"/>
  <c r="U31" i="6"/>
  <c r="G32" i="6"/>
  <c r="N32" i="6"/>
  <c r="U32" i="6"/>
  <c r="G33" i="6"/>
  <c r="N33" i="6"/>
  <c r="U33" i="6"/>
  <c r="G34" i="6"/>
  <c r="N34" i="6"/>
  <c r="U34" i="6"/>
  <c r="G35" i="6"/>
  <c r="N35" i="6"/>
  <c r="U35" i="6"/>
  <c r="G36" i="6"/>
  <c r="N36" i="6"/>
  <c r="U36" i="6"/>
  <c r="G37" i="6"/>
  <c r="N37" i="6"/>
  <c r="U37" i="6"/>
  <c r="G38" i="6"/>
  <c r="N38" i="6"/>
  <c r="U38" i="6"/>
  <c r="G39" i="6"/>
  <c r="N39" i="6"/>
  <c r="U39" i="6"/>
  <c r="G40" i="6"/>
  <c r="N40" i="6"/>
  <c r="U40" i="6"/>
  <c r="J65" i="4" l="1"/>
  <c r="F65" i="4" s="1"/>
  <c r="J66" i="4"/>
  <c r="F66" i="4" s="1"/>
  <c r="J67" i="4"/>
  <c r="F67" i="4" s="1"/>
  <c r="J68" i="4"/>
  <c r="F68" i="4" s="1"/>
  <c r="J69" i="4"/>
  <c r="F69" i="4" s="1"/>
  <c r="J70" i="4"/>
  <c r="F70" i="4" s="1"/>
  <c r="J71" i="4"/>
  <c r="F71" i="4" s="1"/>
  <c r="J72" i="4"/>
  <c r="F72" i="4" s="1"/>
  <c r="J73" i="4"/>
  <c r="F73" i="4" s="1"/>
  <c r="J74" i="4"/>
  <c r="F74" i="4" s="1"/>
  <c r="AB5" i="6" l="1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E4" i="8" l="1"/>
  <c r="D4" i="8"/>
  <c r="C3" i="8"/>
  <c r="L2" i="4" l="1"/>
  <c r="H3" i="4" l="1"/>
  <c r="BD40" i="6" l="1"/>
  <c r="BD39" i="6"/>
  <c r="BD38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D13" i="6"/>
  <c r="BD12" i="6"/>
  <c r="BD11" i="6"/>
  <c r="BD10" i="6"/>
  <c r="BD9" i="6"/>
  <c r="BD8" i="6"/>
  <c r="BD7" i="6"/>
  <c r="BD6" i="6"/>
  <c r="BD5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W5" i="6"/>
  <c r="AP40" i="6"/>
  <c r="AP39" i="6"/>
  <c r="AP38" i="6"/>
  <c r="AP37" i="6"/>
  <c r="AP36" i="6"/>
  <c r="AP35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P13" i="6"/>
  <c r="AP12" i="6"/>
  <c r="AP11" i="6"/>
  <c r="AP10" i="6"/>
  <c r="AP9" i="6"/>
  <c r="AP8" i="6"/>
  <c r="AP7" i="6"/>
  <c r="AP6" i="6"/>
  <c r="AP5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I6" i="6"/>
  <c r="AI5" i="6"/>
  <c r="K103" i="4" l="1"/>
  <c r="M69" i="4" l="1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K69" i="4"/>
  <c r="L69" i="4"/>
  <c r="K70" i="4"/>
  <c r="L70" i="4"/>
  <c r="K71" i="4"/>
  <c r="L71" i="4"/>
  <c r="K72" i="4"/>
  <c r="L72" i="4"/>
  <c r="K73" i="4"/>
  <c r="L73" i="4"/>
  <c r="K74" i="4"/>
  <c r="L74" i="4"/>
  <c r="K75" i="4"/>
  <c r="L75" i="4"/>
  <c r="K76" i="4"/>
  <c r="L76" i="4"/>
  <c r="K77" i="4"/>
  <c r="L77" i="4"/>
  <c r="K78" i="4"/>
  <c r="L78" i="4"/>
  <c r="K79" i="4"/>
  <c r="L79" i="4"/>
  <c r="K80" i="4"/>
  <c r="L80" i="4"/>
  <c r="K81" i="4"/>
  <c r="L81" i="4"/>
  <c r="K82" i="4"/>
  <c r="L82" i="4"/>
  <c r="K83" i="4"/>
  <c r="L83" i="4"/>
  <c r="K84" i="4"/>
  <c r="L84" i="4"/>
  <c r="K85" i="4"/>
  <c r="L85" i="4"/>
  <c r="K86" i="4"/>
  <c r="L86" i="4"/>
  <c r="K87" i="4"/>
  <c r="L87" i="4"/>
  <c r="K88" i="4"/>
  <c r="L88" i="4"/>
  <c r="K89" i="4"/>
  <c r="L89" i="4"/>
  <c r="K90" i="4"/>
  <c r="L90" i="4"/>
  <c r="K91" i="4"/>
  <c r="L91" i="4"/>
  <c r="K92" i="4"/>
  <c r="L92" i="4"/>
  <c r="K93" i="4"/>
  <c r="L93" i="4"/>
  <c r="K94" i="4"/>
  <c r="L94" i="4"/>
  <c r="K95" i="4"/>
  <c r="L95" i="4"/>
  <c r="K96" i="4"/>
  <c r="L96" i="4"/>
  <c r="K97" i="4"/>
  <c r="L97" i="4"/>
  <c r="R70" i="4"/>
  <c r="R72" i="4"/>
  <c r="R74" i="4"/>
  <c r="J75" i="4"/>
  <c r="F75" i="4" s="1"/>
  <c r="J76" i="4"/>
  <c r="J77" i="4"/>
  <c r="F77" i="4" s="1"/>
  <c r="J78" i="4"/>
  <c r="J79" i="4"/>
  <c r="F79" i="4" s="1"/>
  <c r="J80" i="4"/>
  <c r="J81" i="4"/>
  <c r="F81" i="4" s="1"/>
  <c r="J82" i="4"/>
  <c r="J83" i="4"/>
  <c r="F83" i="4" s="1"/>
  <c r="J84" i="4"/>
  <c r="F84" i="4" s="1"/>
  <c r="J85" i="4"/>
  <c r="F85" i="4" s="1"/>
  <c r="J86" i="4"/>
  <c r="F86" i="4" s="1"/>
  <c r="J87" i="4"/>
  <c r="F87" i="4" s="1"/>
  <c r="J88" i="4"/>
  <c r="F88" i="4" s="1"/>
  <c r="J89" i="4"/>
  <c r="F89" i="4" s="1"/>
  <c r="J90" i="4"/>
  <c r="F90" i="4" s="1"/>
  <c r="J91" i="4"/>
  <c r="F91" i="4" s="1"/>
  <c r="J92" i="4"/>
  <c r="F92" i="4" s="1"/>
  <c r="J93" i="4"/>
  <c r="F93" i="4" s="1"/>
  <c r="J94" i="4"/>
  <c r="F94" i="4" s="1"/>
  <c r="J95" i="4"/>
  <c r="F95" i="4" s="1"/>
  <c r="J96" i="4"/>
  <c r="F96" i="4" s="1"/>
  <c r="J97" i="4"/>
  <c r="F97" i="4" s="1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K104" i="4"/>
  <c r="H4" i="4"/>
  <c r="K106" i="4" s="1"/>
  <c r="R80" i="4" l="1"/>
  <c r="F80" i="4"/>
  <c r="R82" i="4"/>
  <c r="F82" i="4"/>
  <c r="R78" i="4"/>
  <c r="F78" i="4"/>
  <c r="R76" i="4"/>
  <c r="F76" i="4"/>
  <c r="O96" i="4"/>
  <c r="P96" i="4" s="1"/>
  <c r="O94" i="4"/>
  <c r="P94" i="4" s="1"/>
  <c r="O92" i="4"/>
  <c r="P92" i="4" s="1"/>
  <c r="O90" i="4"/>
  <c r="O88" i="4"/>
  <c r="O86" i="4"/>
  <c r="O84" i="4"/>
  <c r="K105" i="4"/>
  <c r="K107" i="4" s="1"/>
  <c r="O97" i="4"/>
  <c r="P97" i="4" s="1"/>
  <c r="Q97" i="4"/>
  <c r="O95" i="4"/>
  <c r="P95" i="4" s="1"/>
  <c r="Q95" i="4"/>
  <c r="O93" i="4"/>
  <c r="P93" i="4" s="1"/>
  <c r="Q93" i="4"/>
  <c r="O91" i="4"/>
  <c r="P91" i="4" s="1"/>
  <c r="Q91" i="4"/>
  <c r="O89" i="4"/>
  <c r="Q89" i="4"/>
  <c r="O87" i="4"/>
  <c r="Q87" i="4"/>
  <c r="O85" i="4"/>
  <c r="Q85" i="4"/>
  <c r="O83" i="4"/>
  <c r="Q83" i="4"/>
  <c r="O81" i="4"/>
  <c r="R81" i="4"/>
  <c r="O79" i="4"/>
  <c r="R79" i="4"/>
  <c r="O77" i="4"/>
  <c r="R77" i="4"/>
  <c r="O75" i="4"/>
  <c r="R75" i="4"/>
  <c r="O73" i="4"/>
  <c r="R73" i="4"/>
  <c r="O71" i="4"/>
  <c r="R71" i="4"/>
  <c r="O69" i="4"/>
  <c r="R69" i="4"/>
  <c r="R97" i="4"/>
  <c r="S97" i="4" s="1"/>
  <c r="N97" i="4"/>
  <c r="R95" i="4"/>
  <c r="S95" i="4" s="1"/>
  <c r="N95" i="4"/>
  <c r="R93" i="4"/>
  <c r="S93" i="4" s="1"/>
  <c r="N93" i="4"/>
  <c r="R91" i="4"/>
  <c r="S91" i="4" s="1"/>
  <c r="N91" i="4"/>
  <c r="R89" i="4"/>
  <c r="N89" i="4"/>
  <c r="R87" i="4"/>
  <c r="N87" i="4"/>
  <c r="R85" i="4"/>
  <c r="N85" i="4"/>
  <c r="R83" i="4"/>
  <c r="N83" i="4"/>
  <c r="N81" i="4"/>
  <c r="N79" i="4"/>
  <c r="N77" i="4"/>
  <c r="N75" i="4"/>
  <c r="N73" i="4"/>
  <c r="N71" i="4"/>
  <c r="N69" i="4"/>
  <c r="N96" i="4"/>
  <c r="R96" i="4"/>
  <c r="S96" i="4" s="1"/>
  <c r="N94" i="4"/>
  <c r="R94" i="4"/>
  <c r="S94" i="4" s="1"/>
  <c r="N92" i="4"/>
  <c r="R92" i="4"/>
  <c r="S92" i="4" s="1"/>
  <c r="N90" i="4"/>
  <c r="R90" i="4"/>
  <c r="N88" i="4"/>
  <c r="R88" i="4"/>
  <c r="N86" i="4"/>
  <c r="R86" i="4"/>
  <c r="N84" i="4"/>
  <c r="R84" i="4"/>
  <c r="N82" i="4"/>
  <c r="Q82" i="4"/>
  <c r="N80" i="4"/>
  <c r="Q80" i="4"/>
  <c r="S80" i="4" s="1"/>
  <c r="N78" i="4"/>
  <c r="Q78" i="4"/>
  <c r="S78" i="4" s="1"/>
  <c r="N76" i="4"/>
  <c r="Q76" i="4"/>
  <c r="S76" i="4" s="1"/>
  <c r="N74" i="4"/>
  <c r="Q74" i="4"/>
  <c r="S74" i="4" s="1"/>
  <c r="N72" i="4"/>
  <c r="Q72" i="4"/>
  <c r="S72" i="4" s="1"/>
  <c r="N70" i="4"/>
  <c r="Q70" i="4"/>
  <c r="S70" i="4" s="1"/>
  <c r="Q96" i="4"/>
  <c r="Q94" i="4"/>
  <c r="Q92" i="4"/>
  <c r="Q90" i="4"/>
  <c r="Q88" i="4"/>
  <c r="Q86" i="4"/>
  <c r="Q84" i="4"/>
  <c r="O82" i="4"/>
  <c r="Q81" i="4"/>
  <c r="O80" i="4"/>
  <c r="Q79" i="4"/>
  <c r="O78" i="4"/>
  <c r="Q77" i="4"/>
  <c r="O76" i="4"/>
  <c r="Q75" i="4"/>
  <c r="O74" i="4"/>
  <c r="Q73" i="4"/>
  <c r="O72" i="4"/>
  <c r="Q71" i="4"/>
  <c r="O70" i="4"/>
  <c r="Q69" i="4"/>
  <c r="L60" i="4"/>
  <c r="S89" i="4" l="1"/>
  <c r="S88" i="4"/>
  <c r="P87" i="4"/>
  <c r="P90" i="4"/>
  <c r="S90" i="4"/>
  <c r="P89" i="4"/>
  <c r="P88" i="4"/>
  <c r="S87" i="4"/>
  <c r="P86" i="4"/>
  <c r="S86" i="4"/>
  <c r="S82" i="4"/>
  <c r="S85" i="4"/>
  <c r="P85" i="4"/>
  <c r="S84" i="4"/>
  <c r="S83" i="4"/>
  <c r="P84" i="4"/>
  <c r="P83" i="4"/>
  <c r="P82" i="4"/>
  <c r="P81" i="4"/>
  <c r="S81" i="4"/>
  <c r="P80" i="4"/>
  <c r="S79" i="4"/>
  <c r="P79" i="4"/>
  <c r="P76" i="4"/>
  <c r="P78" i="4"/>
  <c r="P77" i="4"/>
  <c r="S77" i="4"/>
  <c r="P75" i="4"/>
  <c r="S75" i="4"/>
  <c r="P74" i="4"/>
  <c r="P73" i="4"/>
  <c r="S73" i="4"/>
  <c r="P72" i="4"/>
  <c r="P71" i="4"/>
  <c r="S71" i="4"/>
  <c r="P70" i="4"/>
  <c r="S69" i="4"/>
  <c r="P69" i="4"/>
  <c r="I68" i="4" l="1"/>
  <c r="I67" i="4"/>
  <c r="I66" i="4"/>
  <c r="I65" i="4"/>
  <c r="I59" i="4"/>
  <c r="J62" i="4" l="1"/>
  <c r="I60" i="4"/>
  <c r="C57" i="4"/>
  <c r="C58" i="4" s="1"/>
  <c r="D57" i="4"/>
  <c r="D58" i="4" s="1"/>
  <c r="E57" i="4"/>
  <c r="E58" i="4" s="1"/>
  <c r="F57" i="4"/>
  <c r="F58" i="4" s="1"/>
  <c r="G57" i="4"/>
  <c r="G58" i="4" s="1"/>
  <c r="B57" i="4"/>
  <c r="B58" i="4" s="1"/>
  <c r="M66" i="4"/>
  <c r="M67" i="4"/>
  <c r="M68" i="4"/>
  <c r="M65" i="4"/>
  <c r="L66" i="4"/>
  <c r="L67" i="4"/>
  <c r="L68" i="4"/>
  <c r="L65" i="4"/>
  <c r="K66" i="4"/>
  <c r="K67" i="4"/>
  <c r="K68" i="4"/>
  <c r="K65" i="4"/>
  <c r="Q65" i="4" l="1"/>
  <c r="O65" i="4"/>
  <c r="R65" i="4"/>
  <c r="S65" i="4" s="1"/>
  <c r="N65" i="4"/>
  <c r="O67" i="4"/>
  <c r="Q67" i="4"/>
  <c r="N67" i="4"/>
  <c r="R67" i="4"/>
  <c r="O68" i="4"/>
  <c r="Q68" i="4"/>
  <c r="N68" i="4"/>
  <c r="R68" i="4"/>
  <c r="S68" i="4" s="1"/>
  <c r="O66" i="4"/>
  <c r="Q66" i="4"/>
  <c r="N66" i="4"/>
  <c r="R66" i="4"/>
  <c r="S66" i="4" s="1"/>
  <c r="G96" i="4"/>
  <c r="G94" i="4"/>
  <c r="G92" i="4"/>
  <c r="G90" i="4"/>
  <c r="G88" i="4"/>
  <c r="G86" i="4"/>
  <c r="G84" i="4"/>
  <c r="G82" i="4"/>
  <c r="G80" i="4"/>
  <c r="G78" i="4"/>
  <c r="G76" i="4"/>
  <c r="G74" i="4"/>
  <c r="G72" i="4"/>
  <c r="G70" i="4"/>
  <c r="G68" i="4"/>
  <c r="G66" i="4"/>
  <c r="G65" i="4"/>
  <c r="G97" i="4"/>
  <c r="G95" i="4"/>
  <c r="G93" i="4"/>
  <c r="G91" i="4"/>
  <c r="G89" i="4"/>
  <c r="G87" i="4"/>
  <c r="G85" i="4"/>
  <c r="G83" i="4"/>
  <c r="G81" i="4"/>
  <c r="G79" i="4"/>
  <c r="G77" i="4"/>
  <c r="G75" i="4"/>
  <c r="G73" i="4"/>
  <c r="G71" i="4"/>
  <c r="G69" i="4"/>
  <c r="G67" i="4"/>
  <c r="H96" i="4"/>
  <c r="H94" i="4"/>
  <c r="H92" i="4"/>
  <c r="H90" i="4"/>
  <c r="H88" i="4"/>
  <c r="H86" i="4"/>
  <c r="H84" i="4"/>
  <c r="H82" i="4"/>
  <c r="H80" i="4"/>
  <c r="H78" i="4"/>
  <c r="H76" i="4"/>
  <c r="H74" i="4"/>
  <c r="H72" i="4"/>
  <c r="H70" i="4"/>
  <c r="H68" i="4"/>
  <c r="H66" i="4"/>
  <c r="H65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H71" i="4"/>
  <c r="H69" i="4"/>
  <c r="H67" i="4"/>
  <c r="S67" i="4" l="1"/>
  <c r="U5" i="4"/>
  <c r="T5" i="4" s="1"/>
  <c r="P68" i="4"/>
  <c r="P67" i="4"/>
  <c r="P66" i="4"/>
  <c r="P65" i="4"/>
  <c r="V5" i="4" l="1"/>
  <c r="J6" i="4" s="1"/>
</calcChain>
</file>

<file path=xl/sharedStrings.xml><?xml version="1.0" encoding="utf-8"?>
<sst xmlns="http://schemas.openxmlformats.org/spreadsheetml/2006/main" count="973" uniqueCount="155">
  <si>
    <t>No.</t>
  </si>
  <si>
    <t>NOMINA</t>
  </si>
  <si>
    <t>No. Cédula</t>
  </si>
  <si>
    <t>230034363-5</t>
  </si>
  <si>
    <t>070219346-7</t>
  </si>
  <si>
    <t>110278326-1</t>
  </si>
  <si>
    <t>110315588-1</t>
  </si>
  <si>
    <t>070508993-6</t>
  </si>
  <si>
    <t>110377448-3</t>
  </si>
  <si>
    <t>070200116-5</t>
  </si>
  <si>
    <t>172485071-2</t>
  </si>
  <si>
    <t>172755391-7</t>
  </si>
  <si>
    <t>070733745-7</t>
  </si>
  <si>
    <t>110483502-8</t>
  </si>
  <si>
    <t>110571148-3</t>
  </si>
  <si>
    <t>110437810-2</t>
  </si>
  <si>
    <t>120653372-9</t>
  </si>
  <si>
    <t>110576532-3</t>
  </si>
  <si>
    <t>070605677-7</t>
  </si>
  <si>
    <t>110506978-3</t>
  </si>
  <si>
    <t>110514219-2</t>
  </si>
  <si>
    <t>230013608-8</t>
  </si>
  <si>
    <t>HERNANDEZ VALENCIA CARLOS ALBERTO</t>
  </si>
  <si>
    <t>ARMIJOS MIÑAN ANGEL</t>
  </si>
  <si>
    <t>SOTO CANGO ROBER CORNELIO</t>
  </si>
  <si>
    <t>CANGO QUITO JOSE LEOVARDO</t>
  </si>
  <si>
    <t>PEREZ JUMBO JORGE ROLANDO</t>
  </si>
  <si>
    <t>RUIZ RUIZ DIEGO PATRICIO</t>
  </si>
  <si>
    <t>GOMEZ ESPINOZA GASTON SANTOS</t>
  </si>
  <si>
    <t>PEÑA CEDEÑO JOSE PERFECTO</t>
  </si>
  <si>
    <t>BRAVO QUINTO JORGE DANIEL</t>
  </si>
  <si>
    <t>GOMEZ PARRA  RICARDO JOEL</t>
  </si>
  <si>
    <t>CUEVA LUDEÑA MANUEL DE JESUS</t>
  </si>
  <si>
    <t>JARA ARMIJOS CESAR HOMERO</t>
  </si>
  <si>
    <t>CASTILLO OCHOA HERIBERTO GUILLERMO</t>
  </si>
  <si>
    <t>CORNEJO SANCHEZ FELIX TEOBALDO</t>
  </si>
  <si>
    <t>PINTA PINTA WILMER ROLANDO</t>
  </si>
  <si>
    <t>CONTENTO LIVIZACA RUDY ANDRES</t>
  </si>
  <si>
    <t>SIMANCAS AGUILAR DAVID MOISES</t>
  </si>
  <si>
    <t>CANGO CUEVA FRANCISCO ARMANDO</t>
  </si>
  <si>
    <t>ORTIZ MENDEZ EDWIN ELOY</t>
  </si>
  <si>
    <t>EMPRESA</t>
  </si>
  <si>
    <t>PSM</t>
  </si>
  <si>
    <t>GOMEZ JUMBO YORGIN</t>
  </si>
  <si>
    <t>130362626-9</t>
  </si>
  <si>
    <t>MATAILO PINTA MIGUEL ANGEL</t>
  </si>
  <si>
    <t>110352731-1</t>
  </si>
  <si>
    <t>PINTA MATAILO REIMUNDO ROMELIO</t>
  </si>
  <si>
    <t>110295161-1</t>
  </si>
  <si>
    <t>PINTA AGUILAR DIEGO FERNANDO</t>
  </si>
  <si>
    <t>110457677-0</t>
  </si>
  <si>
    <t xml:space="preserve">CHAMBA BARSALLO ROBERTO CARLOS </t>
  </si>
  <si>
    <t>110495641-0</t>
  </si>
  <si>
    <t>CEDEÑO CHILAN SEGUNDO VICENTE</t>
  </si>
  <si>
    <t>171933177-7</t>
  </si>
  <si>
    <t>CHAGNA MORALES ARMANDO PAUL</t>
  </si>
  <si>
    <t>235026425-1</t>
  </si>
  <si>
    <t>CEVALLOS ALAY MELVIN DAVID</t>
  </si>
  <si>
    <t>070421950-0</t>
  </si>
  <si>
    <t>LOZANO MANZABA BRYAN RENE</t>
  </si>
  <si>
    <t>172485077-9</t>
  </si>
  <si>
    <t>HELGUERO MARTINEZ CARLOS RENE</t>
  </si>
  <si>
    <t>070362264-7</t>
  </si>
  <si>
    <t>VICENTE MACAS VICTOR HUGO</t>
  </si>
  <si>
    <t>110468487-1</t>
  </si>
  <si>
    <t>CANGO CUEVA DIEGO POLO</t>
  </si>
  <si>
    <t>110599059-0</t>
  </si>
  <si>
    <t>JARA ARMIJOS MARIO FABIAN</t>
  </si>
  <si>
    <t>115040949-6</t>
  </si>
  <si>
    <t>CASTILLO PINTA EDWIN MESIAS</t>
  </si>
  <si>
    <t>110323737-4</t>
  </si>
  <si>
    <t>BIO</t>
  </si>
  <si>
    <t>Cargos</t>
  </si>
  <si>
    <t>PSM &amp; BIO</t>
  </si>
  <si>
    <t>NOCHE #</t>
  </si>
  <si>
    <t>#</t>
  </si>
  <si>
    <t>APELLIDOS Y NOMBRES</t>
  </si>
  <si>
    <t>FUNCION</t>
  </si>
  <si>
    <t>Etiquetas de fila</t>
  </si>
  <si>
    <t>1.- Bolsero</t>
  </si>
  <si>
    <t>FECHA</t>
  </si>
  <si>
    <t>A</t>
  </si>
  <si>
    <t>0.- A</t>
  </si>
  <si>
    <t>NOCHE</t>
  </si>
  <si>
    <t>FECHA:</t>
  </si>
  <si>
    <t>(en blanco)</t>
  </si>
  <si>
    <t>APELLIDOS Y NOMBRE</t>
  </si>
  <si>
    <t>PSM, &amp; BIO</t>
  </si>
  <si>
    <t xml:space="preserve"> </t>
  </si>
  <si>
    <t>2.- Chayo</t>
  </si>
  <si>
    <t>3.- Pesador</t>
  </si>
  <si>
    <t>4.- Sembrador</t>
  </si>
  <si>
    <t>6.- Patero</t>
  </si>
  <si>
    <t>Vehiculos</t>
  </si>
  <si>
    <t>LISTADO DE PERSONAL PARA TRANSFERENCIA</t>
  </si>
  <si>
    <t>VEHICULO</t>
  </si>
  <si>
    <t>Vehiculo</t>
  </si>
  <si>
    <t>CHALACO CASTILLO ROBERTH IVAN</t>
  </si>
  <si>
    <t>5.- Transporte</t>
  </si>
  <si>
    <t>H.E. 50%</t>
  </si>
  <si>
    <t>H.E. 100%</t>
  </si>
  <si>
    <t xml:space="preserve">HORAS EXTRAS 50% </t>
  </si>
  <si>
    <t xml:space="preserve">HORAS EXTRAS 100% </t>
  </si>
  <si>
    <t>HORA INICIO 50%</t>
  </si>
  <si>
    <t>HORA FINAL 50%</t>
  </si>
  <si>
    <t>HORA INICIO 100%</t>
  </si>
  <si>
    <t>HORA FINAL 100%</t>
  </si>
  <si>
    <t>HORA INICIO DE TRANSFERENCIA</t>
  </si>
  <si>
    <t xml:space="preserve">H.E. 50% </t>
  </si>
  <si>
    <t xml:space="preserve">H.E. 100% </t>
  </si>
  <si>
    <t>TOTAL DE H.E.</t>
  </si>
  <si>
    <t xml:space="preserve">RESUMEN: </t>
  </si>
  <si>
    <t>LISTA DE PERSONAL PARA TRANSFERENCIA</t>
  </si>
  <si>
    <t>INI 50%</t>
  </si>
  <si>
    <t>FIN 50%</t>
  </si>
  <si>
    <t>INI 100%</t>
  </si>
  <si>
    <t>FIN 100%</t>
  </si>
  <si>
    <t>F= Feriado</t>
  </si>
  <si>
    <t>Dia Festivo</t>
  </si>
  <si>
    <t>H.E. FIN 50%</t>
  </si>
  <si>
    <t xml:space="preserve">H.E. INICIA 50% </t>
  </si>
  <si>
    <t>H.E. INICIO 100%</t>
  </si>
  <si>
    <t>H.E. FIN 100%</t>
  </si>
  <si>
    <t>HORA INICIAL</t>
  </si>
  <si>
    <t>HORA FINAL</t>
  </si>
  <si>
    <t>HORA FINAL DE TRANSFERENCIA</t>
  </si>
  <si>
    <t>Total general</t>
  </si>
  <si>
    <t>Suma de H.E. 100%</t>
  </si>
  <si>
    <t>RESUMEN DE HORAS EN TRANSFERENCIAS.</t>
  </si>
  <si>
    <t>PESQUERA SAN MIGUEL C. LTDA.</t>
  </si>
  <si>
    <t>BIOCASCAJAL CIA. LTDA.</t>
  </si>
  <si>
    <t>070339013-8</t>
  </si>
  <si>
    <t>195013467-4</t>
  </si>
  <si>
    <t>230078109-9</t>
  </si>
  <si>
    <t>085082270-1</t>
  </si>
  <si>
    <t>094237190-7</t>
  </si>
  <si>
    <t>AVILA AVILA STALIN JEFFERSON</t>
  </si>
  <si>
    <t>PEÑA CEDEÑO CRISTHIAN JAVIER</t>
  </si>
  <si>
    <t>235022240-8</t>
  </si>
  <si>
    <t>SOTO MATAILO JOSE ENRIQUE</t>
  </si>
  <si>
    <t>110495242-7</t>
  </si>
  <si>
    <t>ORTIZ RODRIGUEZ JOSE VICENTE</t>
  </si>
  <si>
    <t>075010317-8</t>
  </si>
  <si>
    <t>MARMOLEJO MARQUEZ VICTOR MANUEL</t>
  </si>
  <si>
    <t>JIMENEZ GUAYANAY ALEXANDER EDUARDO</t>
  </si>
  <si>
    <t>BUENAVENTURA GONZALEZ LUIS MIGUEL</t>
  </si>
  <si>
    <t>Camion OBA-3557</t>
  </si>
  <si>
    <t>Chev. Blanca 1 OBB-2528</t>
  </si>
  <si>
    <t>Chev. Blanca 2 OBB-2508</t>
  </si>
  <si>
    <t>Chev. Ploma OBA-3476</t>
  </si>
  <si>
    <t>Volqueta 1 OBA-3558</t>
  </si>
  <si>
    <t>Volqueta 2 ABG-8538</t>
  </si>
  <si>
    <t>(Varios elementos)</t>
  </si>
  <si>
    <t>MOROCHO SALINAS FABRICIO EDUARDO</t>
  </si>
  <si>
    <t>110480020-4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</si>
</sst>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€_-;\-* #,##0.00\ _€_-;_-* &quot;-&quot;??\ _€_-;_-@_-"/>
    <numFmt numFmtId="164" formatCode="_(* #,##0.00_);_(* \(#,##0.00\);_(* &quot;-&quot;??_);_(@_)"/>
    <numFmt numFmtId="165" formatCode="[$-F800]dddd\,\ mmmm\ dd\,\ yyyy"/>
    <numFmt numFmtId="166" formatCode="[$-F400]h:mm:ss\ AM/PM"/>
    <numFmt numFmtId="167" formatCode="h:mm:ss;@"/>
  </numFmts>
  <fonts count="3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theme="1"/>
      <name val="Palatino Linotype"/>
      <family val="1"/>
    </font>
    <font>
      <sz val="11"/>
      <color theme="1"/>
      <name val="Palatino Linotype"/>
      <family val="1"/>
    </font>
    <font>
      <b/>
      <sz val="14"/>
      <color theme="1"/>
      <name val="Palatino Linotype"/>
      <family val="1"/>
    </font>
    <font>
      <b/>
      <sz val="12"/>
      <color theme="1"/>
      <name val="Palatino Linotype"/>
      <family val="1"/>
    </font>
    <font>
      <sz val="12"/>
      <color theme="1"/>
      <name val="Palatino Linotype"/>
      <family val="1"/>
    </font>
    <font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6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u/>
      <sz val="14"/>
      <color theme="1"/>
      <name val="Palatino Linotype"/>
      <family val="1"/>
    </font>
    <font>
      <b/>
      <sz val="18"/>
      <color theme="0"/>
      <name val="Calibri"/>
      <family val="2"/>
      <scheme val="minor"/>
    </font>
    <font>
      <sz val="18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Palatino Linotype"/>
      <family val="1"/>
    </font>
    <font>
      <sz val="13"/>
      <color theme="1"/>
      <name val="Palatino Linotype"/>
      <family val="1"/>
    </font>
    <font>
      <b/>
      <sz val="16"/>
      <color theme="1"/>
      <name val="Palatino Linotype"/>
      <family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164" fontId="22" fillId="0" borderId="0" applyFont="0" applyFill="0" applyBorder="0" applyAlignment="0" applyProtection="0"/>
    <xf numFmtId="43" fontId="22" fillId="0" borderId="0" applyFont="0" applyFill="0" applyBorder="0" applyAlignment="0" applyProtection="0"/>
  </cellStyleXfs>
  <cellXfs count="123">
    <xf numFmtId="0" fontId="0" fillId="0" borderId="0" xfId="0"/>
    <xf numFmtId="0" fontId="1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Protection="1">
      <protection locked="0"/>
    </xf>
    <xf numFmtId="0" fontId="2" fillId="0" borderId="1" xfId="0" applyFont="1" applyFill="1" applyBorder="1" applyProtection="1"/>
    <xf numFmtId="2" fontId="2" fillId="0" borderId="1" xfId="0" applyNumberFormat="1" applyFont="1" applyFill="1" applyBorder="1" applyProtection="1"/>
    <xf numFmtId="49" fontId="2" fillId="0" borderId="1" xfId="0" applyNumberFormat="1" applyFont="1" applyFill="1" applyBorder="1" applyProtection="1">
      <protection locked="0"/>
    </xf>
    <xf numFmtId="49" fontId="0" fillId="0" borderId="1" xfId="0" applyNumberFormat="1" applyFill="1" applyBorder="1" applyProtection="1">
      <protection locked="0"/>
    </xf>
    <xf numFmtId="0" fontId="1" fillId="0" borderId="1" xfId="0" applyFont="1" applyFill="1" applyBorder="1" applyAlignment="1" applyProtection="1">
      <alignment horizontal="center"/>
      <protection locked="0"/>
    </xf>
    <xf numFmtId="0" fontId="2" fillId="0" borderId="0" xfId="0" applyFont="1" applyFill="1" applyProtection="1">
      <protection locked="0"/>
    </xf>
    <xf numFmtId="0" fontId="0" fillId="3" borderId="0" xfId="0" applyFill="1"/>
    <xf numFmtId="0" fontId="0" fillId="0" borderId="0" xfId="0" pivotButton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8" fillId="4" borderId="6" xfId="0" applyFont="1" applyFill="1" applyBorder="1" applyAlignment="1"/>
    <xf numFmtId="0" fontId="9" fillId="0" borderId="5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left"/>
    </xf>
    <xf numFmtId="0" fontId="8" fillId="4" borderId="6" xfId="0" applyFont="1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10" fillId="5" borderId="7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/>
    </xf>
    <xf numFmtId="0" fontId="11" fillId="5" borderId="8" xfId="0" applyFont="1" applyFill="1" applyBorder="1" applyAlignment="1">
      <alignment horizontal="center"/>
    </xf>
    <xf numFmtId="0" fontId="11" fillId="5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13" xfId="0" applyBorder="1" applyAlignment="1">
      <alignment horizontal="center"/>
    </xf>
    <xf numFmtId="0" fontId="11" fillId="5" borderId="14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 applyAlignment="1">
      <alignment horizontal="right" vertical="center"/>
    </xf>
    <xf numFmtId="0" fontId="16" fillId="0" borderId="0" xfId="0" applyFont="1" applyAlignment="1">
      <alignment horizontal="right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166" fontId="14" fillId="0" borderId="12" xfId="0" applyNumberFormat="1" applyFont="1" applyBorder="1" applyAlignment="1">
      <alignment horizontal="center"/>
    </xf>
    <xf numFmtId="0" fontId="15" fillId="0" borderId="0" xfId="0" applyFont="1" applyAlignment="1">
      <alignment vertical="center"/>
    </xf>
    <xf numFmtId="0" fontId="13" fillId="0" borderId="0" xfId="0" applyFont="1" applyAlignment="1">
      <alignment horizontal="left" vertical="top"/>
    </xf>
    <xf numFmtId="0" fontId="11" fillId="6" borderId="19" xfId="0" applyFont="1" applyFill="1" applyBorder="1" applyAlignment="1">
      <alignment horizontal="center"/>
    </xf>
    <xf numFmtId="0" fontId="11" fillId="6" borderId="20" xfId="0" applyFont="1" applyFill="1" applyBorder="1" applyAlignment="1">
      <alignment horizontal="center"/>
    </xf>
    <xf numFmtId="0" fontId="11" fillId="6" borderId="21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3" xfId="0" applyBorder="1" applyAlignment="1">
      <alignment horizontal="center" vertical="center"/>
    </xf>
    <xf numFmtId="14" fontId="0" fillId="0" borderId="13" xfId="0" applyNumberFormat="1" applyBorder="1" applyAlignment="1">
      <alignment horizontal="center"/>
    </xf>
    <xf numFmtId="0" fontId="0" fillId="0" borderId="13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NumberFormat="1"/>
    <xf numFmtId="0" fontId="3" fillId="0" borderId="0" xfId="0" applyFont="1"/>
    <xf numFmtId="0" fontId="6" fillId="0" borderId="0" xfId="0" pivotButton="1" applyFont="1" applyAlignment="1">
      <alignment horizontal="right"/>
    </xf>
    <xf numFmtId="0" fontId="4" fillId="0" borderId="0" xfId="0" applyFont="1" applyAlignment="1">
      <alignment horizontal="right"/>
    </xf>
    <xf numFmtId="165" fontId="18" fillId="0" borderId="13" xfId="0" applyNumberFormat="1" applyFont="1" applyBorder="1" applyAlignment="1">
      <alignment horizontal="left"/>
    </xf>
    <xf numFmtId="0" fontId="0" fillId="7" borderId="0" xfId="0" applyFill="1"/>
    <xf numFmtId="0" fontId="0" fillId="8" borderId="0" xfId="0" applyFill="1"/>
    <xf numFmtId="0" fontId="20" fillId="8" borderId="0" xfId="0" applyFont="1" applyFill="1"/>
    <xf numFmtId="0" fontId="10" fillId="8" borderId="0" xfId="0" applyFont="1" applyFill="1" applyAlignment="1">
      <alignment horizontal="right"/>
    </xf>
    <xf numFmtId="0" fontId="11" fillId="8" borderId="0" xfId="0" applyFont="1" applyFill="1" applyAlignment="1">
      <alignment horizontal="right"/>
    </xf>
    <xf numFmtId="0" fontId="2" fillId="7" borderId="0" xfId="0" applyFont="1" applyFill="1" applyAlignment="1">
      <alignment horizontal="left"/>
    </xf>
    <xf numFmtId="0" fontId="21" fillId="8" borderId="0" xfId="0" applyFont="1" applyFill="1"/>
    <xf numFmtId="167" fontId="0" fillId="0" borderId="0" xfId="0" applyNumberFormat="1" applyAlignment="1">
      <alignment horizontal="center"/>
    </xf>
    <xf numFmtId="0" fontId="4" fillId="0" borderId="0" xfId="0" applyFont="1" applyAlignment="1">
      <alignment horizontal="left"/>
    </xf>
    <xf numFmtId="46" fontId="0" fillId="8" borderId="0" xfId="0" applyNumberFormat="1" applyFill="1"/>
    <xf numFmtId="166" fontId="0" fillId="8" borderId="0" xfId="0" applyNumberFormat="1" applyFill="1"/>
    <xf numFmtId="2" fontId="0" fillId="8" borderId="0" xfId="0" applyNumberFormat="1" applyFill="1"/>
    <xf numFmtId="2" fontId="2" fillId="0" borderId="1" xfId="1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/>
    <xf numFmtId="2" fontId="2" fillId="0" borderId="0" xfId="1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2" fontId="23" fillId="9" borderId="1" xfId="1" applyNumberFormat="1" applyFont="1" applyFill="1" applyBorder="1" applyAlignment="1" applyProtection="1">
      <alignment horizontal="left" vertical="center"/>
      <protection locked="0"/>
    </xf>
    <xf numFmtId="2" fontId="14" fillId="0" borderId="0" xfId="0" applyNumberFormat="1" applyFont="1" applyBorder="1" applyAlignment="1">
      <alignment horizontal="center"/>
    </xf>
    <xf numFmtId="166" fontId="14" fillId="0" borderId="23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0" fontId="25" fillId="0" borderId="0" xfId="0" applyFont="1"/>
    <xf numFmtId="0" fontId="0" fillId="0" borderId="0" xfId="0" applyAlignment="1">
      <alignment horizontal="center" wrapText="1"/>
    </xf>
    <xf numFmtId="0" fontId="26" fillId="8" borderId="0" xfId="0" applyFont="1" applyFill="1"/>
    <xf numFmtId="0" fontId="27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21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17" fillId="0" borderId="17" xfId="0" applyFont="1" applyBorder="1"/>
    <xf numFmtId="0" fontId="17" fillId="0" borderId="17" xfId="0" applyFont="1" applyBorder="1" applyAlignment="1">
      <alignment horizontal="center"/>
    </xf>
    <xf numFmtId="0" fontId="17" fillId="0" borderId="18" xfId="0" applyFont="1" applyBorder="1"/>
    <xf numFmtId="0" fontId="17" fillId="0" borderId="18" xfId="0" applyFont="1" applyBorder="1" applyAlignment="1">
      <alignment horizontal="center"/>
    </xf>
    <xf numFmtId="165" fontId="30" fillId="0" borderId="13" xfId="0" applyNumberFormat="1" applyFont="1" applyBorder="1" applyAlignment="1">
      <alignment horizontal="left"/>
    </xf>
    <xf numFmtId="0" fontId="31" fillId="0" borderId="17" xfId="0" applyFont="1" applyBorder="1"/>
    <xf numFmtId="0" fontId="31" fillId="0" borderId="18" xfId="0" applyFont="1" applyBorder="1"/>
    <xf numFmtId="0" fontId="0" fillId="0" borderId="0" xfId="0" applyAlignment="1">
      <alignment horizontal="left"/>
    </xf>
    <xf numFmtId="2" fontId="0" fillId="0" borderId="0" xfId="0" applyNumberFormat="1"/>
    <xf numFmtId="0" fontId="11" fillId="5" borderId="14" xfId="0" applyFont="1" applyFill="1" applyBorder="1" applyAlignment="1">
      <alignment horizontal="left"/>
    </xf>
    <xf numFmtId="0" fontId="32" fillId="0" borderId="0" xfId="0" applyFont="1" applyAlignment="1">
      <alignment horizontal="left" vertical="top"/>
    </xf>
    <xf numFmtId="0" fontId="16" fillId="0" borderId="0" xfId="0" applyFont="1" applyAlignment="1">
      <alignment vertical="center"/>
    </xf>
    <xf numFmtId="0" fontId="14" fillId="0" borderId="0" xfId="0" applyFont="1" applyBorder="1" applyAlignment="1">
      <alignment horizontal="center"/>
    </xf>
    <xf numFmtId="0" fontId="17" fillId="0" borderId="0" xfId="0" applyFont="1" applyBorder="1"/>
    <xf numFmtId="0" fontId="17" fillId="0" borderId="0" xfId="0" applyFont="1" applyBorder="1" applyAlignment="1">
      <alignment horizontal="center"/>
    </xf>
    <xf numFmtId="0" fontId="0" fillId="0" borderId="0" xfId="0"/>
    <xf numFmtId="0" fontId="2" fillId="0" borderId="0" xfId="0" applyFont="1" applyFill="1" applyProtection="1">
      <protection locked="0"/>
    </xf>
    <xf numFmtId="0" fontId="0" fillId="7" borderId="0" xfId="0" applyFill="1"/>
    <xf numFmtId="0" fontId="0" fillId="0" borderId="1" xfId="0" applyBorder="1"/>
    <xf numFmtId="0" fontId="0" fillId="0" borderId="3" xfId="0" applyBorder="1"/>
    <xf numFmtId="167" fontId="0" fillId="0" borderId="0" xfId="0" applyNumberFormat="1"/>
    <xf numFmtId="14" fontId="0" fillId="0" borderId="0" xfId="0" applyNumberFormat="1" applyAlignment="1">
      <alignment horizontal="left"/>
    </xf>
    <xf numFmtId="0" fontId="28" fillId="8" borderId="24" xfId="0" applyFont="1" applyFill="1" applyBorder="1" applyAlignment="1">
      <alignment horizontal="left" vertical="center"/>
    </xf>
    <xf numFmtId="0" fontId="28" fillId="8" borderId="0" xfId="0" applyFont="1" applyFill="1" applyAlignment="1">
      <alignment horizontal="left" vertical="center"/>
    </xf>
    <xf numFmtId="165" fontId="3" fillId="3" borderId="3" xfId="0" applyNumberFormat="1" applyFont="1" applyFill="1" applyBorder="1" applyAlignment="1">
      <alignment horizontal="center"/>
    </xf>
    <xf numFmtId="165" fontId="3" fillId="3" borderId="2" xfId="0" applyNumberFormat="1" applyFont="1" applyFill="1" applyBorder="1" applyAlignment="1">
      <alignment horizontal="center"/>
    </xf>
    <xf numFmtId="0" fontId="24" fillId="8" borderId="10" xfId="0" applyFont="1" applyFill="1" applyBorder="1" applyAlignment="1">
      <alignment horizontal="center" vertical="center" wrapText="1"/>
    </xf>
    <xf numFmtId="0" fontId="24" fillId="8" borderId="0" xfId="0" applyFont="1" applyFill="1" applyAlignment="1">
      <alignment horizontal="center" vertical="center" wrapText="1"/>
    </xf>
    <xf numFmtId="0" fontId="24" fillId="8" borderId="11" xfId="0" applyFont="1" applyFill="1" applyBorder="1" applyAlignment="1">
      <alignment horizontal="center" vertical="center" wrapText="1"/>
    </xf>
    <xf numFmtId="166" fontId="18" fillId="0" borderId="6" xfId="0" applyNumberFormat="1" applyFont="1" applyFill="1" applyBorder="1" applyAlignment="1">
      <alignment horizontal="center"/>
    </xf>
    <xf numFmtId="166" fontId="18" fillId="0" borderId="13" xfId="0" applyNumberFormat="1" applyFont="1" applyFill="1" applyBorder="1" applyAlignment="1">
      <alignment horizontal="center"/>
    </xf>
    <xf numFmtId="166" fontId="18" fillId="0" borderId="22" xfId="0" applyNumberFormat="1" applyFont="1" applyFill="1" applyBorder="1" applyAlignment="1">
      <alignment horizontal="center"/>
    </xf>
    <xf numFmtId="166" fontId="18" fillId="0" borderId="3" xfId="0" applyNumberFormat="1" applyFont="1" applyFill="1" applyBorder="1" applyAlignment="1">
      <alignment horizontal="center"/>
    </xf>
    <xf numFmtId="166" fontId="18" fillId="0" borderId="2" xfId="0" applyNumberFormat="1" applyFont="1" applyFill="1" applyBorder="1" applyAlignment="1">
      <alignment horizontal="center"/>
    </xf>
    <xf numFmtId="166" fontId="18" fillId="0" borderId="4" xfId="0" applyNumberFormat="1" applyFont="1" applyFill="1" applyBorder="1" applyAlignment="1">
      <alignment horizontal="center"/>
    </xf>
  </cellXfs>
  <cellStyles count="3">
    <cellStyle name="Millares" xfId="1" builtinId="3"/>
    <cellStyle name="Millares 2" xfId="2"/>
    <cellStyle name="Normal" xfId="0" builtinId="0"/>
  </cellStyles>
  <dxfs count="114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right" readingOrder="0"/>
    </dxf>
    <dxf>
      <font>
        <b/>
      </font>
    </dxf>
    <dxf>
      <alignment horizontal="center" readingOrder="0"/>
    </dxf>
    <dxf>
      <alignment wrapText="1" readingOrder="0"/>
    </dxf>
    <dxf>
      <numFmt numFmtId="167" formatCode="h:mm:ss;@"/>
    </dxf>
    <dxf>
      <numFmt numFmtId="167" formatCode="h:mm:ss;@"/>
    </dxf>
    <dxf>
      <numFmt numFmtId="167" formatCode="h:mm:ss;@"/>
    </dxf>
    <dxf>
      <numFmt numFmtId="167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7" formatCode="h:mm:ss;@"/>
    </dxf>
    <dxf>
      <numFmt numFmtId="167" formatCode="h:mm:ss;@"/>
    </dxf>
    <dxf>
      <numFmt numFmtId="167" formatCode="h:mm:ss;@"/>
    </dxf>
    <dxf>
      <numFmt numFmtId="167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7" formatCode="h:mm:ss;@"/>
    </dxf>
    <dxf>
      <numFmt numFmtId="167" formatCode="h:mm:ss;@"/>
    </dxf>
    <dxf>
      <numFmt numFmtId="167" formatCode="h:mm:ss;@"/>
    </dxf>
    <dxf>
      <numFmt numFmtId="167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7" formatCode="h:mm:ss;@"/>
    </dxf>
    <dxf>
      <numFmt numFmtId="167" formatCode="h:mm:ss;@"/>
    </dxf>
    <dxf>
      <numFmt numFmtId="167" formatCode="h:mm:ss;@"/>
    </dxf>
    <dxf>
      <numFmt numFmtId="167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7" formatCode="h:mm:ss;@"/>
    </dxf>
    <dxf>
      <numFmt numFmtId="167" formatCode="h:mm:ss;@"/>
    </dxf>
    <dxf>
      <numFmt numFmtId="167" formatCode="h:mm:ss;@"/>
    </dxf>
    <dxf>
      <numFmt numFmtId="167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7" formatCode="h:mm:ss;@"/>
    </dxf>
    <dxf>
      <numFmt numFmtId="167" formatCode="h:mm:ss;@"/>
    </dxf>
    <dxf>
      <numFmt numFmtId="167" formatCode="h:mm:ss;@"/>
    </dxf>
    <dxf>
      <numFmt numFmtId="167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7" formatCode="h:mm:ss;@"/>
    </dxf>
    <dxf>
      <numFmt numFmtId="167" formatCode="h:mm:ss;@"/>
    </dxf>
    <dxf>
      <numFmt numFmtId="167" formatCode="h:mm:ss;@"/>
    </dxf>
    <dxf>
      <numFmt numFmtId="167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7" formatCode="h:mm:ss;@"/>
    </dxf>
    <dxf>
      <numFmt numFmtId="167" formatCode="h:mm:ss;@"/>
    </dxf>
    <dxf>
      <numFmt numFmtId="167" formatCode="h:mm:ss;@"/>
    </dxf>
    <dxf>
      <numFmt numFmtId="167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ont>
        <color auto="1"/>
      </font>
    </dxf>
    <dxf>
      <font>
        <color theme="7" tint="0.59999389629810485"/>
      </font>
    </dxf>
    <dxf>
      <fill>
        <patternFill>
          <bgColor theme="7" tint="0.59999389629810485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83820</xdr:rowOff>
        </xdr:from>
        <xdr:to>
          <xdr:col>1</xdr:col>
          <xdr:colOff>297180</xdr:colOff>
          <xdr:row>9</xdr:row>
          <xdr:rowOff>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10583</xdr:colOff>
      <xdr:row>10</xdr:row>
      <xdr:rowOff>10583</xdr:rowOff>
    </xdr:from>
    <xdr:to>
      <xdr:col>1</xdr:col>
      <xdr:colOff>10583</xdr:colOff>
      <xdr:row>10</xdr:row>
      <xdr:rowOff>179917</xdr:rowOff>
    </xdr:to>
    <xdr:sp macro="[0]!DATO_A11" textlink="">
      <xdr:nvSpPr>
        <xdr:cNvPr id="13" name="Rectángulo 12">
          <a:extLst>
            <a:ext uri="{FF2B5EF4-FFF2-40B4-BE49-F238E27FC236}">
              <a16:creationId xmlns:a16="http://schemas.microsoft.com/office/drawing/2014/main" xmlns="" id="{24DBCABB-375E-481A-BBBC-F0D840449EAB}"/>
            </a:ext>
          </a:extLst>
        </xdr:cNvPr>
        <xdr:cNvSpPr/>
      </xdr:nvSpPr>
      <xdr:spPr>
        <a:xfrm>
          <a:off x="10583" y="2381250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14821</xdr:colOff>
      <xdr:row>11</xdr:row>
      <xdr:rowOff>14815</xdr:rowOff>
    </xdr:from>
    <xdr:to>
      <xdr:col>1</xdr:col>
      <xdr:colOff>14821</xdr:colOff>
      <xdr:row>11</xdr:row>
      <xdr:rowOff>184149</xdr:rowOff>
    </xdr:to>
    <xdr:sp macro="[0]!DATO_A12" textlink="">
      <xdr:nvSpPr>
        <xdr:cNvPr id="15" name="Rectángulo 14">
          <a:extLst>
            <a:ext uri="{FF2B5EF4-FFF2-40B4-BE49-F238E27FC236}">
              <a16:creationId xmlns:a16="http://schemas.microsoft.com/office/drawing/2014/main" xmlns="" id="{0AE36E68-9CE0-4387-87CD-CB0F2F9E5C71}"/>
            </a:ext>
          </a:extLst>
        </xdr:cNvPr>
        <xdr:cNvSpPr/>
      </xdr:nvSpPr>
      <xdr:spPr>
        <a:xfrm>
          <a:off x="14821" y="2586565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8476</xdr:colOff>
      <xdr:row>12</xdr:row>
      <xdr:rowOff>8464</xdr:rowOff>
    </xdr:from>
    <xdr:to>
      <xdr:col>1</xdr:col>
      <xdr:colOff>8476</xdr:colOff>
      <xdr:row>12</xdr:row>
      <xdr:rowOff>177798</xdr:rowOff>
    </xdr:to>
    <xdr:sp macro="[0]!DATO_A13" textlink="">
      <xdr:nvSpPr>
        <xdr:cNvPr id="16" name="Rectángulo 15">
          <a:extLst>
            <a:ext uri="{FF2B5EF4-FFF2-40B4-BE49-F238E27FC236}">
              <a16:creationId xmlns:a16="http://schemas.microsoft.com/office/drawing/2014/main" xmlns="" id="{992C4194-C647-4DA6-8174-FE5FAA83C5E2}"/>
            </a:ext>
          </a:extLst>
        </xdr:cNvPr>
        <xdr:cNvSpPr/>
      </xdr:nvSpPr>
      <xdr:spPr>
        <a:xfrm>
          <a:off x="8476" y="2781297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12714</xdr:colOff>
      <xdr:row>13</xdr:row>
      <xdr:rowOff>12695</xdr:rowOff>
    </xdr:from>
    <xdr:to>
      <xdr:col>1</xdr:col>
      <xdr:colOff>12714</xdr:colOff>
      <xdr:row>13</xdr:row>
      <xdr:rowOff>182029</xdr:rowOff>
    </xdr:to>
    <xdr:sp macro="[0]!DATO_A14" textlink="">
      <xdr:nvSpPr>
        <xdr:cNvPr id="17" name="Rectángulo 16">
          <a:extLst>
            <a:ext uri="{FF2B5EF4-FFF2-40B4-BE49-F238E27FC236}">
              <a16:creationId xmlns:a16="http://schemas.microsoft.com/office/drawing/2014/main" xmlns="" id="{658D2A81-738C-4AAF-BF39-5200927C6F7E}"/>
            </a:ext>
          </a:extLst>
        </xdr:cNvPr>
        <xdr:cNvSpPr/>
      </xdr:nvSpPr>
      <xdr:spPr>
        <a:xfrm>
          <a:off x="12714" y="2986612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6369</xdr:colOff>
      <xdr:row>14</xdr:row>
      <xdr:rowOff>6344</xdr:rowOff>
    </xdr:from>
    <xdr:to>
      <xdr:col>1</xdr:col>
      <xdr:colOff>6369</xdr:colOff>
      <xdr:row>14</xdr:row>
      <xdr:rowOff>175678</xdr:rowOff>
    </xdr:to>
    <xdr:sp macro="[0]!DATO_A15" textlink="">
      <xdr:nvSpPr>
        <xdr:cNvPr id="18" name="Rectángulo 17">
          <a:extLst>
            <a:ext uri="{FF2B5EF4-FFF2-40B4-BE49-F238E27FC236}">
              <a16:creationId xmlns:a16="http://schemas.microsoft.com/office/drawing/2014/main" xmlns="" id="{D70FE6BC-C0B6-43F5-A5D1-EF5DEF025B17}"/>
            </a:ext>
          </a:extLst>
        </xdr:cNvPr>
        <xdr:cNvSpPr/>
      </xdr:nvSpPr>
      <xdr:spPr>
        <a:xfrm>
          <a:off x="6369" y="3181344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10607</xdr:colOff>
      <xdr:row>15</xdr:row>
      <xdr:rowOff>10576</xdr:rowOff>
    </xdr:from>
    <xdr:to>
      <xdr:col>1</xdr:col>
      <xdr:colOff>10607</xdr:colOff>
      <xdr:row>15</xdr:row>
      <xdr:rowOff>179910</xdr:rowOff>
    </xdr:to>
    <xdr:sp macro="[0]!DATO_A16" textlink="">
      <xdr:nvSpPr>
        <xdr:cNvPr id="19" name="Rectángulo 18">
          <a:extLst>
            <a:ext uri="{FF2B5EF4-FFF2-40B4-BE49-F238E27FC236}">
              <a16:creationId xmlns:a16="http://schemas.microsoft.com/office/drawing/2014/main" xmlns="" id="{B4CD1CF0-51A3-4DD9-A4C0-5131F67651E3}"/>
            </a:ext>
          </a:extLst>
        </xdr:cNvPr>
        <xdr:cNvSpPr/>
      </xdr:nvSpPr>
      <xdr:spPr>
        <a:xfrm>
          <a:off x="10607" y="3386659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152400</xdr:rowOff>
        </xdr:from>
        <xdr:to>
          <xdr:col>11</xdr:col>
          <xdr:colOff>38100</xdr:colOff>
          <xdr:row>7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</a:rPr>
                <a:t>Agregar a Lista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5</xdr:row>
          <xdr:rowOff>76200</xdr:rowOff>
        </xdr:from>
        <xdr:to>
          <xdr:col>13</xdr:col>
          <xdr:colOff>1203960</xdr:colOff>
          <xdr:row>8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</a:rPr>
                <a:t>GUARA LISTADO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11206</xdr:colOff>
      <xdr:row>7</xdr:row>
      <xdr:rowOff>201705</xdr:rowOff>
    </xdr:from>
    <xdr:to>
      <xdr:col>11</xdr:col>
      <xdr:colOff>11206</xdr:colOff>
      <xdr:row>9</xdr:row>
      <xdr:rowOff>11205</xdr:rowOff>
    </xdr:to>
    <xdr:sp macro="[0]!ORD_FUNC_K9" textlink="">
      <xdr:nvSpPr>
        <xdr:cNvPr id="2" name="Rectángulo 1"/>
        <xdr:cNvSpPr/>
      </xdr:nvSpPr>
      <xdr:spPr>
        <a:xfrm>
          <a:off x="8673353" y="2084293"/>
          <a:ext cx="1143000" cy="29135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11</xdr:col>
      <xdr:colOff>11205</xdr:colOff>
      <xdr:row>8</xdr:row>
      <xdr:rowOff>1</xdr:rowOff>
    </xdr:from>
    <xdr:to>
      <xdr:col>11</xdr:col>
      <xdr:colOff>1243852</xdr:colOff>
      <xdr:row>8</xdr:row>
      <xdr:rowOff>268942</xdr:rowOff>
    </xdr:to>
    <xdr:sp macro="[0]!ORD_VEHI_L9" textlink="">
      <xdr:nvSpPr>
        <xdr:cNvPr id="12" name="Rectángulo 11"/>
        <xdr:cNvSpPr/>
      </xdr:nvSpPr>
      <xdr:spPr>
        <a:xfrm>
          <a:off x="9816352" y="2084295"/>
          <a:ext cx="1232647" cy="26894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ODUCCION-02" refreshedDate="43131.475997800924" createdVersion="5" refreshedVersion="5" minRefreshableVersion="3" recordCount="43">
  <cacheSource type="worksheet">
    <worksheetSource ref="B3:D46" sheet="NOMINAS PSM&amp;BIO"/>
  </cacheSource>
  <cacheFields count="3">
    <cacheField name="NOMINA" numFmtId="0">
      <sharedItems containsBlank="1" count="48">
        <s v="HERNANDEZ VALENCIA CARLOS ALBERTO"/>
        <s v="ARMIJOS MIÑAN ANGEL"/>
        <s v="SOTO CANGO ROBER CORNELIO"/>
        <s v="CANGO QUITO JOSE LEOVARDO"/>
        <s v="PEREZ JUMBO JORGE ROLANDO"/>
        <s v="RUIZ RUIZ DIEGO PATRICIO"/>
        <s v="GOMEZ ESPINOZA GASTON SANTOS"/>
        <s v="PEÑA CEDEÑO JOSE PERFECTO"/>
        <s v="BRAVO QUINTO JORGE DANIEL"/>
        <s v="GOMEZ PARRA  RICARDO JOEL"/>
        <s v="CUEVA LUDEÑA MANUEL DE JESUS"/>
        <s v="JARA ARMIJOS CESAR HOMERO"/>
        <s v="CASTILLO OCHOA HERIBERTO GUILLERMO"/>
        <s v="CORNEJO SANCHEZ FELIX TEOBALDO"/>
        <s v="PINTA PINTA WILMER ROLANDO"/>
        <s v="CONTENTO LIVIZACA RUDY ANDRES"/>
        <s v="SIMANCAS AGUILAR DAVID MOISES"/>
        <s v="CANGO CUEVA FRANCISCO ARMANDO"/>
        <s v="ORTIZ MENDEZ EDWIN ELOY"/>
        <s v="GOMEZ JUMBO YORGIN"/>
        <s v="MATAILO PINTA MIGUEL ANGEL"/>
        <s v="PINTA MATAILO REIMUNDO ROMELIO"/>
        <s v="PINTA AGUILAR DIEGO FERNANDO"/>
        <s v="CHAMBA BARSALLO ROBERTO CARLOS "/>
        <s v="CEDEÑO CHILAN SEGUNDO VICENTE"/>
        <s v="CHAGNA MORALES ARMANDO PAUL"/>
        <s v="CEVALLOS ALAY MELVIN DAVID"/>
        <s v="LOZANO MANZABA BRYAN RENE"/>
        <s v="HELGUERO MARTINEZ CARLOS RENE"/>
        <s v="VICENTE MACAS VICTOR HUGO"/>
        <s v="CANGO CUEVA DIEGO POLO"/>
        <s v="JARA ARMIJOS MARIO FABIAN"/>
        <s v="CASTILLO PINTA EDWIN MESIAS"/>
        <s v="CHALACO CASTILLO ROBERTH IVAN"/>
        <s v="JIMENEZ GUAYANAY ALEXANDER EDUARDO"/>
        <s v="MARMOLEJO MARQUEZ VICTOR MANUEL"/>
        <s v="BUENAVENTURA GONZALEZ LUIS MIGUEL"/>
        <s v="AVILA AVILA STALIN JEFFERSON"/>
        <s v="PEÑA CEDEÑO CRISTHIAN JAVIER"/>
        <s v="SOTO MATAILO JOSE ENRIQUE"/>
        <s v="ORTIZ RODRIGUEZ JOSE VICENTE"/>
        <s v="MOROCHO SALINAS FABRICIO EDUARDO"/>
        <m/>
        <s v="CEREZO SANCHEZ CARLOS LEONARDO" u="1"/>
        <s v="ROBLES BUSTAMANTE CARLOS" u="1"/>
        <s v="BRIONES DAVILA ROBERTH SAMUEL" u="1"/>
        <s v="MATAILO MATAILO JOSE EFRAIN" u="1"/>
        <s v="JARA ARMIJOS BYRON GERMAN" u="1"/>
      </sharedItems>
    </cacheField>
    <cacheField name="No. Cédula" numFmtId="0">
      <sharedItems containsBlank="1"/>
    </cacheField>
    <cacheField name="EMPRES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ODUCCION-02" refreshedDate="43131.475998958333" createdVersion="5" refreshedVersion="5" minRefreshableVersion="3" recordCount="164">
  <cacheSource type="worksheet">
    <worksheetSource ref="A2:N166" sheet="Reg_Partic_Transf"/>
  </cacheSource>
  <cacheFields count="14">
    <cacheField name="EMPRESA" numFmtId="0">
      <sharedItems containsBlank="1" containsMixedTypes="1" containsNumber="1" containsInteger="1" minValue="0" maxValue="0" count="4">
        <s v="PSM"/>
        <s v="BIO"/>
        <n v="0"/>
        <m/>
      </sharedItems>
    </cacheField>
    <cacheField name="NOCHE" numFmtId="0">
      <sharedItems containsBlank="1" containsMixedTypes="1" containsNumber="1" containsInteger="1" minValue="1" maxValue="1"/>
    </cacheField>
    <cacheField name="FECHA" numFmtId="14">
      <sharedItems containsDate="1" containsBlank="1" containsMixedTypes="1" minDate="2018-01-18T00:00:00" maxDate="2018-01-19T00:00:00"/>
    </cacheField>
    <cacheField name="#" numFmtId="0">
      <sharedItems containsBlank="1" containsMixedTypes="1" containsNumber="1" containsInteger="1" minValue="1" maxValue="22"/>
    </cacheField>
    <cacheField name="APELLIDOS Y NOMBRES" numFmtId="0">
      <sharedItems containsBlank="1" count="41">
        <s v="GOMEZ PARRA  RICARDO JOEL"/>
        <s v="CASTILLO PINTA EDWIN MESIAS"/>
        <s v="SOTO MATAILO JOSE ENRIQUE"/>
        <s v="ORTIZ MENDEZ EDWIN ELOY"/>
        <s v="CANGO CUEVA FRANCISCO ARMANDO"/>
        <s v="JARA ARMIJOS CESAR HOMERO"/>
        <s v="SOTO CANGO ROBER CORNELIO"/>
        <s v="PINTA MATAILO REIMUNDO ROMELIO"/>
        <s v="CHALACO CASTILLO ROBERTH IVAN"/>
        <s v="CEVALLOS ALAY MELVIN DAVID"/>
        <s v="HERNANDEZ VALENCIA CARLOS ALBERTO"/>
        <s v="LOZANO MANZABA BRYAN RENE"/>
        <s v="CANGO QUITO JOSE LEOVARDO"/>
        <s v="SIMANCAS AGUILAR DAVID MOISES"/>
        <s v="MATAILO PINTA MIGUEL ANGEL"/>
        <s v="CHAMBA BARSALLO ROBERTO CARLOS "/>
        <s v="CEDEÑO CHILAN SEGUNDO VICENTE"/>
        <s v="JIMENEZ GUAYANAY ALEXANDER EDUARDO"/>
        <s v="PINTA AGUILAR DIEGO FERNANDO"/>
        <s v="PINTA PINTA WILMER ROLANDO"/>
        <s v="ORTIZ RODRIGUEZ JOSE VICENTE"/>
        <s v="RUIZ RUIZ DIEGO PATRICIO"/>
        <s v=" "/>
        <m/>
        <s v="CEREZO SANCHEZ CARLOS LEONARDO" u="1"/>
        <s v="ROBLES BUSTAMANTE CARLOS" u="1"/>
        <s v="CONTENTO LIVIZACA RUDY ANDRES" u="1"/>
        <s v="CASTILLO OCHOA HERIBERTO GUILLERMO" u="1"/>
        <s v="BUENAVENTURA GONZALEZ LUIS MIGUEL" u="1"/>
        <s v="AVILA AVILA STALIN JEFFERSON" u="1"/>
        <s v="CANGO CUEVA DIEGO POLO" u="1"/>
        <s v="PEREZ JUMBO JORGE ROLANDO" u="1"/>
        <s v="MARMOLEJO MARQUEZ VICTOR MANUEL" u="1"/>
        <s v="JARA ARMIJOS MARIO FABIAN" u="1"/>
        <s v="CORNEJO SANCHEZ FELIX TEOBALDO" u="1"/>
        <s v="MATAILO MATAILO JOSE EFRAIN" u="1"/>
        <s v="BRAVO QUINTO JORGE DANIEL" u="1"/>
        <s v="CUEVA LUDEÑA MANUEL DE JESUS" u="1"/>
        <s v="JARA ARMIJOS BYRON GERMAN" u="1"/>
        <s v="PEÑA CEDEÑO JOSE PERFECTO" u="1"/>
        <s v="CHAGNA MORALES ARMANDO PAUL" u="1"/>
      </sharedItems>
    </cacheField>
    <cacheField name="FUNCION" numFmtId="0">
      <sharedItems containsBlank="1"/>
    </cacheField>
    <cacheField name="VEHICULO" numFmtId="0">
      <sharedItems containsBlank="1"/>
    </cacheField>
    <cacheField name="Dia Festivo" numFmtId="0">
      <sharedItems containsString="0" containsBlank="1" containsNumber="1" containsInteger="1" minValue="0" maxValue="0"/>
    </cacheField>
    <cacheField name="HORA INICIO 50%" numFmtId="167">
      <sharedItems containsDate="1" containsBlank="1" containsMixedTypes="1" minDate="1899-12-30T20:00:00" maxDate="1899-12-30T20:00:00"/>
    </cacheField>
    <cacheField name="HORA FINAL 50%" numFmtId="167">
      <sharedItems containsDate="1" containsBlank="1" containsMixedTypes="1" minDate="1899-12-31T00:00:00" maxDate="1900-01-01T00:00:00"/>
    </cacheField>
    <cacheField name="H.E. 50%" numFmtId="2">
      <sharedItems containsString="0" containsBlank="1" containsNumber="1" minValue="0" maxValue="3.9999999999999991"/>
    </cacheField>
    <cacheField name="HORA INICIO 100%" numFmtId="167">
      <sharedItems containsDate="1" containsBlank="1" containsMixedTypes="1" minDate="1899-12-30T00:00:00" maxDate="1899-12-31T00:00:00"/>
    </cacheField>
    <cacheField name="HORA FINAL 100%" numFmtId="167">
      <sharedItems containsDate="1" containsBlank="1" containsMixedTypes="1" minDate="1899-12-30T03:00:00" maxDate="1899-12-30T03:00:00"/>
    </cacheField>
    <cacheField name="H.E. 100%" numFmtId="2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ODUCCION-02" refreshedDate="43131.476138888887" createdVersion="5" refreshedVersion="5" minRefreshableVersion="3" recordCount="164">
  <cacheSource type="worksheet">
    <worksheetSource ref="A2:N166" sheet="Reg_Partic_Transf"/>
  </cacheSource>
  <cacheFields count="14">
    <cacheField name="EMPRESA" numFmtId="0">
      <sharedItems containsBlank="1" containsMixedTypes="1" containsNumber="1" containsInteger="1" minValue="0" maxValue="0"/>
    </cacheField>
    <cacheField name="NOCHE" numFmtId="0">
      <sharedItems containsBlank="1" containsMixedTypes="1" containsNumber="1" containsInteger="1" minValue="1" maxValue="3" count="5">
        <n v="1"/>
        <s v=" "/>
        <m/>
        <n v="2" u="1"/>
        <n v="3" u="1"/>
      </sharedItems>
    </cacheField>
    <cacheField name="FECHA" numFmtId="14">
      <sharedItems containsDate="1" containsBlank="1" containsMixedTypes="1" minDate="2017-08-29T00:00:00" maxDate="2018-01-19T00:00:00" count="14">
        <d v="2018-01-18T00:00:00"/>
        <s v=" "/>
        <m/>
        <d v="2017-09-13T00:00:00" u="1"/>
        <d v="2017-12-28T00:00:00" u="1"/>
        <d v="2017-08-30T00:00:00" u="1"/>
        <d v="2017-09-28T00:00:00" u="1"/>
        <d v="2017-09-14T00:00:00" u="1"/>
        <d v="2017-12-29T00:00:00" u="1"/>
        <d v="2017-09-26T00:00:00" u="1"/>
        <d v="2017-09-12T00:00:00" u="1"/>
        <d v="2017-12-27T00:00:00" u="1"/>
        <d v="2017-08-29T00:00:00" u="1"/>
        <d v="2017-09-27T00:00:00" u="1"/>
      </sharedItems>
    </cacheField>
    <cacheField name="#" numFmtId="0">
      <sharedItems containsBlank="1" containsMixedTypes="1" containsNumber="1" containsInteger="1" minValue="1" maxValue="22" count="2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s v=" "/>
        <m/>
      </sharedItems>
    </cacheField>
    <cacheField name="APELLIDOS Y NOMBRES" numFmtId="0">
      <sharedItems containsBlank="1" count="44">
        <s v="GOMEZ PARRA  RICARDO JOEL"/>
        <s v="CASTILLO PINTA EDWIN MESIAS"/>
        <s v="SOTO MATAILO JOSE ENRIQUE"/>
        <s v="ORTIZ MENDEZ EDWIN ELOY"/>
        <s v="CANGO CUEVA FRANCISCO ARMANDO"/>
        <s v="JARA ARMIJOS CESAR HOMERO"/>
        <s v="SOTO CANGO ROBER CORNELIO"/>
        <s v="PINTA MATAILO REIMUNDO ROMELIO"/>
        <s v="CHALACO CASTILLO ROBERTH IVAN"/>
        <s v="CEVALLOS ALAY MELVIN DAVID"/>
        <s v="HERNANDEZ VALENCIA CARLOS ALBERTO"/>
        <s v="LOZANO MANZABA BRYAN RENE"/>
        <s v="CANGO QUITO JOSE LEOVARDO"/>
        <s v="SIMANCAS AGUILAR DAVID MOISES"/>
        <s v="MATAILO PINTA MIGUEL ANGEL"/>
        <s v="CHAMBA BARSALLO ROBERTO CARLOS "/>
        <s v="CEDEÑO CHILAN SEGUNDO VICENTE"/>
        <s v="JIMENEZ GUAYANAY ALEXANDER EDUARDO"/>
        <s v="PINTA AGUILAR DIEGO FERNANDO"/>
        <s v="PINTA PINTA WILMER ROLANDO"/>
        <s v="ORTIZ RODRIGUEZ JOSE VICENTE"/>
        <s v="RUIZ RUIZ DIEGO PATRICIO"/>
        <s v=" "/>
        <m/>
        <s v="CEREZO SANCHEZ CARLOS LEONARDO" u="1"/>
        <s v="ROBLES BUSTAMANTE CARLOS" u="1"/>
        <s v="CONTENTO LIVIZACA RUDY ANDRES" u="1"/>
        <s v="CASTILLO OCHOA HERIBERTO GUILLERMO" u="1"/>
        <s v="HORA INICIO DE TRANSFERENCIA" u="1"/>
        <s v="BUENAVENTURA GONZALEZ LUIS MIGUEL" u="1"/>
        <s v="AVILA AVILA STALIN JEFFERSON" u="1"/>
        <s v="HORA FINAL DE TRANSFERENCIA" u="1"/>
        <s v="CANGO CUEVA DIEGO POLO" u="1"/>
        <s v="PEREZ JUMBO JORGE ROLANDO" u="1"/>
        <s v="RESUMEN: " u="1"/>
        <s v="MARMOLEJO MARQUEZ VICTOR MANUEL" u="1"/>
        <s v="JARA ARMIJOS MARIO FABIAN" u="1"/>
        <s v="CORNEJO SANCHEZ FELIX TEOBALDO" u="1"/>
        <s v="MATAILO MATAILO JOSE EFRAIN" u="1"/>
        <s v="BRAVO QUINTO JORGE DANIEL" u="1"/>
        <s v="CUEVA LUDEÑA MANUEL DE JESUS" u="1"/>
        <s v="JARA ARMIJOS BYRON GERMAN" u="1"/>
        <s v="PEÑA CEDEÑO JOSE PERFECTO" u="1"/>
        <s v="CHAGNA MORALES ARMANDO PAUL" u="1"/>
      </sharedItems>
    </cacheField>
    <cacheField name="FUNCION" numFmtId="0">
      <sharedItems containsBlank="1" containsMixedTypes="1" containsNumber="1" minValue="0.25" maxValue="0.97916666666666663" count="11">
        <s v="1.- Bolsero"/>
        <s v="2.- Chayo"/>
        <s v="3.- Pesador"/>
        <s v="4.- Sembrador"/>
        <s v="5.- Transporte"/>
        <s v="6.- Patero"/>
        <s v=" "/>
        <m/>
        <n v="0.25" u="1"/>
        <n v="0.95833333333333337" u="1"/>
        <n v="0.97916666666666663" u="1"/>
      </sharedItems>
    </cacheField>
    <cacheField name="VEHICULO" numFmtId="0">
      <sharedItems containsBlank="1" count="13">
        <s v=" "/>
        <s v="Camion OBA-3557"/>
        <s v="Chev. Blanca 1 OBB-2528"/>
        <s v="Chev. Blanca 2 OBB-2508"/>
        <s v="Chev. Ploma OBA-3476"/>
        <s v="Volqueta 1 OBA-3558"/>
        <s v="Volqueta 2 ABG-8538"/>
        <m/>
        <s v="Chev. Blanca 1" u="1"/>
        <s v="Camion" u="1"/>
        <s v="Volqueta" u="1"/>
        <s v="Chev. Blanca 2" u="1"/>
        <s v="Chev. Ploma" u="1"/>
      </sharedItems>
    </cacheField>
    <cacheField name="Dia Festivo" numFmtId="0">
      <sharedItems containsString="0" containsBlank="1" containsNumber="1" containsInteger="1" minValue="0" maxValue="0"/>
    </cacheField>
    <cacheField name="HORA INICIO 50%" numFmtId="167">
      <sharedItems containsDate="1" containsBlank="1" containsMixedTypes="1" minDate="1899-12-30T00:00:00" maxDate="1899-12-30T23:30:00" count="8">
        <d v="1899-12-30T20:00:00"/>
        <s v=" "/>
        <m/>
        <d v="1899-12-30T23:30:00" u="1"/>
        <d v="1899-12-30T00:00:00" u="1"/>
        <d v="1899-12-30T13:00:00" u="1"/>
        <d v="1899-12-30T16:00:00" u="1"/>
        <d v="1899-12-30T23:00:00" u="1"/>
      </sharedItems>
    </cacheField>
    <cacheField name="HORA FINAL 50%" numFmtId="167">
      <sharedItems containsDate="1" containsBlank="1" containsMixedTypes="1" minDate="1899-12-30T00:00:00" maxDate="1900-01-01T00:00:00" count="6">
        <d v="1899-12-31T00:00:00"/>
        <s v=" "/>
        <m/>
        <d v="1899-12-30T21:30:00" u="1"/>
        <d v="1899-12-30T00:00:00" u="1"/>
        <d v="1899-12-30T18:00:00" u="1"/>
      </sharedItems>
    </cacheField>
    <cacheField name="H.E. 50%" numFmtId="2">
      <sharedItems containsString="0" containsBlank="1" containsNumber="1" minValue="0" maxValue="5.5000000000000018" count="7">
        <n v="3.9999999999999991"/>
        <n v="0"/>
        <m/>
        <n v="0.50000000000000089" u="1"/>
        <n v="5.0000000000000009" u="1"/>
        <n v="5.5000000000000018" u="1"/>
        <n v="0.99999999999999911" u="1"/>
      </sharedItems>
    </cacheField>
    <cacheField name="HORA INICIO 100%" numFmtId="167">
      <sharedItems containsDate="1" containsBlank="1" containsMixedTypes="1" minDate="1899-12-30T00:00:00" maxDate="1899-12-31T00:00:00" count="6">
        <d v="1899-12-30T00:00:00"/>
        <s v=" "/>
        <m/>
        <d v="1899-12-30T01:00:00" u="1"/>
        <d v="1899-12-30T02:00:00" u="1"/>
        <d v="1899-12-30T01:30:00" u="1"/>
      </sharedItems>
    </cacheField>
    <cacheField name="HORA FINAL 100%" numFmtId="167">
      <sharedItems containsDate="1" containsBlank="1" containsMixedTypes="1" minDate="1899-12-30T00:00:00" maxDate="1899-12-30T06:00:00" count="6">
        <d v="1899-12-30T03:00:00"/>
        <s v=" "/>
        <m/>
        <d v="1899-12-30T00:00:00" u="1"/>
        <d v="1899-12-30T06:00:00" u="1"/>
        <d v="1899-12-30T04:30:00" u="1"/>
      </sharedItems>
    </cacheField>
    <cacheField name="H.E. 100%" numFmtId="2">
      <sharedItems containsString="0" containsBlank="1" containsNumber="1" minValue="0" maxValue="6" count="8">
        <n v="3"/>
        <n v="0"/>
        <m/>
        <n v="4.5" u="1"/>
        <n v="5" u="1"/>
        <n v="6" u="1"/>
        <n v="3.5" u="1"/>
        <n v="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0"/>
    <s v="230034363-5"/>
    <s v="PSM"/>
  </r>
  <r>
    <x v="1"/>
    <s v="070219346-7"/>
    <s v="PSM"/>
  </r>
  <r>
    <x v="2"/>
    <s v="110278326-1"/>
    <s v="PSM"/>
  </r>
  <r>
    <x v="3"/>
    <s v="110315588-1"/>
    <s v="PSM"/>
  </r>
  <r>
    <x v="4"/>
    <s v="070508993-6"/>
    <s v="PSM"/>
  </r>
  <r>
    <x v="5"/>
    <s v="110377448-3"/>
    <s v="PSM"/>
  </r>
  <r>
    <x v="6"/>
    <s v="070200116-5"/>
    <s v="PSM"/>
  </r>
  <r>
    <x v="7"/>
    <s v="172485071-2"/>
    <s v="PSM"/>
  </r>
  <r>
    <x v="8"/>
    <s v="172755391-7"/>
    <s v="PSM"/>
  </r>
  <r>
    <x v="9"/>
    <s v="070733745-7"/>
    <s v="PSM"/>
  </r>
  <r>
    <x v="10"/>
    <s v="110483502-8"/>
    <s v="PSM"/>
  </r>
  <r>
    <x v="11"/>
    <s v="110571148-3"/>
    <s v="PSM"/>
  </r>
  <r>
    <x v="12"/>
    <s v="110437810-2"/>
    <s v="PSM"/>
  </r>
  <r>
    <x v="13"/>
    <s v="120653372-9"/>
    <s v="PSM"/>
  </r>
  <r>
    <x v="14"/>
    <s v="110576532-3"/>
    <s v="PSM"/>
  </r>
  <r>
    <x v="15"/>
    <s v="070605677-7"/>
    <s v="PSM"/>
  </r>
  <r>
    <x v="16"/>
    <s v="110506978-3"/>
    <s v="PSM"/>
  </r>
  <r>
    <x v="17"/>
    <s v="110514219-2"/>
    <s v="PSM"/>
  </r>
  <r>
    <x v="18"/>
    <s v="230013608-8"/>
    <s v="PSM"/>
  </r>
  <r>
    <x v="19"/>
    <s v="130362626-9"/>
    <s v="BIO"/>
  </r>
  <r>
    <x v="20"/>
    <s v="110352731-1"/>
    <s v="BIO"/>
  </r>
  <r>
    <x v="21"/>
    <s v="110295161-1"/>
    <s v="BIO"/>
  </r>
  <r>
    <x v="22"/>
    <s v="110457677-0"/>
    <s v="BIO"/>
  </r>
  <r>
    <x v="23"/>
    <s v="110495641-0"/>
    <s v="BIO"/>
  </r>
  <r>
    <x v="24"/>
    <s v="171933177-7"/>
    <s v="BIO"/>
  </r>
  <r>
    <x v="25"/>
    <s v="235026425-1"/>
    <s v="BIO"/>
  </r>
  <r>
    <x v="26"/>
    <s v="070421950-0"/>
    <s v="BIO"/>
  </r>
  <r>
    <x v="27"/>
    <s v="172485077-9"/>
    <s v="BIO"/>
  </r>
  <r>
    <x v="28"/>
    <s v="070362264-7"/>
    <s v="BIO"/>
  </r>
  <r>
    <x v="29"/>
    <s v="110468487-1"/>
    <s v="BIO"/>
  </r>
  <r>
    <x v="30"/>
    <s v="110599059-0"/>
    <s v="BIO"/>
  </r>
  <r>
    <x v="31"/>
    <s v="115040949-6"/>
    <s v="BIO"/>
  </r>
  <r>
    <x v="32"/>
    <s v="110323737-4"/>
    <s v="BIO"/>
  </r>
  <r>
    <x v="33"/>
    <s v="070339013-8"/>
    <s v="PSM"/>
  </r>
  <r>
    <x v="34"/>
    <s v="195013467-4"/>
    <s v="BIO"/>
  </r>
  <r>
    <x v="35"/>
    <s v="230078109-9"/>
    <s v="BIO"/>
  </r>
  <r>
    <x v="36"/>
    <s v="085082270-1"/>
    <s v="BIO"/>
  </r>
  <r>
    <x v="37"/>
    <s v="094237190-7"/>
    <s v="BIO"/>
  </r>
  <r>
    <x v="38"/>
    <s v="235022240-8"/>
    <s v="BIO"/>
  </r>
  <r>
    <x v="39"/>
    <s v="110495242-7"/>
    <s v="BIO"/>
  </r>
  <r>
    <x v="40"/>
    <s v="075010317-8"/>
    <s v="PSM"/>
  </r>
  <r>
    <x v="41"/>
    <s v="110480020-4"/>
    <s v="PSM"/>
  </r>
  <r>
    <x v="4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4">
  <r>
    <x v="0"/>
    <n v="1"/>
    <d v="2018-01-18T00:00:00"/>
    <n v="1"/>
    <x v="0"/>
    <s v="1.- Bolsero"/>
    <s v=" "/>
    <n v="0"/>
    <d v="1899-12-30T20:00:00"/>
    <d v="1899-12-31T00:00:00"/>
    <n v="3.9999999999999991"/>
    <d v="1899-12-30T00:00:00"/>
    <d v="1899-12-30T03:00:00"/>
    <n v="3"/>
  </r>
  <r>
    <x v="1"/>
    <n v="1"/>
    <d v="2018-01-18T00:00:00"/>
    <n v="2"/>
    <x v="1"/>
    <s v="1.- Bolsero"/>
    <s v=" "/>
    <n v="0"/>
    <d v="1899-12-30T20:00:00"/>
    <d v="1899-12-31T00:00:00"/>
    <n v="3.9999999999999991"/>
    <d v="1899-12-30T00:00:00"/>
    <d v="1899-12-30T03:00:00"/>
    <n v="3"/>
  </r>
  <r>
    <x v="1"/>
    <n v="1"/>
    <d v="2018-01-18T00:00:00"/>
    <n v="3"/>
    <x v="2"/>
    <s v="2.- Chayo"/>
    <s v=" "/>
    <n v="0"/>
    <d v="1899-12-30T20:00:00"/>
    <d v="1899-12-31T00:00:00"/>
    <n v="3.9999999999999991"/>
    <d v="1899-12-30T00:00:00"/>
    <d v="1899-12-30T03:00:00"/>
    <n v="3"/>
  </r>
  <r>
    <x v="0"/>
    <n v="1"/>
    <d v="2018-01-18T00:00:00"/>
    <n v="4"/>
    <x v="3"/>
    <s v="2.- Chayo"/>
    <s v=" "/>
    <n v="0"/>
    <d v="1899-12-30T20:00:00"/>
    <d v="1899-12-31T00:00:00"/>
    <n v="3.9999999999999991"/>
    <d v="1899-12-30T00:00:00"/>
    <d v="1899-12-30T03:00:00"/>
    <n v="3"/>
  </r>
  <r>
    <x v="0"/>
    <n v="1"/>
    <d v="2018-01-18T00:00:00"/>
    <n v="5"/>
    <x v="4"/>
    <s v="2.- Chayo"/>
    <s v=" "/>
    <n v="0"/>
    <d v="1899-12-30T20:00:00"/>
    <d v="1899-12-31T00:00:00"/>
    <n v="3.9999999999999991"/>
    <d v="1899-12-30T00:00:00"/>
    <d v="1899-12-30T03:00:00"/>
    <n v="3"/>
  </r>
  <r>
    <x v="0"/>
    <n v="1"/>
    <d v="2018-01-18T00:00:00"/>
    <n v="6"/>
    <x v="5"/>
    <s v="3.- Pesador"/>
    <s v=" "/>
    <n v="0"/>
    <d v="1899-12-30T20:00:00"/>
    <d v="1899-12-31T00:00:00"/>
    <n v="3.9999999999999991"/>
    <d v="1899-12-30T00:00:00"/>
    <d v="1899-12-30T03:00:00"/>
    <n v="3"/>
  </r>
  <r>
    <x v="0"/>
    <n v="1"/>
    <d v="2018-01-18T00:00:00"/>
    <n v="7"/>
    <x v="6"/>
    <s v="4.- Sembrador"/>
    <s v=" "/>
    <n v="0"/>
    <d v="1899-12-30T20:00:00"/>
    <d v="1899-12-31T00:00:00"/>
    <n v="3.9999999999999991"/>
    <d v="1899-12-30T00:00:00"/>
    <d v="1899-12-30T03:00:00"/>
    <n v="3"/>
  </r>
  <r>
    <x v="1"/>
    <n v="1"/>
    <d v="2018-01-18T00:00:00"/>
    <n v="8"/>
    <x v="7"/>
    <s v="4.- Sembrador"/>
    <s v=" "/>
    <n v="0"/>
    <d v="1899-12-30T20:00:00"/>
    <d v="1899-12-31T00:00:00"/>
    <n v="3.9999999999999991"/>
    <d v="1899-12-30T00:00:00"/>
    <d v="1899-12-30T03:00:00"/>
    <n v="3"/>
  </r>
  <r>
    <x v="0"/>
    <n v="1"/>
    <d v="2018-01-18T00:00:00"/>
    <n v="9"/>
    <x v="8"/>
    <s v="5.- Transporte"/>
    <s v="Camion OBA-3557"/>
    <n v="0"/>
    <d v="1899-12-30T20:00:00"/>
    <d v="1899-12-31T00:00:00"/>
    <n v="3.9999999999999991"/>
    <d v="1899-12-30T00:00:00"/>
    <d v="1899-12-30T03:00:00"/>
    <n v="3"/>
  </r>
  <r>
    <x v="1"/>
    <n v="1"/>
    <d v="2018-01-18T00:00:00"/>
    <n v="10"/>
    <x v="9"/>
    <s v="5.- Transporte"/>
    <s v="Camion OBA-3557"/>
    <n v="0"/>
    <d v="1899-12-30T20:00:00"/>
    <d v="1899-12-31T00:00:00"/>
    <n v="3.9999999999999991"/>
    <d v="1899-12-30T00:00:00"/>
    <d v="1899-12-30T03:00:00"/>
    <n v="3"/>
  </r>
  <r>
    <x v="0"/>
    <n v="1"/>
    <d v="2018-01-18T00:00:00"/>
    <n v="11"/>
    <x v="10"/>
    <s v="5.- Transporte"/>
    <s v="Chev. Blanca 1 OBB-2528"/>
    <n v="0"/>
    <d v="1899-12-30T20:00:00"/>
    <d v="1899-12-31T00:00:00"/>
    <n v="3.9999999999999991"/>
    <d v="1899-12-30T00:00:00"/>
    <d v="1899-12-30T03:00:00"/>
    <n v="3"/>
  </r>
  <r>
    <x v="1"/>
    <n v="1"/>
    <d v="2018-01-18T00:00:00"/>
    <n v="12"/>
    <x v="11"/>
    <s v="5.- Transporte"/>
    <s v="Chev. Blanca 1 OBB-2528"/>
    <n v="0"/>
    <d v="1899-12-30T20:00:00"/>
    <d v="1899-12-31T00:00:00"/>
    <n v="3.9999999999999991"/>
    <d v="1899-12-30T00:00:00"/>
    <d v="1899-12-30T03:00:00"/>
    <n v="3"/>
  </r>
  <r>
    <x v="0"/>
    <n v="1"/>
    <d v="2018-01-18T00:00:00"/>
    <n v="13"/>
    <x v="12"/>
    <s v="5.- Transporte"/>
    <s v="Chev. Blanca 2 OBB-2508"/>
    <n v="0"/>
    <d v="1899-12-30T20:00:00"/>
    <d v="1899-12-31T00:00:00"/>
    <n v="3.9999999999999991"/>
    <d v="1899-12-30T00:00:00"/>
    <d v="1899-12-30T03:00:00"/>
    <n v="3"/>
  </r>
  <r>
    <x v="0"/>
    <n v="1"/>
    <d v="2018-01-18T00:00:00"/>
    <n v="14"/>
    <x v="13"/>
    <s v="5.- Transporte"/>
    <s v="Chev. Blanca 2 OBB-2508"/>
    <n v="0"/>
    <d v="1899-12-30T20:00:00"/>
    <d v="1899-12-31T00:00:00"/>
    <n v="3.9999999999999991"/>
    <d v="1899-12-30T00:00:00"/>
    <d v="1899-12-30T03:00:00"/>
    <n v="3"/>
  </r>
  <r>
    <x v="1"/>
    <n v="1"/>
    <d v="2018-01-18T00:00:00"/>
    <n v="15"/>
    <x v="14"/>
    <s v="5.- Transporte"/>
    <s v="Chev. Ploma OBA-3476"/>
    <n v="0"/>
    <d v="1899-12-30T20:00:00"/>
    <d v="1899-12-31T00:00:00"/>
    <n v="3.9999999999999991"/>
    <d v="1899-12-30T00:00:00"/>
    <d v="1899-12-30T03:00:00"/>
    <n v="3"/>
  </r>
  <r>
    <x v="1"/>
    <n v="1"/>
    <d v="2018-01-18T00:00:00"/>
    <n v="16"/>
    <x v="15"/>
    <s v="5.- Transporte"/>
    <s v="Chev. Ploma OBA-3476"/>
    <n v="0"/>
    <d v="1899-12-30T20:00:00"/>
    <d v="1899-12-31T00:00:00"/>
    <n v="3.9999999999999991"/>
    <d v="1899-12-30T00:00:00"/>
    <d v="1899-12-30T03:00:00"/>
    <n v="3"/>
  </r>
  <r>
    <x v="1"/>
    <n v="1"/>
    <d v="2018-01-18T00:00:00"/>
    <n v="17"/>
    <x v="16"/>
    <s v="5.- Transporte"/>
    <s v="Volqueta 1 OBA-3558"/>
    <n v="0"/>
    <d v="1899-12-30T20:00:00"/>
    <d v="1899-12-31T00:00:00"/>
    <n v="3.9999999999999991"/>
    <d v="1899-12-30T00:00:00"/>
    <d v="1899-12-30T03:00:00"/>
    <n v="3"/>
  </r>
  <r>
    <x v="1"/>
    <n v="1"/>
    <d v="2018-01-18T00:00:00"/>
    <n v="18"/>
    <x v="17"/>
    <s v="5.- Transporte"/>
    <s v="Volqueta 1 OBA-3558"/>
    <n v="0"/>
    <d v="1899-12-30T20:00:00"/>
    <d v="1899-12-31T00:00:00"/>
    <n v="3.9999999999999991"/>
    <d v="1899-12-30T00:00:00"/>
    <d v="1899-12-30T03:00:00"/>
    <n v="3"/>
  </r>
  <r>
    <x v="1"/>
    <n v="1"/>
    <d v="2018-01-18T00:00:00"/>
    <n v="19"/>
    <x v="18"/>
    <s v="5.- Transporte"/>
    <s v="Volqueta 2 ABG-8538"/>
    <n v="0"/>
    <d v="1899-12-30T20:00:00"/>
    <d v="1899-12-31T00:00:00"/>
    <n v="3.9999999999999991"/>
    <d v="1899-12-30T00:00:00"/>
    <d v="1899-12-30T03:00:00"/>
    <n v="3"/>
  </r>
  <r>
    <x v="0"/>
    <n v="1"/>
    <d v="2018-01-18T00:00:00"/>
    <n v="20"/>
    <x v="19"/>
    <s v="5.- Transporte"/>
    <s v="Volqueta 2 ABG-8538"/>
    <n v="0"/>
    <d v="1899-12-30T20:00:00"/>
    <d v="1899-12-31T00:00:00"/>
    <n v="3.9999999999999991"/>
    <d v="1899-12-30T00:00:00"/>
    <d v="1899-12-30T03:00:00"/>
    <n v="3"/>
  </r>
  <r>
    <x v="0"/>
    <n v="1"/>
    <d v="2018-01-18T00:00:00"/>
    <n v="21"/>
    <x v="20"/>
    <s v="6.- Patero"/>
    <s v=" "/>
    <n v="0"/>
    <d v="1899-12-30T20:00:00"/>
    <d v="1899-12-31T00:00:00"/>
    <n v="3.9999999999999991"/>
    <d v="1899-12-30T00:00:00"/>
    <d v="1899-12-30T03:00:00"/>
    <n v="3"/>
  </r>
  <r>
    <x v="0"/>
    <n v="1"/>
    <d v="2018-01-18T00:00:00"/>
    <n v="22"/>
    <x v="21"/>
    <s v=" "/>
    <s v=" "/>
    <n v="0"/>
    <d v="1899-12-30T20:00:00"/>
    <d v="1899-12-31T00:00:00"/>
    <n v="3.9999999999999991"/>
    <d v="1899-12-30T00:00:00"/>
    <d v="1899-12-30T03:00:00"/>
    <n v="3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2"/>
    <s v=" "/>
    <s v=" "/>
    <s v=" "/>
    <x v="22"/>
    <s v=" "/>
    <s v=" "/>
    <n v="0"/>
    <s v=" "/>
    <s v=" "/>
    <n v="0"/>
    <s v=" "/>
    <s v=" "/>
    <n v="0"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  <r>
    <x v="3"/>
    <m/>
    <m/>
    <m/>
    <x v="23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4">
  <r>
    <s v="PSM"/>
    <x v="0"/>
    <x v="0"/>
    <x v="0"/>
    <x v="0"/>
    <x v="0"/>
    <x v="0"/>
    <n v="0"/>
    <x v="0"/>
    <x v="0"/>
    <x v="0"/>
    <x v="0"/>
    <x v="0"/>
    <x v="0"/>
  </r>
  <r>
    <s v="BIO"/>
    <x v="0"/>
    <x v="0"/>
    <x v="1"/>
    <x v="1"/>
    <x v="0"/>
    <x v="0"/>
    <n v="0"/>
    <x v="0"/>
    <x v="0"/>
    <x v="0"/>
    <x v="0"/>
    <x v="0"/>
    <x v="0"/>
  </r>
  <r>
    <s v="BIO"/>
    <x v="0"/>
    <x v="0"/>
    <x v="2"/>
    <x v="2"/>
    <x v="1"/>
    <x v="0"/>
    <n v="0"/>
    <x v="0"/>
    <x v="0"/>
    <x v="0"/>
    <x v="0"/>
    <x v="0"/>
    <x v="0"/>
  </r>
  <r>
    <s v="PSM"/>
    <x v="0"/>
    <x v="0"/>
    <x v="3"/>
    <x v="3"/>
    <x v="1"/>
    <x v="0"/>
    <n v="0"/>
    <x v="0"/>
    <x v="0"/>
    <x v="0"/>
    <x v="0"/>
    <x v="0"/>
    <x v="0"/>
  </r>
  <r>
    <s v="PSM"/>
    <x v="0"/>
    <x v="0"/>
    <x v="4"/>
    <x v="4"/>
    <x v="1"/>
    <x v="0"/>
    <n v="0"/>
    <x v="0"/>
    <x v="0"/>
    <x v="0"/>
    <x v="0"/>
    <x v="0"/>
    <x v="0"/>
  </r>
  <r>
    <s v="PSM"/>
    <x v="0"/>
    <x v="0"/>
    <x v="5"/>
    <x v="5"/>
    <x v="2"/>
    <x v="0"/>
    <n v="0"/>
    <x v="0"/>
    <x v="0"/>
    <x v="0"/>
    <x v="0"/>
    <x v="0"/>
    <x v="0"/>
  </r>
  <r>
    <s v="PSM"/>
    <x v="0"/>
    <x v="0"/>
    <x v="6"/>
    <x v="6"/>
    <x v="3"/>
    <x v="0"/>
    <n v="0"/>
    <x v="0"/>
    <x v="0"/>
    <x v="0"/>
    <x v="0"/>
    <x v="0"/>
    <x v="0"/>
  </r>
  <r>
    <s v="BIO"/>
    <x v="0"/>
    <x v="0"/>
    <x v="7"/>
    <x v="7"/>
    <x v="3"/>
    <x v="0"/>
    <n v="0"/>
    <x v="0"/>
    <x v="0"/>
    <x v="0"/>
    <x v="0"/>
    <x v="0"/>
    <x v="0"/>
  </r>
  <r>
    <s v="PSM"/>
    <x v="0"/>
    <x v="0"/>
    <x v="8"/>
    <x v="8"/>
    <x v="4"/>
    <x v="1"/>
    <n v="0"/>
    <x v="0"/>
    <x v="0"/>
    <x v="0"/>
    <x v="0"/>
    <x v="0"/>
    <x v="0"/>
  </r>
  <r>
    <s v="BIO"/>
    <x v="0"/>
    <x v="0"/>
    <x v="9"/>
    <x v="9"/>
    <x v="4"/>
    <x v="1"/>
    <n v="0"/>
    <x v="0"/>
    <x v="0"/>
    <x v="0"/>
    <x v="0"/>
    <x v="0"/>
    <x v="0"/>
  </r>
  <r>
    <s v="PSM"/>
    <x v="0"/>
    <x v="0"/>
    <x v="10"/>
    <x v="10"/>
    <x v="4"/>
    <x v="2"/>
    <n v="0"/>
    <x v="0"/>
    <x v="0"/>
    <x v="0"/>
    <x v="0"/>
    <x v="0"/>
    <x v="0"/>
  </r>
  <r>
    <s v="BIO"/>
    <x v="0"/>
    <x v="0"/>
    <x v="11"/>
    <x v="11"/>
    <x v="4"/>
    <x v="2"/>
    <n v="0"/>
    <x v="0"/>
    <x v="0"/>
    <x v="0"/>
    <x v="0"/>
    <x v="0"/>
    <x v="0"/>
  </r>
  <r>
    <s v="PSM"/>
    <x v="0"/>
    <x v="0"/>
    <x v="12"/>
    <x v="12"/>
    <x v="4"/>
    <x v="3"/>
    <n v="0"/>
    <x v="0"/>
    <x v="0"/>
    <x v="0"/>
    <x v="0"/>
    <x v="0"/>
    <x v="0"/>
  </r>
  <r>
    <s v="PSM"/>
    <x v="0"/>
    <x v="0"/>
    <x v="13"/>
    <x v="13"/>
    <x v="4"/>
    <x v="3"/>
    <n v="0"/>
    <x v="0"/>
    <x v="0"/>
    <x v="0"/>
    <x v="0"/>
    <x v="0"/>
    <x v="0"/>
  </r>
  <r>
    <s v="BIO"/>
    <x v="0"/>
    <x v="0"/>
    <x v="14"/>
    <x v="14"/>
    <x v="4"/>
    <x v="4"/>
    <n v="0"/>
    <x v="0"/>
    <x v="0"/>
    <x v="0"/>
    <x v="0"/>
    <x v="0"/>
    <x v="0"/>
  </r>
  <r>
    <s v="BIO"/>
    <x v="0"/>
    <x v="0"/>
    <x v="15"/>
    <x v="15"/>
    <x v="4"/>
    <x v="4"/>
    <n v="0"/>
    <x v="0"/>
    <x v="0"/>
    <x v="0"/>
    <x v="0"/>
    <x v="0"/>
    <x v="0"/>
  </r>
  <r>
    <s v="BIO"/>
    <x v="0"/>
    <x v="0"/>
    <x v="16"/>
    <x v="16"/>
    <x v="4"/>
    <x v="5"/>
    <n v="0"/>
    <x v="0"/>
    <x v="0"/>
    <x v="0"/>
    <x v="0"/>
    <x v="0"/>
    <x v="0"/>
  </r>
  <r>
    <s v="BIO"/>
    <x v="0"/>
    <x v="0"/>
    <x v="17"/>
    <x v="17"/>
    <x v="4"/>
    <x v="5"/>
    <n v="0"/>
    <x v="0"/>
    <x v="0"/>
    <x v="0"/>
    <x v="0"/>
    <x v="0"/>
    <x v="0"/>
  </r>
  <r>
    <s v="BIO"/>
    <x v="0"/>
    <x v="0"/>
    <x v="18"/>
    <x v="18"/>
    <x v="4"/>
    <x v="6"/>
    <n v="0"/>
    <x v="0"/>
    <x v="0"/>
    <x v="0"/>
    <x v="0"/>
    <x v="0"/>
    <x v="0"/>
  </r>
  <r>
    <s v="PSM"/>
    <x v="0"/>
    <x v="0"/>
    <x v="19"/>
    <x v="19"/>
    <x v="4"/>
    <x v="6"/>
    <n v="0"/>
    <x v="0"/>
    <x v="0"/>
    <x v="0"/>
    <x v="0"/>
    <x v="0"/>
    <x v="0"/>
  </r>
  <r>
    <s v="PSM"/>
    <x v="0"/>
    <x v="0"/>
    <x v="20"/>
    <x v="20"/>
    <x v="5"/>
    <x v="0"/>
    <n v="0"/>
    <x v="0"/>
    <x v="0"/>
    <x v="0"/>
    <x v="0"/>
    <x v="0"/>
    <x v="0"/>
  </r>
  <r>
    <s v="PSM"/>
    <x v="0"/>
    <x v="0"/>
    <x v="21"/>
    <x v="21"/>
    <x v="6"/>
    <x v="0"/>
    <n v="0"/>
    <x v="0"/>
    <x v="0"/>
    <x v="0"/>
    <x v="0"/>
    <x v="0"/>
    <x v="0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rowGrandTotals="0" colGrandTotals="0" itemPrintTitles="1" createdVersion="5" indent="0" outline="1" outlineData="1" multipleFieldFilters="0">
  <location ref="A10:A53" firstHeaderRow="1" firstDataRow="1" firstDataCol="1"/>
  <pivotFields count="3">
    <pivotField axis="axisRow" showAll="0" defaultSubtotal="0">
      <items count="48">
        <item x="1"/>
        <item x="8"/>
        <item x="30"/>
        <item x="17"/>
        <item x="3"/>
        <item x="12"/>
        <item x="32"/>
        <item x="24"/>
        <item m="1" x="43"/>
        <item x="26"/>
        <item x="25"/>
        <item x="23"/>
        <item x="15"/>
        <item x="13"/>
        <item x="10"/>
        <item x="6"/>
        <item x="19"/>
        <item x="9"/>
        <item x="28"/>
        <item x="0"/>
        <item m="1" x="47"/>
        <item x="11"/>
        <item x="31"/>
        <item x="27"/>
        <item m="1" x="46"/>
        <item x="20"/>
        <item x="18"/>
        <item x="7"/>
        <item x="4"/>
        <item x="22"/>
        <item x="21"/>
        <item x="14"/>
        <item m="1" x="44"/>
        <item x="5"/>
        <item x="16"/>
        <item x="2"/>
        <item x="29"/>
        <item x="42"/>
        <item m="1" x="45"/>
        <item x="33"/>
        <item x="34"/>
        <item x="35"/>
        <item x="36"/>
        <item x="37"/>
        <item x="38"/>
        <item x="39"/>
        <item x="40"/>
        <item x="41"/>
      </items>
    </pivotField>
    <pivotField showAll="0" defaultSubtotal="0"/>
    <pivotField showAll="0" defaultSubtotal="0"/>
  </pivotFields>
  <rowFields count="1">
    <field x="0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>
      <x v="23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rowItems>
  <colItems count="1">
    <i/>
  </colItems>
  <formats count="9">
    <format dxfId="110">
      <pivotArea dataOnly="0" labelOnly="1" fieldPosition="0">
        <references count="1">
          <reference field="0" count="15">
            <x v="2"/>
            <x v="3"/>
            <x v="4"/>
            <x v="5"/>
            <x v="6"/>
            <x v="8"/>
            <x v="11"/>
            <x v="12"/>
            <x v="17"/>
            <x v="18"/>
            <x v="19"/>
            <x v="32"/>
            <x v="34"/>
            <x v="35"/>
            <x v="36"/>
          </reference>
        </references>
      </pivotArea>
    </format>
    <format dxfId="109">
      <pivotArea dataOnly="0" labelOnly="1" grandRow="1" outline="0" fieldPosition="0"/>
    </format>
    <format dxfId="108">
      <pivotArea dataOnly="0" labelOnly="1" fieldPosition="0">
        <references count="1">
          <reference field="0" count="1">
            <x v="27"/>
          </reference>
        </references>
      </pivotArea>
    </format>
    <format dxfId="107">
      <pivotArea dataOnly="0" labelOnly="1" fieldPosition="0">
        <references count="1">
          <reference field="0" count="0"/>
        </references>
      </pivotArea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fieldPosition="0">
        <references count="1">
          <reference field="0" count="0"/>
        </references>
      </pivotArea>
    </format>
    <format dxfId="104">
      <pivotArea type="all" dataOnly="0" outline="0" fieldPosition="0"/>
    </format>
    <format dxfId="103">
      <pivotArea field="0" type="button" dataOnly="0" labelOnly="1" outline="0" axis="axisRow" fieldPosition="0"/>
    </format>
    <format dxfId="102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filters count="1">
    <filter fld="0" type="captionContains" evalOrder="-1" id="3193" stringValue1="">
      <autoFilter ref="A1">
        <filterColumn colId="0">
          <customFilters>
            <customFilter val="*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7" cacheId="2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J4:AO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4">
        <item h="1" m="1" x="10"/>
        <item h="1" m="1" x="3"/>
        <item x="2"/>
        <item h="1" m="1" x="12"/>
        <item h="1" m="1" x="5"/>
        <item h="1" m="1" x="7"/>
        <item h="1" m="1" x="13"/>
        <item h="1" m="1" x="9"/>
        <item h="1" m="1" x="6"/>
        <item h="1" x="1"/>
        <item h="1" m="1" x="11"/>
        <item h="1" m="1" x="4"/>
        <item h="1" m="1" x="8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">
        <item h="1" x="22"/>
        <item h="1" m="1" x="30"/>
        <item h="1" m="1" x="39"/>
        <item h="1" m="1" x="29"/>
        <item h="1" m="1" x="32"/>
        <item h="1" x="4"/>
        <item x="12"/>
        <item m="1" x="27"/>
        <item x="1"/>
        <item x="16"/>
        <item h="1" m="1" x="24"/>
        <item x="9"/>
        <item m="1" x="43"/>
        <item x="8"/>
        <item x="15"/>
        <item h="1" m="1" x="26"/>
        <item h="1" m="1" x="37"/>
        <item m="1" x="40"/>
        <item x="0"/>
        <item x="10"/>
        <item h="1" m="1" x="31"/>
        <item h="1" m="1" x="28"/>
        <item m="1" x="41"/>
        <item h="1" x="5"/>
        <item m="1" x="36"/>
        <item h="1" x="17"/>
        <item x="11"/>
        <item h="1" m="1" x="35"/>
        <item m="1" x="38"/>
        <item x="14"/>
        <item x="3"/>
        <item h="1" x="20"/>
        <item m="1" x="42"/>
        <item h="1" m="1" x="33"/>
        <item x="18"/>
        <item x="7"/>
        <item x="19"/>
        <item h="1" m="1" x="34"/>
        <item h="1" m="1" x="25"/>
        <item x="21"/>
        <item h="1" x="13"/>
        <item x="6"/>
        <item h="1" x="2"/>
        <item h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7"/>
        <item m="1" x="9"/>
        <item m="1" x="8"/>
        <item m="1" x="10"/>
        <item x="6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8">
        <item m="1" x="4"/>
        <item m="1" x="5"/>
        <item x="2"/>
        <item m="1" x="7"/>
        <item m="1" x="3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4"/>
        <item m="1" x="5"/>
        <item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x="1"/>
        <item m="1" x="4"/>
        <item m="1" x="6"/>
        <item x="2"/>
        <item m="1" x="3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x="0"/>
        <item m="1" x="3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3"/>
        <item m="1" x="5"/>
        <item x="2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1"/>
        <item m="1" x="6"/>
        <item m="1" x="4"/>
        <item m="1" x="5"/>
        <item x="2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7"/>
    <dataField name="FIN 50%" fld="9" baseField="5" baseItem="3" numFmtId="167"/>
    <dataField name="INI 100%" fld="11" baseField="5" baseItem="3" numFmtId="167"/>
    <dataField name="FIN 100%" fld="12" baseField="5" baseItem="3" numFmtId="167"/>
  </dataFields>
  <formats count="12">
    <format dxfId="17">
      <pivotArea field="8" type="button" dataOnly="0" labelOnly="1" outline="0"/>
    </format>
    <format dxfId="16">
      <pivotArea field="9" type="button" dataOnly="0" labelOnly="1" outline="0"/>
    </format>
    <format dxfId="15">
      <pivotArea field="10" type="button" dataOnly="0" labelOnly="1" outline="0"/>
    </format>
    <format dxfId="14">
      <pivotArea field="11" type="button" dataOnly="0" labelOnly="1" outline="0"/>
    </format>
    <format dxfId="13">
      <pivotArea field="12" type="button" dataOnly="0" labelOnly="1" outline="0"/>
    </format>
    <format dxfId="12">
      <pivotArea field="13" type="button" dataOnly="0" labelOnly="1" outline="0"/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fieldPosition="0">
        <references count="1">
          <reference field="4294967294" count="1">
            <x v="1"/>
          </reference>
        </references>
      </pivotArea>
    </format>
    <format dxfId="9">
      <pivotArea outline="0" fieldPosition="0">
        <references count="1">
          <reference field="4294967294" count="1">
            <x v="2"/>
          </reference>
        </references>
      </pivotArea>
    </format>
    <format dxfId="8">
      <pivotArea outline="0" fieldPosition="0">
        <references count="1">
          <reference field="4294967294" count="1">
            <x v="3"/>
          </reference>
        </references>
      </pivotArea>
    </format>
    <format dxfId="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Tabla dinámica9" cacheId="2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X4:BC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4">
        <item h="1" m="1" x="10"/>
        <item h="1" m="1" x="3"/>
        <item x="2"/>
        <item h="1" m="1" x="12"/>
        <item h="1" m="1" x="5"/>
        <item h="1" m="1" x="7"/>
        <item h="1" m="1" x="13"/>
        <item h="1" m="1" x="9"/>
        <item h="1" m="1" x="6"/>
        <item h="1" x="1"/>
        <item h="1" m="1" x="11"/>
        <item h="1" m="1" x="4"/>
        <item h="1" m="1" x="8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">
        <item h="1" x="22"/>
        <item h="1" m="1" x="30"/>
        <item h="1" m="1" x="39"/>
        <item h="1" m="1" x="29"/>
        <item h="1" m="1" x="32"/>
        <item h="1" x="4"/>
        <item x="12"/>
        <item m="1" x="27"/>
        <item x="1"/>
        <item x="16"/>
        <item h="1" m="1" x="24"/>
        <item x="9"/>
        <item m="1" x="43"/>
        <item x="8"/>
        <item x="15"/>
        <item h="1" m="1" x="26"/>
        <item h="1" m="1" x="37"/>
        <item m="1" x="40"/>
        <item x="0"/>
        <item x="10"/>
        <item h="1" m="1" x="31"/>
        <item h="1" m="1" x="28"/>
        <item m="1" x="41"/>
        <item h="1" x="5"/>
        <item m="1" x="36"/>
        <item h="1" x="17"/>
        <item x="11"/>
        <item h="1" m="1" x="35"/>
        <item m="1" x="38"/>
        <item x="14"/>
        <item x="3"/>
        <item h="1" x="20"/>
        <item m="1" x="42"/>
        <item h="1" m="1" x="33"/>
        <item x="18"/>
        <item x="7"/>
        <item x="19"/>
        <item h="1" m="1" x="34"/>
        <item h="1" m="1" x="25"/>
        <item x="21"/>
        <item h="1" x="13"/>
        <item x="6"/>
        <item h="1" x="2"/>
        <item h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7"/>
        <item m="1" x="9"/>
        <item m="1" x="8"/>
        <item m="1" x="10"/>
        <item x="6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8">
        <item m="1" x="4"/>
        <item m="1" x="5"/>
        <item x="2"/>
        <item m="1" x="7"/>
        <item m="1" x="3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4"/>
        <item m="1" x="5"/>
        <item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x="1"/>
        <item m="1" x="4"/>
        <item m="1" x="6"/>
        <item x="2"/>
        <item m="1" x="3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x="0"/>
        <item m="1" x="3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3"/>
        <item m="1" x="5"/>
        <item x="2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1"/>
        <item m="1" x="6"/>
        <item m="1" x="4"/>
        <item m="1" x="5"/>
        <item x="2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7"/>
    <dataField name="FIN 50%" fld="9" baseField="5" baseItem="3" numFmtId="167"/>
    <dataField name="INI 100%" fld="11" baseField="5" baseItem="3" numFmtId="167"/>
    <dataField name="FIN 100%" fld="12" baseField="5" baseItem="3" numFmtId="167"/>
  </dataFields>
  <formats count="12">
    <format dxfId="29">
      <pivotArea field="8" type="button" dataOnly="0" labelOnly="1" outline="0"/>
    </format>
    <format dxfId="28">
      <pivotArea field="9" type="button" dataOnly="0" labelOnly="1" outline="0"/>
    </format>
    <format dxfId="27">
      <pivotArea field="10" type="button" dataOnly="0" labelOnly="1" outline="0"/>
    </format>
    <format dxfId="26">
      <pivotArea field="11" type="button" dataOnly="0" labelOnly="1" outline="0"/>
    </format>
    <format dxfId="25">
      <pivotArea field="12" type="button" dataOnly="0" labelOnly="1" outline="0"/>
    </format>
    <format dxfId="24">
      <pivotArea field="13" type="button" dataOnly="0" labelOnly="1" outline="0"/>
    </format>
    <format dxfId="23">
      <pivotArea outline="0" fieldPosition="0">
        <references count="1">
          <reference field="4294967294" count="1">
            <x v="0"/>
          </reference>
        </references>
      </pivotArea>
    </format>
    <format dxfId="22">
      <pivotArea outline="0" fieldPosition="0">
        <references count="1">
          <reference field="4294967294" count="1">
            <x v="1"/>
          </reference>
        </references>
      </pivotArea>
    </format>
    <format dxfId="21">
      <pivotArea outline="0" fieldPosition="0">
        <references count="1">
          <reference field="4294967294" count="1">
            <x v="2"/>
          </reference>
        </references>
      </pivotArea>
    </format>
    <format dxfId="20">
      <pivotArea outline="0" fieldPosition="0">
        <references count="1">
          <reference field="4294967294" count="1">
            <x v="3"/>
          </reference>
        </references>
      </pivotArea>
    </format>
    <format dxfId="1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Tabla dinámica8" cacheId="2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Q4:AV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4">
        <item h="1" m="1" x="10"/>
        <item h="1" m="1" x="3"/>
        <item x="2"/>
        <item h="1" m="1" x="12"/>
        <item h="1" m="1" x="5"/>
        <item h="1" m="1" x="7"/>
        <item h="1" m="1" x="13"/>
        <item h="1" m="1" x="9"/>
        <item h="1" m="1" x="6"/>
        <item h="1" x="1"/>
        <item h="1" m="1" x="11"/>
        <item h="1" m="1" x="4"/>
        <item h="1" m="1" x="8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">
        <item h="1" x="22"/>
        <item h="1" m="1" x="30"/>
        <item h="1" m="1" x="39"/>
        <item h="1" m="1" x="29"/>
        <item h="1" m="1" x="32"/>
        <item h="1" x="4"/>
        <item x="12"/>
        <item m="1" x="27"/>
        <item x="1"/>
        <item x="16"/>
        <item h="1" m="1" x="24"/>
        <item x="9"/>
        <item m="1" x="43"/>
        <item x="8"/>
        <item x="15"/>
        <item h="1" m="1" x="26"/>
        <item h="1" m="1" x="37"/>
        <item m="1" x="40"/>
        <item x="0"/>
        <item x="10"/>
        <item h="1" m="1" x="31"/>
        <item h="1" m="1" x="28"/>
        <item m="1" x="41"/>
        <item h="1" x="5"/>
        <item m="1" x="36"/>
        <item h="1" x="17"/>
        <item x="11"/>
        <item h="1" m="1" x="35"/>
        <item m="1" x="38"/>
        <item x="14"/>
        <item x="3"/>
        <item h="1" x="20"/>
        <item m="1" x="42"/>
        <item h="1" m="1" x="33"/>
        <item x="18"/>
        <item x="7"/>
        <item x="19"/>
        <item h="1" m="1" x="34"/>
        <item h="1" m="1" x="25"/>
        <item x="21"/>
        <item h="1" x="13"/>
        <item x="6"/>
        <item h="1" x="2"/>
        <item h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7"/>
        <item m="1" x="9"/>
        <item m="1" x="8"/>
        <item m="1" x="10"/>
        <item x="6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8">
        <item m="1" x="4"/>
        <item m="1" x="5"/>
        <item x="2"/>
        <item m="1" x="7"/>
        <item m="1" x="3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4"/>
        <item m="1" x="5"/>
        <item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x="1"/>
        <item m="1" x="4"/>
        <item m="1" x="6"/>
        <item x="2"/>
        <item m="1" x="3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x="0"/>
        <item m="1" x="3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3"/>
        <item m="1" x="5"/>
        <item x="2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1"/>
        <item m="1" x="6"/>
        <item m="1" x="4"/>
        <item m="1" x="5"/>
        <item x="2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7"/>
    <dataField name="FIN 50%" fld="9" baseField="5" baseItem="3" numFmtId="167"/>
    <dataField name="INI 100%" fld="11" baseField="5" baseItem="3" numFmtId="167"/>
    <dataField name="FIN 100%" fld="12" baseField="5" baseItem="3" numFmtId="167"/>
  </dataFields>
  <formats count="12">
    <format dxfId="41">
      <pivotArea field="8" type="button" dataOnly="0" labelOnly="1" outline="0"/>
    </format>
    <format dxfId="40">
      <pivotArea field="9" type="button" dataOnly="0" labelOnly="1" outline="0"/>
    </format>
    <format dxfId="39">
      <pivotArea field="10" type="button" dataOnly="0" labelOnly="1" outline="0"/>
    </format>
    <format dxfId="38">
      <pivotArea field="11" type="button" dataOnly="0" labelOnly="1" outline="0"/>
    </format>
    <format dxfId="37">
      <pivotArea field="12" type="button" dataOnly="0" labelOnly="1" outline="0"/>
    </format>
    <format dxfId="36">
      <pivotArea field="13" type="button" dataOnly="0" labelOnly="1" outline="0"/>
    </format>
    <format dxfId="35">
      <pivotArea outline="0" fieldPosition="0">
        <references count="1">
          <reference field="4294967294" count="1">
            <x v="0"/>
          </reference>
        </references>
      </pivotArea>
    </format>
    <format dxfId="34">
      <pivotArea outline="0" fieldPosition="0">
        <references count="1">
          <reference field="4294967294" count="1">
            <x v="1"/>
          </reference>
        </references>
      </pivotArea>
    </format>
    <format dxfId="33">
      <pivotArea outline="0" fieldPosition="0">
        <references count="1">
          <reference field="4294967294" count="1">
            <x v="2"/>
          </reference>
        </references>
      </pivotArea>
    </format>
    <format dxfId="32">
      <pivotArea outline="0" fieldPosition="0">
        <references count="1">
          <reference field="4294967294" count="1">
            <x v="3"/>
          </reference>
        </references>
      </pivotArea>
    </format>
    <format dxfId="3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Tabla dinámica5" cacheId="2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V4:AA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4">
        <item h="1" m="1" x="10"/>
        <item h="1" m="1" x="3"/>
        <item x="2"/>
        <item h="1" m="1" x="12"/>
        <item h="1" m="1" x="5"/>
        <item h="1" m="1" x="7"/>
        <item h="1" m="1" x="13"/>
        <item h="1" m="1" x="9"/>
        <item h="1" m="1" x="6"/>
        <item h="1" x="1"/>
        <item h="1" m="1" x="11"/>
        <item h="1" m="1" x="4"/>
        <item h="1" m="1" x="8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">
        <item h="1" x="22"/>
        <item h="1" m="1" x="30"/>
        <item h="1" m="1" x="39"/>
        <item h="1" m="1" x="29"/>
        <item h="1" m="1" x="32"/>
        <item h="1" x="4"/>
        <item x="12"/>
        <item m="1" x="27"/>
        <item x="1"/>
        <item x="16"/>
        <item h="1" m="1" x="24"/>
        <item x="9"/>
        <item m="1" x="43"/>
        <item x="8"/>
        <item x="15"/>
        <item h="1" m="1" x="26"/>
        <item h="1" m="1" x="37"/>
        <item m="1" x="40"/>
        <item x="0"/>
        <item x="10"/>
        <item h="1" m="1" x="31"/>
        <item h="1" m="1" x="28"/>
        <item m="1" x="41"/>
        <item h="1" x="5"/>
        <item m="1" x="36"/>
        <item h="1" x="17"/>
        <item x="11"/>
        <item h="1" m="1" x="35"/>
        <item m="1" x="38"/>
        <item x="14"/>
        <item x="3"/>
        <item h="1" x="20"/>
        <item m="1" x="42"/>
        <item h="1" m="1" x="33"/>
        <item x="18"/>
        <item x="7"/>
        <item x="19"/>
        <item h="1" m="1" x="34"/>
        <item h="1" m="1" x="25"/>
        <item x="21"/>
        <item h="1" x="13"/>
        <item x="6"/>
        <item h="1" x="2"/>
        <item h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7"/>
        <item m="1" x="9"/>
        <item m="1" x="8"/>
        <item m="1" x="10"/>
        <item x="6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8">
        <item m="1" x="4"/>
        <item m="1" x="5"/>
        <item x="2"/>
        <item m="1" x="7"/>
        <item m="1" x="3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4"/>
        <item m="1" x="5"/>
        <item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x="1"/>
        <item m="1" x="4"/>
        <item m="1" x="6"/>
        <item x="2"/>
        <item m="1" x="3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x="0"/>
        <item m="1" x="3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3"/>
        <item m="1" x="5"/>
        <item x="2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1"/>
        <item m="1" x="6"/>
        <item m="1" x="4"/>
        <item m="1" x="5"/>
        <item x="2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7"/>
    <dataField name="FIN 50%" fld="9" baseField="5" baseItem="3" numFmtId="167"/>
    <dataField name="INI 100%" fld="11" baseField="5" baseItem="3" numFmtId="167"/>
    <dataField name="FIN 100%" fld="12" baseField="5" baseItem="3" numFmtId="167"/>
  </dataFields>
  <formats count="12">
    <format dxfId="53">
      <pivotArea field="8" type="button" dataOnly="0" labelOnly="1" outline="0"/>
    </format>
    <format dxfId="52">
      <pivotArea field="9" type="button" dataOnly="0" labelOnly="1" outline="0"/>
    </format>
    <format dxfId="51">
      <pivotArea field="10" type="button" dataOnly="0" labelOnly="1" outline="0"/>
    </format>
    <format dxfId="50">
      <pivotArea field="11" type="button" dataOnly="0" labelOnly="1" outline="0"/>
    </format>
    <format dxfId="49">
      <pivotArea field="12" type="button" dataOnly="0" labelOnly="1" outline="0"/>
    </format>
    <format dxfId="48">
      <pivotArea field="13" type="button" dataOnly="0" labelOnly="1" outline="0"/>
    </format>
    <format dxfId="47">
      <pivotArea outline="0" fieldPosition="0">
        <references count="1">
          <reference field="4294967294" count="1">
            <x v="0"/>
          </reference>
        </references>
      </pivotArea>
    </format>
    <format dxfId="46">
      <pivotArea outline="0" fieldPosition="0">
        <references count="1">
          <reference field="4294967294" count="1">
            <x v="1"/>
          </reference>
        </references>
      </pivotArea>
    </format>
    <format dxfId="45">
      <pivotArea outline="0" fieldPosition="0">
        <references count="1">
          <reference field="4294967294" count="1">
            <x v="2"/>
          </reference>
        </references>
      </pivotArea>
    </format>
    <format dxfId="44">
      <pivotArea outline="0" fieldPosition="0">
        <references count="1">
          <reference field="4294967294" count="1">
            <x v="3"/>
          </reference>
        </references>
      </pivotArea>
    </format>
    <format dxfId="4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Tabla dinámica4" cacheId="2" applyNumberFormats="0" applyBorderFormats="0" applyFontFormats="0" applyPatternFormats="0" applyAlignmentFormats="0" applyWidthHeightFormats="1" dataCaption="Valores" missingCaption="&quot;0&quot;" updatedVersion="5" minRefreshableVersion="3" rowGrandTotals="0" colGrandTotals="0" itemPrintTitles="1" createdVersion="5" indent="0" compact="0" compactData="0" multipleFieldFilters="0">
  <location ref="O4:T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4">
        <item h="1" m="1" x="10"/>
        <item h="1" m="1" x="3"/>
        <item h="1" x="2"/>
        <item h="1" m="1" x="12"/>
        <item h="1" m="1" x="5"/>
        <item h="1" m="1" x="7"/>
        <item h="1" m="1" x="13"/>
        <item h="1" m="1" x="9"/>
        <item m="1" x="6"/>
        <item h="1" x="1"/>
        <item h="1" m="1" x="11"/>
        <item h="1" m="1" x="4"/>
        <item m="1" x="8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">
        <item x="22"/>
        <item m="1" x="30"/>
        <item m="1" x="39"/>
        <item m="1" x="29"/>
        <item m="1" x="32"/>
        <item x="4"/>
        <item x="12"/>
        <item m="1" x="27"/>
        <item x="1"/>
        <item x="16"/>
        <item m="1" x="24"/>
        <item x="9"/>
        <item m="1" x="43"/>
        <item x="8"/>
        <item x="15"/>
        <item m="1" x="26"/>
        <item m="1" x="37"/>
        <item m="1" x="40"/>
        <item x="0"/>
        <item x="10"/>
        <item m="1" x="31"/>
        <item m="1" x="28"/>
        <item m="1" x="41"/>
        <item x="5"/>
        <item m="1" x="36"/>
        <item x="17"/>
        <item x="11"/>
        <item m="1" x="35"/>
        <item m="1" x="38"/>
        <item x="14"/>
        <item x="3"/>
        <item x="20"/>
        <item m="1" x="42"/>
        <item m="1" x="33"/>
        <item x="18"/>
        <item x="7"/>
        <item x="19"/>
        <item m="1" x="34"/>
        <item m="1" x="25"/>
        <item x="21"/>
        <item x="13"/>
        <item x="6"/>
        <item x="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7"/>
        <item m="1" x="9"/>
        <item m="1" x="8"/>
        <item m="1" x="10"/>
        <item x="6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8">
        <item m="1" x="4"/>
        <item m="1" x="5"/>
        <item x="2"/>
        <item m="1" x="7"/>
        <item m="1" x="3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4"/>
        <item m="1" x="5"/>
        <item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x="1"/>
        <item m="1" x="4"/>
        <item m="1" x="6"/>
        <item x="2"/>
        <item m="1" x="3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x="0"/>
        <item m="1" x="3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3"/>
        <item m="1" x="5"/>
        <item x="2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1"/>
        <item m="1" x="6"/>
        <item m="1" x="4"/>
        <item m="1" x="5"/>
        <item x="2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7"/>
    <dataField name="FIN 50%" fld="9" baseField="5" baseItem="3" numFmtId="167"/>
    <dataField name="INI 100%" fld="11" baseField="5" baseItem="3" numFmtId="167"/>
    <dataField name="FIN 100%" fld="12" baseField="5" baseItem="3" numFmtId="167"/>
  </dataFields>
  <formats count="12">
    <format dxfId="65">
      <pivotArea field="8" type="button" dataOnly="0" labelOnly="1" outline="0"/>
    </format>
    <format dxfId="64">
      <pivotArea field="9" type="button" dataOnly="0" labelOnly="1" outline="0"/>
    </format>
    <format dxfId="63">
      <pivotArea field="10" type="button" dataOnly="0" labelOnly="1" outline="0"/>
    </format>
    <format dxfId="62">
      <pivotArea field="11" type="button" dataOnly="0" labelOnly="1" outline="0"/>
    </format>
    <format dxfId="61">
      <pivotArea field="12" type="button" dataOnly="0" labelOnly="1" outline="0"/>
    </format>
    <format dxfId="60">
      <pivotArea field="13" type="button" dataOnly="0" labelOnly="1" outline="0"/>
    </format>
    <format dxfId="59">
      <pivotArea outline="0" fieldPosition="0">
        <references count="1">
          <reference field="4294967294" count="1">
            <x v="0"/>
          </reference>
        </references>
      </pivotArea>
    </format>
    <format dxfId="58">
      <pivotArea outline="0" fieldPosition="0">
        <references count="1">
          <reference field="4294967294" count="1">
            <x v="1"/>
          </reference>
        </references>
      </pivotArea>
    </format>
    <format dxfId="57">
      <pivotArea outline="0" fieldPosition="0">
        <references count="1">
          <reference field="4294967294" count="1">
            <x v="2"/>
          </reference>
        </references>
      </pivotArea>
    </format>
    <format dxfId="56">
      <pivotArea outline="0" fieldPosition="0">
        <references count="1">
          <reference field="4294967294" count="1">
            <x v="3"/>
          </reference>
        </references>
      </pivotArea>
    </format>
    <format dxfId="5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7.xml><?xml version="1.0" encoding="utf-8"?>
<pivotTableDefinition xmlns="http://schemas.openxmlformats.org/spreadsheetml/2006/main" name="Tabla dinámica26" cacheId="2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4:F26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4">
        <item m="1" x="10"/>
        <item h="1" m="1" x="3"/>
        <item h="1" x="2"/>
        <item m="1" x="12"/>
        <item h="1" m="1" x="5"/>
        <item h="1" m="1" x="7"/>
        <item h="1" m="1" x="13"/>
        <item m="1" x="9"/>
        <item h="1" m="1" x="6"/>
        <item h="1" x="1"/>
        <item m="1" x="11"/>
        <item h="1" m="1" x="4"/>
        <item h="1"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">
        <item x="22"/>
        <item m="1" x="30"/>
        <item m="1" x="39"/>
        <item m="1" x="29"/>
        <item m="1" x="32"/>
        <item x="4"/>
        <item x="12"/>
        <item m="1" x="27"/>
        <item x="1"/>
        <item x="16"/>
        <item m="1" x="24"/>
        <item x="9"/>
        <item m="1" x="43"/>
        <item x="8"/>
        <item x="15"/>
        <item m="1" x="26"/>
        <item m="1" x="37"/>
        <item m="1" x="40"/>
        <item x="0"/>
        <item x="10"/>
        <item m="1" x="31"/>
        <item m="1" x="28"/>
        <item m="1" x="41"/>
        <item x="5"/>
        <item m="1" x="36"/>
        <item x="17"/>
        <item x="11"/>
        <item m="1" x="35"/>
        <item m="1" x="38"/>
        <item x="14"/>
        <item x="3"/>
        <item x="20"/>
        <item m="1" x="42"/>
        <item m="1" x="33"/>
        <item x="18"/>
        <item x="7"/>
        <item x="19"/>
        <item m="1" x="34"/>
        <item m="1" x="25"/>
        <item x="21"/>
        <item x="13"/>
        <item x="6"/>
        <item x="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7"/>
        <item m="1" x="9"/>
        <item m="1" x="8"/>
        <item m="1" x="10"/>
        <item x="6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8">
        <item m="1" x="4"/>
        <item m="1" x="5"/>
        <item x="2"/>
        <item m="1" x="7"/>
        <item m="1" x="3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4"/>
        <item m="1" x="5"/>
        <item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x="1"/>
        <item m="1" x="4"/>
        <item m="1" x="6"/>
        <item x="2"/>
        <item m="1" x="3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x="0"/>
        <item m="1" x="3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3"/>
        <item m="1" x="5"/>
        <item x="2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1"/>
        <item m="1" x="6"/>
        <item m="1" x="4"/>
        <item m="1" x="5"/>
        <item x="2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rowItems count="22">
    <i>
      <x v="5"/>
      <x v="6"/>
    </i>
    <i>
      <x v="6"/>
      <x v="9"/>
    </i>
    <i>
      <x v="8"/>
      <x v="5"/>
    </i>
    <i>
      <x v="9"/>
      <x v="9"/>
    </i>
    <i>
      <x v="11"/>
      <x v="9"/>
    </i>
    <i>
      <x v="13"/>
      <x v="9"/>
    </i>
    <i>
      <x v="14"/>
      <x v="9"/>
    </i>
    <i>
      <x v="18"/>
      <x v="5"/>
    </i>
    <i>
      <x v="19"/>
      <x v="9"/>
    </i>
    <i>
      <x v="23"/>
      <x v="7"/>
    </i>
    <i>
      <x v="25"/>
      <x v="9"/>
    </i>
    <i>
      <x v="26"/>
      <x v="9"/>
    </i>
    <i>
      <x v="29"/>
      <x v="9"/>
    </i>
    <i>
      <x v="30"/>
      <x v="6"/>
    </i>
    <i>
      <x v="31"/>
      <x v="10"/>
    </i>
    <i>
      <x v="34"/>
      <x v="9"/>
    </i>
    <i>
      <x v="35"/>
      <x v="8"/>
    </i>
    <i>
      <x v="36"/>
      <x v="9"/>
    </i>
    <i>
      <x v="39"/>
      <x v="4"/>
    </i>
    <i>
      <x v="40"/>
      <x v="9"/>
    </i>
    <i>
      <x v="41"/>
      <x v="8"/>
    </i>
    <i>
      <x v="42"/>
      <x v="6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7"/>
    <dataField name="FIN 50%" fld="9" baseField="5" baseItem="3" numFmtId="167"/>
    <dataField name="INI 100%" fld="11" baseField="5" baseItem="3" numFmtId="167"/>
    <dataField name="FIN 100%" fld="12" baseField="5" baseItem="3" numFmtId="167"/>
  </dataFields>
  <formats count="12">
    <format dxfId="77">
      <pivotArea field="8" type="button" dataOnly="0" labelOnly="1" outline="0"/>
    </format>
    <format dxfId="76">
      <pivotArea field="9" type="button" dataOnly="0" labelOnly="1" outline="0"/>
    </format>
    <format dxfId="75">
      <pivotArea field="10" type="button" dataOnly="0" labelOnly="1" outline="0"/>
    </format>
    <format dxfId="74">
      <pivotArea field="11" type="button" dataOnly="0" labelOnly="1" outline="0"/>
    </format>
    <format dxfId="73">
      <pivotArea field="12" type="button" dataOnly="0" labelOnly="1" outline="0"/>
    </format>
    <format dxfId="72">
      <pivotArea field="13" type="button" dataOnly="0" labelOnly="1" outline="0"/>
    </format>
    <format dxfId="71">
      <pivotArea outline="0" fieldPosition="0">
        <references count="1">
          <reference field="4294967294" count="1">
            <x v="0"/>
          </reference>
        </references>
      </pivotArea>
    </format>
    <format dxfId="70">
      <pivotArea outline="0" fieldPosition="0">
        <references count="1">
          <reference field="4294967294" count="1">
            <x v="1"/>
          </reference>
        </references>
      </pivotArea>
    </format>
    <format dxfId="69">
      <pivotArea outline="0" fieldPosition="0">
        <references count="1">
          <reference field="4294967294" count="1">
            <x v="2"/>
          </reference>
        </references>
      </pivotArea>
    </format>
    <format dxfId="68">
      <pivotArea outline="0" fieldPosition="0">
        <references count="1">
          <reference field="4294967294" count="1">
            <x v="3"/>
          </reference>
        </references>
      </pivotArea>
    </format>
    <format dxfId="6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8.xml><?xml version="1.0" encoding="utf-8"?>
<pivotTableDefinition xmlns="http://schemas.openxmlformats.org/spreadsheetml/2006/main" name="Tabla dinámica6" cacheId="2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C4:AH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4">
        <item h="1" m="1" x="10"/>
        <item h="1" m="1" x="3"/>
        <item x="2"/>
        <item h="1" m="1" x="12"/>
        <item h="1" m="1" x="5"/>
        <item h="1" m="1" x="7"/>
        <item h="1" m="1" x="13"/>
        <item h="1" m="1" x="9"/>
        <item h="1" m="1" x="6"/>
        <item h="1" x="1"/>
        <item h="1" m="1" x="11"/>
        <item h="1" m="1" x="4"/>
        <item h="1" m="1" x="8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">
        <item h="1" x="22"/>
        <item h="1" m="1" x="30"/>
        <item h="1" m="1" x="39"/>
        <item h="1" m="1" x="29"/>
        <item h="1" m="1" x="32"/>
        <item h="1" x="4"/>
        <item x="12"/>
        <item m="1" x="27"/>
        <item x="1"/>
        <item x="16"/>
        <item h="1" m="1" x="24"/>
        <item x="9"/>
        <item m="1" x="43"/>
        <item x="8"/>
        <item x="15"/>
        <item h="1" m="1" x="26"/>
        <item h="1" m="1" x="37"/>
        <item m="1" x="40"/>
        <item x="0"/>
        <item x="10"/>
        <item h="1" m="1" x="31"/>
        <item h="1" m="1" x="28"/>
        <item m="1" x="41"/>
        <item h="1" x="5"/>
        <item m="1" x="36"/>
        <item h="1" x="17"/>
        <item x="11"/>
        <item h="1" m="1" x="35"/>
        <item m="1" x="38"/>
        <item x="14"/>
        <item x="3"/>
        <item h="1" x="20"/>
        <item m="1" x="42"/>
        <item h="1" m="1" x="33"/>
        <item x="18"/>
        <item x="7"/>
        <item x="19"/>
        <item h="1" m="1" x="34"/>
        <item h="1" m="1" x="25"/>
        <item x="21"/>
        <item h="1" x="13"/>
        <item x="6"/>
        <item h="1" x="2"/>
        <item h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7"/>
        <item m="1" x="9"/>
        <item m="1" x="8"/>
        <item m="1" x="10"/>
        <item x="6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8">
        <item m="1" x="4"/>
        <item m="1" x="5"/>
        <item x="2"/>
        <item m="1" x="7"/>
        <item m="1" x="3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4"/>
        <item m="1" x="5"/>
        <item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x="1"/>
        <item m="1" x="4"/>
        <item m="1" x="6"/>
        <item x="2"/>
        <item m="1" x="3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x="0"/>
        <item m="1" x="3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3"/>
        <item m="1" x="5"/>
        <item x="2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1"/>
        <item m="1" x="6"/>
        <item m="1" x="4"/>
        <item m="1" x="5"/>
        <item x="2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7"/>
    <dataField name="FIN 50%" fld="9" baseField="5" baseItem="3" numFmtId="167"/>
    <dataField name="INI 100%" fld="11" baseField="5" baseItem="3" numFmtId="167"/>
    <dataField name="FIN 100%" fld="12" baseField="5" baseItem="3" numFmtId="167"/>
  </dataFields>
  <formats count="12">
    <format dxfId="89">
      <pivotArea field="8" type="button" dataOnly="0" labelOnly="1" outline="0"/>
    </format>
    <format dxfId="88">
      <pivotArea field="9" type="button" dataOnly="0" labelOnly="1" outline="0"/>
    </format>
    <format dxfId="87">
      <pivotArea field="10" type="button" dataOnly="0" labelOnly="1" outline="0"/>
    </format>
    <format dxfId="86">
      <pivotArea field="11" type="button" dataOnly="0" labelOnly="1" outline="0"/>
    </format>
    <format dxfId="85">
      <pivotArea field="12" type="button" dataOnly="0" labelOnly="1" outline="0"/>
    </format>
    <format dxfId="84">
      <pivotArea field="13" type="button" dataOnly="0" labelOnly="1" outline="0"/>
    </format>
    <format dxfId="83">
      <pivotArea outline="0" fieldPosition="0">
        <references count="1">
          <reference field="4294967294" count="1">
            <x v="0"/>
          </reference>
        </references>
      </pivotArea>
    </format>
    <format dxfId="82">
      <pivotArea outline="0" fieldPosition="0">
        <references count="1">
          <reference field="4294967294" count="1">
            <x v="1"/>
          </reference>
        </references>
      </pivotArea>
    </format>
    <format dxfId="81">
      <pivotArea outline="0" fieldPosition="0">
        <references count="1">
          <reference field="4294967294" count="1">
            <x v="2"/>
          </reference>
        </references>
      </pivotArea>
    </format>
    <format dxfId="80">
      <pivotArea outline="0" fieldPosition="0">
        <references count="1">
          <reference field="4294967294" count="1">
            <x v="3"/>
          </reference>
        </references>
      </pivotArea>
    </format>
    <format dxfId="7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9.xml><?xml version="1.0" encoding="utf-8"?>
<pivotTableDefinition xmlns="http://schemas.openxmlformats.org/spreadsheetml/2006/main" name="Tabla dinámica3" cacheId="2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H4:M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4">
        <item h="1" m="1" x="10"/>
        <item m="1" x="3"/>
        <item h="1" x="2"/>
        <item h="1" m="1" x="12"/>
        <item m="1" x="5"/>
        <item h="1" m="1" x="7"/>
        <item m="1" x="13"/>
        <item h="1" m="1" x="9"/>
        <item h="1" m="1" x="6"/>
        <item h="1" x="1"/>
        <item h="1" m="1" x="11"/>
        <item m="1" x="4"/>
        <item h="1" m="1" x="8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">
        <item x="22"/>
        <item m="1" x="30"/>
        <item m="1" x="39"/>
        <item m="1" x="29"/>
        <item m="1" x="32"/>
        <item x="4"/>
        <item x="12"/>
        <item m="1" x="27"/>
        <item x="1"/>
        <item x="16"/>
        <item m="1" x="24"/>
        <item x="9"/>
        <item m="1" x="43"/>
        <item x="8"/>
        <item x="15"/>
        <item m="1" x="26"/>
        <item m="1" x="37"/>
        <item m="1" x="40"/>
        <item x="0"/>
        <item x="10"/>
        <item m="1" x="31"/>
        <item m="1" x="28"/>
        <item m="1" x="41"/>
        <item x="5"/>
        <item m="1" x="36"/>
        <item x="17"/>
        <item x="11"/>
        <item m="1" x="35"/>
        <item m="1" x="38"/>
        <item x="14"/>
        <item x="3"/>
        <item x="20"/>
        <item m="1" x="42"/>
        <item m="1" x="33"/>
        <item x="18"/>
        <item x="7"/>
        <item x="19"/>
        <item m="1" x="34"/>
        <item m="1" x="25"/>
        <item x="21"/>
        <item x="13"/>
        <item x="6"/>
        <item x="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7"/>
        <item m="1" x="9"/>
        <item m="1" x="8"/>
        <item m="1" x="10"/>
        <item x="6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8">
        <item m="1" x="4"/>
        <item m="1" x="5"/>
        <item x="2"/>
        <item m="1" x="7"/>
        <item m="1" x="3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4"/>
        <item m="1" x="5"/>
        <item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x="1"/>
        <item m="1" x="4"/>
        <item m="1" x="6"/>
        <item x="2"/>
        <item m="1" x="3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x="0"/>
        <item m="1" x="3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3"/>
        <item m="1" x="5"/>
        <item x="2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1"/>
        <item m="1" x="6"/>
        <item m="1" x="4"/>
        <item m="1" x="5"/>
        <item x="2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7"/>
    <dataField name="FIN 50%" fld="9" baseField="5" baseItem="3" numFmtId="167"/>
    <dataField name="INI 100%" fld="11" baseField="5" baseItem="3" numFmtId="167"/>
    <dataField name="FIN 100%" fld="12" baseField="5" baseItem="3" numFmtId="167"/>
  </dataFields>
  <formats count="12">
    <format dxfId="101">
      <pivotArea field="8" type="button" dataOnly="0" labelOnly="1" outline="0"/>
    </format>
    <format dxfId="100">
      <pivotArea field="9" type="button" dataOnly="0" labelOnly="1" outline="0"/>
    </format>
    <format dxfId="99">
      <pivotArea field="10" type="button" dataOnly="0" labelOnly="1" outline="0"/>
    </format>
    <format dxfId="98">
      <pivotArea field="11" type="button" dataOnly="0" labelOnly="1" outline="0"/>
    </format>
    <format dxfId="97">
      <pivotArea field="12" type="button" dataOnly="0" labelOnly="1" outline="0"/>
    </format>
    <format dxfId="96">
      <pivotArea field="13" type="button" dataOnly="0" labelOnly="1" outline="0"/>
    </format>
    <format dxfId="95">
      <pivotArea outline="0" fieldPosition="0">
        <references count="1">
          <reference field="4294967294" count="1">
            <x v="0"/>
          </reference>
        </references>
      </pivotArea>
    </format>
    <format dxfId="94">
      <pivotArea outline="0" fieldPosition="0">
        <references count="1">
          <reference field="4294967294" count="1">
            <x v="1"/>
          </reference>
        </references>
      </pivotArea>
    </format>
    <format dxfId="93">
      <pivotArea outline="0" fieldPosition="0">
        <references count="1">
          <reference field="4294967294" count="1">
            <x v="2"/>
          </reference>
        </references>
      </pivotArea>
    </format>
    <format dxfId="92">
      <pivotArea outline="0" fieldPosition="0">
        <references count="1">
          <reference field="4294967294" count="1">
            <x v="3"/>
          </reference>
        </references>
      </pivotArea>
    </format>
    <format dxfId="9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10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5:C18" firstHeaderRow="0" firstDataRow="1" firstDataCol="1" rowPageCount="1" colPageCount="1"/>
  <pivotFields count="14">
    <pivotField axis="axisPage" showAll="0" defaultSubtotal="0">
      <items count="4">
        <item x="2"/>
        <item x="3"/>
        <item x="0"/>
        <item x="1"/>
      </items>
    </pivotField>
    <pivotField showAll="0"/>
    <pivotField numFmtId="14" showAll="0"/>
    <pivotField showAll="0"/>
    <pivotField axis="axisRow" showAll="0">
      <items count="42">
        <item x="4"/>
        <item x="12"/>
        <item m="1" x="27"/>
        <item x="1"/>
        <item x="16"/>
        <item m="1" x="24"/>
        <item x="9"/>
        <item m="1" x="40"/>
        <item x="8"/>
        <item x="15"/>
        <item m="1" x="26"/>
        <item m="1" x="34"/>
        <item m="1" x="37"/>
        <item x="0"/>
        <item x="10"/>
        <item m="1" x="38"/>
        <item x="5"/>
        <item m="1" x="33"/>
        <item x="11"/>
        <item m="1" x="35"/>
        <item x="3"/>
        <item m="1" x="39"/>
        <item m="1" x="31"/>
        <item x="18"/>
        <item x="7"/>
        <item x="19"/>
        <item m="1" x="25"/>
        <item x="13"/>
        <item x="6"/>
        <item x="22"/>
        <item x="23"/>
        <item m="1" x="36"/>
        <item m="1" x="28"/>
        <item m="1" x="30"/>
        <item x="14"/>
        <item m="1" x="29"/>
        <item x="17"/>
        <item x="2"/>
        <item x="20"/>
        <item m="1" x="32"/>
        <item x="21"/>
        <item t="default"/>
      </items>
    </pivotField>
    <pivotField showAll="0"/>
    <pivotField showAll="0"/>
    <pivotField showAll="0"/>
    <pivotField numFmtId="167" showAll="0"/>
    <pivotField numFmtId="167" showAll="0"/>
    <pivotField dataField="1" numFmtId="2" showAll="0"/>
    <pivotField numFmtId="167" showAll="0"/>
    <pivotField numFmtId="167" showAll="0"/>
    <pivotField dataField="1" numFmtId="2" showAll="0"/>
  </pivotFields>
  <rowFields count="1">
    <field x="4"/>
  </rowFields>
  <rowItems count="13">
    <i>
      <x/>
    </i>
    <i>
      <x v="1"/>
    </i>
    <i>
      <x v="8"/>
    </i>
    <i>
      <x v="13"/>
    </i>
    <i>
      <x v="14"/>
    </i>
    <i>
      <x v="16"/>
    </i>
    <i>
      <x v="20"/>
    </i>
    <i>
      <x v="25"/>
    </i>
    <i>
      <x v="27"/>
    </i>
    <i>
      <x v="28"/>
    </i>
    <i>
      <x v="38"/>
    </i>
    <i>
      <x v="40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2" hier="-1"/>
  </pageFields>
  <dataFields count="2">
    <dataField name="H.E. 50% " fld="10" baseField="4" baseItem="0" numFmtId="2"/>
    <dataField name="Suma de H.E. 100%" fld="13" baseField="0" baseItem="0" numFmtId="2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E5:G16" firstHeaderRow="0" firstDataRow="1" firstDataCol="1" rowPageCount="1" colPageCount="1"/>
  <pivotFields count="14">
    <pivotField axis="axisPage" showAll="0" defaultSubtotal="0">
      <items count="4">
        <item x="2"/>
        <item x="3"/>
        <item x="0"/>
        <item x="1"/>
      </items>
    </pivotField>
    <pivotField showAll="0"/>
    <pivotField numFmtId="14" showAll="0"/>
    <pivotField showAll="0"/>
    <pivotField axis="axisRow" showAll="0">
      <items count="42">
        <item x="4"/>
        <item x="12"/>
        <item m="1" x="27"/>
        <item x="1"/>
        <item x="16"/>
        <item m="1" x="24"/>
        <item x="9"/>
        <item m="1" x="40"/>
        <item x="8"/>
        <item x="15"/>
        <item m="1" x="26"/>
        <item m="1" x="34"/>
        <item m="1" x="37"/>
        <item x="0"/>
        <item x="10"/>
        <item m="1" x="38"/>
        <item x="5"/>
        <item m="1" x="33"/>
        <item x="11"/>
        <item m="1" x="35"/>
        <item x="3"/>
        <item m="1" x="39"/>
        <item m="1" x="31"/>
        <item x="18"/>
        <item x="7"/>
        <item x="19"/>
        <item m="1" x="25"/>
        <item x="13"/>
        <item x="6"/>
        <item x="22"/>
        <item x="23"/>
        <item m="1" x="36"/>
        <item m="1" x="28"/>
        <item m="1" x="30"/>
        <item x="14"/>
        <item m="1" x="29"/>
        <item x="17"/>
        <item x="2"/>
        <item x="20"/>
        <item m="1" x="32"/>
        <item x="21"/>
        <item t="default"/>
      </items>
    </pivotField>
    <pivotField showAll="0"/>
    <pivotField showAll="0"/>
    <pivotField showAll="0"/>
    <pivotField numFmtId="167" showAll="0"/>
    <pivotField numFmtId="167" showAll="0"/>
    <pivotField dataField="1" numFmtId="2" showAll="0"/>
    <pivotField numFmtId="167" showAll="0"/>
    <pivotField numFmtId="167" showAll="0"/>
    <pivotField dataField="1" numFmtId="2" showAll="0"/>
  </pivotFields>
  <rowFields count="1">
    <field x="4"/>
  </rowFields>
  <rowItems count="11">
    <i>
      <x v="3"/>
    </i>
    <i>
      <x v="4"/>
    </i>
    <i>
      <x v="6"/>
    </i>
    <i>
      <x v="9"/>
    </i>
    <i>
      <x v="18"/>
    </i>
    <i>
      <x v="23"/>
    </i>
    <i>
      <x v="24"/>
    </i>
    <i>
      <x v="34"/>
    </i>
    <i>
      <x v="36"/>
    </i>
    <i>
      <x v="37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3" hier="-1"/>
  </pageFields>
  <dataFields count="2">
    <dataField name="H.E. 50% " fld="10" baseField="4" baseItem="0" numFmtId="2"/>
    <dataField name="Suma de H.E. 100%" fld="13" baseField="0" baseItem="0" numFmtId="2"/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Tabla dinámica5" cacheId="2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B6:I6" firstHeaderRow="1" firstDataRow="1" firstDataCol="8" rowPageCount="1" colPageCount="1"/>
  <pivotFields count="14">
    <pivotField compact="0" outline="0" showAll="0" defaultSubtotal="0"/>
    <pivotField name="NOCHE #" axis="axisPage" compact="0" outline="0" multipleItemSelectionAllowed="1" showAll="0" defaultSubtotal="0">
      <items count="5">
        <item h="1" x="0"/>
        <item m="1" x="3"/>
        <item h="1" x="2"/>
        <item h="1" m="1" x="4"/>
        <item h="1" x="1"/>
      </items>
    </pivotField>
    <pivotField compact="0" numFmtId="14" outline="0" showAll="0" defaultSubtotal="0"/>
    <pivotField axis="axisRow" compact="0" outline="0" showAll="0" defaultSubtota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3"/>
        <item x="22"/>
        <item x="20"/>
        <item x="21"/>
      </items>
    </pivotField>
    <pivotField axis="axisRow" compact="0" outline="0" showAll="0" defaultSubtotal="0">
      <items count="44">
        <item x="12"/>
        <item m="1" x="27"/>
        <item x="1"/>
        <item x="16"/>
        <item x="9"/>
        <item m="1" x="43"/>
        <item m="1" x="40"/>
        <item x="0"/>
        <item x="10"/>
        <item m="1" x="41"/>
        <item m="1" x="36"/>
        <item x="11"/>
        <item m="1" x="38"/>
        <item x="14"/>
        <item x="3"/>
        <item m="1" x="42"/>
        <item x="18"/>
        <item x="7"/>
        <item x="19"/>
        <item x="21"/>
        <item x="23"/>
        <item x="22"/>
        <item x="15"/>
        <item x="6"/>
        <item x="8"/>
        <item m="1" x="37"/>
        <item x="5"/>
        <item m="1" x="25"/>
        <item m="1" x="34"/>
        <item m="1" x="28"/>
        <item m="1" x="31"/>
        <item x="4"/>
        <item m="1" x="33"/>
        <item m="1" x="24"/>
        <item x="13"/>
        <item m="1" x="26"/>
        <item m="1" x="39"/>
        <item m="1" x="29"/>
        <item m="1" x="32"/>
        <item m="1" x="30"/>
        <item x="17"/>
        <item x="2"/>
        <item x="20"/>
        <item m="1" x="35"/>
      </items>
    </pivotField>
    <pivotField axis="axisRow" compact="0" outline="0" showAll="0" defaultSubtotal="0">
      <items count="11">
        <item x="7"/>
        <item m="1" x="9"/>
        <item m="1" x="8"/>
        <item m="1" x="10"/>
        <item x="6"/>
        <item x="0"/>
        <item x="1"/>
        <item x="2"/>
        <item x="3"/>
        <item x="4"/>
        <item x="5"/>
      </items>
    </pivotField>
    <pivotField axis="axisRow" compact="0" outline="0" showAll="0" defaultSubtotal="0">
      <items count="13">
        <item x="0"/>
        <item m="1" x="9"/>
        <item m="1" x="8"/>
        <item m="1" x="11"/>
        <item m="1" x="12"/>
        <item m="1" x="10"/>
        <item x="7"/>
        <item x="1"/>
        <item x="2"/>
        <item x="3"/>
        <item x="4"/>
        <item x="5"/>
        <item x="6"/>
      </items>
    </pivotField>
    <pivotField compact="0" outline="0" showAll="0" defaultSubtotal="0"/>
    <pivotField name="H.E. INICIA 50% " axis="axisRow" compact="0" outline="0" showAll="0" defaultSubtotal="0">
      <items count="8">
        <item m="1" x="4"/>
        <item m="1" x="5"/>
        <item x="2"/>
        <item m="1" x="7"/>
        <item m="1" x="3"/>
        <item x="1"/>
        <item m="1" x="6"/>
        <item x="0"/>
      </items>
    </pivotField>
    <pivotField name="H.E. FIN 50%" axis="axisRow" compact="0" outline="0" showAll="0" defaultSubtotal="0">
      <items count="6">
        <item m="1" x="4"/>
        <item m="1" x="5"/>
        <item x="2"/>
        <item x="0"/>
        <item x="1"/>
        <item m="1" x="3"/>
      </items>
    </pivotField>
    <pivotField compact="0" numFmtId="2" outline="0" showAll="0" defaultSubtotal="0"/>
    <pivotField name="H.E. INICIO 100%" axis="axisRow" compact="0" outline="0" showAll="0" defaultSubtotal="0">
      <items count="6">
        <item x="0"/>
        <item m="1" x="3"/>
        <item x="2"/>
        <item x="1"/>
        <item m="1" x="5"/>
        <item m="1" x="4"/>
      </items>
    </pivotField>
    <pivotField name="H.E. FIN 100%" axis="axisRow" compact="0" outline="0" showAll="0" defaultSubtotal="0">
      <items count="6">
        <item m="1" x="3"/>
        <item m="1" x="5"/>
        <item m="1" x="4"/>
        <item x="2"/>
        <item x="1"/>
        <item x="0"/>
      </items>
    </pivotField>
    <pivotField compact="0" numFmtId="2" outline="0" showAll="0" defaultSubtotal="0"/>
  </pivotFields>
  <rowFields count="8">
    <field x="3"/>
    <field x="4"/>
    <field x="5"/>
    <field x="6"/>
    <field x="8"/>
    <field x="9"/>
    <field x="11"/>
    <field x="12"/>
  </rowFields>
  <colItems count="1">
    <i/>
  </colItems>
  <pageFields count="1">
    <pageField fld="1" hier="-1"/>
  </pageFields>
  <formats count="6">
    <format dxfId="5">
      <pivotArea field="1" type="button" dataOnly="0" labelOnly="1" outline="0" axis="axisPage" fieldPosition="0"/>
    </format>
    <format dxfId="4">
      <pivotArea field="1" type="button" dataOnly="0" labelOnly="1" outline="0" axis="axisPage" fieldPosition="0"/>
    </format>
    <format dxfId="3">
      <pivotArea field="8" type="button" dataOnly="0" labelOnly="1" outline="0" axis="axisRow" fieldPosition="4"/>
    </format>
    <format dxfId="2">
      <pivotArea field="9" type="button" dataOnly="0" labelOnly="1" outline="0" axis="axisRow" fieldPosition="5"/>
    </format>
    <format dxfId="1">
      <pivotArea field="11" type="button" dataOnly="0" labelOnly="1" outline="0" axis="axisRow" fieldPosition="6"/>
    </format>
    <format dxfId="0">
      <pivotArea field="12" type="button" dataOnly="0" labelOnly="1" outline="0" axis="axisRow" fieldPosition="7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3:D46"/>
  <sheetViews>
    <sheetView zoomScale="80" zoomScaleNormal="80" workbookViewId="0">
      <selection activeCell="D9" sqref="D9"/>
    </sheetView>
  </sheetViews>
  <sheetFormatPr baseColWidth="10" defaultRowHeight="14.4" x14ac:dyDescent="0.3"/>
  <cols>
    <col min="1" max="1" width="4.33203125" style="103" bestFit="1" customWidth="1"/>
    <col min="2" max="2" width="40.109375" style="103" bestFit="1" customWidth="1"/>
    <col min="3" max="3" width="12.6640625" style="103" bestFit="1" customWidth="1"/>
    <col min="4" max="4" width="9.88671875" style="103" bestFit="1" customWidth="1"/>
  </cols>
  <sheetData>
    <row r="3" spans="1:4" x14ac:dyDescent="0.3">
      <c r="A3" s="1" t="s">
        <v>0</v>
      </c>
      <c r="B3" s="1" t="s">
        <v>1</v>
      </c>
      <c r="C3" s="1" t="s">
        <v>2</v>
      </c>
      <c r="D3" s="1" t="s">
        <v>41</v>
      </c>
    </row>
    <row r="4" spans="1:4" x14ac:dyDescent="0.3">
      <c r="A4" s="2">
        <v>1</v>
      </c>
      <c r="B4" s="3" t="s">
        <v>22</v>
      </c>
      <c r="C4" s="4" t="s">
        <v>3</v>
      </c>
      <c r="D4" s="3" t="s">
        <v>42</v>
      </c>
    </row>
    <row r="5" spans="1:4" x14ac:dyDescent="0.3">
      <c r="A5" s="2">
        <v>2</v>
      </c>
      <c r="B5" s="3" t="s">
        <v>23</v>
      </c>
      <c r="C5" s="4" t="s">
        <v>4</v>
      </c>
      <c r="D5" s="3" t="s">
        <v>42</v>
      </c>
    </row>
    <row r="6" spans="1:4" x14ac:dyDescent="0.3">
      <c r="A6" s="2">
        <v>3</v>
      </c>
      <c r="B6" s="3" t="s">
        <v>24</v>
      </c>
      <c r="C6" s="4" t="s">
        <v>5</v>
      </c>
      <c r="D6" s="3" t="s">
        <v>42</v>
      </c>
    </row>
    <row r="7" spans="1:4" x14ac:dyDescent="0.3">
      <c r="A7" s="2">
        <v>4</v>
      </c>
      <c r="B7" s="3" t="s">
        <v>25</v>
      </c>
      <c r="C7" s="4" t="s">
        <v>6</v>
      </c>
      <c r="D7" s="3" t="s">
        <v>42</v>
      </c>
    </row>
    <row r="8" spans="1:4" x14ac:dyDescent="0.3">
      <c r="A8" s="2">
        <v>5</v>
      </c>
      <c r="B8" s="3" t="s">
        <v>26</v>
      </c>
      <c r="C8" s="4" t="s">
        <v>7</v>
      </c>
      <c r="D8" s="3" t="s">
        <v>42</v>
      </c>
    </row>
    <row r="9" spans="1:4" x14ac:dyDescent="0.3">
      <c r="A9" s="2">
        <v>6</v>
      </c>
      <c r="B9" s="3" t="s">
        <v>27</v>
      </c>
      <c r="C9" s="4" t="s">
        <v>8</v>
      </c>
      <c r="D9" s="3" t="s">
        <v>42</v>
      </c>
    </row>
    <row r="10" spans="1:4" x14ac:dyDescent="0.3">
      <c r="A10" s="2">
        <v>7</v>
      </c>
      <c r="B10" s="3" t="s">
        <v>28</v>
      </c>
      <c r="C10" s="4" t="s">
        <v>9</v>
      </c>
      <c r="D10" s="3" t="s">
        <v>42</v>
      </c>
    </row>
    <row r="11" spans="1:4" x14ac:dyDescent="0.3">
      <c r="A11" s="2">
        <v>8</v>
      </c>
      <c r="B11" s="3" t="s">
        <v>29</v>
      </c>
      <c r="C11" s="5" t="s">
        <v>10</v>
      </c>
      <c r="D11" s="3" t="s">
        <v>42</v>
      </c>
    </row>
    <row r="12" spans="1:4" x14ac:dyDescent="0.3">
      <c r="A12" s="2">
        <v>9</v>
      </c>
      <c r="B12" s="3" t="s">
        <v>30</v>
      </c>
      <c r="C12" s="5" t="s">
        <v>11</v>
      </c>
      <c r="D12" s="3" t="s">
        <v>42</v>
      </c>
    </row>
    <row r="13" spans="1:4" x14ac:dyDescent="0.3">
      <c r="A13" s="2">
        <v>10</v>
      </c>
      <c r="B13" s="3" t="s">
        <v>31</v>
      </c>
      <c r="C13" s="6" t="s">
        <v>12</v>
      </c>
      <c r="D13" s="3" t="s">
        <v>42</v>
      </c>
    </row>
    <row r="14" spans="1:4" x14ac:dyDescent="0.3">
      <c r="A14" s="2">
        <v>11</v>
      </c>
      <c r="B14" s="3" t="s">
        <v>32</v>
      </c>
      <c r="C14" s="2" t="s">
        <v>13</v>
      </c>
      <c r="D14" s="3" t="s">
        <v>42</v>
      </c>
    </row>
    <row r="15" spans="1:4" x14ac:dyDescent="0.3">
      <c r="A15" s="2">
        <v>12</v>
      </c>
      <c r="B15" s="3" t="s">
        <v>33</v>
      </c>
      <c r="C15" s="2" t="s">
        <v>14</v>
      </c>
      <c r="D15" s="3" t="s">
        <v>42</v>
      </c>
    </row>
    <row r="16" spans="1:4" x14ac:dyDescent="0.3">
      <c r="A16" s="2">
        <v>13</v>
      </c>
      <c r="B16" s="3" t="s">
        <v>34</v>
      </c>
      <c r="C16" s="2" t="s">
        <v>15</v>
      </c>
      <c r="D16" s="3" t="s">
        <v>42</v>
      </c>
    </row>
    <row r="17" spans="1:4" x14ac:dyDescent="0.3">
      <c r="A17" s="2">
        <v>14</v>
      </c>
      <c r="B17" s="3" t="s">
        <v>35</v>
      </c>
      <c r="C17" s="2" t="s">
        <v>16</v>
      </c>
      <c r="D17" s="3" t="s">
        <v>42</v>
      </c>
    </row>
    <row r="18" spans="1:4" x14ac:dyDescent="0.3">
      <c r="A18" s="2">
        <v>15</v>
      </c>
      <c r="B18" s="3" t="s">
        <v>36</v>
      </c>
      <c r="C18" s="2" t="s">
        <v>17</v>
      </c>
      <c r="D18" s="3" t="s">
        <v>42</v>
      </c>
    </row>
    <row r="19" spans="1:4" x14ac:dyDescent="0.3">
      <c r="A19" s="2">
        <v>16</v>
      </c>
      <c r="B19" s="3" t="s">
        <v>37</v>
      </c>
      <c r="C19" s="2" t="s">
        <v>18</v>
      </c>
      <c r="D19" s="3" t="s">
        <v>42</v>
      </c>
    </row>
    <row r="20" spans="1:4" x14ac:dyDescent="0.3">
      <c r="A20" s="2">
        <v>17</v>
      </c>
      <c r="B20" s="3" t="s">
        <v>38</v>
      </c>
      <c r="C20" s="2" t="s">
        <v>19</v>
      </c>
      <c r="D20" s="3" t="s">
        <v>42</v>
      </c>
    </row>
    <row r="21" spans="1:4" x14ac:dyDescent="0.3">
      <c r="A21" s="2">
        <v>18</v>
      </c>
      <c r="B21" s="3" t="s">
        <v>39</v>
      </c>
      <c r="C21" s="2" t="s">
        <v>20</v>
      </c>
      <c r="D21" s="3" t="s">
        <v>42</v>
      </c>
    </row>
    <row r="22" spans="1:4" x14ac:dyDescent="0.3">
      <c r="A22" s="2">
        <v>19</v>
      </c>
      <c r="B22" s="3" t="s">
        <v>40</v>
      </c>
      <c r="C22" s="2" t="s">
        <v>21</v>
      </c>
      <c r="D22" s="3" t="s">
        <v>42</v>
      </c>
    </row>
    <row r="23" spans="1:4" x14ac:dyDescent="0.3">
      <c r="A23" s="2">
        <v>20</v>
      </c>
      <c r="B23" s="3" t="s">
        <v>43</v>
      </c>
      <c r="C23" s="2" t="s">
        <v>44</v>
      </c>
      <c r="D23" s="3" t="s">
        <v>71</v>
      </c>
    </row>
    <row r="24" spans="1:4" x14ac:dyDescent="0.3">
      <c r="A24" s="2">
        <v>21</v>
      </c>
      <c r="B24" s="3" t="s">
        <v>45</v>
      </c>
      <c r="C24" s="2" t="s">
        <v>46</v>
      </c>
      <c r="D24" s="3" t="s">
        <v>71</v>
      </c>
    </row>
    <row r="25" spans="1:4" x14ac:dyDescent="0.3">
      <c r="A25" s="2">
        <v>22</v>
      </c>
      <c r="B25" s="3" t="s">
        <v>47</v>
      </c>
      <c r="C25" s="2" t="s">
        <v>48</v>
      </c>
      <c r="D25" s="3" t="s">
        <v>71</v>
      </c>
    </row>
    <row r="26" spans="1:4" x14ac:dyDescent="0.3">
      <c r="A26" s="2">
        <v>23</v>
      </c>
      <c r="B26" s="3" t="s">
        <v>49</v>
      </c>
      <c r="C26" s="2" t="s">
        <v>50</v>
      </c>
      <c r="D26" s="3" t="s">
        <v>71</v>
      </c>
    </row>
    <row r="27" spans="1:4" x14ac:dyDescent="0.3">
      <c r="A27" s="2">
        <v>24</v>
      </c>
      <c r="B27" s="3" t="s">
        <v>51</v>
      </c>
      <c r="C27" s="2" t="s">
        <v>52</v>
      </c>
      <c r="D27" s="3" t="s">
        <v>71</v>
      </c>
    </row>
    <row r="28" spans="1:4" x14ac:dyDescent="0.3">
      <c r="A28" s="2">
        <v>25</v>
      </c>
      <c r="B28" s="3" t="s">
        <v>53</v>
      </c>
      <c r="C28" s="2" t="s">
        <v>54</v>
      </c>
      <c r="D28" s="3" t="s">
        <v>71</v>
      </c>
    </row>
    <row r="29" spans="1:4" x14ac:dyDescent="0.3">
      <c r="A29" s="2">
        <v>26</v>
      </c>
      <c r="B29" s="3" t="s">
        <v>55</v>
      </c>
      <c r="C29" s="2" t="s">
        <v>56</v>
      </c>
      <c r="D29" s="3" t="s">
        <v>71</v>
      </c>
    </row>
    <row r="30" spans="1:4" x14ac:dyDescent="0.3">
      <c r="A30" s="2">
        <v>27</v>
      </c>
      <c r="B30" s="3" t="s">
        <v>57</v>
      </c>
      <c r="C30" s="2" t="s">
        <v>58</v>
      </c>
      <c r="D30" s="3" t="s">
        <v>71</v>
      </c>
    </row>
    <row r="31" spans="1:4" x14ac:dyDescent="0.3">
      <c r="A31" s="2">
        <v>28</v>
      </c>
      <c r="B31" s="3" t="s">
        <v>59</v>
      </c>
      <c r="C31" s="2" t="s">
        <v>60</v>
      </c>
      <c r="D31" s="3" t="s">
        <v>71</v>
      </c>
    </row>
    <row r="32" spans="1:4" x14ac:dyDescent="0.3">
      <c r="A32" s="2">
        <v>29</v>
      </c>
      <c r="B32" s="3" t="s">
        <v>61</v>
      </c>
      <c r="C32" s="2" t="s">
        <v>62</v>
      </c>
      <c r="D32" s="3" t="s">
        <v>71</v>
      </c>
    </row>
    <row r="33" spans="1:4" x14ac:dyDescent="0.3">
      <c r="A33" s="2">
        <v>30</v>
      </c>
      <c r="B33" s="3" t="s">
        <v>63</v>
      </c>
      <c r="C33" s="2" t="s">
        <v>64</v>
      </c>
      <c r="D33" s="3" t="s">
        <v>71</v>
      </c>
    </row>
    <row r="34" spans="1:4" x14ac:dyDescent="0.3">
      <c r="A34" s="2">
        <v>31</v>
      </c>
      <c r="B34" s="3" t="s">
        <v>65</v>
      </c>
      <c r="C34" s="2" t="s">
        <v>66</v>
      </c>
      <c r="D34" s="3" t="s">
        <v>71</v>
      </c>
    </row>
    <row r="35" spans="1:4" x14ac:dyDescent="0.3">
      <c r="A35" s="2">
        <v>32</v>
      </c>
      <c r="B35" s="3" t="s">
        <v>67</v>
      </c>
      <c r="C35" s="2" t="s">
        <v>68</v>
      </c>
      <c r="D35" s="3" t="s">
        <v>71</v>
      </c>
    </row>
    <row r="36" spans="1:4" x14ac:dyDescent="0.3">
      <c r="A36" s="2">
        <v>33</v>
      </c>
      <c r="B36" s="3" t="s">
        <v>69</v>
      </c>
      <c r="C36" s="2" t="s">
        <v>70</v>
      </c>
      <c r="D36" s="3" t="s">
        <v>71</v>
      </c>
    </row>
    <row r="37" spans="1:4" x14ac:dyDescent="0.3">
      <c r="A37" s="2">
        <v>34</v>
      </c>
      <c r="B37" s="3" t="s">
        <v>97</v>
      </c>
      <c r="C37" s="2" t="s">
        <v>131</v>
      </c>
      <c r="D37" s="3" t="s">
        <v>42</v>
      </c>
    </row>
    <row r="38" spans="1:4" x14ac:dyDescent="0.3">
      <c r="A38" s="2">
        <v>35</v>
      </c>
      <c r="B38" s="3" t="s">
        <v>144</v>
      </c>
      <c r="C38" s="2" t="s">
        <v>132</v>
      </c>
      <c r="D38" s="3" t="s">
        <v>71</v>
      </c>
    </row>
    <row r="39" spans="1:4" x14ac:dyDescent="0.3">
      <c r="A39" s="2">
        <v>36</v>
      </c>
      <c r="B39" s="3" t="s">
        <v>143</v>
      </c>
      <c r="C39" s="2" t="s">
        <v>133</v>
      </c>
      <c r="D39" s="3" t="s">
        <v>71</v>
      </c>
    </row>
    <row r="40" spans="1:4" x14ac:dyDescent="0.3">
      <c r="A40" s="2">
        <v>37</v>
      </c>
      <c r="B40" s="3" t="s">
        <v>145</v>
      </c>
      <c r="C40" s="2" t="s">
        <v>134</v>
      </c>
      <c r="D40" s="3" t="s">
        <v>71</v>
      </c>
    </row>
    <row r="41" spans="1:4" x14ac:dyDescent="0.3">
      <c r="A41" s="2">
        <v>38</v>
      </c>
      <c r="B41" s="3" t="s">
        <v>136</v>
      </c>
      <c r="C41" s="2" t="s">
        <v>135</v>
      </c>
      <c r="D41" s="3" t="s">
        <v>71</v>
      </c>
    </row>
    <row r="42" spans="1:4" x14ac:dyDescent="0.3">
      <c r="A42" s="2">
        <v>39</v>
      </c>
      <c r="B42" s="3" t="s">
        <v>137</v>
      </c>
      <c r="C42" s="2" t="s">
        <v>138</v>
      </c>
      <c r="D42" s="3" t="s">
        <v>71</v>
      </c>
    </row>
    <row r="43" spans="1:4" x14ac:dyDescent="0.3">
      <c r="A43" s="2">
        <v>40</v>
      </c>
      <c r="B43" s="3" t="s">
        <v>139</v>
      </c>
      <c r="C43" s="2" t="s">
        <v>140</v>
      </c>
      <c r="D43" s="3" t="s">
        <v>71</v>
      </c>
    </row>
    <row r="44" spans="1:4" x14ac:dyDescent="0.3">
      <c r="A44" s="2">
        <v>41</v>
      </c>
      <c r="B44" s="3" t="s">
        <v>141</v>
      </c>
      <c r="C44" s="2" t="s">
        <v>142</v>
      </c>
      <c r="D44" s="3" t="s">
        <v>42</v>
      </c>
    </row>
    <row r="45" spans="1:4" x14ac:dyDescent="0.3">
      <c r="A45" s="2">
        <v>42</v>
      </c>
      <c r="B45" s="3" t="s">
        <v>153</v>
      </c>
      <c r="C45" s="2" t="s">
        <v>154</v>
      </c>
      <c r="D45" s="3" t="s">
        <v>42</v>
      </c>
    </row>
    <row r="46" spans="1:4" x14ac:dyDescent="0.3">
      <c r="A46" s="2">
        <v>43</v>
      </c>
      <c r="B46" s="2"/>
      <c r="C46" s="2"/>
      <c r="D46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D12"/>
  <sheetViews>
    <sheetView workbookViewId="0">
      <selection activeCell="B22" sqref="B22"/>
    </sheetView>
  </sheetViews>
  <sheetFormatPr baseColWidth="10" defaultRowHeight="14.4" x14ac:dyDescent="0.3"/>
  <cols>
    <col min="2" max="2" width="13.44140625" bestFit="1" customWidth="1"/>
    <col min="4" max="4" width="15" bestFit="1" customWidth="1"/>
  </cols>
  <sheetData>
    <row r="2" spans="2:4" x14ac:dyDescent="0.3">
      <c r="B2" s="7" t="s">
        <v>72</v>
      </c>
      <c r="D2" s="7" t="s">
        <v>93</v>
      </c>
    </row>
    <row r="3" spans="2:4" x14ac:dyDescent="0.3">
      <c r="B3" s="8"/>
    </row>
    <row r="4" spans="2:4" x14ac:dyDescent="0.3">
      <c r="B4" s="104" t="s">
        <v>79</v>
      </c>
      <c r="C4" s="103"/>
      <c r="D4" s="103" t="s">
        <v>146</v>
      </c>
    </row>
    <row r="5" spans="2:4" x14ac:dyDescent="0.3">
      <c r="B5" s="104" t="s">
        <v>89</v>
      </c>
      <c r="C5" s="103"/>
      <c r="D5" s="103" t="s">
        <v>147</v>
      </c>
    </row>
    <row r="6" spans="2:4" x14ac:dyDescent="0.3">
      <c r="B6" s="104" t="s">
        <v>90</v>
      </c>
      <c r="C6" s="103"/>
      <c r="D6" s="103" t="s">
        <v>148</v>
      </c>
    </row>
    <row r="7" spans="2:4" x14ac:dyDescent="0.3">
      <c r="B7" s="104" t="s">
        <v>91</v>
      </c>
      <c r="C7" s="103"/>
      <c r="D7" s="103" t="s">
        <v>149</v>
      </c>
    </row>
    <row r="8" spans="2:4" x14ac:dyDescent="0.3">
      <c r="B8" s="104" t="s">
        <v>98</v>
      </c>
      <c r="C8" s="103"/>
      <c r="D8" s="103" t="s">
        <v>150</v>
      </c>
    </row>
    <row r="9" spans="2:4" x14ac:dyDescent="0.3">
      <c r="B9" s="104" t="s">
        <v>92</v>
      </c>
      <c r="C9" s="103"/>
      <c r="D9" s="103" t="s">
        <v>151</v>
      </c>
    </row>
    <row r="10" spans="2:4" x14ac:dyDescent="0.3">
      <c r="B10" s="8"/>
    </row>
    <row r="11" spans="2:4" x14ac:dyDescent="0.3">
      <c r="B11" s="8"/>
    </row>
    <row r="12" spans="2:4" x14ac:dyDescent="0.3">
      <c r="B12" s="8"/>
    </row>
  </sheetData>
  <sortState ref="D4:D8">
    <sortCondition ref="D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V109"/>
  <sheetViews>
    <sheetView zoomScale="80" zoomScaleNormal="80" workbookViewId="0">
      <pane xSplit="9" ySplit="10" topLeftCell="J11" activePane="bottomRight" state="frozen"/>
      <selection pane="topRight" activeCell="I1" sqref="I1"/>
      <selection pane="bottomLeft" activeCell="A11" sqref="A11"/>
      <selection pane="bottomRight" activeCell="B2" sqref="B2:H2"/>
    </sheetView>
  </sheetViews>
  <sheetFormatPr baseColWidth="10" defaultRowHeight="14.4" x14ac:dyDescent="0.3"/>
  <cols>
    <col min="1" max="1" width="37.5546875" bestFit="1" customWidth="1"/>
    <col min="2" max="2" width="5.5546875" customWidth="1"/>
    <col min="3" max="3" width="3.6640625" customWidth="1"/>
    <col min="4" max="4" width="3.109375" customWidth="1"/>
    <col min="5" max="5" width="4.109375" customWidth="1"/>
    <col min="6" max="7" width="3.6640625" customWidth="1"/>
    <col min="8" max="8" width="11.6640625" customWidth="1"/>
    <col min="9" max="9" width="8.88671875" customWidth="1"/>
    <col min="10" max="10" width="55" customWidth="1"/>
    <col min="11" max="11" width="15.6640625" customWidth="1"/>
    <col min="12" max="12" width="18.6640625" customWidth="1"/>
    <col min="13" max="13" width="14.33203125" customWidth="1"/>
    <col min="14" max="16" width="24.6640625" customWidth="1"/>
    <col min="17" max="17" width="29.33203125" customWidth="1"/>
    <col min="18" max="18" width="22.5546875" customWidth="1"/>
    <col min="19" max="19" width="20.5546875" bestFit="1" customWidth="1"/>
    <col min="20" max="20" width="17.109375" bestFit="1" customWidth="1"/>
    <col min="21" max="21" width="12.33203125" customWidth="1"/>
  </cols>
  <sheetData>
    <row r="1" spans="1:22" ht="36" customHeight="1" x14ac:dyDescent="0.65">
      <c r="A1" s="62" t="s">
        <v>73</v>
      </c>
      <c r="B1" s="83" t="s">
        <v>117</v>
      </c>
      <c r="C1" s="61"/>
      <c r="D1" s="61"/>
      <c r="E1" s="61"/>
      <c r="F1" s="61"/>
      <c r="G1" s="61"/>
      <c r="H1" s="84"/>
      <c r="I1" s="61"/>
      <c r="J1" s="66" t="s">
        <v>94</v>
      </c>
      <c r="K1" s="61"/>
      <c r="L1" s="61"/>
      <c r="M1" s="61"/>
      <c r="N1" s="61"/>
      <c r="O1" s="61"/>
      <c r="P1" s="69"/>
      <c r="Q1" s="69"/>
      <c r="R1" s="61"/>
      <c r="S1" s="61"/>
      <c r="T1" s="61"/>
    </row>
    <row r="2" spans="1:22" ht="21" x14ac:dyDescent="0.4">
      <c r="A2" s="63" t="s">
        <v>80</v>
      </c>
      <c r="B2" s="112">
        <f ca="1">TODAY()</f>
        <v>43136</v>
      </c>
      <c r="C2" s="113"/>
      <c r="D2" s="113"/>
      <c r="E2" s="113"/>
      <c r="F2" s="113"/>
      <c r="G2" s="113"/>
      <c r="H2" s="113"/>
      <c r="I2" s="61"/>
      <c r="J2" s="63" t="s">
        <v>74</v>
      </c>
      <c r="K2" s="85"/>
      <c r="L2" s="110" t="str">
        <f>IF(K2=0,IF(J11=0," ","INGRESE # DE NOCHE POR FAVOR")," ")</f>
        <v xml:space="preserve"> </v>
      </c>
      <c r="M2" s="111"/>
      <c r="N2" s="111"/>
      <c r="O2" s="61"/>
      <c r="P2" s="61"/>
      <c r="Q2" s="61"/>
      <c r="R2" s="61"/>
      <c r="S2" s="61"/>
      <c r="T2" s="61"/>
    </row>
    <row r="3" spans="1:22" ht="24" customHeight="1" thickBot="1" x14ac:dyDescent="0.4">
      <c r="A3" s="64" t="s">
        <v>101</v>
      </c>
      <c r="B3" s="117"/>
      <c r="C3" s="118"/>
      <c r="D3" s="119"/>
      <c r="E3" s="117"/>
      <c r="F3" s="118"/>
      <c r="G3" s="119"/>
      <c r="H3" s="77">
        <f ca="1">IF(WEEKDAY(B2)=1,"Es 100%",IF(WEEKDAY(B2)=7,"Es 100%",IF(H1="F","Es 100%",(E3-B3)*24)))</f>
        <v>0</v>
      </c>
      <c r="I3" s="61"/>
      <c r="J3" s="61"/>
      <c r="K3" s="61"/>
      <c r="L3" s="61"/>
      <c r="M3" s="61"/>
      <c r="N3" s="61"/>
      <c r="O3" s="61"/>
      <c r="P3" s="70"/>
      <c r="Q3" s="70"/>
      <c r="R3" s="61"/>
      <c r="S3" s="61"/>
      <c r="T3" s="61"/>
    </row>
    <row r="4" spans="1:22" ht="18" x14ac:dyDescent="0.35">
      <c r="A4" s="64" t="s">
        <v>102</v>
      </c>
      <c r="B4" s="117"/>
      <c r="C4" s="118"/>
      <c r="D4" s="119"/>
      <c r="E4" s="120"/>
      <c r="F4" s="121"/>
      <c r="G4" s="122"/>
      <c r="H4" s="77">
        <f>(+E4-B4)*24</f>
        <v>0</v>
      </c>
      <c r="I4" s="61"/>
      <c r="J4" s="44" t="s">
        <v>86</v>
      </c>
      <c r="K4" s="45" t="s">
        <v>77</v>
      </c>
      <c r="L4" s="45" t="s">
        <v>95</v>
      </c>
      <c r="M4" s="46" t="s">
        <v>118</v>
      </c>
      <c r="N4" s="61"/>
      <c r="O4" s="61"/>
      <c r="P4" s="70"/>
      <c r="Q4" s="69"/>
      <c r="R4" s="71"/>
      <c r="S4" s="61"/>
      <c r="T4" s="61"/>
    </row>
    <row r="5" spans="1:22" ht="18" x14ac:dyDescent="0.35">
      <c r="A5" s="64"/>
      <c r="B5" s="61"/>
      <c r="C5" s="61"/>
      <c r="D5" s="61"/>
      <c r="E5" s="61"/>
      <c r="F5" s="61"/>
      <c r="G5" s="61"/>
      <c r="H5" s="61"/>
      <c r="I5" s="61"/>
      <c r="J5" s="65"/>
      <c r="K5" s="12"/>
      <c r="L5" s="12"/>
      <c r="M5" s="11"/>
      <c r="N5" s="61"/>
      <c r="O5" s="61"/>
      <c r="P5" s="70"/>
      <c r="Q5" s="70"/>
      <c r="R5" s="71"/>
      <c r="S5" s="61"/>
      <c r="T5" s="61" t="str">
        <f>_xlfn.IFNA(U5,"REGISTRO REPETIDO")</f>
        <v>REGISTRO REPETIDO</v>
      </c>
      <c r="U5" s="9" t="e">
        <f>VLOOKUP(J5,Q:R,2,FALSE)</f>
        <v>#N/A</v>
      </c>
      <c r="V5" t="e">
        <f>VLOOKUP(U5,I:M,2)</f>
        <v>#N/A</v>
      </c>
    </row>
    <row r="6" spans="1:22" x14ac:dyDescent="0.3">
      <c r="A6" s="61"/>
      <c r="B6" s="61"/>
      <c r="C6" s="61"/>
      <c r="D6" s="61"/>
      <c r="E6" s="61"/>
      <c r="F6" s="61"/>
      <c r="G6" s="61"/>
      <c r="H6" s="61"/>
      <c r="I6" s="61"/>
      <c r="J6" s="114" t="str">
        <f>IF(J5=0," ",IF(J5=V5,"OJO PERSONA YA ESTA EN LISTA, REVISA BIEN POR FAVOR"," "))</f>
        <v xml:space="preserve"> </v>
      </c>
      <c r="K6" s="61"/>
      <c r="L6" s="61"/>
      <c r="M6" s="61"/>
      <c r="N6" s="61"/>
      <c r="O6" s="61"/>
      <c r="P6" s="61"/>
      <c r="Q6" s="61"/>
      <c r="R6" s="61"/>
      <c r="S6" s="61"/>
      <c r="T6" s="61"/>
    </row>
    <row r="7" spans="1:22" x14ac:dyDescent="0.3">
      <c r="A7" s="61"/>
      <c r="B7" s="61"/>
      <c r="C7" s="61"/>
      <c r="D7" s="61"/>
      <c r="E7" s="61"/>
      <c r="F7" s="61"/>
      <c r="G7" s="61"/>
      <c r="H7" s="61"/>
      <c r="I7" s="61"/>
      <c r="J7" s="115"/>
      <c r="K7" s="61"/>
      <c r="L7" s="61"/>
      <c r="M7" s="61"/>
      <c r="N7" s="61"/>
      <c r="O7" s="61"/>
      <c r="P7" s="61"/>
      <c r="Q7" s="61"/>
      <c r="R7" s="61"/>
      <c r="S7" s="61"/>
      <c r="T7" s="61"/>
    </row>
    <row r="8" spans="1:22" ht="15" thickBot="1" x14ac:dyDescent="0.35">
      <c r="A8" s="61"/>
      <c r="B8" s="61"/>
      <c r="C8" s="61"/>
      <c r="D8" s="61"/>
      <c r="E8" s="61"/>
      <c r="F8" s="61"/>
      <c r="G8" s="61"/>
      <c r="H8" s="61"/>
      <c r="I8" s="61"/>
      <c r="J8" s="116"/>
      <c r="K8" s="61"/>
      <c r="L8" s="61"/>
      <c r="M8" s="61"/>
      <c r="N8" s="61"/>
      <c r="O8" s="61"/>
      <c r="P8" s="61"/>
      <c r="Q8" s="61"/>
      <c r="R8" s="61"/>
      <c r="S8" s="61"/>
      <c r="T8" s="61"/>
    </row>
    <row r="9" spans="1:22" ht="19.95" customHeight="1" thickBot="1" x14ac:dyDescent="0.45">
      <c r="A9" s="60"/>
      <c r="B9" s="60"/>
      <c r="C9" s="61"/>
      <c r="D9" s="61"/>
      <c r="E9" s="61"/>
      <c r="F9" s="61"/>
      <c r="G9" s="61"/>
      <c r="H9" s="61"/>
      <c r="I9" s="23" t="s">
        <v>75</v>
      </c>
      <c r="J9" s="24" t="s">
        <v>76</v>
      </c>
      <c r="K9" s="25" t="s">
        <v>77</v>
      </c>
      <c r="L9" s="25" t="s">
        <v>96</v>
      </c>
      <c r="M9" s="26" t="s">
        <v>118</v>
      </c>
      <c r="N9" s="61"/>
      <c r="O9" s="61"/>
      <c r="P9" s="61"/>
      <c r="Q9" s="20" t="s">
        <v>76</v>
      </c>
      <c r="R9" s="19" t="s">
        <v>75</v>
      </c>
      <c r="S9" s="9"/>
      <c r="T9" s="9"/>
    </row>
    <row r="10" spans="1:22" ht="0.6" customHeight="1" x14ac:dyDescent="0.3">
      <c r="A10" s="105" t="s">
        <v>78</v>
      </c>
      <c r="B10" s="60"/>
      <c r="C10" s="61"/>
      <c r="D10" s="61"/>
      <c r="E10" s="61"/>
      <c r="F10" s="61"/>
      <c r="G10" s="61"/>
      <c r="H10" s="61"/>
      <c r="I10" s="15">
        <v>0</v>
      </c>
      <c r="J10" s="16" t="s">
        <v>81</v>
      </c>
      <c r="K10" s="17" t="s">
        <v>82</v>
      </c>
      <c r="L10" s="17">
        <v>0</v>
      </c>
      <c r="M10" s="18" t="s">
        <v>81</v>
      </c>
      <c r="N10" s="61"/>
      <c r="O10" s="61"/>
      <c r="P10" s="61"/>
      <c r="Q10" s="21" t="s">
        <v>81</v>
      </c>
      <c r="R10" s="9">
        <v>0</v>
      </c>
      <c r="S10" s="9"/>
      <c r="T10" s="9"/>
    </row>
    <row r="11" spans="1:22" x14ac:dyDescent="0.3">
      <c r="A11" s="65" t="s">
        <v>23</v>
      </c>
      <c r="B11" s="60"/>
      <c r="C11" s="61"/>
      <c r="D11" s="61"/>
      <c r="E11" s="61"/>
      <c r="F11" s="61"/>
      <c r="G11" s="61"/>
      <c r="H11" s="61"/>
      <c r="I11" s="14">
        <v>1</v>
      </c>
      <c r="J11" s="103"/>
      <c r="K11" s="103"/>
      <c r="L11" s="103"/>
      <c r="M11" s="11"/>
      <c r="N11" s="61"/>
      <c r="O11" s="61"/>
      <c r="P11" s="61"/>
      <c r="Q11" s="22"/>
      <c r="R11" s="9"/>
      <c r="S11" s="9"/>
      <c r="T11" s="9"/>
    </row>
    <row r="12" spans="1:22" x14ac:dyDescent="0.3">
      <c r="A12" s="65" t="s">
        <v>30</v>
      </c>
      <c r="B12" s="60"/>
      <c r="C12" s="61"/>
      <c r="D12" s="61"/>
      <c r="E12" s="61"/>
      <c r="F12" s="61"/>
      <c r="G12" s="61"/>
      <c r="H12" s="61"/>
      <c r="I12" s="13">
        <v>2</v>
      </c>
      <c r="J12" s="103"/>
      <c r="K12" s="103"/>
      <c r="L12" s="103"/>
      <c r="M12" s="11"/>
      <c r="N12" s="61"/>
      <c r="O12" s="61"/>
      <c r="P12" s="61"/>
      <c r="Q12" s="22"/>
      <c r="R12" s="9"/>
      <c r="S12" s="9"/>
      <c r="T12" s="9"/>
    </row>
    <row r="13" spans="1:22" x14ac:dyDescent="0.3">
      <c r="A13" s="65" t="s">
        <v>65</v>
      </c>
      <c r="B13" s="60"/>
      <c r="C13" s="61"/>
      <c r="D13" s="61"/>
      <c r="E13" s="61"/>
      <c r="F13" s="61"/>
      <c r="G13" s="61"/>
      <c r="H13" s="61"/>
      <c r="I13" s="13">
        <v>3</v>
      </c>
      <c r="J13" s="103"/>
      <c r="K13" s="103"/>
      <c r="L13" s="103"/>
      <c r="M13" s="11"/>
      <c r="N13" s="61"/>
      <c r="O13" s="61"/>
      <c r="P13" s="61"/>
      <c r="Q13" s="22"/>
      <c r="R13" s="9"/>
      <c r="S13" s="9"/>
      <c r="T13" s="9"/>
    </row>
    <row r="14" spans="1:22" x14ac:dyDescent="0.3">
      <c r="A14" s="65" t="s">
        <v>39</v>
      </c>
      <c r="B14" s="60"/>
      <c r="C14" s="61"/>
      <c r="D14" s="61"/>
      <c r="E14" s="61"/>
      <c r="F14" s="61"/>
      <c r="G14" s="61"/>
      <c r="H14" s="61"/>
      <c r="I14" s="13">
        <v>4</v>
      </c>
      <c r="J14" s="103"/>
      <c r="K14" s="103"/>
      <c r="L14" s="103"/>
      <c r="M14" s="11"/>
      <c r="N14" s="61"/>
      <c r="O14" s="61"/>
      <c r="P14" s="61"/>
      <c r="Q14" s="22"/>
      <c r="R14" s="9"/>
      <c r="S14" s="9"/>
      <c r="T14" s="9"/>
    </row>
    <row r="15" spans="1:22" x14ac:dyDescent="0.3">
      <c r="A15" s="65" t="s">
        <v>25</v>
      </c>
      <c r="B15" s="60"/>
      <c r="C15" s="61"/>
      <c r="D15" s="61"/>
      <c r="E15" s="61"/>
      <c r="F15" s="61"/>
      <c r="G15" s="61"/>
      <c r="H15" s="61"/>
      <c r="I15" s="13">
        <v>5</v>
      </c>
      <c r="J15" s="103"/>
      <c r="K15" s="103"/>
      <c r="L15" s="103"/>
      <c r="M15" s="11"/>
      <c r="N15" s="61"/>
      <c r="O15" s="61"/>
      <c r="P15" s="61"/>
      <c r="Q15" s="22"/>
      <c r="R15" s="9"/>
      <c r="S15" s="9"/>
      <c r="T15" s="9"/>
    </row>
    <row r="16" spans="1:22" x14ac:dyDescent="0.3">
      <c r="A16" s="65" t="s">
        <v>34</v>
      </c>
      <c r="B16" s="60"/>
      <c r="C16" s="61"/>
      <c r="D16" s="61"/>
      <c r="E16" s="61"/>
      <c r="F16" s="61"/>
      <c r="G16" s="61"/>
      <c r="H16" s="61"/>
      <c r="I16" s="13">
        <v>6</v>
      </c>
      <c r="J16" s="103"/>
      <c r="K16" s="103"/>
      <c r="L16" s="103"/>
      <c r="M16" s="11"/>
      <c r="N16" s="61"/>
      <c r="O16" s="61"/>
      <c r="P16" s="61"/>
      <c r="Q16" s="22"/>
      <c r="R16" s="9"/>
      <c r="S16" s="9"/>
      <c r="T16" s="9"/>
    </row>
    <row r="17" spans="1:20" x14ac:dyDescent="0.3">
      <c r="A17" s="65" t="s">
        <v>69</v>
      </c>
      <c r="B17" s="60"/>
      <c r="C17" s="61"/>
      <c r="D17" s="61"/>
      <c r="E17" s="61"/>
      <c r="F17" s="61"/>
      <c r="G17" s="61"/>
      <c r="H17" s="61"/>
      <c r="I17" s="13">
        <v>7</v>
      </c>
      <c r="J17" s="103"/>
      <c r="K17" s="103"/>
      <c r="L17" s="103"/>
      <c r="M17" s="11"/>
      <c r="N17" s="61"/>
      <c r="O17" s="61"/>
      <c r="P17" s="61"/>
      <c r="Q17" s="22"/>
      <c r="R17" s="9"/>
      <c r="S17" s="9"/>
      <c r="T17" s="9"/>
    </row>
    <row r="18" spans="1:20" x14ac:dyDescent="0.3">
      <c r="A18" s="65" t="s">
        <v>53</v>
      </c>
      <c r="B18" s="60"/>
      <c r="C18" s="61"/>
      <c r="D18" s="61"/>
      <c r="E18" s="61"/>
      <c r="F18" s="61"/>
      <c r="G18" s="61"/>
      <c r="H18" s="61"/>
      <c r="I18" s="13">
        <v>8</v>
      </c>
      <c r="J18" s="103"/>
      <c r="K18" s="103"/>
      <c r="L18" s="103"/>
      <c r="M18" s="11"/>
      <c r="N18" s="61"/>
      <c r="O18" s="61"/>
      <c r="P18" s="61"/>
      <c r="Q18" s="22"/>
      <c r="R18" s="9"/>
      <c r="S18" s="9"/>
      <c r="T18" s="9"/>
    </row>
    <row r="19" spans="1:20" x14ac:dyDescent="0.3">
      <c r="A19" s="65" t="s">
        <v>57</v>
      </c>
      <c r="B19" s="60"/>
      <c r="C19" s="61"/>
      <c r="D19" s="61"/>
      <c r="E19" s="61"/>
      <c r="F19" s="61"/>
      <c r="G19" s="61"/>
      <c r="H19" s="61"/>
      <c r="I19" s="13">
        <v>9</v>
      </c>
      <c r="J19" s="103"/>
      <c r="K19" s="103"/>
      <c r="L19" s="103"/>
      <c r="M19" s="11"/>
      <c r="N19" s="61"/>
      <c r="O19" s="61"/>
      <c r="P19" s="61"/>
      <c r="Q19" s="22"/>
      <c r="R19" s="9"/>
      <c r="S19" s="9"/>
      <c r="T19" s="9"/>
    </row>
    <row r="20" spans="1:20" x14ac:dyDescent="0.3">
      <c r="A20" s="65" t="s">
        <v>55</v>
      </c>
      <c r="B20" s="60"/>
      <c r="C20" s="61"/>
      <c r="D20" s="61"/>
      <c r="E20" s="61"/>
      <c r="F20" s="61"/>
      <c r="G20" s="61"/>
      <c r="H20" s="61"/>
      <c r="I20" s="13">
        <v>10</v>
      </c>
      <c r="J20" s="103"/>
      <c r="K20" s="103"/>
      <c r="L20" s="103"/>
      <c r="M20" s="11"/>
      <c r="N20" s="61"/>
      <c r="O20" s="61"/>
      <c r="P20" s="61"/>
      <c r="Q20" s="22"/>
      <c r="R20" s="9"/>
      <c r="S20" s="9"/>
      <c r="T20" s="9"/>
    </row>
    <row r="21" spans="1:20" x14ac:dyDescent="0.3">
      <c r="A21" s="65" t="s">
        <v>51</v>
      </c>
      <c r="B21" s="60"/>
      <c r="C21" s="61"/>
      <c r="D21" s="61"/>
      <c r="E21" s="61"/>
      <c r="F21" s="61"/>
      <c r="G21" s="61"/>
      <c r="H21" s="61"/>
      <c r="I21" s="13">
        <v>11</v>
      </c>
      <c r="J21" s="103"/>
      <c r="K21" s="103"/>
      <c r="L21" s="103"/>
      <c r="M21" s="11"/>
      <c r="N21" s="61"/>
      <c r="O21" s="61"/>
      <c r="P21" s="61"/>
      <c r="Q21" s="22"/>
      <c r="R21" s="9"/>
      <c r="S21" s="9"/>
      <c r="T21" s="9"/>
    </row>
    <row r="22" spans="1:20" x14ac:dyDescent="0.3">
      <c r="A22" s="65" t="s">
        <v>37</v>
      </c>
      <c r="B22" s="60"/>
      <c r="C22" s="61"/>
      <c r="D22" s="61"/>
      <c r="E22" s="61"/>
      <c r="F22" s="61"/>
      <c r="G22" s="61"/>
      <c r="H22" s="61"/>
      <c r="I22" s="13">
        <v>12</v>
      </c>
      <c r="J22" s="103"/>
      <c r="K22" s="103"/>
      <c r="L22" s="103"/>
      <c r="M22" s="11"/>
      <c r="N22" s="61"/>
      <c r="O22" s="61"/>
      <c r="P22" s="61"/>
      <c r="Q22" s="22"/>
      <c r="R22" s="9"/>
      <c r="S22" s="9"/>
      <c r="T22" s="9"/>
    </row>
    <row r="23" spans="1:20" x14ac:dyDescent="0.3">
      <c r="A23" s="65" t="s">
        <v>35</v>
      </c>
      <c r="B23" s="60"/>
      <c r="C23" s="61"/>
      <c r="D23" s="61"/>
      <c r="E23" s="61"/>
      <c r="F23" s="61"/>
      <c r="G23" s="61"/>
      <c r="H23" s="61"/>
      <c r="I23" s="13">
        <v>13</v>
      </c>
      <c r="J23" s="103"/>
      <c r="K23" s="103"/>
      <c r="L23" s="103"/>
      <c r="M23" s="11"/>
      <c r="N23" s="61"/>
      <c r="O23" s="61"/>
      <c r="P23" s="61"/>
      <c r="Q23" s="22"/>
      <c r="R23" s="9"/>
      <c r="S23" s="9"/>
      <c r="T23" s="9"/>
    </row>
    <row r="24" spans="1:20" x14ac:dyDescent="0.3">
      <c r="A24" s="65" t="s">
        <v>32</v>
      </c>
      <c r="B24" s="60"/>
      <c r="C24" s="61"/>
      <c r="D24" s="61"/>
      <c r="E24" s="61"/>
      <c r="F24" s="61"/>
      <c r="G24" s="61"/>
      <c r="H24" s="61"/>
      <c r="I24" s="13">
        <v>14</v>
      </c>
      <c r="J24" s="103"/>
      <c r="K24" s="103"/>
      <c r="L24" s="103"/>
      <c r="M24" s="11"/>
      <c r="N24" s="61"/>
      <c r="O24" s="61"/>
      <c r="P24" s="61"/>
      <c r="Q24" s="22"/>
      <c r="R24" s="9"/>
      <c r="S24" s="9"/>
      <c r="T24" s="9"/>
    </row>
    <row r="25" spans="1:20" x14ac:dyDescent="0.3">
      <c r="A25" s="65" t="s">
        <v>28</v>
      </c>
      <c r="B25" s="60"/>
      <c r="C25" s="61"/>
      <c r="D25" s="61"/>
      <c r="E25" s="61"/>
      <c r="F25" s="61"/>
      <c r="G25" s="61"/>
      <c r="H25" s="61"/>
      <c r="I25" s="13">
        <v>15</v>
      </c>
      <c r="J25" s="103"/>
      <c r="K25" s="103"/>
      <c r="L25" s="103"/>
      <c r="M25" s="11"/>
      <c r="N25" s="61"/>
      <c r="O25" s="61"/>
      <c r="P25" s="61"/>
      <c r="Q25" s="22"/>
      <c r="R25" s="9"/>
      <c r="S25" s="9"/>
      <c r="T25" s="9"/>
    </row>
    <row r="26" spans="1:20" x14ac:dyDescent="0.3">
      <c r="A26" s="65" t="s">
        <v>43</v>
      </c>
      <c r="B26" s="60"/>
      <c r="C26" s="61"/>
      <c r="D26" s="61"/>
      <c r="E26" s="61"/>
      <c r="F26" s="61"/>
      <c r="G26" s="61"/>
      <c r="H26" s="61"/>
      <c r="I26" s="13">
        <v>16</v>
      </c>
      <c r="J26" s="103"/>
      <c r="K26" s="103"/>
      <c r="L26" s="103"/>
      <c r="M26" s="11"/>
      <c r="N26" s="61"/>
      <c r="O26" s="61"/>
      <c r="P26" s="61"/>
      <c r="Q26" s="22"/>
      <c r="R26" s="9"/>
      <c r="S26" s="9"/>
      <c r="T26" s="9"/>
    </row>
    <row r="27" spans="1:20" x14ac:dyDescent="0.3">
      <c r="A27" s="65" t="s">
        <v>31</v>
      </c>
      <c r="B27" s="60"/>
      <c r="C27" s="61"/>
      <c r="D27" s="61"/>
      <c r="E27" s="61"/>
      <c r="F27" s="61"/>
      <c r="G27" s="61"/>
      <c r="H27" s="61"/>
      <c r="I27" s="13">
        <v>17</v>
      </c>
      <c r="J27" s="103"/>
      <c r="K27" s="103"/>
      <c r="L27" s="103"/>
      <c r="M27" s="11"/>
      <c r="N27" s="61"/>
      <c r="O27" s="61"/>
      <c r="P27" s="61"/>
      <c r="Q27" s="22"/>
      <c r="R27" s="9"/>
      <c r="S27" s="9"/>
      <c r="T27" s="9"/>
    </row>
    <row r="28" spans="1:20" x14ac:dyDescent="0.3">
      <c r="A28" s="65" t="s">
        <v>61</v>
      </c>
      <c r="B28" s="60"/>
      <c r="C28" s="61"/>
      <c r="D28" s="61"/>
      <c r="E28" s="61"/>
      <c r="F28" s="61"/>
      <c r="G28" s="61"/>
      <c r="H28" s="61"/>
      <c r="I28" s="13">
        <v>18</v>
      </c>
      <c r="J28" s="103"/>
      <c r="K28" s="103"/>
      <c r="L28" s="103"/>
      <c r="M28" s="11"/>
      <c r="N28" s="61"/>
      <c r="O28" s="61"/>
      <c r="P28" s="61"/>
      <c r="Q28" s="22"/>
      <c r="R28" s="9"/>
      <c r="S28" s="9"/>
      <c r="T28" s="9"/>
    </row>
    <row r="29" spans="1:20" x14ac:dyDescent="0.3">
      <c r="A29" s="65" t="s">
        <v>22</v>
      </c>
      <c r="B29" s="60"/>
      <c r="C29" s="61"/>
      <c r="D29" s="61"/>
      <c r="E29" s="61"/>
      <c r="F29" s="61"/>
      <c r="G29" s="61"/>
      <c r="H29" s="61"/>
      <c r="I29" s="13">
        <v>19</v>
      </c>
      <c r="J29" s="103"/>
      <c r="K29" s="103"/>
      <c r="L29" s="103"/>
      <c r="M29" s="11"/>
      <c r="N29" s="61"/>
      <c r="O29" s="61"/>
      <c r="P29" s="61"/>
      <c r="Q29" s="22"/>
      <c r="R29" s="9"/>
      <c r="S29" s="9"/>
      <c r="T29" s="9"/>
    </row>
    <row r="30" spans="1:20" x14ac:dyDescent="0.3">
      <c r="A30" s="65" t="s">
        <v>33</v>
      </c>
      <c r="B30" s="60"/>
      <c r="C30" s="61"/>
      <c r="D30" s="61"/>
      <c r="E30" s="61"/>
      <c r="F30" s="61"/>
      <c r="G30" s="61"/>
      <c r="H30" s="61"/>
      <c r="I30" s="13">
        <v>20</v>
      </c>
      <c r="J30" s="103"/>
      <c r="K30" s="103"/>
      <c r="L30" s="103"/>
      <c r="M30" s="11"/>
      <c r="N30" s="61"/>
      <c r="O30" s="61"/>
      <c r="P30" s="61"/>
      <c r="Q30" s="22"/>
      <c r="R30" s="9"/>
      <c r="S30" s="9"/>
      <c r="T30" s="9"/>
    </row>
    <row r="31" spans="1:20" x14ac:dyDescent="0.3">
      <c r="A31" s="65" t="s">
        <v>67</v>
      </c>
      <c r="B31" s="60"/>
      <c r="C31" s="61"/>
      <c r="D31" s="61"/>
      <c r="E31" s="61"/>
      <c r="F31" s="61"/>
      <c r="G31" s="61"/>
      <c r="H31" s="61"/>
      <c r="I31" s="13">
        <v>21</v>
      </c>
      <c r="J31" s="103"/>
      <c r="K31" s="103"/>
      <c r="L31" s="103"/>
      <c r="M31" s="11"/>
      <c r="N31" s="61"/>
      <c r="O31" s="61"/>
      <c r="P31" s="61"/>
      <c r="Q31" s="22"/>
      <c r="R31" s="9"/>
      <c r="S31" s="9"/>
      <c r="T31" s="9"/>
    </row>
    <row r="32" spans="1:20" x14ac:dyDescent="0.3">
      <c r="A32" s="65" t="s">
        <v>59</v>
      </c>
      <c r="B32" s="60"/>
      <c r="C32" s="61"/>
      <c r="D32" s="61"/>
      <c r="E32" s="61"/>
      <c r="F32" s="61"/>
      <c r="G32" s="61"/>
      <c r="H32" s="61"/>
      <c r="I32" s="13">
        <v>22</v>
      </c>
      <c r="J32" s="103"/>
      <c r="K32" s="103"/>
      <c r="L32" s="103"/>
      <c r="M32" s="11"/>
      <c r="N32" s="61"/>
      <c r="O32" s="61"/>
      <c r="P32" s="61"/>
      <c r="Q32" s="22"/>
      <c r="R32" s="9"/>
      <c r="S32" s="9"/>
      <c r="T32" s="9"/>
    </row>
    <row r="33" spans="1:20" x14ac:dyDescent="0.3">
      <c r="A33" s="65" t="s">
        <v>45</v>
      </c>
      <c r="B33" s="60"/>
      <c r="C33" s="61"/>
      <c r="D33" s="61"/>
      <c r="E33" s="61"/>
      <c r="F33" s="61"/>
      <c r="G33" s="61"/>
      <c r="H33" s="61"/>
      <c r="I33" s="13">
        <v>23</v>
      </c>
      <c r="J33" s="106"/>
      <c r="K33" s="106"/>
      <c r="L33" s="106"/>
      <c r="M33" s="11"/>
      <c r="N33" s="61"/>
      <c r="O33" s="61"/>
      <c r="P33" s="61"/>
      <c r="Q33" s="22"/>
      <c r="R33" s="9"/>
      <c r="S33" s="9"/>
      <c r="T33" s="9"/>
    </row>
    <row r="34" spans="1:20" x14ac:dyDescent="0.3">
      <c r="A34" s="65" t="s">
        <v>40</v>
      </c>
      <c r="B34" s="60"/>
      <c r="C34" s="61"/>
      <c r="D34" s="61"/>
      <c r="E34" s="61"/>
      <c r="F34" s="61"/>
      <c r="G34" s="61"/>
      <c r="H34" s="61"/>
      <c r="I34" s="13">
        <v>24</v>
      </c>
      <c r="J34" s="106"/>
      <c r="K34" s="106"/>
      <c r="L34" s="106"/>
      <c r="M34" s="11"/>
      <c r="N34" s="61"/>
      <c r="O34" s="61"/>
      <c r="P34" s="61"/>
      <c r="Q34" s="22"/>
      <c r="R34" s="9"/>
      <c r="S34" s="9"/>
      <c r="T34" s="9"/>
    </row>
    <row r="35" spans="1:20" x14ac:dyDescent="0.3">
      <c r="A35" s="65" t="s">
        <v>29</v>
      </c>
      <c r="B35" s="60"/>
      <c r="C35" s="61"/>
      <c r="D35" s="61"/>
      <c r="E35" s="61"/>
      <c r="F35" s="61"/>
      <c r="G35" s="61"/>
      <c r="H35" s="61"/>
      <c r="I35" s="13">
        <v>25</v>
      </c>
      <c r="J35" s="106"/>
      <c r="K35" s="106"/>
      <c r="L35" s="106"/>
      <c r="M35" s="11"/>
      <c r="N35" s="61"/>
      <c r="O35" s="61"/>
      <c r="P35" s="61"/>
      <c r="Q35" s="22"/>
      <c r="R35" s="9"/>
      <c r="S35" s="9"/>
      <c r="T35" s="9"/>
    </row>
    <row r="36" spans="1:20" x14ac:dyDescent="0.3">
      <c r="A36" s="65" t="s">
        <v>26</v>
      </c>
      <c r="B36" s="60"/>
      <c r="C36" s="61"/>
      <c r="D36" s="61"/>
      <c r="E36" s="61"/>
      <c r="F36" s="61"/>
      <c r="G36" s="61"/>
      <c r="H36" s="61"/>
      <c r="I36" s="13">
        <v>26</v>
      </c>
      <c r="J36" s="106"/>
      <c r="K36" s="106"/>
      <c r="L36" s="106"/>
      <c r="M36" s="11"/>
      <c r="N36" s="61"/>
      <c r="O36" s="61"/>
      <c r="P36" s="61"/>
      <c r="Q36" s="22"/>
      <c r="R36" s="9"/>
      <c r="S36" s="9"/>
      <c r="T36" s="9"/>
    </row>
    <row r="37" spans="1:20" x14ac:dyDescent="0.3">
      <c r="A37" s="65" t="s">
        <v>49</v>
      </c>
      <c r="B37" s="60"/>
      <c r="C37" s="61"/>
      <c r="D37" s="61"/>
      <c r="E37" s="61"/>
      <c r="F37" s="61"/>
      <c r="G37" s="61"/>
      <c r="H37" s="61"/>
      <c r="I37" s="13">
        <v>27</v>
      </c>
      <c r="J37" s="106"/>
      <c r="K37" s="106"/>
      <c r="L37" s="106"/>
      <c r="M37" s="11"/>
      <c r="N37" s="61"/>
      <c r="O37" s="61"/>
      <c r="P37" s="61"/>
      <c r="Q37" s="22"/>
      <c r="R37" s="9"/>
      <c r="S37" s="9"/>
      <c r="T37" s="9"/>
    </row>
    <row r="38" spans="1:20" x14ac:dyDescent="0.3">
      <c r="A38" s="65" t="s">
        <v>47</v>
      </c>
      <c r="B38" s="60"/>
      <c r="C38" s="61"/>
      <c r="D38" s="61"/>
      <c r="E38" s="61"/>
      <c r="F38" s="61"/>
      <c r="G38" s="61"/>
      <c r="H38" s="61"/>
      <c r="I38" s="13">
        <v>28</v>
      </c>
      <c r="J38" s="106"/>
      <c r="K38" s="106"/>
      <c r="L38" s="106"/>
      <c r="M38" s="11"/>
      <c r="N38" s="61"/>
      <c r="O38" s="61"/>
      <c r="P38" s="61"/>
      <c r="Q38" s="22"/>
      <c r="R38" s="9"/>
      <c r="S38" s="9"/>
      <c r="T38" s="9"/>
    </row>
    <row r="39" spans="1:20" x14ac:dyDescent="0.3">
      <c r="A39" s="65" t="s">
        <v>36</v>
      </c>
      <c r="B39" s="60"/>
      <c r="C39" s="61"/>
      <c r="D39" s="61"/>
      <c r="E39" s="61"/>
      <c r="F39" s="61"/>
      <c r="G39" s="61"/>
      <c r="H39" s="61"/>
      <c r="I39" s="13">
        <v>29</v>
      </c>
      <c r="J39" s="106"/>
      <c r="K39" s="106"/>
      <c r="L39" s="106"/>
      <c r="M39" s="11"/>
      <c r="N39" s="61"/>
      <c r="O39" s="61"/>
      <c r="P39" s="61"/>
      <c r="Q39" s="22"/>
      <c r="R39" s="9"/>
      <c r="S39" s="9"/>
      <c r="T39" s="9"/>
    </row>
    <row r="40" spans="1:20" x14ac:dyDescent="0.3">
      <c r="A40" s="65" t="s">
        <v>27</v>
      </c>
      <c r="B40" s="60"/>
      <c r="C40" s="61"/>
      <c r="D40" s="61"/>
      <c r="E40" s="61"/>
      <c r="F40" s="61"/>
      <c r="G40" s="61"/>
      <c r="H40" s="61"/>
      <c r="I40" s="13">
        <v>30</v>
      </c>
      <c r="J40" s="106"/>
      <c r="K40" s="106"/>
      <c r="L40" s="106"/>
      <c r="M40" s="11"/>
      <c r="N40" s="61"/>
      <c r="O40" s="61"/>
      <c r="P40" s="61"/>
      <c r="Q40" s="22"/>
      <c r="R40" s="9"/>
      <c r="S40" s="9"/>
      <c r="T40" s="9"/>
    </row>
    <row r="41" spans="1:20" x14ac:dyDescent="0.3">
      <c r="A41" s="65" t="s">
        <v>38</v>
      </c>
      <c r="B41" s="60"/>
      <c r="C41" s="61"/>
      <c r="D41" s="61"/>
      <c r="E41" s="61"/>
      <c r="F41" s="61"/>
      <c r="G41" s="61"/>
      <c r="H41" s="61"/>
      <c r="I41" s="13">
        <v>31</v>
      </c>
      <c r="J41" s="106"/>
      <c r="K41" s="106"/>
      <c r="L41" s="106"/>
      <c r="M41" s="11"/>
      <c r="N41" s="61"/>
      <c r="O41" s="61"/>
      <c r="P41" s="61"/>
      <c r="Q41" s="22"/>
      <c r="R41" s="9"/>
      <c r="S41" s="9"/>
      <c r="T41" s="9"/>
    </row>
    <row r="42" spans="1:20" x14ac:dyDescent="0.3">
      <c r="A42" s="65" t="s">
        <v>24</v>
      </c>
      <c r="B42" s="60"/>
      <c r="C42" s="61"/>
      <c r="D42" s="61"/>
      <c r="E42" s="61"/>
      <c r="F42" s="61"/>
      <c r="G42" s="61"/>
      <c r="H42" s="61"/>
      <c r="I42" s="13">
        <v>32</v>
      </c>
      <c r="J42" s="106"/>
      <c r="K42" s="106"/>
      <c r="L42" s="106"/>
      <c r="M42" s="11"/>
      <c r="N42" s="61"/>
      <c r="O42" s="61"/>
      <c r="P42" s="61"/>
      <c r="Q42" s="22"/>
      <c r="R42" s="9"/>
      <c r="S42" s="9"/>
      <c r="T42" s="9"/>
    </row>
    <row r="43" spans="1:20" x14ac:dyDescent="0.3">
      <c r="A43" s="65" t="s">
        <v>63</v>
      </c>
      <c r="B43" s="60"/>
      <c r="C43" s="61"/>
      <c r="D43" s="61"/>
      <c r="E43" s="61"/>
      <c r="F43" s="61"/>
      <c r="G43" s="61"/>
      <c r="H43" s="61"/>
      <c r="I43" s="13">
        <v>33</v>
      </c>
      <c r="J43" s="106"/>
      <c r="K43" s="106"/>
      <c r="L43" s="106"/>
      <c r="M43" s="11"/>
      <c r="N43" s="61"/>
      <c r="O43" s="61"/>
      <c r="P43" s="61"/>
      <c r="Q43" s="22"/>
      <c r="R43" s="9"/>
      <c r="S43" s="9"/>
      <c r="T43" s="9"/>
    </row>
    <row r="44" spans="1:20" x14ac:dyDescent="0.3">
      <c r="A44" s="65" t="s">
        <v>85</v>
      </c>
      <c r="B44" s="60"/>
      <c r="C44" s="61"/>
      <c r="D44" s="61"/>
      <c r="E44" s="61"/>
      <c r="F44" s="61"/>
      <c r="G44" s="61"/>
      <c r="H44" s="61"/>
      <c r="I44" s="13">
        <v>34</v>
      </c>
      <c r="J44" s="106"/>
      <c r="K44" s="106"/>
      <c r="L44" s="106"/>
      <c r="M44" s="11"/>
      <c r="N44" s="61"/>
      <c r="O44" s="61"/>
      <c r="P44" s="61"/>
      <c r="Q44" s="22"/>
      <c r="R44" s="9"/>
      <c r="S44" s="9"/>
      <c r="T44" s="9"/>
    </row>
    <row r="45" spans="1:20" x14ac:dyDescent="0.3">
      <c r="A45" s="65" t="s">
        <v>97</v>
      </c>
      <c r="B45" s="60"/>
      <c r="C45" s="61"/>
      <c r="D45" s="61"/>
      <c r="E45" s="61"/>
      <c r="F45" s="61"/>
      <c r="G45" s="61"/>
      <c r="H45" s="61"/>
      <c r="I45" s="13">
        <v>35</v>
      </c>
      <c r="J45" s="106"/>
      <c r="K45" s="106"/>
      <c r="L45" s="106"/>
      <c r="M45" s="11"/>
      <c r="N45" s="61"/>
      <c r="O45" s="61"/>
      <c r="P45" s="61"/>
      <c r="Q45" s="22"/>
      <c r="R45" s="9"/>
      <c r="S45" s="9"/>
      <c r="T45" s="9"/>
    </row>
    <row r="46" spans="1:20" x14ac:dyDescent="0.3">
      <c r="A46" s="65" t="s">
        <v>144</v>
      </c>
      <c r="B46" s="60"/>
      <c r="C46" s="61"/>
      <c r="D46" s="61"/>
      <c r="E46" s="61"/>
      <c r="F46" s="61"/>
      <c r="G46" s="61"/>
      <c r="H46" s="61"/>
      <c r="I46" s="13">
        <v>36</v>
      </c>
      <c r="J46" s="106"/>
      <c r="K46" s="106"/>
      <c r="L46" s="106"/>
      <c r="M46" s="11"/>
      <c r="N46" s="61"/>
      <c r="O46" s="61"/>
      <c r="P46" s="61"/>
      <c r="Q46" s="22"/>
      <c r="R46" s="9"/>
      <c r="S46" s="9"/>
      <c r="T46" s="9"/>
    </row>
    <row r="47" spans="1:20" x14ac:dyDescent="0.3">
      <c r="A47" s="65" t="s">
        <v>143</v>
      </c>
      <c r="B47" s="60"/>
      <c r="C47" s="61"/>
      <c r="D47" s="61"/>
      <c r="E47" s="61"/>
      <c r="F47" s="61"/>
      <c r="G47" s="61"/>
      <c r="H47" s="61"/>
      <c r="I47" s="13">
        <v>37</v>
      </c>
      <c r="J47" s="106"/>
      <c r="K47" s="106"/>
      <c r="L47" s="106"/>
      <c r="M47" s="11"/>
      <c r="N47" s="61"/>
      <c r="O47" s="61"/>
      <c r="P47" s="61"/>
      <c r="Q47" s="22"/>
      <c r="R47" s="9"/>
      <c r="S47" s="9"/>
      <c r="T47" s="9"/>
    </row>
    <row r="48" spans="1:20" x14ac:dyDescent="0.3">
      <c r="A48" s="65" t="s">
        <v>145</v>
      </c>
      <c r="B48" s="60"/>
      <c r="C48" s="61"/>
      <c r="D48" s="61"/>
      <c r="E48" s="61"/>
      <c r="F48" s="61"/>
      <c r="G48" s="61"/>
      <c r="H48" s="61"/>
      <c r="I48" s="13">
        <v>38</v>
      </c>
      <c r="J48" s="106"/>
      <c r="K48" s="106"/>
      <c r="L48" s="106"/>
      <c r="M48" s="11"/>
      <c r="N48" s="61"/>
      <c r="O48" s="61"/>
      <c r="P48" s="61"/>
      <c r="Q48" s="22"/>
      <c r="R48" s="9"/>
      <c r="S48" s="9"/>
      <c r="T48" s="9"/>
    </row>
    <row r="49" spans="1:20" x14ac:dyDescent="0.3">
      <c r="A49" s="65" t="s">
        <v>136</v>
      </c>
      <c r="B49" s="60"/>
      <c r="C49" s="61"/>
      <c r="D49" s="61"/>
      <c r="E49" s="61"/>
      <c r="F49" s="61"/>
      <c r="G49" s="61"/>
      <c r="H49" s="61"/>
      <c r="I49" s="13">
        <v>39</v>
      </c>
      <c r="J49" s="106"/>
      <c r="K49" s="106"/>
      <c r="L49" s="106"/>
      <c r="M49" s="11"/>
      <c r="N49" s="61"/>
      <c r="O49" s="61"/>
      <c r="P49" s="61"/>
      <c r="Q49" s="22"/>
      <c r="R49" s="9"/>
      <c r="S49" s="9"/>
      <c r="T49" s="9"/>
    </row>
    <row r="50" spans="1:20" x14ac:dyDescent="0.3">
      <c r="A50" s="65" t="s">
        <v>137</v>
      </c>
      <c r="B50" s="60"/>
      <c r="C50" s="61"/>
      <c r="D50" s="61"/>
      <c r="E50" s="61"/>
      <c r="F50" s="61"/>
      <c r="G50" s="61"/>
      <c r="H50" s="61"/>
      <c r="I50" s="13">
        <v>40</v>
      </c>
      <c r="J50" s="107"/>
      <c r="K50" s="106"/>
      <c r="L50" s="106"/>
      <c r="M50" s="11"/>
      <c r="N50" s="61"/>
      <c r="O50" s="61"/>
      <c r="P50" s="61"/>
      <c r="Q50" s="22"/>
      <c r="R50" s="9"/>
      <c r="S50" s="9"/>
      <c r="T50" s="9"/>
    </row>
    <row r="51" spans="1:20" x14ac:dyDescent="0.3">
      <c r="A51" s="65" t="s">
        <v>139</v>
      </c>
      <c r="B51" s="60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</row>
    <row r="52" spans="1:20" x14ac:dyDescent="0.3">
      <c r="A52" s="65" t="s">
        <v>141</v>
      </c>
    </row>
    <row r="53" spans="1:20" x14ac:dyDescent="0.3">
      <c r="A53" s="65" t="s">
        <v>153</v>
      </c>
    </row>
    <row r="57" spans="1:20" x14ac:dyDescent="0.3">
      <c r="B57" s="28" t="str">
        <f t="shared" ref="B57:G57" si="0">IF(B5=0," ",B5)</f>
        <v xml:space="preserve"> </v>
      </c>
      <c r="C57" s="28" t="str">
        <f t="shared" si="0"/>
        <v xml:space="preserve"> </v>
      </c>
      <c r="D57" s="28" t="str">
        <f t="shared" si="0"/>
        <v xml:space="preserve"> </v>
      </c>
      <c r="E57" s="28" t="str">
        <f t="shared" si="0"/>
        <v xml:space="preserve"> </v>
      </c>
      <c r="F57" s="28" t="str">
        <f t="shared" si="0"/>
        <v xml:space="preserve"> </v>
      </c>
      <c r="G57" s="28" t="str">
        <f t="shared" si="0"/>
        <v xml:space="preserve"> </v>
      </c>
      <c r="H57" s="28"/>
    </row>
    <row r="58" spans="1:20" x14ac:dyDescent="0.3">
      <c r="B58" s="28" t="str">
        <f>IF(B57=" "," "," ; ")</f>
        <v xml:space="preserve"> </v>
      </c>
      <c r="C58" s="28" t="str">
        <f t="shared" ref="C58:G58" si="1">IF(C57=" "," "," ; ")</f>
        <v xml:space="preserve"> </v>
      </c>
      <c r="D58" s="28" t="str">
        <f t="shared" si="1"/>
        <v xml:space="preserve"> </v>
      </c>
      <c r="E58" s="28" t="str">
        <f t="shared" si="1"/>
        <v xml:space="preserve"> </v>
      </c>
      <c r="F58" s="28" t="str">
        <f t="shared" si="1"/>
        <v xml:space="preserve"> </v>
      </c>
      <c r="G58" s="28" t="str">
        <f t="shared" si="1"/>
        <v xml:space="preserve"> </v>
      </c>
      <c r="H58" s="28"/>
    </row>
    <row r="59" spans="1:20" ht="27.75" customHeight="1" x14ac:dyDescent="0.35">
      <c r="I59" s="43" t="str">
        <f>A1</f>
        <v>PSM &amp; BIO</v>
      </c>
      <c r="J59" s="32"/>
      <c r="K59" s="32"/>
      <c r="L59" s="32"/>
    </row>
    <row r="60" spans="1:20" ht="24" customHeight="1" x14ac:dyDescent="0.3">
      <c r="I60" s="42" t="str">
        <f>J1</f>
        <v>LISTADO DE PERSONAL PARA TRANSFERENCIA</v>
      </c>
      <c r="K60" s="33"/>
      <c r="L60" s="34" t="str">
        <f>CONCATENATE(J2," ",K2)</f>
        <v xml:space="preserve">NOCHE # </v>
      </c>
    </row>
    <row r="61" spans="1:20" ht="6.75" customHeight="1" x14ac:dyDescent="0.35">
      <c r="I61" s="32"/>
      <c r="J61" s="32"/>
      <c r="K61" s="32"/>
      <c r="L61" s="32"/>
    </row>
    <row r="62" spans="1:20" ht="19.8" x14ac:dyDescent="0.45">
      <c r="I62" s="35" t="s">
        <v>84</v>
      </c>
      <c r="J62" s="92">
        <f ca="1">B2</f>
        <v>43136</v>
      </c>
      <c r="K62" s="35"/>
      <c r="L62" s="32"/>
    </row>
    <row r="63" spans="1:20" ht="10.199999999999999" customHeight="1" thickBot="1" x14ac:dyDescent="0.4">
      <c r="I63" s="32"/>
      <c r="J63" s="32"/>
      <c r="K63" s="32"/>
      <c r="L63" s="32"/>
      <c r="P63" s="68"/>
      <c r="S63" s="68"/>
    </row>
    <row r="64" spans="1:20" ht="20.399999999999999" thickBot="1" x14ac:dyDescent="0.5">
      <c r="F64" s="97" t="s">
        <v>41</v>
      </c>
      <c r="G64" s="30" t="s">
        <v>83</v>
      </c>
      <c r="H64" s="30" t="s">
        <v>80</v>
      </c>
      <c r="I64" s="36" t="s">
        <v>75</v>
      </c>
      <c r="J64" s="37" t="s">
        <v>76</v>
      </c>
      <c r="K64" s="37" t="s">
        <v>77</v>
      </c>
      <c r="L64" s="38" t="s">
        <v>95</v>
      </c>
      <c r="M64" s="30" t="s">
        <v>41</v>
      </c>
      <c r="N64" s="26" t="s">
        <v>103</v>
      </c>
      <c r="O64" s="26" t="s">
        <v>104</v>
      </c>
      <c r="P64" s="26" t="s">
        <v>99</v>
      </c>
      <c r="Q64" s="26" t="s">
        <v>105</v>
      </c>
      <c r="R64" s="26" t="s">
        <v>106</v>
      </c>
      <c r="S64" s="26" t="s">
        <v>100</v>
      </c>
    </row>
    <row r="65" spans="6:19" ht="18.600000000000001" x14ac:dyDescent="0.4">
      <c r="F65">
        <f>IF(J65=" ",0,VLOOKUP(J65,'NOMINAS PSM&amp;BIO'!B:D,3,FALSE))</f>
        <v>0</v>
      </c>
      <c r="G65" t="str">
        <f t="shared" ref="G65:G97" si="2">IF(J65=" "," ",$K$2)</f>
        <v xml:space="preserve"> </v>
      </c>
      <c r="H65" s="73" t="str">
        <f t="shared" ref="H65:H97" si="3">IF(J65=" "," ",$B$2)</f>
        <v xml:space="preserve"> </v>
      </c>
      <c r="I65" s="39" t="str">
        <f>IF(J11=0," ",I11)</f>
        <v xml:space="preserve"> </v>
      </c>
      <c r="J65" s="93" t="str">
        <f>IF(J11=0," ",J11)</f>
        <v xml:space="preserve"> </v>
      </c>
      <c r="K65" s="88" t="str">
        <f>IF(K11=0," ",K11)</f>
        <v xml:space="preserve"> </v>
      </c>
      <c r="L65" s="89" t="str">
        <f>IF(L11=0," ",L11)</f>
        <v xml:space="preserve"> </v>
      </c>
      <c r="M65" s="27">
        <f>M11</f>
        <v>0</v>
      </c>
      <c r="N65" s="67" t="str">
        <f>IF(J65=" "," ",$B$3)</f>
        <v xml:space="preserve"> </v>
      </c>
      <c r="O65" s="67" t="str">
        <f>IF(J65=" "," ",$E$3)</f>
        <v xml:space="preserve"> </v>
      </c>
      <c r="P65" s="72">
        <f>IF(O65=" ",0,IF(N65=" ",0,(O65-N65)*24))</f>
        <v>0</v>
      </c>
      <c r="Q65" s="67" t="str">
        <f>IF(J65=" "," ",$B$4)</f>
        <v xml:space="preserve"> </v>
      </c>
      <c r="R65" s="67" t="str">
        <f>IF(J65=" "," ",$E$4)</f>
        <v xml:space="preserve"> </v>
      </c>
      <c r="S65" s="72">
        <f>IF(R65=" ",0,IF(Q65=" ",0,(R65-Q65)*24))</f>
        <v>0</v>
      </c>
    </row>
    <row r="66" spans="6:19" ht="18.600000000000001" x14ac:dyDescent="0.4">
      <c r="F66">
        <f>IF(J66=" ",0,VLOOKUP(J66,'NOMINAS PSM&amp;BIO'!B:D,3,FALSE))</f>
        <v>0</v>
      </c>
      <c r="G66" t="str">
        <f t="shared" si="2"/>
        <v xml:space="preserve"> </v>
      </c>
      <c r="H66" s="73" t="str">
        <f t="shared" si="3"/>
        <v xml:space="preserve"> </v>
      </c>
      <c r="I66" s="40" t="str">
        <f>IF(J12=0," ",I12)</f>
        <v xml:space="preserve"> </v>
      </c>
      <c r="J66" s="94" t="str">
        <f t="shared" ref="J66:L68" si="4">IF(J12=0," ",J12)</f>
        <v xml:space="preserve"> </v>
      </c>
      <c r="K66" s="90" t="str">
        <f t="shared" si="4"/>
        <v xml:space="preserve"> </v>
      </c>
      <c r="L66" s="91" t="str">
        <f t="shared" si="4"/>
        <v xml:space="preserve"> </v>
      </c>
      <c r="M66" s="27">
        <f t="shared" ref="M66:M97" si="5">M12</f>
        <v>0</v>
      </c>
      <c r="N66" s="67" t="str">
        <f t="shared" ref="N66:N68" si="6">IF(J66=" "," ",$B$3)</f>
        <v xml:space="preserve"> </v>
      </c>
      <c r="O66" s="67" t="str">
        <f t="shared" ref="O66:O68" si="7">IF(J66=" "," ",$E$3)</f>
        <v xml:space="preserve"> </v>
      </c>
      <c r="P66" s="72">
        <f>IF(O66=" ",0,IF(N66=" ",0,(O66-N66)*24))</f>
        <v>0</v>
      </c>
      <c r="Q66" s="67" t="str">
        <f t="shared" ref="Q66:Q68" si="8">IF(J66=" "," ",$B$4)</f>
        <v xml:space="preserve"> </v>
      </c>
      <c r="R66" s="67" t="str">
        <f t="shared" ref="R66:R68" si="9">IF(J66=" "," ",$E$4)</f>
        <v xml:space="preserve"> </v>
      </c>
      <c r="S66" s="72">
        <f>IF(R66=" ",0,IF(Q66=" ",0,(R66-Q66)*24))</f>
        <v>0</v>
      </c>
    </row>
    <row r="67" spans="6:19" ht="18.600000000000001" x14ac:dyDescent="0.4">
      <c r="F67">
        <f>IF(J67=" ",0,VLOOKUP(J67,'NOMINAS PSM&amp;BIO'!B:D,3,FALSE))</f>
        <v>0</v>
      </c>
      <c r="G67" t="str">
        <f t="shared" si="2"/>
        <v xml:space="preserve"> </v>
      </c>
      <c r="H67" s="73" t="str">
        <f t="shared" si="3"/>
        <v xml:space="preserve"> </v>
      </c>
      <c r="I67" s="40" t="str">
        <f t="shared" ref="I67:I97" si="10">IF(J13=0," ",I13)</f>
        <v xml:space="preserve"> </v>
      </c>
      <c r="J67" s="94" t="str">
        <f t="shared" si="4"/>
        <v xml:space="preserve"> </v>
      </c>
      <c r="K67" s="90" t="str">
        <f t="shared" si="4"/>
        <v xml:space="preserve"> </v>
      </c>
      <c r="L67" s="91" t="str">
        <f t="shared" si="4"/>
        <v xml:space="preserve"> </v>
      </c>
      <c r="M67" s="27">
        <f t="shared" si="5"/>
        <v>0</v>
      </c>
      <c r="N67" s="67" t="str">
        <f t="shared" si="6"/>
        <v xml:space="preserve"> </v>
      </c>
      <c r="O67" s="67" t="str">
        <f t="shared" si="7"/>
        <v xml:space="preserve"> </v>
      </c>
      <c r="P67" s="72">
        <f t="shared" ref="P67:P97" si="11">IF(O67=" ",0,IF(N67=" ",0,(O67-N67)*24))</f>
        <v>0</v>
      </c>
      <c r="Q67" s="67" t="str">
        <f t="shared" si="8"/>
        <v xml:space="preserve"> </v>
      </c>
      <c r="R67" s="67" t="str">
        <f t="shared" si="9"/>
        <v xml:space="preserve"> </v>
      </c>
      <c r="S67" s="72">
        <f t="shared" ref="S67:S97" si="12">IF(R67=" ",0,IF(Q67=" ",0,(R67-Q67)*24))</f>
        <v>0</v>
      </c>
    </row>
    <row r="68" spans="6:19" ht="18.600000000000001" x14ac:dyDescent="0.4">
      <c r="F68">
        <f>IF(J68=" ",0,VLOOKUP(J68,'NOMINAS PSM&amp;BIO'!B:D,3,FALSE))</f>
        <v>0</v>
      </c>
      <c r="G68" t="str">
        <f t="shared" si="2"/>
        <v xml:space="preserve"> </v>
      </c>
      <c r="H68" s="73" t="str">
        <f t="shared" si="3"/>
        <v xml:space="preserve"> </v>
      </c>
      <c r="I68" s="40" t="str">
        <f t="shared" si="10"/>
        <v xml:space="preserve"> </v>
      </c>
      <c r="J68" s="94" t="str">
        <f t="shared" si="4"/>
        <v xml:space="preserve"> </v>
      </c>
      <c r="K68" s="90" t="str">
        <f t="shared" si="4"/>
        <v xml:space="preserve"> </v>
      </c>
      <c r="L68" s="91" t="str">
        <f t="shared" si="4"/>
        <v xml:space="preserve"> </v>
      </c>
      <c r="M68" s="27">
        <f t="shared" si="5"/>
        <v>0</v>
      </c>
      <c r="N68" s="67" t="str">
        <f t="shared" si="6"/>
        <v xml:space="preserve"> </v>
      </c>
      <c r="O68" s="67" t="str">
        <f t="shared" si="7"/>
        <v xml:space="preserve"> </v>
      </c>
      <c r="P68" s="72">
        <f t="shared" si="11"/>
        <v>0</v>
      </c>
      <c r="Q68" s="67" t="str">
        <f t="shared" si="8"/>
        <v xml:space="preserve"> </v>
      </c>
      <c r="R68" s="67" t="str">
        <f t="shared" si="9"/>
        <v xml:space="preserve"> </v>
      </c>
      <c r="S68" s="72">
        <f t="shared" si="12"/>
        <v>0</v>
      </c>
    </row>
    <row r="69" spans="6:19" ht="18.600000000000001" x14ac:dyDescent="0.4">
      <c r="F69">
        <f>IF(J69=" ",0,VLOOKUP(J69,'NOMINAS PSM&amp;BIO'!B:D,3,FALSE))</f>
        <v>0</v>
      </c>
      <c r="G69" t="str">
        <f t="shared" si="2"/>
        <v xml:space="preserve"> </v>
      </c>
      <c r="H69" s="73" t="str">
        <f t="shared" si="3"/>
        <v xml:space="preserve"> </v>
      </c>
      <c r="I69" s="40" t="str">
        <f t="shared" si="10"/>
        <v xml:space="preserve"> </v>
      </c>
      <c r="J69" s="94" t="str">
        <f t="shared" ref="J69:L69" si="13">IF(J15=0," ",J15)</f>
        <v xml:space="preserve"> </v>
      </c>
      <c r="K69" s="90" t="str">
        <f t="shared" si="13"/>
        <v xml:space="preserve"> </v>
      </c>
      <c r="L69" s="91" t="str">
        <f t="shared" si="13"/>
        <v xml:space="preserve"> </v>
      </c>
      <c r="M69" s="27">
        <f t="shared" si="5"/>
        <v>0</v>
      </c>
      <c r="N69" s="67" t="str">
        <f t="shared" ref="N69:N97" si="14">IF(J69=" "," ",$B$3)</f>
        <v xml:space="preserve"> </v>
      </c>
      <c r="O69" s="67" t="str">
        <f t="shared" ref="O69:O97" si="15">IF(J69=" "," ",$E$3)</f>
        <v xml:space="preserve"> </v>
      </c>
      <c r="P69" s="72">
        <f t="shared" si="11"/>
        <v>0</v>
      </c>
      <c r="Q69" s="67" t="str">
        <f t="shared" ref="Q69:Q97" si="16">IF(J69=" "," ",$B$4)</f>
        <v xml:space="preserve"> </v>
      </c>
      <c r="R69" s="67" t="str">
        <f t="shared" ref="R69:R97" si="17">IF(J69=" "," ",$E$4)</f>
        <v xml:space="preserve"> </v>
      </c>
      <c r="S69" s="72">
        <f t="shared" si="12"/>
        <v>0</v>
      </c>
    </row>
    <row r="70" spans="6:19" ht="18.600000000000001" x14ac:dyDescent="0.4">
      <c r="F70">
        <f>IF(J70=" ",0,VLOOKUP(J70,'NOMINAS PSM&amp;BIO'!B:D,3,FALSE))</f>
        <v>0</v>
      </c>
      <c r="G70" t="str">
        <f t="shared" si="2"/>
        <v xml:space="preserve"> </v>
      </c>
      <c r="H70" s="73" t="str">
        <f t="shared" si="3"/>
        <v xml:space="preserve"> </v>
      </c>
      <c r="I70" s="40" t="str">
        <f t="shared" si="10"/>
        <v xml:space="preserve"> </v>
      </c>
      <c r="J70" s="94" t="str">
        <f t="shared" ref="J70:L70" si="18">IF(J16=0," ",J16)</f>
        <v xml:space="preserve"> </v>
      </c>
      <c r="K70" s="90" t="str">
        <f t="shared" si="18"/>
        <v xml:space="preserve"> </v>
      </c>
      <c r="L70" s="91" t="str">
        <f t="shared" si="18"/>
        <v xml:space="preserve"> </v>
      </c>
      <c r="M70" s="27">
        <f t="shared" si="5"/>
        <v>0</v>
      </c>
      <c r="N70" s="67" t="str">
        <f t="shared" si="14"/>
        <v xml:space="preserve"> </v>
      </c>
      <c r="O70" s="67" t="str">
        <f t="shared" si="15"/>
        <v xml:space="preserve"> </v>
      </c>
      <c r="P70" s="72">
        <f t="shared" si="11"/>
        <v>0</v>
      </c>
      <c r="Q70" s="67" t="str">
        <f t="shared" si="16"/>
        <v xml:space="preserve"> </v>
      </c>
      <c r="R70" s="67" t="str">
        <f t="shared" si="17"/>
        <v xml:space="preserve"> </v>
      </c>
      <c r="S70" s="72">
        <f t="shared" si="12"/>
        <v>0</v>
      </c>
    </row>
    <row r="71" spans="6:19" ht="18.600000000000001" x14ac:dyDescent="0.4">
      <c r="F71">
        <f>IF(J71=" ",0,VLOOKUP(J71,'NOMINAS PSM&amp;BIO'!B:D,3,FALSE))</f>
        <v>0</v>
      </c>
      <c r="G71" t="str">
        <f t="shared" si="2"/>
        <v xml:space="preserve"> </v>
      </c>
      <c r="H71" s="73" t="str">
        <f t="shared" si="3"/>
        <v xml:space="preserve"> </v>
      </c>
      <c r="I71" s="40" t="str">
        <f t="shared" si="10"/>
        <v xml:space="preserve"> </v>
      </c>
      <c r="J71" s="94" t="str">
        <f t="shared" ref="J71:L71" si="19">IF(J17=0," ",J17)</f>
        <v xml:space="preserve"> </v>
      </c>
      <c r="K71" s="90" t="str">
        <f t="shared" si="19"/>
        <v xml:space="preserve"> </v>
      </c>
      <c r="L71" s="91" t="str">
        <f t="shared" si="19"/>
        <v xml:space="preserve"> </v>
      </c>
      <c r="M71" s="27">
        <f t="shared" si="5"/>
        <v>0</v>
      </c>
      <c r="N71" s="67" t="str">
        <f t="shared" si="14"/>
        <v xml:space="preserve"> </v>
      </c>
      <c r="O71" s="67" t="str">
        <f t="shared" si="15"/>
        <v xml:space="preserve"> </v>
      </c>
      <c r="P71" s="72">
        <f t="shared" si="11"/>
        <v>0</v>
      </c>
      <c r="Q71" s="67" t="str">
        <f t="shared" si="16"/>
        <v xml:space="preserve"> </v>
      </c>
      <c r="R71" s="67" t="str">
        <f t="shared" si="17"/>
        <v xml:space="preserve"> </v>
      </c>
      <c r="S71" s="72">
        <f t="shared" si="12"/>
        <v>0</v>
      </c>
    </row>
    <row r="72" spans="6:19" ht="18.600000000000001" x14ac:dyDescent="0.4">
      <c r="F72">
        <f>IF(J72=" ",0,VLOOKUP(J72,'NOMINAS PSM&amp;BIO'!B:D,3,FALSE))</f>
        <v>0</v>
      </c>
      <c r="G72" t="str">
        <f t="shared" si="2"/>
        <v xml:space="preserve"> </v>
      </c>
      <c r="H72" s="73" t="str">
        <f t="shared" si="3"/>
        <v xml:space="preserve"> </v>
      </c>
      <c r="I72" s="40" t="str">
        <f t="shared" si="10"/>
        <v xml:space="preserve"> </v>
      </c>
      <c r="J72" s="94" t="str">
        <f t="shared" ref="J72:L72" si="20">IF(J18=0," ",J18)</f>
        <v xml:space="preserve"> </v>
      </c>
      <c r="K72" s="90" t="str">
        <f t="shared" si="20"/>
        <v xml:space="preserve"> </v>
      </c>
      <c r="L72" s="91" t="str">
        <f t="shared" si="20"/>
        <v xml:space="preserve"> </v>
      </c>
      <c r="M72" s="27">
        <f t="shared" si="5"/>
        <v>0</v>
      </c>
      <c r="N72" s="67" t="str">
        <f t="shared" si="14"/>
        <v xml:space="preserve"> </v>
      </c>
      <c r="O72" s="67" t="str">
        <f t="shared" si="15"/>
        <v xml:space="preserve"> </v>
      </c>
      <c r="P72" s="72">
        <f t="shared" si="11"/>
        <v>0</v>
      </c>
      <c r="Q72" s="67" t="str">
        <f t="shared" si="16"/>
        <v xml:space="preserve"> </v>
      </c>
      <c r="R72" s="67" t="str">
        <f t="shared" si="17"/>
        <v xml:space="preserve"> </v>
      </c>
      <c r="S72" s="72">
        <f t="shared" si="12"/>
        <v>0</v>
      </c>
    </row>
    <row r="73" spans="6:19" ht="18.600000000000001" x14ac:dyDescent="0.4">
      <c r="F73">
        <f>IF(J73=" ",0,VLOOKUP(J73,'NOMINAS PSM&amp;BIO'!B:D,3,FALSE))</f>
        <v>0</v>
      </c>
      <c r="G73" t="str">
        <f t="shared" si="2"/>
        <v xml:space="preserve"> </v>
      </c>
      <c r="H73" s="73" t="str">
        <f t="shared" si="3"/>
        <v xml:space="preserve"> </v>
      </c>
      <c r="I73" s="40" t="str">
        <f t="shared" si="10"/>
        <v xml:space="preserve"> </v>
      </c>
      <c r="J73" s="94" t="str">
        <f t="shared" ref="J73:L73" si="21">IF(J19=0," ",J19)</f>
        <v xml:space="preserve"> </v>
      </c>
      <c r="K73" s="90" t="str">
        <f t="shared" si="21"/>
        <v xml:space="preserve"> </v>
      </c>
      <c r="L73" s="91" t="str">
        <f t="shared" si="21"/>
        <v xml:space="preserve"> </v>
      </c>
      <c r="M73" s="27">
        <f t="shared" si="5"/>
        <v>0</v>
      </c>
      <c r="N73" s="67" t="str">
        <f t="shared" si="14"/>
        <v xml:space="preserve"> </v>
      </c>
      <c r="O73" s="67" t="str">
        <f t="shared" si="15"/>
        <v xml:space="preserve"> </v>
      </c>
      <c r="P73" s="72">
        <f t="shared" si="11"/>
        <v>0</v>
      </c>
      <c r="Q73" s="67" t="str">
        <f t="shared" si="16"/>
        <v xml:space="preserve"> </v>
      </c>
      <c r="R73" s="67" t="str">
        <f t="shared" si="17"/>
        <v xml:space="preserve"> </v>
      </c>
      <c r="S73" s="72">
        <f t="shared" si="12"/>
        <v>0</v>
      </c>
    </row>
    <row r="74" spans="6:19" ht="18.600000000000001" x14ac:dyDescent="0.4">
      <c r="F74">
        <f>IF(J74=" ",0,VLOOKUP(J74,'NOMINAS PSM&amp;BIO'!B:D,3,FALSE))</f>
        <v>0</v>
      </c>
      <c r="G74" t="str">
        <f t="shared" si="2"/>
        <v xml:space="preserve"> </v>
      </c>
      <c r="H74" s="73" t="str">
        <f t="shared" si="3"/>
        <v xml:space="preserve"> </v>
      </c>
      <c r="I74" s="40" t="str">
        <f t="shared" si="10"/>
        <v xml:space="preserve"> </v>
      </c>
      <c r="J74" s="94" t="str">
        <f t="shared" ref="J74:L74" si="22">IF(J20=0," ",J20)</f>
        <v xml:space="preserve"> </v>
      </c>
      <c r="K74" s="90" t="str">
        <f t="shared" si="22"/>
        <v xml:space="preserve"> </v>
      </c>
      <c r="L74" s="91" t="str">
        <f t="shared" si="22"/>
        <v xml:space="preserve"> </v>
      </c>
      <c r="M74" s="27">
        <f t="shared" si="5"/>
        <v>0</v>
      </c>
      <c r="N74" s="67" t="str">
        <f t="shared" si="14"/>
        <v xml:space="preserve"> </v>
      </c>
      <c r="O74" s="67" t="str">
        <f t="shared" si="15"/>
        <v xml:space="preserve"> </v>
      </c>
      <c r="P74" s="72">
        <f t="shared" si="11"/>
        <v>0</v>
      </c>
      <c r="Q74" s="67" t="str">
        <f t="shared" si="16"/>
        <v xml:space="preserve"> </v>
      </c>
      <c r="R74" s="67" t="str">
        <f t="shared" si="17"/>
        <v xml:space="preserve"> </v>
      </c>
      <c r="S74" s="72">
        <f t="shared" si="12"/>
        <v>0</v>
      </c>
    </row>
    <row r="75" spans="6:19" ht="18.600000000000001" x14ac:dyDescent="0.4">
      <c r="F75">
        <f>IF(J75=" ",0,VLOOKUP(J75,'NOMINAS PSM&amp;BIO'!B:D,3,FALSE))</f>
        <v>0</v>
      </c>
      <c r="G75" t="str">
        <f t="shared" si="2"/>
        <v xml:space="preserve"> </v>
      </c>
      <c r="H75" s="73" t="str">
        <f t="shared" si="3"/>
        <v xml:space="preserve"> </v>
      </c>
      <c r="I75" s="40" t="str">
        <f t="shared" si="10"/>
        <v xml:space="preserve"> </v>
      </c>
      <c r="J75" s="94" t="str">
        <f t="shared" ref="J75:L75" si="23">IF(J21=0," ",J21)</f>
        <v xml:space="preserve"> </v>
      </c>
      <c r="K75" s="90" t="str">
        <f t="shared" si="23"/>
        <v xml:space="preserve"> </v>
      </c>
      <c r="L75" s="91" t="str">
        <f t="shared" si="23"/>
        <v xml:space="preserve"> </v>
      </c>
      <c r="M75" s="27">
        <f t="shared" si="5"/>
        <v>0</v>
      </c>
      <c r="N75" s="67" t="str">
        <f t="shared" si="14"/>
        <v xml:space="preserve"> </v>
      </c>
      <c r="O75" s="67" t="str">
        <f t="shared" si="15"/>
        <v xml:space="preserve"> </v>
      </c>
      <c r="P75" s="72">
        <f t="shared" si="11"/>
        <v>0</v>
      </c>
      <c r="Q75" s="67" t="str">
        <f t="shared" si="16"/>
        <v xml:space="preserve"> </v>
      </c>
      <c r="R75" s="67" t="str">
        <f t="shared" si="17"/>
        <v xml:space="preserve"> </v>
      </c>
      <c r="S75" s="72">
        <f t="shared" si="12"/>
        <v>0</v>
      </c>
    </row>
    <row r="76" spans="6:19" ht="18.600000000000001" x14ac:dyDescent="0.4">
      <c r="F76">
        <f>IF(J76=" ",0,VLOOKUP(J76,'NOMINAS PSM&amp;BIO'!B:D,3,FALSE))</f>
        <v>0</v>
      </c>
      <c r="G76" t="str">
        <f t="shared" si="2"/>
        <v xml:space="preserve"> </v>
      </c>
      <c r="H76" s="73" t="str">
        <f t="shared" si="3"/>
        <v xml:space="preserve"> </v>
      </c>
      <c r="I76" s="40" t="str">
        <f t="shared" si="10"/>
        <v xml:space="preserve"> </v>
      </c>
      <c r="J76" s="94" t="str">
        <f t="shared" ref="J76:L76" si="24">IF(J22=0," ",J22)</f>
        <v xml:space="preserve"> </v>
      </c>
      <c r="K76" s="90" t="str">
        <f t="shared" si="24"/>
        <v xml:space="preserve"> </v>
      </c>
      <c r="L76" s="91" t="str">
        <f t="shared" si="24"/>
        <v xml:space="preserve"> </v>
      </c>
      <c r="M76" s="27">
        <f t="shared" si="5"/>
        <v>0</v>
      </c>
      <c r="N76" s="67" t="str">
        <f t="shared" si="14"/>
        <v xml:space="preserve"> </v>
      </c>
      <c r="O76" s="67" t="str">
        <f t="shared" si="15"/>
        <v xml:space="preserve"> </v>
      </c>
      <c r="P76" s="72">
        <f t="shared" si="11"/>
        <v>0</v>
      </c>
      <c r="Q76" s="67" t="str">
        <f t="shared" si="16"/>
        <v xml:space="preserve"> </v>
      </c>
      <c r="R76" s="67" t="str">
        <f t="shared" si="17"/>
        <v xml:space="preserve"> </v>
      </c>
      <c r="S76" s="72">
        <f t="shared" si="12"/>
        <v>0</v>
      </c>
    </row>
    <row r="77" spans="6:19" ht="18.600000000000001" x14ac:dyDescent="0.4">
      <c r="F77">
        <f>IF(J77=" ",0,VLOOKUP(J77,'NOMINAS PSM&amp;BIO'!B:D,3,FALSE))</f>
        <v>0</v>
      </c>
      <c r="G77" t="str">
        <f t="shared" si="2"/>
        <v xml:space="preserve"> </v>
      </c>
      <c r="H77" s="73" t="str">
        <f t="shared" si="3"/>
        <v xml:space="preserve"> </v>
      </c>
      <c r="I77" s="40" t="str">
        <f t="shared" si="10"/>
        <v xml:space="preserve"> </v>
      </c>
      <c r="J77" s="94" t="str">
        <f t="shared" ref="J77:L77" si="25">IF(J23=0," ",J23)</f>
        <v xml:space="preserve"> </v>
      </c>
      <c r="K77" s="90" t="str">
        <f t="shared" si="25"/>
        <v xml:space="preserve"> </v>
      </c>
      <c r="L77" s="91" t="str">
        <f t="shared" si="25"/>
        <v xml:space="preserve"> </v>
      </c>
      <c r="M77" s="27">
        <f t="shared" si="5"/>
        <v>0</v>
      </c>
      <c r="N77" s="67" t="str">
        <f t="shared" si="14"/>
        <v xml:space="preserve"> </v>
      </c>
      <c r="O77" s="67" t="str">
        <f t="shared" si="15"/>
        <v xml:space="preserve"> </v>
      </c>
      <c r="P77" s="72">
        <f t="shared" si="11"/>
        <v>0</v>
      </c>
      <c r="Q77" s="67" t="str">
        <f t="shared" si="16"/>
        <v xml:space="preserve"> </v>
      </c>
      <c r="R77" s="67" t="str">
        <f t="shared" si="17"/>
        <v xml:space="preserve"> </v>
      </c>
      <c r="S77" s="72">
        <f t="shared" si="12"/>
        <v>0</v>
      </c>
    </row>
    <row r="78" spans="6:19" ht="18.600000000000001" x14ac:dyDescent="0.4">
      <c r="F78">
        <f>IF(J78=" ",0,VLOOKUP(J78,'NOMINAS PSM&amp;BIO'!B:D,3,FALSE))</f>
        <v>0</v>
      </c>
      <c r="G78" t="str">
        <f t="shared" si="2"/>
        <v xml:space="preserve"> </v>
      </c>
      <c r="H78" s="73" t="str">
        <f t="shared" si="3"/>
        <v xml:space="preserve"> </v>
      </c>
      <c r="I78" s="40" t="str">
        <f t="shared" si="10"/>
        <v xml:space="preserve"> </v>
      </c>
      <c r="J78" s="94" t="str">
        <f t="shared" ref="J78:L78" si="26">IF(J24=0," ",J24)</f>
        <v xml:space="preserve"> </v>
      </c>
      <c r="K78" s="90" t="str">
        <f t="shared" si="26"/>
        <v xml:space="preserve"> </v>
      </c>
      <c r="L78" s="91" t="str">
        <f t="shared" si="26"/>
        <v xml:space="preserve"> </v>
      </c>
      <c r="M78" s="27">
        <f t="shared" si="5"/>
        <v>0</v>
      </c>
      <c r="N78" s="67" t="str">
        <f t="shared" si="14"/>
        <v xml:space="preserve"> </v>
      </c>
      <c r="O78" s="67" t="str">
        <f t="shared" si="15"/>
        <v xml:space="preserve"> </v>
      </c>
      <c r="P78" s="72">
        <f t="shared" si="11"/>
        <v>0</v>
      </c>
      <c r="Q78" s="67" t="str">
        <f t="shared" si="16"/>
        <v xml:space="preserve"> </v>
      </c>
      <c r="R78" s="67" t="str">
        <f t="shared" si="17"/>
        <v xml:space="preserve"> </v>
      </c>
      <c r="S78" s="72">
        <f t="shared" si="12"/>
        <v>0</v>
      </c>
    </row>
    <row r="79" spans="6:19" ht="18.600000000000001" x14ac:dyDescent="0.4">
      <c r="F79">
        <f>IF(J79=" ",0,VLOOKUP(J79,'NOMINAS PSM&amp;BIO'!B:D,3,FALSE))</f>
        <v>0</v>
      </c>
      <c r="G79" t="str">
        <f t="shared" si="2"/>
        <v xml:space="preserve"> </v>
      </c>
      <c r="H79" s="73" t="str">
        <f t="shared" si="3"/>
        <v xml:space="preserve"> </v>
      </c>
      <c r="I79" s="40" t="str">
        <f t="shared" si="10"/>
        <v xml:space="preserve"> </v>
      </c>
      <c r="J79" s="94" t="str">
        <f t="shared" ref="J79:L79" si="27">IF(J25=0," ",J25)</f>
        <v xml:space="preserve"> </v>
      </c>
      <c r="K79" s="90" t="str">
        <f t="shared" si="27"/>
        <v xml:space="preserve"> </v>
      </c>
      <c r="L79" s="91" t="str">
        <f t="shared" si="27"/>
        <v xml:space="preserve"> </v>
      </c>
      <c r="M79" s="27">
        <f t="shared" si="5"/>
        <v>0</v>
      </c>
      <c r="N79" s="67" t="str">
        <f t="shared" si="14"/>
        <v xml:space="preserve"> </v>
      </c>
      <c r="O79" s="67" t="str">
        <f t="shared" si="15"/>
        <v xml:space="preserve"> </v>
      </c>
      <c r="P79" s="72">
        <f t="shared" si="11"/>
        <v>0</v>
      </c>
      <c r="Q79" s="67" t="str">
        <f t="shared" si="16"/>
        <v xml:space="preserve"> </v>
      </c>
      <c r="R79" s="67" t="str">
        <f t="shared" si="17"/>
        <v xml:space="preserve"> </v>
      </c>
      <c r="S79" s="72">
        <f t="shared" si="12"/>
        <v>0</v>
      </c>
    </row>
    <row r="80" spans="6:19" ht="18.600000000000001" x14ac:dyDescent="0.4">
      <c r="F80">
        <f>IF(J80=" ",0,VLOOKUP(J80,'NOMINAS PSM&amp;BIO'!B:D,3,FALSE))</f>
        <v>0</v>
      </c>
      <c r="G80" t="str">
        <f t="shared" si="2"/>
        <v xml:space="preserve"> </v>
      </c>
      <c r="H80" s="73" t="str">
        <f t="shared" si="3"/>
        <v xml:space="preserve"> </v>
      </c>
      <c r="I80" s="40" t="str">
        <f t="shared" si="10"/>
        <v xml:space="preserve"> </v>
      </c>
      <c r="J80" s="94" t="str">
        <f t="shared" ref="J80:L80" si="28">IF(J26=0," ",J26)</f>
        <v xml:space="preserve"> </v>
      </c>
      <c r="K80" s="90" t="str">
        <f t="shared" si="28"/>
        <v xml:space="preserve"> </v>
      </c>
      <c r="L80" s="91" t="str">
        <f t="shared" si="28"/>
        <v xml:space="preserve"> </v>
      </c>
      <c r="M80" s="27">
        <f t="shared" si="5"/>
        <v>0</v>
      </c>
      <c r="N80" s="67" t="str">
        <f t="shared" si="14"/>
        <v xml:space="preserve"> </v>
      </c>
      <c r="O80" s="67" t="str">
        <f t="shared" si="15"/>
        <v xml:space="preserve"> </v>
      </c>
      <c r="P80" s="72">
        <f t="shared" si="11"/>
        <v>0</v>
      </c>
      <c r="Q80" s="67" t="str">
        <f t="shared" si="16"/>
        <v xml:space="preserve"> </v>
      </c>
      <c r="R80" s="67" t="str">
        <f t="shared" si="17"/>
        <v xml:space="preserve"> </v>
      </c>
      <c r="S80" s="72">
        <f t="shared" si="12"/>
        <v>0</v>
      </c>
    </row>
    <row r="81" spans="6:19" ht="18.600000000000001" x14ac:dyDescent="0.4">
      <c r="F81">
        <f>IF(J81=" ",0,VLOOKUP(J81,'NOMINAS PSM&amp;BIO'!B:D,3,FALSE))</f>
        <v>0</v>
      </c>
      <c r="G81" t="str">
        <f t="shared" si="2"/>
        <v xml:space="preserve"> </v>
      </c>
      <c r="H81" s="73" t="str">
        <f t="shared" si="3"/>
        <v xml:space="preserve"> </v>
      </c>
      <c r="I81" s="40" t="str">
        <f t="shared" si="10"/>
        <v xml:space="preserve"> </v>
      </c>
      <c r="J81" s="94" t="str">
        <f t="shared" ref="J81:L81" si="29">IF(J27=0," ",J27)</f>
        <v xml:space="preserve"> </v>
      </c>
      <c r="K81" s="90" t="str">
        <f t="shared" si="29"/>
        <v xml:space="preserve"> </v>
      </c>
      <c r="L81" s="91" t="str">
        <f t="shared" si="29"/>
        <v xml:space="preserve"> </v>
      </c>
      <c r="M81" s="27">
        <f t="shared" si="5"/>
        <v>0</v>
      </c>
      <c r="N81" s="67" t="str">
        <f t="shared" si="14"/>
        <v xml:space="preserve"> </v>
      </c>
      <c r="O81" s="67" t="str">
        <f t="shared" si="15"/>
        <v xml:space="preserve"> </v>
      </c>
      <c r="P81" s="72">
        <f t="shared" si="11"/>
        <v>0</v>
      </c>
      <c r="Q81" s="67" t="str">
        <f t="shared" si="16"/>
        <v xml:space="preserve"> </v>
      </c>
      <c r="R81" s="67" t="str">
        <f t="shared" si="17"/>
        <v xml:space="preserve"> </v>
      </c>
      <c r="S81" s="72">
        <f t="shared" si="12"/>
        <v>0</v>
      </c>
    </row>
    <row r="82" spans="6:19" ht="18.600000000000001" x14ac:dyDescent="0.4">
      <c r="F82">
        <f>IF(J82=" ",0,VLOOKUP(J82,'NOMINAS PSM&amp;BIO'!B:D,3,FALSE))</f>
        <v>0</v>
      </c>
      <c r="G82" t="str">
        <f t="shared" si="2"/>
        <v xml:space="preserve"> </v>
      </c>
      <c r="H82" s="73" t="str">
        <f t="shared" si="3"/>
        <v xml:space="preserve"> </v>
      </c>
      <c r="I82" s="40" t="str">
        <f t="shared" si="10"/>
        <v xml:space="preserve"> </v>
      </c>
      <c r="J82" s="94" t="str">
        <f t="shared" ref="J82:L82" si="30">IF(J28=0," ",J28)</f>
        <v xml:space="preserve"> </v>
      </c>
      <c r="K82" s="90" t="str">
        <f t="shared" si="30"/>
        <v xml:space="preserve"> </v>
      </c>
      <c r="L82" s="91" t="str">
        <f t="shared" si="30"/>
        <v xml:space="preserve"> </v>
      </c>
      <c r="M82" s="27">
        <f t="shared" si="5"/>
        <v>0</v>
      </c>
      <c r="N82" s="67" t="str">
        <f t="shared" si="14"/>
        <v xml:space="preserve"> </v>
      </c>
      <c r="O82" s="67" t="str">
        <f t="shared" si="15"/>
        <v xml:space="preserve"> </v>
      </c>
      <c r="P82" s="72">
        <f t="shared" si="11"/>
        <v>0</v>
      </c>
      <c r="Q82" s="67" t="str">
        <f t="shared" si="16"/>
        <v xml:space="preserve"> </v>
      </c>
      <c r="R82" s="67" t="str">
        <f t="shared" si="17"/>
        <v xml:space="preserve"> </v>
      </c>
      <c r="S82" s="72">
        <f t="shared" si="12"/>
        <v>0</v>
      </c>
    </row>
    <row r="83" spans="6:19" ht="18.600000000000001" x14ac:dyDescent="0.4">
      <c r="F83">
        <f>IF(J83=" ",0,VLOOKUP(J83,'NOMINAS PSM&amp;BIO'!B:D,3,FALSE))</f>
        <v>0</v>
      </c>
      <c r="G83" t="str">
        <f t="shared" si="2"/>
        <v xml:space="preserve"> </v>
      </c>
      <c r="H83" s="73" t="str">
        <f t="shared" si="3"/>
        <v xml:space="preserve"> </v>
      </c>
      <c r="I83" s="40" t="str">
        <f t="shared" si="10"/>
        <v xml:space="preserve"> </v>
      </c>
      <c r="J83" s="94" t="str">
        <f t="shared" ref="J83:L83" si="31">IF(J29=0," ",J29)</f>
        <v xml:space="preserve"> </v>
      </c>
      <c r="K83" s="90" t="str">
        <f t="shared" si="31"/>
        <v xml:space="preserve"> </v>
      </c>
      <c r="L83" s="91" t="str">
        <f t="shared" si="31"/>
        <v xml:space="preserve"> </v>
      </c>
      <c r="M83" s="27">
        <f t="shared" si="5"/>
        <v>0</v>
      </c>
      <c r="N83" s="67" t="str">
        <f t="shared" si="14"/>
        <v xml:space="preserve"> </v>
      </c>
      <c r="O83" s="67" t="str">
        <f t="shared" si="15"/>
        <v xml:space="preserve"> </v>
      </c>
      <c r="P83" s="72">
        <f t="shared" si="11"/>
        <v>0</v>
      </c>
      <c r="Q83" s="67" t="str">
        <f t="shared" si="16"/>
        <v xml:space="preserve"> </v>
      </c>
      <c r="R83" s="67" t="str">
        <f t="shared" si="17"/>
        <v xml:space="preserve"> </v>
      </c>
      <c r="S83" s="72">
        <f t="shared" si="12"/>
        <v>0</v>
      </c>
    </row>
    <row r="84" spans="6:19" ht="17.399999999999999" x14ac:dyDescent="0.4">
      <c r="F84">
        <f>IF(J84=" ",0,VLOOKUP(J84,'NOMINAS PSM&amp;BIO'!B:D,3,FALSE))</f>
        <v>0</v>
      </c>
      <c r="G84" t="str">
        <f t="shared" si="2"/>
        <v xml:space="preserve"> </v>
      </c>
      <c r="H84" s="73" t="str">
        <f t="shared" si="3"/>
        <v xml:space="preserve"> </v>
      </c>
      <c r="I84" s="40" t="str">
        <f t="shared" si="10"/>
        <v xml:space="preserve"> </v>
      </c>
      <c r="J84" s="90" t="str">
        <f t="shared" ref="J84:L84" si="32">IF(J30=0," ",J30)</f>
        <v xml:space="preserve"> </v>
      </c>
      <c r="K84" s="90" t="str">
        <f t="shared" si="32"/>
        <v xml:space="preserve"> </v>
      </c>
      <c r="L84" s="91" t="str">
        <f t="shared" si="32"/>
        <v xml:space="preserve"> </v>
      </c>
      <c r="M84" s="27">
        <f t="shared" si="5"/>
        <v>0</v>
      </c>
      <c r="N84" s="67" t="str">
        <f t="shared" si="14"/>
        <v xml:space="preserve"> </v>
      </c>
      <c r="O84" s="67" t="str">
        <f t="shared" si="15"/>
        <v xml:space="preserve"> </v>
      </c>
      <c r="P84" s="72">
        <f t="shared" si="11"/>
        <v>0</v>
      </c>
      <c r="Q84" s="67" t="str">
        <f t="shared" si="16"/>
        <v xml:space="preserve"> </v>
      </c>
      <c r="R84" s="67" t="str">
        <f t="shared" si="17"/>
        <v xml:space="preserve"> </v>
      </c>
      <c r="S84" s="72">
        <f t="shared" si="12"/>
        <v>0</v>
      </c>
    </row>
    <row r="85" spans="6:19" ht="17.399999999999999" x14ac:dyDescent="0.4">
      <c r="F85">
        <f>IF(J85=" ",0,VLOOKUP(J85,'NOMINAS PSM&amp;BIO'!B:D,3,FALSE))</f>
        <v>0</v>
      </c>
      <c r="G85" t="str">
        <f t="shared" si="2"/>
        <v xml:space="preserve"> </v>
      </c>
      <c r="H85" s="73" t="str">
        <f t="shared" si="3"/>
        <v xml:space="preserve"> </v>
      </c>
      <c r="I85" s="40" t="str">
        <f t="shared" si="10"/>
        <v xml:space="preserve"> </v>
      </c>
      <c r="J85" s="90" t="str">
        <f t="shared" ref="J85:L85" si="33">IF(J31=0," ",J31)</f>
        <v xml:space="preserve"> </v>
      </c>
      <c r="K85" s="90" t="str">
        <f t="shared" si="33"/>
        <v xml:space="preserve"> </v>
      </c>
      <c r="L85" s="91" t="str">
        <f t="shared" si="33"/>
        <v xml:space="preserve"> </v>
      </c>
      <c r="M85" s="27">
        <f t="shared" si="5"/>
        <v>0</v>
      </c>
      <c r="N85" s="67" t="str">
        <f t="shared" si="14"/>
        <v xml:space="preserve"> </v>
      </c>
      <c r="O85" s="67" t="str">
        <f t="shared" si="15"/>
        <v xml:space="preserve"> </v>
      </c>
      <c r="P85" s="72">
        <f t="shared" si="11"/>
        <v>0</v>
      </c>
      <c r="Q85" s="67" t="str">
        <f t="shared" si="16"/>
        <v xml:space="preserve"> </v>
      </c>
      <c r="R85" s="67" t="str">
        <f t="shared" si="17"/>
        <v xml:space="preserve"> </v>
      </c>
      <c r="S85" s="72">
        <f t="shared" si="12"/>
        <v>0</v>
      </c>
    </row>
    <row r="86" spans="6:19" ht="17.399999999999999" x14ac:dyDescent="0.4">
      <c r="F86">
        <f>IF(J86=" ",0,VLOOKUP(J86,'NOMINAS PSM&amp;BIO'!B:D,3,FALSE))</f>
        <v>0</v>
      </c>
      <c r="G86" t="str">
        <f t="shared" si="2"/>
        <v xml:space="preserve"> </v>
      </c>
      <c r="H86" s="73" t="str">
        <f t="shared" si="3"/>
        <v xml:space="preserve"> </v>
      </c>
      <c r="I86" s="40" t="str">
        <f t="shared" si="10"/>
        <v xml:space="preserve"> </v>
      </c>
      <c r="J86" s="90" t="str">
        <f t="shared" ref="J86:L86" si="34">IF(J32=0," ",J32)</f>
        <v xml:space="preserve"> </v>
      </c>
      <c r="K86" s="90" t="str">
        <f t="shared" si="34"/>
        <v xml:space="preserve"> </v>
      </c>
      <c r="L86" s="91" t="str">
        <f t="shared" si="34"/>
        <v xml:space="preserve"> </v>
      </c>
      <c r="M86" s="27">
        <f t="shared" si="5"/>
        <v>0</v>
      </c>
      <c r="N86" s="67" t="str">
        <f t="shared" si="14"/>
        <v xml:space="preserve"> </v>
      </c>
      <c r="O86" s="67" t="str">
        <f t="shared" si="15"/>
        <v xml:space="preserve"> </v>
      </c>
      <c r="P86" s="72">
        <f t="shared" si="11"/>
        <v>0</v>
      </c>
      <c r="Q86" s="67" t="str">
        <f t="shared" si="16"/>
        <v xml:space="preserve"> </v>
      </c>
      <c r="R86" s="67" t="str">
        <f t="shared" si="17"/>
        <v xml:space="preserve"> </v>
      </c>
      <c r="S86" s="72">
        <f t="shared" si="12"/>
        <v>0</v>
      </c>
    </row>
    <row r="87" spans="6:19" ht="17.399999999999999" x14ac:dyDescent="0.4">
      <c r="F87">
        <f>IF(J87=" ",0,VLOOKUP(J87,'NOMINAS PSM&amp;BIO'!B:D,3,FALSE))</f>
        <v>0</v>
      </c>
      <c r="G87" t="str">
        <f t="shared" si="2"/>
        <v xml:space="preserve"> </v>
      </c>
      <c r="H87" s="73" t="str">
        <f t="shared" si="3"/>
        <v xml:space="preserve"> </v>
      </c>
      <c r="I87" s="40" t="str">
        <f t="shared" si="10"/>
        <v xml:space="preserve"> </v>
      </c>
      <c r="J87" s="90" t="str">
        <f t="shared" ref="J87:L87" si="35">IF(J33=0," ",J33)</f>
        <v xml:space="preserve"> </v>
      </c>
      <c r="K87" s="90" t="str">
        <f t="shared" si="35"/>
        <v xml:space="preserve"> </v>
      </c>
      <c r="L87" s="91" t="str">
        <f t="shared" si="35"/>
        <v xml:space="preserve"> </v>
      </c>
      <c r="M87" s="27">
        <f t="shared" si="5"/>
        <v>0</v>
      </c>
      <c r="N87" s="67" t="str">
        <f t="shared" si="14"/>
        <v xml:space="preserve"> </v>
      </c>
      <c r="O87" s="67" t="str">
        <f t="shared" si="15"/>
        <v xml:space="preserve"> </v>
      </c>
      <c r="P87" s="72">
        <f t="shared" si="11"/>
        <v>0</v>
      </c>
      <c r="Q87" s="67" t="str">
        <f t="shared" si="16"/>
        <v xml:space="preserve"> </v>
      </c>
      <c r="R87" s="67" t="str">
        <f t="shared" si="17"/>
        <v xml:space="preserve"> </v>
      </c>
      <c r="S87" s="72">
        <f t="shared" si="12"/>
        <v>0</v>
      </c>
    </row>
    <row r="88" spans="6:19" ht="17.399999999999999" x14ac:dyDescent="0.4">
      <c r="F88">
        <f>IF(J88=" ",0,VLOOKUP(J88,'NOMINAS PSM&amp;BIO'!B:D,3,FALSE))</f>
        <v>0</v>
      </c>
      <c r="G88" t="str">
        <f t="shared" si="2"/>
        <v xml:space="preserve"> </v>
      </c>
      <c r="H88" s="73" t="str">
        <f t="shared" si="3"/>
        <v xml:space="preserve"> </v>
      </c>
      <c r="I88" s="40" t="str">
        <f t="shared" si="10"/>
        <v xml:space="preserve"> </v>
      </c>
      <c r="J88" s="90" t="str">
        <f t="shared" ref="J88:L88" si="36">IF(J34=0," ",J34)</f>
        <v xml:space="preserve"> </v>
      </c>
      <c r="K88" s="90" t="str">
        <f t="shared" si="36"/>
        <v xml:space="preserve"> </v>
      </c>
      <c r="L88" s="91" t="str">
        <f t="shared" si="36"/>
        <v xml:space="preserve"> </v>
      </c>
      <c r="M88" s="27">
        <f t="shared" si="5"/>
        <v>0</v>
      </c>
      <c r="N88" s="67" t="str">
        <f t="shared" si="14"/>
        <v xml:space="preserve"> </v>
      </c>
      <c r="O88" s="67" t="str">
        <f t="shared" si="15"/>
        <v xml:space="preserve"> </v>
      </c>
      <c r="P88" s="72">
        <f t="shared" si="11"/>
        <v>0</v>
      </c>
      <c r="Q88" s="67" t="str">
        <f t="shared" si="16"/>
        <v xml:space="preserve"> </v>
      </c>
      <c r="R88" s="67" t="str">
        <f t="shared" si="17"/>
        <v xml:space="preserve"> </v>
      </c>
      <c r="S88" s="72">
        <f t="shared" si="12"/>
        <v>0</v>
      </c>
    </row>
    <row r="89" spans="6:19" ht="17.399999999999999" x14ac:dyDescent="0.4">
      <c r="F89">
        <f>IF(J89=" ",0,VLOOKUP(J89,'NOMINAS PSM&amp;BIO'!B:D,3,FALSE))</f>
        <v>0</v>
      </c>
      <c r="G89" t="str">
        <f t="shared" si="2"/>
        <v xml:space="preserve"> </v>
      </c>
      <c r="H89" s="73" t="str">
        <f t="shared" si="3"/>
        <v xml:space="preserve"> </v>
      </c>
      <c r="I89" s="40" t="str">
        <f t="shared" si="10"/>
        <v xml:space="preserve"> </v>
      </c>
      <c r="J89" s="90" t="str">
        <f t="shared" ref="J89:L89" si="37">IF(J35=0," ",J35)</f>
        <v xml:space="preserve"> </v>
      </c>
      <c r="K89" s="90" t="str">
        <f t="shared" si="37"/>
        <v xml:space="preserve"> </v>
      </c>
      <c r="L89" s="91" t="str">
        <f t="shared" si="37"/>
        <v xml:space="preserve"> </v>
      </c>
      <c r="M89" s="27">
        <f t="shared" si="5"/>
        <v>0</v>
      </c>
      <c r="N89" s="67" t="str">
        <f t="shared" si="14"/>
        <v xml:space="preserve"> </v>
      </c>
      <c r="O89" s="67" t="str">
        <f t="shared" si="15"/>
        <v xml:space="preserve"> </v>
      </c>
      <c r="P89" s="72">
        <f t="shared" si="11"/>
        <v>0</v>
      </c>
      <c r="Q89" s="67" t="str">
        <f t="shared" si="16"/>
        <v xml:space="preserve"> </v>
      </c>
      <c r="R89" s="67" t="str">
        <f t="shared" si="17"/>
        <v xml:space="preserve"> </v>
      </c>
      <c r="S89" s="72">
        <f t="shared" si="12"/>
        <v>0</v>
      </c>
    </row>
    <row r="90" spans="6:19" ht="17.399999999999999" x14ac:dyDescent="0.4">
      <c r="F90">
        <f>IF(J90=" ",0,VLOOKUP(J90,'NOMINAS PSM&amp;BIO'!B:D,3,FALSE))</f>
        <v>0</v>
      </c>
      <c r="G90" t="str">
        <f t="shared" si="2"/>
        <v xml:space="preserve"> </v>
      </c>
      <c r="H90" s="73" t="str">
        <f t="shared" si="3"/>
        <v xml:space="preserve"> </v>
      </c>
      <c r="I90" s="40" t="str">
        <f t="shared" si="10"/>
        <v xml:space="preserve"> </v>
      </c>
      <c r="J90" s="90" t="str">
        <f t="shared" ref="J90:L90" si="38">IF(J36=0," ",J36)</f>
        <v xml:space="preserve"> </v>
      </c>
      <c r="K90" s="90" t="str">
        <f t="shared" si="38"/>
        <v xml:space="preserve"> </v>
      </c>
      <c r="L90" s="91" t="str">
        <f t="shared" si="38"/>
        <v xml:space="preserve"> </v>
      </c>
      <c r="M90" s="27">
        <f t="shared" si="5"/>
        <v>0</v>
      </c>
      <c r="N90" s="67" t="str">
        <f t="shared" si="14"/>
        <v xml:space="preserve"> </v>
      </c>
      <c r="O90" s="67" t="str">
        <f t="shared" si="15"/>
        <v xml:space="preserve"> </v>
      </c>
      <c r="P90" s="72">
        <f t="shared" si="11"/>
        <v>0</v>
      </c>
      <c r="Q90" s="67" t="str">
        <f t="shared" si="16"/>
        <v xml:space="preserve"> </v>
      </c>
      <c r="R90" s="67" t="str">
        <f t="shared" si="17"/>
        <v xml:space="preserve"> </v>
      </c>
      <c r="S90" s="72">
        <f t="shared" si="12"/>
        <v>0</v>
      </c>
    </row>
    <row r="91" spans="6:19" ht="17.399999999999999" x14ac:dyDescent="0.4">
      <c r="F91">
        <f>IF(J91=" ",0,VLOOKUP(J91,'NOMINAS PSM&amp;BIO'!B:D,3,FALSE))</f>
        <v>0</v>
      </c>
      <c r="G91" t="str">
        <f t="shared" si="2"/>
        <v xml:space="preserve"> </v>
      </c>
      <c r="H91" s="73" t="str">
        <f t="shared" si="3"/>
        <v xml:space="preserve"> </v>
      </c>
      <c r="I91" s="40" t="str">
        <f t="shared" si="10"/>
        <v xml:space="preserve"> </v>
      </c>
      <c r="J91" s="90" t="str">
        <f t="shared" ref="J91:L91" si="39">IF(J37=0," ",J37)</f>
        <v xml:space="preserve"> </v>
      </c>
      <c r="K91" s="90" t="str">
        <f t="shared" si="39"/>
        <v xml:space="preserve"> </v>
      </c>
      <c r="L91" s="91" t="str">
        <f t="shared" si="39"/>
        <v xml:space="preserve"> </v>
      </c>
      <c r="M91" s="27">
        <f t="shared" si="5"/>
        <v>0</v>
      </c>
      <c r="N91" s="67" t="str">
        <f t="shared" si="14"/>
        <v xml:space="preserve"> </v>
      </c>
      <c r="O91" s="67" t="str">
        <f t="shared" si="15"/>
        <v xml:space="preserve"> </v>
      </c>
      <c r="P91" s="72">
        <f t="shared" si="11"/>
        <v>0</v>
      </c>
      <c r="Q91" s="67" t="str">
        <f t="shared" si="16"/>
        <v xml:space="preserve"> </v>
      </c>
      <c r="R91" s="67" t="str">
        <f t="shared" si="17"/>
        <v xml:space="preserve"> </v>
      </c>
      <c r="S91" s="72">
        <f t="shared" si="12"/>
        <v>0</v>
      </c>
    </row>
    <row r="92" spans="6:19" ht="17.399999999999999" x14ac:dyDescent="0.4">
      <c r="F92">
        <f>IF(J92=" ",0,VLOOKUP(J92,'NOMINAS PSM&amp;BIO'!B:D,3,FALSE))</f>
        <v>0</v>
      </c>
      <c r="G92" t="str">
        <f t="shared" si="2"/>
        <v xml:space="preserve"> </v>
      </c>
      <c r="H92" s="73" t="str">
        <f t="shared" si="3"/>
        <v xml:space="preserve"> </v>
      </c>
      <c r="I92" s="40" t="str">
        <f t="shared" si="10"/>
        <v xml:space="preserve"> </v>
      </c>
      <c r="J92" s="90" t="str">
        <f t="shared" ref="J92:L92" si="40">IF(J38=0," ",J38)</f>
        <v xml:space="preserve"> </v>
      </c>
      <c r="K92" s="90" t="str">
        <f t="shared" si="40"/>
        <v xml:space="preserve"> </v>
      </c>
      <c r="L92" s="91" t="str">
        <f t="shared" si="40"/>
        <v xml:space="preserve"> </v>
      </c>
      <c r="M92" s="27">
        <f t="shared" si="5"/>
        <v>0</v>
      </c>
      <c r="N92" s="67" t="str">
        <f t="shared" si="14"/>
        <v xml:space="preserve"> </v>
      </c>
      <c r="O92" s="67" t="str">
        <f t="shared" si="15"/>
        <v xml:space="preserve"> </v>
      </c>
      <c r="P92" s="72">
        <f t="shared" si="11"/>
        <v>0</v>
      </c>
      <c r="Q92" s="67" t="str">
        <f t="shared" si="16"/>
        <v xml:space="preserve"> </v>
      </c>
      <c r="R92" s="67" t="str">
        <f t="shared" si="17"/>
        <v xml:space="preserve"> </v>
      </c>
      <c r="S92" s="72">
        <f t="shared" si="12"/>
        <v>0</v>
      </c>
    </row>
    <row r="93" spans="6:19" ht="17.399999999999999" x14ac:dyDescent="0.4">
      <c r="F93">
        <f>IF(J93=" ",0,VLOOKUP(J93,'NOMINAS PSM&amp;BIO'!B:D,3,FALSE))</f>
        <v>0</v>
      </c>
      <c r="G93" t="str">
        <f t="shared" si="2"/>
        <v xml:space="preserve"> </v>
      </c>
      <c r="H93" s="73" t="str">
        <f t="shared" si="3"/>
        <v xml:space="preserve"> </v>
      </c>
      <c r="I93" s="40" t="str">
        <f t="shared" si="10"/>
        <v xml:space="preserve"> </v>
      </c>
      <c r="J93" s="90" t="str">
        <f t="shared" ref="J93:L93" si="41">IF(J39=0," ",J39)</f>
        <v xml:space="preserve"> </v>
      </c>
      <c r="K93" s="90" t="str">
        <f t="shared" si="41"/>
        <v xml:space="preserve"> </v>
      </c>
      <c r="L93" s="91" t="str">
        <f t="shared" si="41"/>
        <v xml:space="preserve"> </v>
      </c>
      <c r="M93" s="27">
        <f t="shared" si="5"/>
        <v>0</v>
      </c>
      <c r="N93" s="67" t="str">
        <f t="shared" si="14"/>
        <v xml:space="preserve"> </v>
      </c>
      <c r="O93" s="67" t="str">
        <f t="shared" si="15"/>
        <v xml:space="preserve"> </v>
      </c>
      <c r="P93" s="72">
        <f t="shared" si="11"/>
        <v>0</v>
      </c>
      <c r="Q93" s="67" t="str">
        <f t="shared" si="16"/>
        <v xml:space="preserve"> </v>
      </c>
      <c r="R93" s="67" t="str">
        <f t="shared" si="17"/>
        <v xml:space="preserve"> </v>
      </c>
      <c r="S93" s="72">
        <f t="shared" si="12"/>
        <v>0</v>
      </c>
    </row>
    <row r="94" spans="6:19" ht="17.399999999999999" x14ac:dyDescent="0.4">
      <c r="F94">
        <f>IF(J94=" ",0,VLOOKUP(J94,'NOMINAS PSM&amp;BIO'!B:D,3,FALSE))</f>
        <v>0</v>
      </c>
      <c r="G94" t="str">
        <f t="shared" si="2"/>
        <v xml:space="preserve"> </v>
      </c>
      <c r="H94" s="73" t="str">
        <f t="shared" si="3"/>
        <v xml:space="preserve"> </v>
      </c>
      <c r="I94" s="40" t="str">
        <f t="shared" si="10"/>
        <v xml:space="preserve"> </v>
      </c>
      <c r="J94" s="90" t="str">
        <f t="shared" ref="J94:L94" si="42">IF(J40=0," ",J40)</f>
        <v xml:space="preserve"> </v>
      </c>
      <c r="K94" s="90" t="str">
        <f t="shared" si="42"/>
        <v xml:space="preserve"> </v>
      </c>
      <c r="L94" s="91" t="str">
        <f t="shared" si="42"/>
        <v xml:space="preserve"> </v>
      </c>
      <c r="M94" s="27">
        <f t="shared" si="5"/>
        <v>0</v>
      </c>
      <c r="N94" s="67" t="str">
        <f t="shared" si="14"/>
        <v xml:space="preserve"> </v>
      </c>
      <c r="O94" s="67" t="str">
        <f t="shared" si="15"/>
        <v xml:space="preserve"> </v>
      </c>
      <c r="P94" s="72">
        <f t="shared" si="11"/>
        <v>0</v>
      </c>
      <c r="Q94" s="67" t="str">
        <f t="shared" si="16"/>
        <v xml:space="preserve"> </v>
      </c>
      <c r="R94" s="67" t="str">
        <f t="shared" si="17"/>
        <v xml:space="preserve"> </v>
      </c>
      <c r="S94" s="72">
        <f t="shared" si="12"/>
        <v>0</v>
      </c>
    </row>
    <row r="95" spans="6:19" ht="17.399999999999999" x14ac:dyDescent="0.4">
      <c r="F95">
        <f>IF(J95=" ",0,VLOOKUP(J95,'NOMINAS PSM&amp;BIO'!B:D,3,FALSE))</f>
        <v>0</v>
      </c>
      <c r="G95" t="str">
        <f t="shared" si="2"/>
        <v xml:space="preserve"> </v>
      </c>
      <c r="H95" s="73" t="str">
        <f t="shared" si="3"/>
        <v xml:space="preserve"> </v>
      </c>
      <c r="I95" s="40" t="str">
        <f t="shared" si="10"/>
        <v xml:space="preserve"> </v>
      </c>
      <c r="J95" s="90" t="str">
        <f t="shared" ref="J95:L95" si="43">IF(J41=0," ",J41)</f>
        <v xml:space="preserve"> </v>
      </c>
      <c r="K95" s="90" t="str">
        <f t="shared" si="43"/>
        <v xml:space="preserve"> </v>
      </c>
      <c r="L95" s="91" t="str">
        <f t="shared" si="43"/>
        <v xml:space="preserve"> </v>
      </c>
      <c r="M95" s="27">
        <f t="shared" si="5"/>
        <v>0</v>
      </c>
      <c r="N95" s="67" t="str">
        <f t="shared" si="14"/>
        <v xml:space="preserve"> </v>
      </c>
      <c r="O95" s="67" t="str">
        <f t="shared" si="15"/>
        <v xml:space="preserve"> </v>
      </c>
      <c r="P95" s="72">
        <f t="shared" si="11"/>
        <v>0</v>
      </c>
      <c r="Q95" s="67" t="str">
        <f t="shared" si="16"/>
        <v xml:space="preserve"> </v>
      </c>
      <c r="R95" s="67" t="str">
        <f t="shared" si="17"/>
        <v xml:space="preserve"> </v>
      </c>
      <c r="S95" s="72">
        <f t="shared" si="12"/>
        <v>0</v>
      </c>
    </row>
    <row r="96" spans="6:19" ht="17.399999999999999" x14ac:dyDescent="0.4">
      <c r="F96">
        <f>IF(J96=" ",0,VLOOKUP(J96,'NOMINAS PSM&amp;BIO'!B:D,3,FALSE))</f>
        <v>0</v>
      </c>
      <c r="G96" t="str">
        <f t="shared" si="2"/>
        <v xml:space="preserve"> </v>
      </c>
      <c r="H96" s="73" t="str">
        <f t="shared" si="3"/>
        <v xml:space="preserve"> </v>
      </c>
      <c r="I96" s="40" t="str">
        <f t="shared" si="10"/>
        <v xml:space="preserve"> </v>
      </c>
      <c r="J96" s="90" t="str">
        <f t="shared" ref="J96:L96" si="44">IF(J42=0," ",J42)</f>
        <v xml:space="preserve"> </v>
      </c>
      <c r="K96" s="90" t="str">
        <f t="shared" si="44"/>
        <v xml:space="preserve"> </v>
      </c>
      <c r="L96" s="91" t="str">
        <f t="shared" si="44"/>
        <v xml:space="preserve"> </v>
      </c>
      <c r="M96" s="27">
        <f t="shared" si="5"/>
        <v>0</v>
      </c>
      <c r="N96" s="67" t="str">
        <f t="shared" si="14"/>
        <v xml:space="preserve"> </v>
      </c>
      <c r="O96" s="67" t="str">
        <f t="shared" si="15"/>
        <v xml:space="preserve"> </v>
      </c>
      <c r="P96" s="72">
        <f t="shared" si="11"/>
        <v>0</v>
      </c>
      <c r="Q96" s="67" t="str">
        <f t="shared" si="16"/>
        <v xml:space="preserve"> </v>
      </c>
      <c r="R96" s="67" t="str">
        <f t="shared" si="17"/>
        <v xml:space="preserve"> </v>
      </c>
      <c r="S96" s="72">
        <f t="shared" si="12"/>
        <v>0</v>
      </c>
    </row>
    <row r="97" spans="6:19" ht="17.399999999999999" x14ac:dyDescent="0.4">
      <c r="F97">
        <f>IF(J97=" ",0,VLOOKUP(J97,'NOMINAS PSM&amp;BIO'!B:D,3,FALSE))</f>
        <v>0</v>
      </c>
      <c r="G97" t="str">
        <f t="shared" si="2"/>
        <v xml:space="preserve"> </v>
      </c>
      <c r="H97" s="73" t="str">
        <f t="shared" si="3"/>
        <v xml:space="preserve"> </v>
      </c>
      <c r="I97" s="40" t="str">
        <f t="shared" si="10"/>
        <v xml:space="preserve"> </v>
      </c>
      <c r="J97" s="90" t="str">
        <f t="shared" ref="J97:L97" si="45">IF(J43=0," ",J43)</f>
        <v xml:space="preserve"> </v>
      </c>
      <c r="K97" s="90" t="str">
        <f t="shared" si="45"/>
        <v xml:space="preserve"> </v>
      </c>
      <c r="L97" s="91" t="str">
        <f t="shared" si="45"/>
        <v xml:space="preserve"> </v>
      </c>
      <c r="M97" s="27">
        <f t="shared" si="5"/>
        <v>0</v>
      </c>
      <c r="N97" s="67" t="str">
        <f t="shared" si="14"/>
        <v xml:space="preserve"> </v>
      </c>
      <c r="O97" s="67" t="str">
        <f t="shared" si="15"/>
        <v xml:space="preserve"> </v>
      </c>
      <c r="P97" s="72">
        <f t="shared" si="11"/>
        <v>0</v>
      </c>
      <c r="Q97" s="67" t="str">
        <f t="shared" si="16"/>
        <v xml:space="preserve"> </v>
      </c>
      <c r="R97" s="67" t="str">
        <f t="shared" si="17"/>
        <v xml:space="preserve"> </v>
      </c>
      <c r="S97" s="72">
        <f t="shared" si="12"/>
        <v>0</v>
      </c>
    </row>
    <row r="98" spans="6:19" ht="17.399999999999999" hidden="1" x14ac:dyDescent="0.4">
      <c r="H98" s="73"/>
      <c r="I98" s="100"/>
      <c r="J98" s="101"/>
      <c r="K98" s="101"/>
      <c r="L98" s="102"/>
      <c r="M98" s="27"/>
      <c r="N98" s="67"/>
      <c r="O98" s="67"/>
      <c r="P98" s="74"/>
      <c r="Q98" s="67"/>
      <c r="R98" s="67"/>
      <c r="S98" s="74"/>
    </row>
    <row r="99" spans="6:19" ht="17.399999999999999" hidden="1" x14ac:dyDescent="0.4">
      <c r="H99" s="73"/>
      <c r="I99" s="100"/>
      <c r="J99" s="101"/>
      <c r="K99" s="101"/>
      <c r="L99" s="102"/>
      <c r="M99" s="27"/>
      <c r="N99" s="67"/>
      <c r="O99" s="67"/>
      <c r="P99" s="74"/>
      <c r="Q99" s="67"/>
      <c r="R99" s="67"/>
      <c r="S99" s="74"/>
    </row>
    <row r="100" spans="6:19" ht="17.399999999999999" hidden="1" x14ac:dyDescent="0.4">
      <c r="H100" s="73"/>
      <c r="I100" s="100"/>
      <c r="J100" s="101"/>
      <c r="K100" s="101"/>
      <c r="L100" s="102"/>
      <c r="M100" s="27"/>
      <c r="N100" s="67"/>
      <c r="O100" s="67"/>
      <c r="P100" s="74"/>
      <c r="Q100" s="67"/>
      <c r="R100" s="67"/>
      <c r="S100" s="74"/>
    </row>
    <row r="101" spans="6:19" ht="17.399999999999999" hidden="1" x14ac:dyDescent="0.4">
      <c r="H101" s="73"/>
      <c r="I101" s="100"/>
      <c r="J101" s="101"/>
      <c r="K101" s="101"/>
      <c r="L101" s="102"/>
      <c r="M101" s="27"/>
      <c r="N101" s="67"/>
      <c r="O101" s="67"/>
      <c r="P101" s="74"/>
      <c r="Q101" s="67"/>
      <c r="R101" s="67"/>
      <c r="S101" s="74"/>
    </row>
    <row r="102" spans="6:19" ht="20.399999999999999" thickBot="1" x14ac:dyDescent="0.5">
      <c r="I102" s="32"/>
      <c r="J102" s="81" t="s">
        <v>111</v>
      </c>
      <c r="K102" s="32"/>
      <c r="L102" s="32"/>
    </row>
    <row r="103" spans="6:19" ht="17.100000000000001" customHeight="1" thickBot="1" x14ac:dyDescent="0.45">
      <c r="I103" s="32"/>
      <c r="J103" s="35" t="s">
        <v>107</v>
      </c>
      <c r="K103" s="41">
        <f>IF(B3=0,B4,B3)</f>
        <v>0</v>
      </c>
      <c r="L103" s="32"/>
    </row>
    <row r="104" spans="6:19" ht="17.100000000000001" customHeight="1" thickBot="1" x14ac:dyDescent="0.45">
      <c r="I104" s="32"/>
      <c r="J104" s="35" t="s">
        <v>125</v>
      </c>
      <c r="K104" s="79">
        <f>IF(E4=0,E3,E4)</f>
        <v>0</v>
      </c>
      <c r="L104" s="32"/>
    </row>
    <row r="105" spans="6:19" ht="17.100000000000001" customHeight="1" thickBot="1" x14ac:dyDescent="0.45">
      <c r="I105" s="32"/>
      <c r="J105" s="35" t="s">
        <v>108</v>
      </c>
      <c r="K105" s="80">
        <f ca="1">H3</f>
        <v>0</v>
      </c>
      <c r="L105" s="32"/>
    </row>
    <row r="106" spans="6:19" ht="17.100000000000001" customHeight="1" thickBot="1" x14ac:dyDescent="0.45">
      <c r="I106" s="32"/>
      <c r="J106" s="35" t="s">
        <v>109</v>
      </c>
      <c r="K106" s="80">
        <f>H4</f>
        <v>0</v>
      </c>
      <c r="L106" s="32"/>
    </row>
    <row r="107" spans="6:19" ht="17.399999999999999" x14ac:dyDescent="0.4">
      <c r="I107" s="32"/>
      <c r="J107" s="35" t="s">
        <v>110</v>
      </c>
      <c r="K107" s="80">
        <f ca="1">K105+K106</f>
        <v>0</v>
      </c>
      <c r="L107" s="32"/>
    </row>
    <row r="108" spans="6:19" ht="17.399999999999999" x14ac:dyDescent="0.4">
      <c r="I108" s="32"/>
      <c r="J108" s="35"/>
      <c r="K108" s="78"/>
      <c r="L108" s="32"/>
    </row>
    <row r="109" spans="6:19" ht="17.399999999999999" x14ac:dyDescent="0.4">
      <c r="I109" s="32"/>
      <c r="J109" s="35"/>
      <c r="K109" s="78"/>
      <c r="L109" s="32"/>
    </row>
  </sheetData>
  <sortState ref="J11:M50">
    <sortCondition ref="J11"/>
  </sortState>
  <mergeCells count="7">
    <mergeCell ref="L2:N2"/>
    <mergeCell ref="B2:H2"/>
    <mergeCell ref="J6:J8"/>
    <mergeCell ref="B3:D3"/>
    <mergeCell ref="B4:D4"/>
    <mergeCell ref="E4:G4"/>
    <mergeCell ref="E3:G3"/>
  </mergeCells>
  <conditionalFormatting sqref="J6:J8">
    <cfRule type="cellIs" dxfId="113" priority="4" operator="equal">
      <formula>"OJO PERSONA YA ESTA EN LISTA, REVISA BIEN POR FAVOR"</formula>
    </cfRule>
  </conditionalFormatting>
  <conditionalFormatting sqref="H3">
    <cfRule type="cellIs" dxfId="112" priority="3" operator="equal">
      <formula>"Es 100%"</formula>
    </cfRule>
  </conditionalFormatting>
  <conditionalFormatting sqref="L2:N2">
    <cfRule type="cellIs" dxfId="111" priority="1" operator="equal">
      <formula>"INGRESE # DE NOCHE POR FAVOR"</formula>
    </cfRule>
  </conditionalFormatting>
  <pageMargins left="0.53" right="0.42" top="0.15748031496062992" bottom="0.12" header="0.22" footer="0.14000000000000001"/>
  <pageSetup scale="90" orientation="portrait" r:id="rId2"/>
  <headerFooter>
    <oddFooter>&amp;L&amp;"-,Negrita"&amp;12ELABORADO POR: __________&amp;C&amp;"-,Negrita"&amp;12REVISADO POR: __________&amp;R&amp;"-,Negrita"&amp;12VISTO BUENO POR: __________</oddFooter>
  </headerFooter>
  <drawing r:id="rId3"/>
  <legacyDrawing r:id="rId4"/>
  <controls>
    <mc:AlternateContent xmlns:mc="http://schemas.openxmlformats.org/markup-compatibility/2006">
      <mc:Choice Requires="x14">
        <control shapeId="1025" r:id="rId5" name="TextBox1">
          <controlPr defaultSize="0" autoLine="0" r:id="rId6">
            <anchor moveWithCells="1">
              <from>
                <xdr:col>0</xdr:col>
                <xdr:colOff>0</xdr:colOff>
                <xdr:row>7</xdr:row>
                <xdr:rowOff>83820</xdr:rowOff>
              </from>
              <to>
                <xdr:col>1</xdr:col>
                <xdr:colOff>297180</xdr:colOff>
                <xdr:row>9</xdr:row>
                <xdr:rowOff>0</xdr:rowOff>
              </to>
            </anchor>
          </controlPr>
        </control>
      </mc:Choice>
      <mc:Fallback>
        <control shapeId="1025" r:id="rId5" name="TextBox1"/>
      </mc:Fallback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Agrega_List_Transf">
            <anchor moveWithCells="1" sizeWithCells="1">
              <from>
                <xdr:col>10</xdr:col>
                <xdr:colOff>114300</xdr:colOff>
                <xdr:row>5</xdr:row>
                <xdr:rowOff>152400</xdr:rowOff>
              </from>
              <to>
                <xdr:col>11</xdr:col>
                <xdr:colOff>38100</xdr:colOff>
                <xdr:row>7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8" name="Button 13">
          <controlPr defaultSize="0" print="0" autoFill="0" autoPict="0" macro="[0]!Reg_Personal_Transf">
            <anchor moveWithCells="1" sizeWithCells="1">
              <from>
                <xdr:col>13</xdr:col>
                <xdr:colOff>152400</xdr:colOff>
                <xdr:row>5</xdr:row>
                <xdr:rowOff>76200</xdr:rowOff>
              </from>
              <to>
                <xdr:col>13</xdr:col>
                <xdr:colOff>1203960</xdr:colOff>
                <xdr:row>8</xdr:row>
                <xdr:rowOff>114300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FUNCIONES!$B$3:$B$12</xm:f>
          </x14:formula1>
          <xm:sqref>K5 K11:K50</xm:sqref>
        </x14:dataValidation>
        <x14:dataValidation type="list" allowBlank="1" showInputMessage="1" showErrorMessage="1">
          <x14:formula1>
            <xm:f>FUNCIONES!$D$3:$D$9</xm:f>
          </x14:formula1>
          <xm:sqref>L5 L11:L50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N206"/>
  <sheetViews>
    <sheetView zoomScale="90" zoomScaleNormal="90" workbookViewId="0">
      <selection activeCell="E3" sqref="E3"/>
    </sheetView>
  </sheetViews>
  <sheetFormatPr baseColWidth="10" defaultRowHeight="14.4" x14ac:dyDescent="0.3"/>
  <cols>
    <col min="1" max="1" width="12.33203125" bestFit="1" customWidth="1"/>
    <col min="2" max="2" width="7.33203125" bestFit="1" customWidth="1"/>
    <col min="4" max="4" width="8.109375" bestFit="1" customWidth="1"/>
    <col min="5" max="5" width="35.6640625" customWidth="1"/>
    <col min="6" max="6" width="15.6640625" customWidth="1"/>
    <col min="7" max="7" width="15.109375" bestFit="1" customWidth="1"/>
    <col min="8" max="8" width="9.6640625" customWidth="1"/>
    <col min="9" max="10" width="12.6640625" customWidth="1"/>
    <col min="11" max="11" width="9.6640625" customWidth="1"/>
    <col min="12" max="13" width="12.6640625" customWidth="1"/>
    <col min="14" max="14" width="9.6640625" customWidth="1"/>
  </cols>
  <sheetData>
    <row r="2" spans="1:14" ht="25.5" customHeight="1" x14ac:dyDescent="0.3">
      <c r="A2" s="75" t="s">
        <v>41</v>
      </c>
      <c r="B2" s="75" t="s">
        <v>83</v>
      </c>
      <c r="C2" s="75" t="s">
        <v>80</v>
      </c>
      <c r="D2" s="75" t="s">
        <v>75</v>
      </c>
      <c r="E2" s="75" t="s">
        <v>76</v>
      </c>
      <c r="F2" s="75" t="s">
        <v>77</v>
      </c>
      <c r="G2" s="75" t="s">
        <v>95</v>
      </c>
      <c r="H2" s="75" t="s">
        <v>118</v>
      </c>
      <c r="I2" s="76" t="s">
        <v>103</v>
      </c>
      <c r="J2" s="76" t="s">
        <v>104</v>
      </c>
      <c r="K2" s="76" t="s">
        <v>99</v>
      </c>
      <c r="L2" s="76" t="s">
        <v>105</v>
      </c>
      <c r="M2" s="76" t="s">
        <v>106</v>
      </c>
      <c r="N2" s="76" t="s">
        <v>100</v>
      </c>
    </row>
    <row r="3" spans="1:14" x14ac:dyDescent="0.3">
      <c r="A3" s="31" t="s">
        <v>42</v>
      </c>
      <c r="B3" s="27">
        <v>1</v>
      </c>
      <c r="C3" s="47">
        <v>43118</v>
      </c>
      <c r="D3" s="27">
        <v>1</v>
      </c>
      <c r="E3" t="s">
        <v>31</v>
      </c>
      <c r="F3" t="s">
        <v>79</v>
      </c>
      <c r="G3" t="s">
        <v>88</v>
      </c>
      <c r="H3" s="27">
        <v>0</v>
      </c>
      <c r="I3" s="67">
        <v>0.83333333333333337</v>
      </c>
      <c r="J3" s="67">
        <v>1</v>
      </c>
      <c r="K3" s="74">
        <v>3.9999999999999991</v>
      </c>
      <c r="L3" s="67">
        <v>0</v>
      </c>
      <c r="M3" s="67">
        <v>0.125</v>
      </c>
      <c r="N3" s="74">
        <v>3</v>
      </c>
    </row>
    <row r="4" spans="1:14" s="103" customFormat="1" x14ac:dyDescent="0.3">
      <c r="A4" s="31" t="s">
        <v>71</v>
      </c>
      <c r="B4" s="27">
        <v>1</v>
      </c>
      <c r="C4" s="47">
        <v>43118</v>
      </c>
      <c r="D4" s="27">
        <v>2</v>
      </c>
      <c r="E4" s="103" t="s">
        <v>69</v>
      </c>
      <c r="F4" s="103" t="s">
        <v>79</v>
      </c>
      <c r="G4" s="103" t="s">
        <v>88</v>
      </c>
      <c r="H4" s="27">
        <v>0</v>
      </c>
      <c r="I4" s="67">
        <v>0.83333333333333337</v>
      </c>
      <c r="J4" s="67">
        <v>1</v>
      </c>
      <c r="K4" s="74">
        <v>3.9999999999999991</v>
      </c>
      <c r="L4" s="67">
        <v>0</v>
      </c>
      <c r="M4" s="67">
        <v>0.125</v>
      </c>
      <c r="N4" s="74">
        <v>3</v>
      </c>
    </row>
    <row r="5" spans="1:14" s="103" customFormat="1" x14ac:dyDescent="0.3">
      <c r="A5" s="31" t="s">
        <v>71</v>
      </c>
      <c r="B5" s="27">
        <v>1</v>
      </c>
      <c r="C5" s="47">
        <v>43118</v>
      </c>
      <c r="D5" s="27">
        <v>3</v>
      </c>
      <c r="E5" s="103" t="s">
        <v>139</v>
      </c>
      <c r="F5" s="103" t="s">
        <v>89</v>
      </c>
      <c r="G5" s="103" t="s">
        <v>88</v>
      </c>
      <c r="H5" s="27">
        <v>0</v>
      </c>
      <c r="I5" s="67">
        <v>0.83333333333333337</v>
      </c>
      <c r="J5" s="67">
        <v>1</v>
      </c>
      <c r="K5" s="74">
        <v>3.9999999999999991</v>
      </c>
      <c r="L5" s="67">
        <v>0</v>
      </c>
      <c r="M5" s="67">
        <v>0.125</v>
      </c>
      <c r="N5" s="74">
        <v>3</v>
      </c>
    </row>
    <row r="6" spans="1:14" s="103" customFormat="1" x14ac:dyDescent="0.3">
      <c r="A6" s="31" t="s">
        <v>42</v>
      </c>
      <c r="B6" s="27">
        <v>1</v>
      </c>
      <c r="C6" s="47">
        <v>43118</v>
      </c>
      <c r="D6" s="27">
        <v>4</v>
      </c>
      <c r="E6" s="103" t="s">
        <v>40</v>
      </c>
      <c r="F6" s="103" t="s">
        <v>89</v>
      </c>
      <c r="G6" s="103" t="s">
        <v>88</v>
      </c>
      <c r="H6" s="27">
        <v>0</v>
      </c>
      <c r="I6" s="67">
        <v>0.83333333333333337</v>
      </c>
      <c r="J6" s="67">
        <v>1</v>
      </c>
      <c r="K6" s="74">
        <v>3.9999999999999991</v>
      </c>
      <c r="L6" s="67">
        <v>0</v>
      </c>
      <c r="M6" s="67">
        <v>0.125</v>
      </c>
      <c r="N6" s="74">
        <v>3</v>
      </c>
    </row>
    <row r="7" spans="1:14" s="103" customFormat="1" x14ac:dyDescent="0.3">
      <c r="A7" s="31" t="s">
        <v>42</v>
      </c>
      <c r="B7" s="27">
        <v>1</v>
      </c>
      <c r="C7" s="47">
        <v>43118</v>
      </c>
      <c r="D7" s="27">
        <v>5</v>
      </c>
      <c r="E7" s="103" t="s">
        <v>39</v>
      </c>
      <c r="F7" s="103" t="s">
        <v>89</v>
      </c>
      <c r="G7" s="103" t="s">
        <v>88</v>
      </c>
      <c r="H7" s="27">
        <v>0</v>
      </c>
      <c r="I7" s="67">
        <v>0.83333333333333337</v>
      </c>
      <c r="J7" s="67">
        <v>1</v>
      </c>
      <c r="K7" s="74">
        <v>3.9999999999999991</v>
      </c>
      <c r="L7" s="67">
        <v>0</v>
      </c>
      <c r="M7" s="67">
        <v>0.125</v>
      </c>
      <c r="N7" s="74">
        <v>3</v>
      </c>
    </row>
    <row r="8" spans="1:14" s="103" customFormat="1" x14ac:dyDescent="0.3">
      <c r="A8" s="31" t="s">
        <v>42</v>
      </c>
      <c r="B8" s="27">
        <v>1</v>
      </c>
      <c r="C8" s="47">
        <v>43118</v>
      </c>
      <c r="D8" s="27">
        <v>6</v>
      </c>
      <c r="E8" s="103" t="s">
        <v>33</v>
      </c>
      <c r="F8" s="103" t="s">
        <v>90</v>
      </c>
      <c r="G8" s="103" t="s">
        <v>88</v>
      </c>
      <c r="H8" s="27">
        <v>0</v>
      </c>
      <c r="I8" s="67">
        <v>0.83333333333333337</v>
      </c>
      <c r="J8" s="67">
        <v>1</v>
      </c>
      <c r="K8" s="74">
        <v>3.9999999999999991</v>
      </c>
      <c r="L8" s="67">
        <v>0</v>
      </c>
      <c r="M8" s="67">
        <v>0.125</v>
      </c>
      <c r="N8" s="74">
        <v>3</v>
      </c>
    </row>
    <row r="9" spans="1:14" s="103" customFormat="1" x14ac:dyDescent="0.3">
      <c r="A9" s="31" t="s">
        <v>42</v>
      </c>
      <c r="B9" s="27">
        <v>1</v>
      </c>
      <c r="C9" s="47">
        <v>43118</v>
      </c>
      <c r="D9" s="27">
        <v>7</v>
      </c>
      <c r="E9" s="103" t="s">
        <v>24</v>
      </c>
      <c r="F9" s="103" t="s">
        <v>91</v>
      </c>
      <c r="G9" s="103" t="s">
        <v>88</v>
      </c>
      <c r="H9" s="27">
        <v>0</v>
      </c>
      <c r="I9" s="67">
        <v>0.83333333333333337</v>
      </c>
      <c r="J9" s="67">
        <v>1</v>
      </c>
      <c r="K9" s="74">
        <v>3.9999999999999991</v>
      </c>
      <c r="L9" s="67">
        <v>0</v>
      </c>
      <c r="M9" s="67">
        <v>0.125</v>
      </c>
      <c r="N9" s="74">
        <v>3</v>
      </c>
    </row>
    <row r="10" spans="1:14" s="103" customFormat="1" x14ac:dyDescent="0.3">
      <c r="A10" s="31" t="s">
        <v>71</v>
      </c>
      <c r="B10" s="27">
        <v>1</v>
      </c>
      <c r="C10" s="47">
        <v>43118</v>
      </c>
      <c r="D10" s="27">
        <v>8</v>
      </c>
      <c r="E10" s="103" t="s">
        <v>47</v>
      </c>
      <c r="F10" s="103" t="s">
        <v>91</v>
      </c>
      <c r="G10" s="103" t="s">
        <v>88</v>
      </c>
      <c r="H10" s="27">
        <v>0</v>
      </c>
      <c r="I10" s="67">
        <v>0.83333333333333337</v>
      </c>
      <c r="J10" s="67">
        <v>1</v>
      </c>
      <c r="K10" s="74">
        <v>3.9999999999999991</v>
      </c>
      <c r="L10" s="67">
        <v>0</v>
      </c>
      <c r="M10" s="67">
        <v>0.125</v>
      </c>
      <c r="N10" s="74">
        <v>3</v>
      </c>
    </row>
    <row r="11" spans="1:14" s="103" customFormat="1" x14ac:dyDescent="0.3">
      <c r="A11" s="31" t="s">
        <v>42</v>
      </c>
      <c r="B11" s="27">
        <v>1</v>
      </c>
      <c r="C11" s="47">
        <v>43118</v>
      </c>
      <c r="D11" s="27">
        <v>9</v>
      </c>
      <c r="E11" s="103" t="s">
        <v>97</v>
      </c>
      <c r="F11" s="103" t="s">
        <v>98</v>
      </c>
      <c r="G11" s="103" t="s">
        <v>146</v>
      </c>
      <c r="H11" s="27">
        <v>0</v>
      </c>
      <c r="I11" s="67">
        <v>0.83333333333333337</v>
      </c>
      <c r="J11" s="67">
        <v>1</v>
      </c>
      <c r="K11" s="74">
        <v>3.9999999999999991</v>
      </c>
      <c r="L11" s="67">
        <v>0</v>
      </c>
      <c r="M11" s="67">
        <v>0.125</v>
      </c>
      <c r="N11" s="74">
        <v>3</v>
      </c>
    </row>
    <row r="12" spans="1:14" s="103" customFormat="1" x14ac:dyDescent="0.3">
      <c r="A12" s="31" t="s">
        <v>71</v>
      </c>
      <c r="B12" s="27">
        <v>1</v>
      </c>
      <c r="C12" s="47">
        <v>43118</v>
      </c>
      <c r="D12" s="27">
        <v>10</v>
      </c>
      <c r="E12" s="103" t="s">
        <v>57</v>
      </c>
      <c r="F12" s="103" t="s">
        <v>98</v>
      </c>
      <c r="G12" s="103" t="s">
        <v>146</v>
      </c>
      <c r="H12" s="27">
        <v>0</v>
      </c>
      <c r="I12" s="67">
        <v>0.83333333333333337</v>
      </c>
      <c r="J12" s="67">
        <v>1</v>
      </c>
      <c r="K12" s="74">
        <v>3.9999999999999991</v>
      </c>
      <c r="L12" s="67">
        <v>0</v>
      </c>
      <c r="M12" s="67">
        <v>0.125</v>
      </c>
      <c r="N12" s="74">
        <v>3</v>
      </c>
    </row>
    <row r="13" spans="1:14" s="103" customFormat="1" x14ac:dyDescent="0.3">
      <c r="A13" s="31" t="s">
        <v>42</v>
      </c>
      <c r="B13" s="27">
        <v>1</v>
      </c>
      <c r="C13" s="47">
        <v>43118</v>
      </c>
      <c r="D13" s="27">
        <v>11</v>
      </c>
      <c r="E13" s="103" t="s">
        <v>22</v>
      </c>
      <c r="F13" s="103" t="s">
        <v>98</v>
      </c>
      <c r="G13" s="103" t="s">
        <v>147</v>
      </c>
      <c r="H13" s="27">
        <v>0</v>
      </c>
      <c r="I13" s="67">
        <v>0.83333333333333337</v>
      </c>
      <c r="J13" s="67">
        <v>1</v>
      </c>
      <c r="K13" s="74">
        <v>3.9999999999999991</v>
      </c>
      <c r="L13" s="67">
        <v>0</v>
      </c>
      <c r="M13" s="67">
        <v>0.125</v>
      </c>
      <c r="N13" s="74">
        <v>3</v>
      </c>
    </row>
    <row r="14" spans="1:14" s="103" customFormat="1" x14ac:dyDescent="0.3">
      <c r="A14" s="31" t="s">
        <v>71</v>
      </c>
      <c r="B14" s="27">
        <v>1</v>
      </c>
      <c r="C14" s="47">
        <v>43118</v>
      </c>
      <c r="D14" s="27">
        <v>12</v>
      </c>
      <c r="E14" s="103" t="s">
        <v>59</v>
      </c>
      <c r="F14" s="103" t="s">
        <v>98</v>
      </c>
      <c r="G14" s="103" t="s">
        <v>147</v>
      </c>
      <c r="H14" s="27">
        <v>0</v>
      </c>
      <c r="I14" s="67">
        <v>0.83333333333333337</v>
      </c>
      <c r="J14" s="67">
        <v>1</v>
      </c>
      <c r="K14" s="74">
        <v>3.9999999999999991</v>
      </c>
      <c r="L14" s="67">
        <v>0</v>
      </c>
      <c r="M14" s="67">
        <v>0.125</v>
      </c>
      <c r="N14" s="74">
        <v>3</v>
      </c>
    </row>
    <row r="15" spans="1:14" s="103" customFormat="1" x14ac:dyDescent="0.3">
      <c r="A15" s="31" t="s">
        <v>42</v>
      </c>
      <c r="B15" s="27">
        <v>1</v>
      </c>
      <c r="C15" s="47">
        <v>43118</v>
      </c>
      <c r="D15" s="27">
        <v>13</v>
      </c>
      <c r="E15" s="103" t="s">
        <v>25</v>
      </c>
      <c r="F15" s="103" t="s">
        <v>98</v>
      </c>
      <c r="G15" s="103" t="s">
        <v>148</v>
      </c>
      <c r="H15" s="27">
        <v>0</v>
      </c>
      <c r="I15" s="67">
        <v>0.83333333333333337</v>
      </c>
      <c r="J15" s="67">
        <v>1</v>
      </c>
      <c r="K15" s="74">
        <v>3.9999999999999991</v>
      </c>
      <c r="L15" s="67">
        <v>0</v>
      </c>
      <c r="M15" s="67">
        <v>0.125</v>
      </c>
      <c r="N15" s="74">
        <v>3</v>
      </c>
    </row>
    <row r="16" spans="1:14" s="103" customFormat="1" x14ac:dyDescent="0.3">
      <c r="A16" s="31" t="s">
        <v>42</v>
      </c>
      <c r="B16" s="27">
        <v>1</v>
      </c>
      <c r="C16" s="47">
        <v>43118</v>
      </c>
      <c r="D16" s="27">
        <v>14</v>
      </c>
      <c r="E16" s="103" t="s">
        <v>38</v>
      </c>
      <c r="F16" s="103" t="s">
        <v>98</v>
      </c>
      <c r="G16" s="103" t="s">
        <v>148</v>
      </c>
      <c r="H16" s="27">
        <v>0</v>
      </c>
      <c r="I16" s="67">
        <v>0.83333333333333337</v>
      </c>
      <c r="J16" s="67">
        <v>1</v>
      </c>
      <c r="K16" s="74">
        <v>3.9999999999999991</v>
      </c>
      <c r="L16" s="67">
        <v>0</v>
      </c>
      <c r="M16" s="67">
        <v>0.125</v>
      </c>
      <c r="N16" s="74">
        <v>3</v>
      </c>
    </row>
    <row r="17" spans="1:14" s="103" customFormat="1" x14ac:dyDescent="0.3">
      <c r="A17" s="31" t="s">
        <v>71</v>
      </c>
      <c r="B17" s="27">
        <v>1</v>
      </c>
      <c r="C17" s="47">
        <v>43118</v>
      </c>
      <c r="D17" s="27">
        <v>15</v>
      </c>
      <c r="E17" s="103" t="s">
        <v>45</v>
      </c>
      <c r="F17" s="103" t="s">
        <v>98</v>
      </c>
      <c r="G17" s="103" t="s">
        <v>149</v>
      </c>
      <c r="H17" s="27">
        <v>0</v>
      </c>
      <c r="I17" s="67">
        <v>0.83333333333333337</v>
      </c>
      <c r="J17" s="67">
        <v>1</v>
      </c>
      <c r="K17" s="74">
        <v>3.9999999999999991</v>
      </c>
      <c r="L17" s="67">
        <v>0</v>
      </c>
      <c r="M17" s="67">
        <v>0.125</v>
      </c>
      <c r="N17" s="74">
        <v>3</v>
      </c>
    </row>
    <row r="18" spans="1:14" s="103" customFormat="1" x14ac:dyDescent="0.3">
      <c r="A18" s="31" t="s">
        <v>71</v>
      </c>
      <c r="B18" s="27">
        <v>1</v>
      </c>
      <c r="C18" s="47">
        <v>43118</v>
      </c>
      <c r="D18" s="27">
        <v>16</v>
      </c>
      <c r="E18" s="103" t="s">
        <v>51</v>
      </c>
      <c r="F18" s="103" t="s">
        <v>98</v>
      </c>
      <c r="G18" s="103" t="s">
        <v>149</v>
      </c>
      <c r="H18" s="27">
        <v>0</v>
      </c>
      <c r="I18" s="67">
        <v>0.83333333333333337</v>
      </c>
      <c r="J18" s="67">
        <v>1</v>
      </c>
      <c r="K18" s="74">
        <v>3.9999999999999991</v>
      </c>
      <c r="L18" s="67">
        <v>0</v>
      </c>
      <c r="M18" s="67">
        <v>0.125</v>
      </c>
      <c r="N18" s="74">
        <v>3</v>
      </c>
    </row>
    <row r="19" spans="1:14" s="103" customFormat="1" x14ac:dyDescent="0.3">
      <c r="A19" s="31" t="s">
        <v>71</v>
      </c>
      <c r="B19" s="27">
        <v>1</v>
      </c>
      <c r="C19" s="47">
        <v>43118</v>
      </c>
      <c r="D19" s="27">
        <v>17</v>
      </c>
      <c r="E19" s="103" t="s">
        <v>53</v>
      </c>
      <c r="F19" s="103" t="s">
        <v>98</v>
      </c>
      <c r="G19" s="103" t="s">
        <v>150</v>
      </c>
      <c r="H19" s="27">
        <v>0</v>
      </c>
      <c r="I19" s="67">
        <v>0.83333333333333337</v>
      </c>
      <c r="J19" s="67">
        <v>1</v>
      </c>
      <c r="K19" s="74">
        <v>3.9999999999999991</v>
      </c>
      <c r="L19" s="67">
        <v>0</v>
      </c>
      <c r="M19" s="67">
        <v>0.125</v>
      </c>
      <c r="N19" s="74">
        <v>3</v>
      </c>
    </row>
    <row r="20" spans="1:14" s="103" customFormat="1" x14ac:dyDescent="0.3">
      <c r="A20" s="31" t="s">
        <v>71</v>
      </c>
      <c r="B20" s="27">
        <v>1</v>
      </c>
      <c r="C20" s="47">
        <v>43118</v>
      </c>
      <c r="D20" s="27">
        <v>18</v>
      </c>
      <c r="E20" s="103" t="s">
        <v>144</v>
      </c>
      <c r="F20" s="103" t="s">
        <v>98</v>
      </c>
      <c r="G20" s="103" t="s">
        <v>150</v>
      </c>
      <c r="H20" s="27">
        <v>0</v>
      </c>
      <c r="I20" s="67">
        <v>0.83333333333333337</v>
      </c>
      <c r="J20" s="67">
        <v>1</v>
      </c>
      <c r="K20" s="74">
        <v>3.9999999999999991</v>
      </c>
      <c r="L20" s="67">
        <v>0</v>
      </c>
      <c r="M20" s="67">
        <v>0.125</v>
      </c>
      <c r="N20" s="74">
        <v>3</v>
      </c>
    </row>
    <row r="21" spans="1:14" s="103" customFormat="1" x14ac:dyDescent="0.3">
      <c r="A21" s="31" t="s">
        <v>71</v>
      </c>
      <c r="B21" s="27">
        <v>1</v>
      </c>
      <c r="C21" s="47">
        <v>43118</v>
      </c>
      <c r="D21" s="27">
        <v>19</v>
      </c>
      <c r="E21" s="103" t="s">
        <v>49</v>
      </c>
      <c r="F21" s="103" t="s">
        <v>98</v>
      </c>
      <c r="G21" s="103" t="s">
        <v>151</v>
      </c>
      <c r="H21" s="27">
        <v>0</v>
      </c>
      <c r="I21" s="67">
        <v>0.83333333333333337</v>
      </c>
      <c r="J21" s="67">
        <v>1</v>
      </c>
      <c r="K21" s="74">
        <v>3.9999999999999991</v>
      </c>
      <c r="L21" s="67">
        <v>0</v>
      </c>
      <c r="M21" s="67">
        <v>0.125</v>
      </c>
      <c r="N21" s="74">
        <v>3</v>
      </c>
    </row>
    <row r="22" spans="1:14" s="103" customFormat="1" x14ac:dyDescent="0.3">
      <c r="A22" s="31" t="s">
        <v>42</v>
      </c>
      <c r="B22" s="27">
        <v>1</v>
      </c>
      <c r="C22" s="47">
        <v>43118</v>
      </c>
      <c r="D22" s="27">
        <v>20</v>
      </c>
      <c r="E22" s="103" t="s">
        <v>36</v>
      </c>
      <c r="F22" s="103" t="s">
        <v>98</v>
      </c>
      <c r="G22" s="103" t="s">
        <v>151</v>
      </c>
      <c r="H22" s="27">
        <v>0</v>
      </c>
      <c r="I22" s="67">
        <v>0.83333333333333337</v>
      </c>
      <c r="J22" s="67">
        <v>1</v>
      </c>
      <c r="K22" s="74">
        <v>3.9999999999999991</v>
      </c>
      <c r="L22" s="67">
        <v>0</v>
      </c>
      <c r="M22" s="67">
        <v>0.125</v>
      </c>
      <c r="N22" s="74">
        <v>3</v>
      </c>
    </row>
    <row r="23" spans="1:14" s="103" customFormat="1" x14ac:dyDescent="0.3">
      <c r="A23" s="31" t="s">
        <v>42</v>
      </c>
      <c r="B23" s="27">
        <v>1</v>
      </c>
      <c r="C23" s="47">
        <v>43118</v>
      </c>
      <c r="D23" s="27">
        <v>21</v>
      </c>
      <c r="E23" s="103" t="s">
        <v>141</v>
      </c>
      <c r="F23" s="103" t="s">
        <v>92</v>
      </c>
      <c r="G23" s="103" t="s">
        <v>88</v>
      </c>
      <c r="H23" s="27">
        <v>0</v>
      </c>
      <c r="I23" s="67">
        <v>0.83333333333333337</v>
      </c>
      <c r="J23" s="67">
        <v>1</v>
      </c>
      <c r="K23" s="74">
        <v>3.9999999999999991</v>
      </c>
      <c r="L23" s="67">
        <v>0</v>
      </c>
      <c r="M23" s="67">
        <v>0.125</v>
      </c>
      <c r="N23" s="74">
        <v>3</v>
      </c>
    </row>
    <row r="24" spans="1:14" s="103" customFormat="1" x14ac:dyDescent="0.3">
      <c r="A24" s="31" t="s">
        <v>42</v>
      </c>
      <c r="B24" s="27">
        <v>1</v>
      </c>
      <c r="C24" s="47">
        <v>43118</v>
      </c>
      <c r="D24" s="27">
        <v>22</v>
      </c>
      <c r="E24" s="103" t="s">
        <v>27</v>
      </c>
      <c r="F24" s="103" t="s">
        <v>88</v>
      </c>
      <c r="G24" s="103" t="s">
        <v>88</v>
      </c>
      <c r="H24" s="27">
        <v>0</v>
      </c>
      <c r="I24" s="67">
        <v>0.83333333333333337</v>
      </c>
      <c r="J24" s="67">
        <v>1</v>
      </c>
      <c r="K24" s="74">
        <v>3.9999999999999991</v>
      </c>
      <c r="L24" s="67">
        <v>0</v>
      </c>
      <c r="M24" s="67">
        <v>0.125</v>
      </c>
      <c r="N24" s="74">
        <v>3</v>
      </c>
    </row>
    <row r="25" spans="1:14" s="103" customFormat="1" x14ac:dyDescent="0.3">
      <c r="A25" s="31">
        <v>0</v>
      </c>
      <c r="B25" s="27" t="s">
        <v>88</v>
      </c>
      <c r="C25" s="47" t="s">
        <v>88</v>
      </c>
      <c r="D25" s="27" t="s">
        <v>88</v>
      </c>
      <c r="E25" s="103" t="s">
        <v>88</v>
      </c>
      <c r="F25" s="103" t="s">
        <v>88</v>
      </c>
      <c r="G25" s="103" t="s">
        <v>88</v>
      </c>
      <c r="H25" s="27">
        <v>0</v>
      </c>
      <c r="I25" s="67" t="s">
        <v>88</v>
      </c>
      <c r="J25" s="67" t="s">
        <v>88</v>
      </c>
      <c r="K25" s="74">
        <v>0</v>
      </c>
      <c r="L25" s="67" t="s">
        <v>88</v>
      </c>
      <c r="M25" s="67" t="s">
        <v>88</v>
      </c>
      <c r="N25" s="74">
        <v>0</v>
      </c>
    </row>
    <row r="26" spans="1:14" s="103" customFormat="1" x14ac:dyDescent="0.3">
      <c r="A26" s="31">
        <v>0</v>
      </c>
      <c r="B26" s="27" t="s">
        <v>88</v>
      </c>
      <c r="C26" s="47" t="s">
        <v>88</v>
      </c>
      <c r="D26" s="27" t="s">
        <v>88</v>
      </c>
      <c r="E26" s="103" t="s">
        <v>88</v>
      </c>
      <c r="F26" s="103" t="s">
        <v>88</v>
      </c>
      <c r="G26" s="103" t="s">
        <v>88</v>
      </c>
      <c r="H26" s="27">
        <v>0</v>
      </c>
      <c r="I26" s="67" t="s">
        <v>88</v>
      </c>
      <c r="J26" s="67" t="s">
        <v>88</v>
      </c>
      <c r="K26" s="74">
        <v>0</v>
      </c>
      <c r="L26" s="67" t="s">
        <v>88</v>
      </c>
      <c r="M26" s="67" t="s">
        <v>88</v>
      </c>
      <c r="N26" s="74">
        <v>0</v>
      </c>
    </row>
    <row r="27" spans="1:14" s="103" customFormat="1" x14ac:dyDescent="0.3">
      <c r="A27" s="31">
        <v>0</v>
      </c>
      <c r="B27" s="27" t="s">
        <v>88</v>
      </c>
      <c r="C27" s="47" t="s">
        <v>88</v>
      </c>
      <c r="D27" s="27" t="s">
        <v>88</v>
      </c>
      <c r="E27" s="103" t="s">
        <v>88</v>
      </c>
      <c r="F27" s="103" t="s">
        <v>88</v>
      </c>
      <c r="G27" s="103" t="s">
        <v>88</v>
      </c>
      <c r="H27" s="27">
        <v>0</v>
      </c>
      <c r="I27" s="67" t="s">
        <v>88</v>
      </c>
      <c r="J27" s="67" t="s">
        <v>88</v>
      </c>
      <c r="K27" s="74">
        <v>0</v>
      </c>
      <c r="L27" s="67" t="s">
        <v>88</v>
      </c>
      <c r="M27" s="67" t="s">
        <v>88</v>
      </c>
      <c r="N27" s="74">
        <v>0</v>
      </c>
    </row>
    <row r="28" spans="1:14" s="103" customFormat="1" x14ac:dyDescent="0.3">
      <c r="A28" s="31">
        <v>0</v>
      </c>
      <c r="B28" s="27" t="s">
        <v>88</v>
      </c>
      <c r="C28" s="47" t="s">
        <v>88</v>
      </c>
      <c r="D28" s="27" t="s">
        <v>88</v>
      </c>
      <c r="E28" s="103" t="s">
        <v>88</v>
      </c>
      <c r="F28" s="103" t="s">
        <v>88</v>
      </c>
      <c r="G28" s="103" t="s">
        <v>88</v>
      </c>
      <c r="H28" s="27">
        <v>0</v>
      </c>
      <c r="I28" s="67" t="s">
        <v>88</v>
      </c>
      <c r="J28" s="67" t="s">
        <v>88</v>
      </c>
      <c r="K28" s="74">
        <v>0</v>
      </c>
      <c r="L28" s="67" t="s">
        <v>88</v>
      </c>
      <c r="M28" s="67" t="s">
        <v>88</v>
      </c>
      <c r="N28" s="74">
        <v>0</v>
      </c>
    </row>
    <row r="29" spans="1:14" s="103" customFormat="1" x14ac:dyDescent="0.3">
      <c r="A29" s="31">
        <v>0</v>
      </c>
      <c r="B29" s="27" t="s">
        <v>88</v>
      </c>
      <c r="C29" s="47" t="s">
        <v>88</v>
      </c>
      <c r="D29" s="27" t="s">
        <v>88</v>
      </c>
      <c r="E29" s="103" t="s">
        <v>88</v>
      </c>
      <c r="F29" s="103" t="s">
        <v>88</v>
      </c>
      <c r="G29" s="103" t="s">
        <v>88</v>
      </c>
      <c r="H29" s="27">
        <v>0</v>
      </c>
      <c r="I29" s="67" t="s">
        <v>88</v>
      </c>
      <c r="J29" s="67" t="s">
        <v>88</v>
      </c>
      <c r="K29" s="74">
        <v>0</v>
      </c>
      <c r="L29" s="67" t="s">
        <v>88</v>
      </c>
      <c r="M29" s="67" t="s">
        <v>88</v>
      </c>
      <c r="N29" s="74">
        <v>0</v>
      </c>
    </row>
    <row r="30" spans="1:14" s="103" customFormat="1" x14ac:dyDescent="0.3">
      <c r="A30" s="31">
        <v>0</v>
      </c>
      <c r="B30" s="27" t="s">
        <v>88</v>
      </c>
      <c r="C30" s="47" t="s">
        <v>88</v>
      </c>
      <c r="D30" s="27" t="s">
        <v>88</v>
      </c>
      <c r="E30" s="103" t="s">
        <v>88</v>
      </c>
      <c r="F30" s="103" t="s">
        <v>88</v>
      </c>
      <c r="G30" s="103" t="s">
        <v>88</v>
      </c>
      <c r="H30" s="27">
        <v>0</v>
      </c>
      <c r="I30" s="67" t="s">
        <v>88</v>
      </c>
      <c r="J30" s="67" t="s">
        <v>88</v>
      </c>
      <c r="K30" s="74">
        <v>0</v>
      </c>
      <c r="L30" s="67" t="s">
        <v>88</v>
      </c>
      <c r="M30" s="67" t="s">
        <v>88</v>
      </c>
      <c r="N30" s="74">
        <v>0</v>
      </c>
    </row>
    <row r="31" spans="1:14" s="103" customFormat="1" x14ac:dyDescent="0.3">
      <c r="A31" s="31">
        <v>0</v>
      </c>
      <c r="B31" s="27" t="s">
        <v>88</v>
      </c>
      <c r="C31" s="47" t="s">
        <v>88</v>
      </c>
      <c r="D31" s="27" t="s">
        <v>88</v>
      </c>
      <c r="E31" s="103" t="s">
        <v>88</v>
      </c>
      <c r="F31" s="103" t="s">
        <v>88</v>
      </c>
      <c r="G31" s="103" t="s">
        <v>88</v>
      </c>
      <c r="H31" s="27">
        <v>0</v>
      </c>
      <c r="I31" s="67" t="s">
        <v>88</v>
      </c>
      <c r="J31" s="67" t="s">
        <v>88</v>
      </c>
      <c r="K31" s="74">
        <v>0</v>
      </c>
      <c r="L31" s="67" t="s">
        <v>88</v>
      </c>
      <c r="M31" s="67" t="s">
        <v>88</v>
      </c>
      <c r="N31" s="74">
        <v>0</v>
      </c>
    </row>
    <row r="32" spans="1:14" s="103" customFormat="1" x14ac:dyDescent="0.3">
      <c r="A32" s="31">
        <v>0</v>
      </c>
      <c r="B32" s="27" t="s">
        <v>88</v>
      </c>
      <c r="C32" s="47" t="s">
        <v>88</v>
      </c>
      <c r="D32" s="27" t="s">
        <v>88</v>
      </c>
      <c r="E32" s="103" t="s">
        <v>88</v>
      </c>
      <c r="F32" s="103" t="s">
        <v>88</v>
      </c>
      <c r="G32" s="103" t="s">
        <v>88</v>
      </c>
      <c r="H32" s="27">
        <v>0</v>
      </c>
      <c r="I32" s="67" t="s">
        <v>88</v>
      </c>
      <c r="J32" s="67" t="s">
        <v>88</v>
      </c>
      <c r="K32" s="74">
        <v>0</v>
      </c>
      <c r="L32" s="67" t="s">
        <v>88</v>
      </c>
      <c r="M32" s="67" t="s">
        <v>88</v>
      </c>
      <c r="N32" s="74">
        <v>0</v>
      </c>
    </row>
    <row r="33" spans="1:14" s="103" customFormat="1" x14ac:dyDescent="0.3">
      <c r="A33" s="31">
        <v>0</v>
      </c>
      <c r="B33" s="27" t="s">
        <v>88</v>
      </c>
      <c r="C33" s="47" t="s">
        <v>88</v>
      </c>
      <c r="D33" s="27" t="s">
        <v>88</v>
      </c>
      <c r="E33" s="103" t="s">
        <v>88</v>
      </c>
      <c r="F33" s="103" t="s">
        <v>88</v>
      </c>
      <c r="G33" s="103" t="s">
        <v>88</v>
      </c>
      <c r="H33" s="27">
        <v>0</v>
      </c>
      <c r="I33" s="67" t="s">
        <v>88</v>
      </c>
      <c r="J33" s="67" t="s">
        <v>88</v>
      </c>
      <c r="K33" s="74">
        <v>0</v>
      </c>
      <c r="L33" s="67" t="s">
        <v>88</v>
      </c>
      <c r="M33" s="67" t="s">
        <v>88</v>
      </c>
      <c r="N33" s="74">
        <v>0</v>
      </c>
    </row>
    <row r="34" spans="1:14" s="103" customFormat="1" x14ac:dyDescent="0.3">
      <c r="A34" s="31">
        <v>0</v>
      </c>
      <c r="B34" s="27" t="s">
        <v>88</v>
      </c>
      <c r="C34" s="47" t="s">
        <v>88</v>
      </c>
      <c r="D34" s="27" t="s">
        <v>88</v>
      </c>
      <c r="E34" s="103" t="s">
        <v>88</v>
      </c>
      <c r="F34" s="103" t="s">
        <v>88</v>
      </c>
      <c r="G34" s="103" t="s">
        <v>88</v>
      </c>
      <c r="H34" s="27">
        <v>0</v>
      </c>
      <c r="I34" s="67" t="s">
        <v>88</v>
      </c>
      <c r="J34" s="67" t="s">
        <v>88</v>
      </c>
      <c r="K34" s="74">
        <v>0</v>
      </c>
      <c r="L34" s="67" t="s">
        <v>88</v>
      </c>
      <c r="M34" s="67" t="s">
        <v>88</v>
      </c>
      <c r="N34" s="74">
        <v>0</v>
      </c>
    </row>
    <row r="35" spans="1:14" s="103" customFormat="1" x14ac:dyDescent="0.3">
      <c r="A35" s="31">
        <v>0</v>
      </c>
      <c r="B35" s="27" t="s">
        <v>88</v>
      </c>
      <c r="C35" s="47" t="s">
        <v>88</v>
      </c>
      <c r="D35" s="27" t="s">
        <v>88</v>
      </c>
      <c r="E35" s="103" t="s">
        <v>88</v>
      </c>
      <c r="F35" s="103" t="s">
        <v>88</v>
      </c>
      <c r="G35" s="103" t="s">
        <v>88</v>
      </c>
      <c r="H35" s="27">
        <v>0</v>
      </c>
      <c r="I35" s="67" t="s">
        <v>88</v>
      </c>
      <c r="J35" s="67" t="s">
        <v>88</v>
      </c>
      <c r="K35" s="74">
        <v>0</v>
      </c>
      <c r="L35" s="67" t="s">
        <v>88</v>
      </c>
      <c r="M35" s="67" t="s">
        <v>88</v>
      </c>
      <c r="N35" s="74">
        <v>0</v>
      </c>
    </row>
    <row r="36" spans="1:14" s="103" customFormat="1" x14ac:dyDescent="0.3">
      <c r="A36" s="31">
        <v>0</v>
      </c>
      <c r="B36" s="27" t="s">
        <v>88</v>
      </c>
      <c r="C36" s="47" t="s">
        <v>88</v>
      </c>
      <c r="D36" s="27" t="s">
        <v>88</v>
      </c>
      <c r="E36" s="103" t="s">
        <v>88</v>
      </c>
      <c r="F36" s="103" t="s">
        <v>88</v>
      </c>
      <c r="G36" s="103" t="s">
        <v>88</v>
      </c>
      <c r="H36" s="27">
        <v>0</v>
      </c>
      <c r="I36" s="67" t="s">
        <v>88</v>
      </c>
      <c r="J36" s="67" t="s">
        <v>88</v>
      </c>
      <c r="K36" s="74">
        <v>0</v>
      </c>
      <c r="L36" s="67" t="s">
        <v>88</v>
      </c>
      <c r="M36" s="67" t="s">
        <v>88</v>
      </c>
      <c r="N36" s="74">
        <v>0</v>
      </c>
    </row>
    <row r="37" spans="1:14" s="103" customFormat="1" x14ac:dyDescent="0.3">
      <c r="A37" s="31">
        <v>0</v>
      </c>
      <c r="B37" s="27" t="s">
        <v>88</v>
      </c>
      <c r="C37" s="47" t="s">
        <v>88</v>
      </c>
      <c r="D37" s="27" t="s">
        <v>88</v>
      </c>
      <c r="E37" s="103" t="s">
        <v>88</v>
      </c>
      <c r="F37" s="103" t="s">
        <v>88</v>
      </c>
      <c r="G37" s="103" t="s">
        <v>88</v>
      </c>
      <c r="H37" s="27">
        <v>0</v>
      </c>
      <c r="I37" s="67" t="s">
        <v>88</v>
      </c>
      <c r="J37" s="67" t="s">
        <v>88</v>
      </c>
      <c r="K37" s="74">
        <v>0</v>
      </c>
      <c r="L37" s="67" t="s">
        <v>88</v>
      </c>
      <c r="M37" s="67" t="s">
        <v>88</v>
      </c>
      <c r="N37" s="74">
        <v>0</v>
      </c>
    </row>
    <row r="38" spans="1:14" s="103" customFormat="1" x14ac:dyDescent="0.3">
      <c r="A38" s="31">
        <v>0</v>
      </c>
      <c r="B38" s="27" t="s">
        <v>88</v>
      </c>
      <c r="C38" s="47" t="s">
        <v>88</v>
      </c>
      <c r="D38" s="27" t="s">
        <v>88</v>
      </c>
      <c r="E38" s="103" t="s">
        <v>88</v>
      </c>
      <c r="F38" s="103" t="s">
        <v>88</v>
      </c>
      <c r="G38" s="103" t="s">
        <v>88</v>
      </c>
      <c r="H38" s="27">
        <v>0</v>
      </c>
      <c r="I38" s="67" t="s">
        <v>88</v>
      </c>
      <c r="J38" s="67" t="s">
        <v>88</v>
      </c>
      <c r="K38" s="74">
        <v>0</v>
      </c>
      <c r="L38" s="67" t="s">
        <v>88</v>
      </c>
      <c r="M38" s="67" t="s">
        <v>88</v>
      </c>
      <c r="N38" s="74">
        <v>0</v>
      </c>
    </row>
    <row r="39" spans="1:14" s="103" customFormat="1" x14ac:dyDescent="0.3">
      <c r="A39" s="31">
        <v>0</v>
      </c>
      <c r="B39" s="27" t="s">
        <v>88</v>
      </c>
      <c r="C39" s="47" t="s">
        <v>88</v>
      </c>
      <c r="D39" s="27" t="s">
        <v>88</v>
      </c>
      <c r="E39" s="103" t="s">
        <v>88</v>
      </c>
      <c r="F39" s="103" t="s">
        <v>88</v>
      </c>
      <c r="G39" s="103" t="s">
        <v>88</v>
      </c>
      <c r="H39" s="27">
        <v>0</v>
      </c>
      <c r="I39" s="67" t="s">
        <v>88</v>
      </c>
      <c r="J39" s="67" t="s">
        <v>88</v>
      </c>
      <c r="K39" s="74">
        <v>0</v>
      </c>
      <c r="L39" s="67" t="s">
        <v>88</v>
      </c>
      <c r="M39" s="67" t="s">
        <v>88</v>
      </c>
      <c r="N39" s="74">
        <v>0</v>
      </c>
    </row>
    <row r="40" spans="1:14" s="103" customFormat="1" x14ac:dyDescent="0.3">
      <c r="A40" s="31">
        <v>0</v>
      </c>
      <c r="B40" s="27" t="s">
        <v>88</v>
      </c>
      <c r="C40" s="47" t="s">
        <v>88</v>
      </c>
      <c r="D40" s="27" t="s">
        <v>88</v>
      </c>
      <c r="E40" s="103" t="s">
        <v>88</v>
      </c>
      <c r="F40" s="103" t="s">
        <v>88</v>
      </c>
      <c r="G40" s="103" t="s">
        <v>88</v>
      </c>
      <c r="H40" s="27">
        <v>0</v>
      </c>
      <c r="I40" s="67" t="s">
        <v>88</v>
      </c>
      <c r="J40" s="67" t="s">
        <v>88</v>
      </c>
      <c r="K40" s="74">
        <v>0</v>
      </c>
      <c r="L40" s="67" t="s">
        <v>88</v>
      </c>
      <c r="M40" s="67" t="s">
        <v>88</v>
      </c>
      <c r="N40" s="74">
        <v>0</v>
      </c>
    </row>
    <row r="41" spans="1:14" s="103" customFormat="1" x14ac:dyDescent="0.3">
      <c r="A41" s="31">
        <v>0</v>
      </c>
      <c r="B41" s="27" t="s">
        <v>88</v>
      </c>
      <c r="C41" s="47" t="s">
        <v>88</v>
      </c>
      <c r="D41" s="27" t="s">
        <v>88</v>
      </c>
      <c r="E41" s="103" t="s">
        <v>88</v>
      </c>
      <c r="F41" s="103" t="s">
        <v>88</v>
      </c>
      <c r="G41" s="103" t="s">
        <v>88</v>
      </c>
      <c r="H41" s="27">
        <v>0</v>
      </c>
      <c r="I41" s="67" t="s">
        <v>88</v>
      </c>
      <c r="J41" s="67" t="s">
        <v>88</v>
      </c>
      <c r="K41" s="74">
        <v>0</v>
      </c>
      <c r="L41" s="67" t="s">
        <v>88</v>
      </c>
      <c r="M41" s="67" t="s">
        <v>88</v>
      </c>
      <c r="N41" s="74">
        <v>0</v>
      </c>
    </row>
    <row r="42" spans="1:14" s="103" customFormat="1" x14ac:dyDescent="0.3">
      <c r="A42" s="31">
        <v>0</v>
      </c>
      <c r="B42" s="27" t="s">
        <v>88</v>
      </c>
      <c r="C42" s="47" t="s">
        <v>88</v>
      </c>
      <c r="D42" s="27" t="s">
        <v>88</v>
      </c>
      <c r="E42" s="103" t="s">
        <v>88</v>
      </c>
      <c r="F42" s="103" t="s">
        <v>88</v>
      </c>
      <c r="G42" s="103" t="s">
        <v>88</v>
      </c>
      <c r="H42" s="27">
        <v>0</v>
      </c>
      <c r="I42" s="67" t="s">
        <v>88</v>
      </c>
      <c r="J42" s="67" t="s">
        <v>88</v>
      </c>
      <c r="K42" s="74">
        <v>0</v>
      </c>
      <c r="L42" s="67" t="s">
        <v>88</v>
      </c>
      <c r="M42" s="67" t="s">
        <v>88</v>
      </c>
      <c r="N42" s="74">
        <v>0</v>
      </c>
    </row>
    <row r="43" spans="1:14" s="103" customFormat="1" x14ac:dyDescent="0.3">
      <c r="A43" s="31">
        <v>0</v>
      </c>
      <c r="B43" s="27" t="s">
        <v>88</v>
      </c>
      <c r="C43" s="47" t="s">
        <v>88</v>
      </c>
      <c r="D43" s="27" t="s">
        <v>88</v>
      </c>
      <c r="E43" s="103" t="s">
        <v>88</v>
      </c>
      <c r="F43" s="103" t="s">
        <v>88</v>
      </c>
      <c r="G43" s="103" t="s">
        <v>88</v>
      </c>
      <c r="H43" s="27">
        <v>0</v>
      </c>
      <c r="I43" s="67" t="s">
        <v>88</v>
      </c>
      <c r="J43" s="67" t="s">
        <v>88</v>
      </c>
      <c r="K43" s="74">
        <v>0</v>
      </c>
      <c r="L43" s="67" t="s">
        <v>88</v>
      </c>
      <c r="M43" s="67" t="s">
        <v>88</v>
      </c>
      <c r="N43" s="74">
        <v>0</v>
      </c>
    </row>
    <row r="44" spans="1:14" s="103" customFormat="1" x14ac:dyDescent="0.3">
      <c r="A44" s="31">
        <v>0</v>
      </c>
      <c r="B44" s="27" t="s">
        <v>88</v>
      </c>
      <c r="C44" s="47" t="s">
        <v>88</v>
      </c>
      <c r="D44" s="27" t="s">
        <v>88</v>
      </c>
      <c r="E44" s="103" t="s">
        <v>88</v>
      </c>
      <c r="F44" s="103" t="s">
        <v>88</v>
      </c>
      <c r="G44" s="103" t="s">
        <v>88</v>
      </c>
      <c r="H44" s="27">
        <v>0</v>
      </c>
      <c r="I44" s="67" t="s">
        <v>88</v>
      </c>
      <c r="J44" s="67" t="s">
        <v>88</v>
      </c>
      <c r="K44" s="74">
        <v>0</v>
      </c>
      <c r="L44" s="67" t="s">
        <v>88</v>
      </c>
      <c r="M44" s="67" t="s">
        <v>88</v>
      </c>
      <c r="N44" s="74">
        <v>0</v>
      </c>
    </row>
    <row r="45" spans="1:14" s="103" customFormat="1" x14ac:dyDescent="0.3">
      <c r="A45" s="31">
        <v>0</v>
      </c>
      <c r="B45" s="27" t="s">
        <v>88</v>
      </c>
      <c r="C45" s="47" t="s">
        <v>88</v>
      </c>
      <c r="D45" s="27" t="s">
        <v>88</v>
      </c>
      <c r="E45" s="103" t="s">
        <v>88</v>
      </c>
      <c r="F45" s="103" t="s">
        <v>88</v>
      </c>
      <c r="G45" s="103" t="s">
        <v>88</v>
      </c>
      <c r="H45" s="27">
        <v>0</v>
      </c>
      <c r="I45" s="67" t="s">
        <v>88</v>
      </c>
      <c r="J45" s="67" t="s">
        <v>88</v>
      </c>
      <c r="K45" s="74">
        <v>0</v>
      </c>
      <c r="L45" s="67" t="s">
        <v>88</v>
      </c>
      <c r="M45" s="67" t="s">
        <v>88</v>
      </c>
      <c r="N45" s="74">
        <v>0</v>
      </c>
    </row>
    <row r="46" spans="1:14" s="103" customFormat="1" x14ac:dyDescent="0.3">
      <c r="A46" s="31">
        <v>0</v>
      </c>
      <c r="B46" s="27" t="s">
        <v>88</v>
      </c>
      <c r="C46" s="47" t="s">
        <v>88</v>
      </c>
      <c r="D46" s="27" t="s">
        <v>88</v>
      </c>
      <c r="E46" s="103" t="s">
        <v>88</v>
      </c>
      <c r="F46" s="103" t="s">
        <v>88</v>
      </c>
      <c r="G46" s="103" t="s">
        <v>88</v>
      </c>
      <c r="H46" s="27">
        <v>0</v>
      </c>
      <c r="I46" s="67" t="s">
        <v>88</v>
      </c>
      <c r="J46" s="67" t="s">
        <v>88</v>
      </c>
      <c r="K46" s="74">
        <v>0</v>
      </c>
      <c r="L46" s="67" t="s">
        <v>88</v>
      </c>
      <c r="M46" s="67" t="s">
        <v>88</v>
      </c>
      <c r="N46" s="74">
        <v>0</v>
      </c>
    </row>
    <row r="47" spans="1:14" s="103" customFormat="1" x14ac:dyDescent="0.3">
      <c r="A47" s="31">
        <v>0</v>
      </c>
      <c r="B47" s="27" t="s">
        <v>88</v>
      </c>
      <c r="C47" s="47" t="s">
        <v>88</v>
      </c>
      <c r="D47" s="27" t="s">
        <v>88</v>
      </c>
      <c r="E47" s="103" t="s">
        <v>88</v>
      </c>
      <c r="F47" s="103" t="s">
        <v>88</v>
      </c>
      <c r="G47" s="103" t="s">
        <v>88</v>
      </c>
      <c r="H47" s="27">
        <v>0</v>
      </c>
      <c r="I47" s="67" t="s">
        <v>88</v>
      </c>
      <c r="J47" s="67" t="s">
        <v>88</v>
      </c>
      <c r="K47" s="74">
        <v>0</v>
      </c>
      <c r="L47" s="67" t="s">
        <v>88</v>
      </c>
      <c r="M47" s="67" t="s">
        <v>88</v>
      </c>
      <c r="N47" s="74">
        <v>0</v>
      </c>
    </row>
    <row r="48" spans="1:14" s="103" customFormat="1" x14ac:dyDescent="0.3">
      <c r="A48" s="31">
        <v>0</v>
      </c>
      <c r="B48" s="27" t="s">
        <v>88</v>
      </c>
      <c r="C48" s="47" t="s">
        <v>88</v>
      </c>
      <c r="D48" s="27" t="s">
        <v>88</v>
      </c>
      <c r="E48" s="103" t="s">
        <v>88</v>
      </c>
      <c r="F48" s="103" t="s">
        <v>88</v>
      </c>
      <c r="G48" s="103" t="s">
        <v>88</v>
      </c>
      <c r="H48" s="27">
        <v>0</v>
      </c>
      <c r="I48" s="67" t="s">
        <v>88</v>
      </c>
      <c r="J48" s="67" t="s">
        <v>88</v>
      </c>
      <c r="K48" s="74">
        <v>0</v>
      </c>
      <c r="L48" s="67" t="s">
        <v>88</v>
      </c>
      <c r="M48" s="67" t="s">
        <v>88</v>
      </c>
      <c r="N48" s="74">
        <v>0</v>
      </c>
    </row>
    <row r="49" spans="1:14" s="103" customFormat="1" x14ac:dyDescent="0.3">
      <c r="A49" s="31">
        <v>0</v>
      </c>
      <c r="B49" s="27" t="s">
        <v>88</v>
      </c>
      <c r="C49" s="47" t="s">
        <v>88</v>
      </c>
      <c r="D49" s="27" t="s">
        <v>88</v>
      </c>
      <c r="E49" s="103" t="s">
        <v>88</v>
      </c>
      <c r="F49" s="103" t="s">
        <v>88</v>
      </c>
      <c r="G49" s="103" t="s">
        <v>88</v>
      </c>
      <c r="H49" s="27">
        <v>0</v>
      </c>
      <c r="I49" s="67" t="s">
        <v>88</v>
      </c>
      <c r="J49" s="67" t="s">
        <v>88</v>
      </c>
      <c r="K49" s="74">
        <v>0</v>
      </c>
      <c r="L49" s="67" t="s">
        <v>88</v>
      </c>
      <c r="M49" s="67" t="s">
        <v>88</v>
      </c>
      <c r="N49" s="74">
        <v>0</v>
      </c>
    </row>
    <row r="50" spans="1:14" s="103" customFormat="1" x14ac:dyDescent="0.3">
      <c r="A50" s="31">
        <v>0</v>
      </c>
      <c r="B50" s="27" t="s">
        <v>88</v>
      </c>
      <c r="C50" s="47" t="s">
        <v>88</v>
      </c>
      <c r="D50" s="27" t="s">
        <v>88</v>
      </c>
      <c r="E50" s="103" t="s">
        <v>88</v>
      </c>
      <c r="F50" s="103" t="s">
        <v>88</v>
      </c>
      <c r="G50" s="103" t="s">
        <v>88</v>
      </c>
      <c r="H50" s="27">
        <v>0</v>
      </c>
      <c r="I50" s="67" t="s">
        <v>88</v>
      </c>
      <c r="J50" s="67" t="s">
        <v>88</v>
      </c>
      <c r="K50" s="74">
        <v>0</v>
      </c>
      <c r="L50" s="67" t="s">
        <v>88</v>
      </c>
      <c r="M50" s="67" t="s">
        <v>88</v>
      </c>
      <c r="N50" s="74">
        <v>0</v>
      </c>
    </row>
    <row r="51" spans="1:14" s="103" customFormat="1" x14ac:dyDescent="0.3">
      <c r="A51" s="31">
        <v>0</v>
      </c>
      <c r="B51" s="27" t="s">
        <v>88</v>
      </c>
      <c r="C51" s="47" t="s">
        <v>88</v>
      </c>
      <c r="D51" s="27" t="s">
        <v>88</v>
      </c>
      <c r="E51" s="103" t="s">
        <v>88</v>
      </c>
      <c r="F51" s="103" t="s">
        <v>88</v>
      </c>
      <c r="G51" s="103" t="s">
        <v>88</v>
      </c>
      <c r="H51" s="27">
        <v>0</v>
      </c>
      <c r="I51" s="67" t="s">
        <v>88</v>
      </c>
      <c r="J51" s="67" t="s">
        <v>88</v>
      </c>
      <c r="K51" s="74">
        <v>0</v>
      </c>
      <c r="L51" s="67" t="s">
        <v>88</v>
      </c>
      <c r="M51" s="67" t="s">
        <v>88</v>
      </c>
      <c r="N51" s="74">
        <v>0</v>
      </c>
    </row>
    <row r="52" spans="1:14" s="103" customFormat="1" x14ac:dyDescent="0.3">
      <c r="A52" s="31">
        <v>0</v>
      </c>
      <c r="B52" s="27" t="s">
        <v>88</v>
      </c>
      <c r="C52" s="47" t="s">
        <v>88</v>
      </c>
      <c r="D52" s="27" t="s">
        <v>88</v>
      </c>
      <c r="E52" s="103" t="s">
        <v>88</v>
      </c>
      <c r="F52" s="103" t="s">
        <v>88</v>
      </c>
      <c r="G52" s="103" t="s">
        <v>88</v>
      </c>
      <c r="H52" s="27">
        <v>0</v>
      </c>
      <c r="I52" s="67" t="s">
        <v>88</v>
      </c>
      <c r="J52" s="67" t="s">
        <v>88</v>
      </c>
      <c r="K52" s="74">
        <v>0</v>
      </c>
      <c r="L52" s="67" t="s">
        <v>88</v>
      </c>
      <c r="M52" s="67" t="s">
        <v>88</v>
      </c>
      <c r="N52" s="74">
        <v>0</v>
      </c>
    </row>
    <row r="53" spans="1:14" s="103" customFormat="1" x14ac:dyDescent="0.3">
      <c r="A53" s="31">
        <v>0</v>
      </c>
      <c r="B53" s="27" t="s">
        <v>88</v>
      </c>
      <c r="C53" s="47" t="s">
        <v>88</v>
      </c>
      <c r="D53" s="27" t="s">
        <v>88</v>
      </c>
      <c r="E53" s="103" t="s">
        <v>88</v>
      </c>
      <c r="F53" s="103" t="s">
        <v>88</v>
      </c>
      <c r="G53" s="103" t="s">
        <v>88</v>
      </c>
      <c r="H53" s="27">
        <v>0</v>
      </c>
      <c r="I53" s="67" t="s">
        <v>88</v>
      </c>
      <c r="J53" s="67" t="s">
        <v>88</v>
      </c>
      <c r="K53" s="74">
        <v>0</v>
      </c>
      <c r="L53" s="67" t="s">
        <v>88</v>
      </c>
      <c r="M53" s="67" t="s">
        <v>88</v>
      </c>
      <c r="N53" s="74">
        <v>0</v>
      </c>
    </row>
    <row r="54" spans="1:14" s="103" customFormat="1" x14ac:dyDescent="0.3">
      <c r="A54" s="31">
        <v>0</v>
      </c>
      <c r="B54" s="27" t="s">
        <v>88</v>
      </c>
      <c r="C54" s="47" t="s">
        <v>88</v>
      </c>
      <c r="D54" s="27" t="s">
        <v>88</v>
      </c>
      <c r="E54" s="103" t="s">
        <v>88</v>
      </c>
      <c r="F54" s="103" t="s">
        <v>88</v>
      </c>
      <c r="G54" s="103" t="s">
        <v>88</v>
      </c>
      <c r="H54" s="27">
        <v>0</v>
      </c>
      <c r="I54" s="67" t="s">
        <v>88</v>
      </c>
      <c r="J54" s="67" t="s">
        <v>88</v>
      </c>
      <c r="K54" s="74">
        <v>0</v>
      </c>
      <c r="L54" s="67" t="s">
        <v>88</v>
      </c>
      <c r="M54" s="67" t="s">
        <v>88</v>
      </c>
      <c r="N54" s="74">
        <v>0</v>
      </c>
    </row>
    <row r="55" spans="1:14" s="103" customFormat="1" x14ac:dyDescent="0.3">
      <c r="A55" s="31">
        <v>0</v>
      </c>
      <c r="B55" s="27" t="s">
        <v>88</v>
      </c>
      <c r="C55" s="47" t="s">
        <v>88</v>
      </c>
      <c r="D55" s="27" t="s">
        <v>88</v>
      </c>
      <c r="E55" s="103" t="s">
        <v>88</v>
      </c>
      <c r="F55" s="103" t="s">
        <v>88</v>
      </c>
      <c r="G55" s="103" t="s">
        <v>88</v>
      </c>
      <c r="H55" s="27">
        <v>0</v>
      </c>
      <c r="I55" s="67" t="s">
        <v>88</v>
      </c>
      <c r="J55" s="67" t="s">
        <v>88</v>
      </c>
      <c r="K55" s="74">
        <v>0</v>
      </c>
      <c r="L55" s="67" t="s">
        <v>88</v>
      </c>
      <c r="M55" s="67" t="s">
        <v>88</v>
      </c>
      <c r="N55" s="74">
        <v>0</v>
      </c>
    </row>
    <row r="56" spans="1:14" s="103" customFormat="1" x14ac:dyDescent="0.3">
      <c r="A56" s="31">
        <v>0</v>
      </c>
      <c r="B56" s="27" t="s">
        <v>88</v>
      </c>
      <c r="C56" s="47" t="s">
        <v>88</v>
      </c>
      <c r="D56" s="27" t="s">
        <v>88</v>
      </c>
      <c r="E56" s="103" t="s">
        <v>88</v>
      </c>
      <c r="F56" s="103" t="s">
        <v>88</v>
      </c>
      <c r="G56" s="103" t="s">
        <v>88</v>
      </c>
      <c r="H56" s="27">
        <v>0</v>
      </c>
      <c r="I56" s="67" t="s">
        <v>88</v>
      </c>
      <c r="J56" s="67" t="s">
        <v>88</v>
      </c>
      <c r="K56" s="74">
        <v>0</v>
      </c>
      <c r="L56" s="67" t="s">
        <v>88</v>
      </c>
      <c r="M56" s="67" t="s">
        <v>88</v>
      </c>
      <c r="N56" s="74">
        <v>0</v>
      </c>
    </row>
    <row r="57" spans="1:14" s="103" customFormat="1" x14ac:dyDescent="0.3">
      <c r="A57" s="31">
        <v>0</v>
      </c>
      <c r="B57" s="27" t="s">
        <v>88</v>
      </c>
      <c r="C57" s="47" t="s">
        <v>88</v>
      </c>
      <c r="D57" s="27" t="s">
        <v>88</v>
      </c>
      <c r="E57" s="103" t="s">
        <v>88</v>
      </c>
      <c r="F57" s="103" t="s">
        <v>88</v>
      </c>
      <c r="G57" s="103" t="s">
        <v>88</v>
      </c>
      <c r="H57" s="27">
        <v>0</v>
      </c>
      <c r="I57" s="67" t="s">
        <v>88</v>
      </c>
      <c r="J57" s="67" t="s">
        <v>88</v>
      </c>
      <c r="K57" s="74">
        <v>0</v>
      </c>
      <c r="L57" s="67" t="s">
        <v>88</v>
      </c>
      <c r="M57" s="67" t="s">
        <v>88</v>
      </c>
      <c r="N57" s="74">
        <v>0</v>
      </c>
    </row>
    <row r="58" spans="1:14" s="103" customFormat="1" x14ac:dyDescent="0.3">
      <c r="A58" s="31">
        <v>0</v>
      </c>
      <c r="B58" s="27" t="s">
        <v>88</v>
      </c>
      <c r="C58" s="47" t="s">
        <v>88</v>
      </c>
      <c r="D58" s="27" t="s">
        <v>88</v>
      </c>
      <c r="E58" s="103" t="s">
        <v>88</v>
      </c>
      <c r="F58" s="103" t="s">
        <v>88</v>
      </c>
      <c r="G58" s="103" t="s">
        <v>88</v>
      </c>
      <c r="H58" s="27">
        <v>0</v>
      </c>
      <c r="I58" s="67" t="s">
        <v>88</v>
      </c>
      <c r="J58" s="67" t="s">
        <v>88</v>
      </c>
      <c r="K58" s="74">
        <v>0</v>
      </c>
      <c r="L58" s="67" t="s">
        <v>88</v>
      </c>
      <c r="M58" s="67" t="s">
        <v>88</v>
      </c>
      <c r="N58" s="74">
        <v>0</v>
      </c>
    </row>
    <row r="59" spans="1:14" s="103" customFormat="1" x14ac:dyDescent="0.3">
      <c r="A59" s="31">
        <v>0</v>
      </c>
      <c r="B59" s="27" t="s">
        <v>88</v>
      </c>
      <c r="C59" s="47" t="s">
        <v>88</v>
      </c>
      <c r="D59" s="27" t="s">
        <v>88</v>
      </c>
      <c r="E59" s="103" t="s">
        <v>88</v>
      </c>
      <c r="F59" s="103" t="s">
        <v>88</v>
      </c>
      <c r="G59" s="103" t="s">
        <v>88</v>
      </c>
      <c r="H59" s="27">
        <v>0</v>
      </c>
      <c r="I59" s="67" t="s">
        <v>88</v>
      </c>
      <c r="J59" s="67" t="s">
        <v>88</v>
      </c>
      <c r="K59" s="74">
        <v>0</v>
      </c>
      <c r="L59" s="67" t="s">
        <v>88</v>
      </c>
      <c r="M59" s="67" t="s">
        <v>88</v>
      </c>
      <c r="N59" s="74">
        <v>0</v>
      </c>
    </row>
    <row r="60" spans="1:14" s="103" customFormat="1" x14ac:dyDescent="0.3">
      <c r="A60" s="31">
        <v>0</v>
      </c>
      <c r="B60" s="27" t="s">
        <v>88</v>
      </c>
      <c r="C60" s="47" t="s">
        <v>88</v>
      </c>
      <c r="D60" s="27" t="s">
        <v>88</v>
      </c>
      <c r="E60" s="103" t="s">
        <v>88</v>
      </c>
      <c r="F60" s="103" t="s">
        <v>88</v>
      </c>
      <c r="G60" s="103" t="s">
        <v>88</v>
      </c>
      <c r="H60" s="27">
        <v>0</v>
      </c>
      <c r="I60" s="67" t="s">
        <v>88</v>
      </c>
      <c r="J60" s="67" t="s">
        <v>88</v>
      </c>
      <c r="K60" s="74">
        <v>0</v>
      </c>
      <c r="L60" s="67" t="s">
        <v>88</v>
      </c>
      <c r="M60" s="67" t="s">
        <v>88</v>
      </c>
      <c r="N60" s="74">
        <v>0</v>
      </c>
    </row>
    <row r="61" spans="1:14" s="103" customFormat="1" x14ac:dyDescent="0.3">
      <c r="A61" s="31">
        <v>0</v>
      </c>
      <c r="B61" s="27" t="s">
        <v>88</v>
      </c>
      <c r="C61" s="47" t="s">
        <v>88</v>
      </c>
      <c r="D61" s="27" t="s">
        <v>88</v>
      </c>
      <c r="E61" s="103" t="s">
        <v>88</v>
      </c>
      <c r="F61" s="103" t="s">
        <v>88</v>
      </c>
      <c r="G61" s="103" t="s">
        <v>88</v>
      </c>
      <c r="H61" s="27">
        <v>0</v>
      </c>
      <c r="I61" s="67" t="s">
        <v>88</v>
      </c>
      <c r="J61" s="67" t="s">
        <v>88</v>
      </c>
      <c r="K61" s="74">
        <v>0</v>
      </c>
      <c r="L61" s="67" t="s">
        <v>88</v>
      </c>
      <c r="M61" s="67" t="s">
        <v>88</v>
      </c>
      <c r="N61" s="74">
        <v>0</v>
      </c>
    </row>
    <row r="62" spans="1:14" s="103" customFormat="1" x14ac:dyDescent="0.3">
      <c r="A62" s="31">
        <v>0</v>
      </c>
      <c r="B62" s="27" t="s">
        <v>88</v>
      </c>
      <c r="C62" s="47" t="s">
        <v>88</v>
      </c>
      <c r="D62" s="27" t="s">
        <v>88</v>
      </c>
      <c r="E62" s="103" t="s">
        <v>88</v>
      </c>
      <c r="F62" s="103" t="s">
        <v>88</v>
      </c>
      <c r="G62" s="103" t="s">
        <v>88</v>
      </c>
      <c r="H62" s="27">
        <v>0</v>
      </c>
      <c r="I62" s="67" t="s">
        <v>88</v>
      </c>
      <c r="J62" s="67" t="s">
        <v>88</v>
      </c>
      <c r="K62" s="74">
        <v>0</v>
      </c>
      <c r="L62" s="67" t="s">
        <v>88</v>
      </c>
      <c r="M62" s="67" t="s">
        <v>88</v>
      </c>
      <c r="N62" s="74">
        <v>0</v>
      </c>
    </row>
    <row r="63" spans="1:14" s="103" customFormat="1" x14ac:dyDescent="0.3">
      <c r="A63" s="31">
        <v>0</v>
      </c>
      <c r="B63" s="27" t="s">
        <v>88</v>
      </c>
      <c r="C63" s="47" t="s">
        <v>88</v>
      </c>
      <c r="D63" s="27" t="s">
        <v>88</v>
      </c>
      <c r="E63" s="103" t="s">
        <v>88</v>
      </c>
      <c r="F63" s="103" t="s">
        <v>88</v>
      </c>
      <c r="G63" s="103" t="s">
        <v>88</v>
      </c>
      <c r="H63" s="27">
        <v>0</v>
      </c>
      <c r="I63" s="67" t="s">
        <v>88</v>
      </c>
      <c r="J63" s="67" t="s">
        <v>88</v>
      </c>
      <c r="K63" s="74">
        <v>0</v>
      </c>
      <c r="L63" s="67" t="s">
        <v>88</v>
      </c>
      <c r="M63" s="67" t="s">
        <v>88</v>
      </c>
      <c r="N63" s="74">
        <v>0</v>
      </c>
    </row>
    <row r="64" spans="1:14" s="103" customFormat="1" x14ac:dyDescent="0.3">
      <c r="A64" s="31">
        <v>0</v>
      </c>
      <c r="B64" s="27" t="s">
        <v>88</v>
      </c>
      <c r="C64" s="47" t="s">
        <v>88</v>
      </c>
      <c r="D64" s="27" t="s">
        <v>88</v>
      </c>
      <c r="E64" s="103" t="s">
        <v>88</v>
      </c>
      <c r="F64" s="103" t="s">
        <v>88</v>
      </c>
      <c r="G64" s="103" t="s">
        <v>88</v>
      </c>
      <c r="H64" s="27">
        <v>0</v>
      </c>
      <c r="I64" s="67" t="s">
        <v>88</v>
      </c>
      <c r="J64" s="67" t="s">
        <v>88</v>
      </c>
      <c r="K64" s="74">
        <v>0</v>
      </c>
      <c r="L64" s="67" t="s">
        <v>88</v>
      </c>
      <c r="M64" s="67" t="s">
        <v>88</v>
      </c>
      <c r="N64" s="74">
        <v>0</v>
      </c>
    </row>
    <row r="65" spans="1:14" s="103" customFormat="1" x14ac:dyDescent="0.3">
      <c r="A65" s="31">
        <v>0</v>
      </c>
      <c r="B65" s="27" t="s">
        <v>88</v>
      </c>
      <c r="C65" s="47" t="s">
        <v>88</v>
      </c>
      <c r="D65" s="27" t="s">
        <v>88</v>
      </c>
      <c r="E65" s="103" t="s">
        <v>88</v>
      </c>
      <c r="F65" s="103" t="s">
        <v>88</v>
      </c>
      <c r="G65" s="103" t="s">
        <v>88</v>
      </c>
      <c r="H65" s="27">
        <v>0</v>
      </c>
      <c r="I65" s="67" t="s">
        <v>88</v>
      </c>
      <c r="J65" s="67" t="s">
        <v>88</v>
      </c>
      <c r="K65" s="74">
        <v>0</v>
      </c>
      <c r="L65" s="67" t="s">
        <v>88</v>
      </c>
      <c r="M65" s="67" t="s">
        <v>88</v>
      </c>
      <c r="N65" s="74">
        <v>0</v>
      </c>
    </row>
    <row r="66" spans="1:14" s="103" customFormat="1" x14ac:dyDescent="0.3">
      <c r="A66" s="31">
        <v>0</v>
      </c>
      <c r="B66" s="27" t="s">
        <v>88</v>
      </c>
      <c r="C66" s="47" t="s">
        <v>88</v>
      </c>
      <c r="D66" s="27" t="s">
        <v>88</v>
      </c>
      <c r="E66" s="103" t="s">
        <v>88</v>
      </c>
      <c r="F66" s="103" t="s">
        <v>88</v>
      </c>
      <c r="G66" s="103" t="s">
        <v>88</v>
      </c>
      <c r="H66" s="27">
        <v>0</v>
      </c>
      <c r="I66" s="67" t="s">
        <v>88</v>
      </c>
      <c r="J66" s="67" t="s">
        <v>88</v>
      </c>
      <c r="K66" s="74">
        <v>0</v>
      </c>
      <c r="L66" s="67" t="s">
        <v>88</v>
      </c>
      <c r="M66" s="67" t="s">
        <v>88</v>
      </c>
      <c r="N66" s="74">
        <v>0</v>
      </c>
    </row>
    <row r="67" spans="1:14" s="103" customFormat="1" x14ac:dyDescent="0.3">
      <c r="A67" s="31">
        <v>0</v>
      </c>
      <c r="B67" s="27" t="s">
        <v>88</v>
      </c>
      <c r="C67" s="47" t="s">
        <v>88</v>
      </c>
      <c r="D67" s="27" t="s">
        <v>88</v>
      </c>
      <c r="E67" s="103" t="s">
        <v>88</v>
      </c>
      <c r="F67" s="103" t="s">
        <v>88</v>
      </c>
      <c r="G67" s="103" t="s">
        <v>88</v>
      </c>
      <c r="H67" s="27">
        <v>0</v>
      </c>
      <c r="I67" s="67" t="s">
        <v>88</v>
      </c>
      <c r="J67" s="67" t="s">
        <v>88</v>
      </c>
      <c r="K67" s="74">
        <v>0</v>
      </c>
      <c r="L67" s="67" t="s">
        <v>88</v>
      </c>
      <c r="M67" s="67" t="s">
        <v>88</v>
      </c>
      <c r="N67" s="74">
        <v>0</v>
      </c>
    </row>
    <row r="68" spans="1:14" s="103" customFormat="1" x14ac:dyDescent="0.3">
      <c r="A68" s="31">
        <v>0</v>
      </c>
      <c r="B68" s="27" t="s">
        <v>88</v>
      </c>
      <c r="C68" s="47" t="s">
        <v>88</v>
      </c>
      <c r="D68" s="27" t="s">
        <v>88</v>
      </c>
      <c r="E68" s="103" t="s">
        <v>88</v>
      </c>
      <c r="F68" s="103" t="s">
        <v>88</v>
      </c>
      <c r="G68" s="103" t="s">
        <v>88</v>
      </c>
      <c r="H68" s="27">
        <v>0</v>
      </c>
      <c r="I68" s="67" t="s">
        <v>88</v>
      </c>
      <c r="J68" s="67" t="s">
        <v>88</v>
      </c>
      <c r="K68" s="74">
        <v>0</v>
      </c>
      <c r="L68" s="67" t="s">
        <v>88</v>
      </c>
      <c r="M68" s="67" t="s">
        <v>88</v>
      </c>
      <c r="N68" s="74">
        <v>0</v>
      </c>
    </row>
    <row r="69" spans="1:14" s="103" customFormat="1" x14ac:dyDescent="0.3">
      <c r="A69" s="31">
        <v>0</v>
      </c>
      <c r="B69" s="27" t="s">
        <v>88</v>
      </c>
      <c r="C69" s="47" t="s">
        <v>88</v>
      </c>
      <c r="D69" s="27" t="s">
        <v>88</v>
      </c>
      <c r="E69" s="103" t="s">
        <v>88</v>
      </c>
      <c r="F69" s="103" t="s">
        <v>88</v>
      </c>
      <c r="G69" s="103" t="s">
        <v>88</v>
      </c>
      <c r="H69" s="27">
        <v>0</v>
      </c>
      <c r="I69" s="67" t="s">
        <v>88</v>
      </c>
      <c r="J69" s="67" t="s">
        <v>88</v>
      </c>
      <c r="K69" s="74">
        <v>0</v>
      </c>
      <c r="L69" s="67" t="s">
        <v>88</v>
      </c>
      <c r="M69" s="67" t="s">
        <v>88</v>
      </c>
      <c r="N69" s="74">
        <v>0</v>
      </c>
    </row>
    <row r="70" spans="1:14" s="103" customFormat="1" x14ac:dyDescent="0.3">
      <c r="A70" s="31">
        <v>0</v>
      </c>
      <c r="B70" s="27" t="s">
        <v>88</v>
      </c>
      <c r="C70" s="47" t="s">
        <v>88</v>
      </c>
      <c r="D70" s="27" t="s">
        <v>88</v>
      </c>
      <c r="E70" s="103" t="s">
        <v>88</v>
      </c>
      <c r="F70" s="103" t="s">
        <v>88</v>
      </c>
      <c r="G70" s="103" t="s">
        <v>88</v>
      </c>
      <c r="H70" s="27">
        <v>0</v>
      </c>
      <c r="I70" s="67" t="s">
        <v>88</v>
      </c>
      <c r="J70" s="67" t="s">
        <v>88</v>
      </c>
      <c r="K70" s="74">
        <v>0</v>
      </c>
      <c r="L70" s="67" t="s">
        <v>88</v>
      </c>
      <c r="M70" s="67" t="s">
        <v>88</v>
      </c>
      <c r="N70" s="74">
        <v>0</v>
      </c>
    </row>
    <row r="71" spans="1:14" s="103" customFormat="1" x14ac:dyDescent="0.3">
      <c r="A71" s="31">
        <v>0</v>
      </c>
      <c r="B71" s="27" t="s">
        <v>88</v>
      </c>
      <c r="C71" s="47" t="s">
        <v>88</v>
      </c>
      <c r="D71" s="27" t="s">
        <v>88</v>
      </c>
      <c r="E71" s="103" t="s">
        <v>88</v>
      </c>
      <c r="F71" s="103" t="s">
        <v>88</v>
      </c>
      <c r="G71" s="103" t="s">
        <v>88</v>
      </c>
      <c r="H71" s="27">
        <v>0</v>
      </c>
      <c r="I71" s="67" t="s">
        <v>88</v>
      </c>
      <c r="J71" s="67" t="s">
        <v>88</v>
      </c>
      <c r="K71" s="74">
        <v>0</v>
      </c>
      <c r="L71" s="67" t="s">
        <v>88</v>
      </c>
      <c r="M71" s="67" t="s">
        <v>88</v>
      </c>
      <c r="N71" s="74">
        <v>0</v>
      </c>
    </row>
    <row r="72" spans="1:14" s="103" customFormat="1" x14ac:dyDescent="0.3">
      <c r="A72" s="31">
        <v>0</v>
      </c>
      <c r="B72" s="27" t="s">
        <v>88</v>
      </c>
      <c r="C72" s="47" t="s">
        <v>88</v>
      </c>
      <c r="D72" s="27" t="s">
        <v>88</v>
      </c>
      <c r="E72" s="103" t="s">
        <v>88</v>
      </c>
      <c r="F72" s="103" t="s">
        <v>88</v>
      </c>
      <c r="G72" s="103" t="s">
        <v>88</v>
      </c>
      <c r="H72" s="27">
        <v>0</v>
      </c>
      <c r="I72" s="67" t="s">
        <v>88</v>
      </c>
      <c r="J72" s="67" t="s">
        <v>88</v>
      </c>
      <c r="K72" s="74">
        <v>0</v>
      </c>
      <c r="L72" s="67" t="s">
        <v>88</v>
      </c>
      <c r="M72" s="67" t="s">
        <v>88</v>
      </c>
      <c r="N72" s="74">
        <v>0</v>
      </c>
    </row>
    <row r="73" spans="1:14" s="103" customFormat="1" x14ac:dyDescent="0.3">
      <c r="A73" s="31"/>
      <c r="B73" s="27"/>
      <c r="C73" s="47"/>
      <c r="D73" s="27"/>
      <c r="H73" s="27"/>
      <c r="I73" s="67"/>
      <c r="J73" s="67"/>
      <c r="K73" s="74"/>
      <c r="L73" s="67"/>
      <c r="M73" s="67"/>
      <c r="N73" s="74"/>
    </row>
    <row r="74" spans="1:14" s="103" customFormat="1" x14ac:dyDescent="0.3">
      <c r="A74" s="31"/>
      <c r="B74" s="27"/>
      <c r="C74" s="47"/>
      <c r="D74" s="27"/>
      <c r="H74" s="27"/>
      <c r="I74" s="67"/>
      <c r="J74" s="67"/>
      <c r="K74" s="74"/>
      <c r="L74" s="67"/>
      <c r="M74" s="67"/>
      <c r="N74" s="74"/>
    </row>
    <row r="75" spans="1:14" s="103" customFormat="1" x14ac:dyDescent="0.3">
      <c r="A75" s="31"/>
      <c r="B75" s="27"/>
      <c r="C75" s="47"/>
      <c r="D75" s="27"/>
      <c r="H75" s="27"/>
      <c r="I75" s="67"/>
      <c r="J75" s="67"/>
      <c r="K75" s="74"/>
      <c r="L75" s="67"/>
      <c r="M75" s="67"/>
      <c r="N75" s="74"/>
    </row>
    <row r="76" spans="1:14" s="103" customFormat="1" x14ac:dyDescent="0.3">
      <c r="A76" s="31"/>
      <c r="B76" s="27"/>
      <c r="C76" s="47"/>
      <c r="D76" s="27"/>
      <c r="H76" s="27"/>
      <c r="I76" s="67"/>
      <c r="J76" s="67"/>
      <c r="K76" s="74"/>
      <c r="L76" s="67"/>
      <c r="M76" s="67"/>
      <c r="N76" s="74"/>
    </row>
    <row r="77" spans="1:14" s="103" customFormat="1" x14ac:dyDescent="0.3">
      <c r="A77" s="31"/>
      <c r="B77" s="27"/>
      <c r="C77" s="47"/>
      <c r="D77" s="27"/>
      <c r="H77" s="27"/>
      <c r="I77" s="67"/>
      <c r="J77" s="67"/>
      <c r="K77" s="74"/>
      <c r="L77" s="67"/>
      <c r="M77" s="67"/>
      <c r="N77" s="74"/>
    </row>
    <row r="78" spans="1:14" s="103" customFormat="1" x14ac:dyDescent="0.3">
      <c r="A78" s="31"/>
      <c r="B78" s="27"/>
      <c r="C78" s="47"/>
      <c r="D78" s="27"/>
      <c r="H78" s="27"/>
      <c r="I78" s="67"/>
      <c r="J78" s="67"/>
      <c r="K78" s="74"/>
      <c r="L78" s="67"/>
      <c r="M78" s="67"/>
      <c r="N78" s="74"/>
    </row>
    <row r="79" spans="1:14" s="103" customFormat="1" x14ac:dyDescent="0.3">
      <c r="A79" s="31"/>
      <c r="B79" s="27"/>
      <c r="C79" s="47"/>
      <c r="D79" s="27"/>
      <c r="H79" s="27"/>
      <c r="I79" s="67"/>
      <c r="J79" s="67"/>
      <c r="K79" s="74"/>
      <c r="L79" s="67"/>
      <c r="M79" s="67"/>
      <c r="N79" s="74"/>
    </row>
    <row r="80" spans="1:14" s="103" customFormat="1" x14ac:dyDescent="0.3">
      <c r="A80" s="31"/>
      <c r="B80" s="27"/>
      <c r="C80" s="47"/>
      <c r="D80" s="27"/>
      <c r="H80" s="27"/>
      <c r="I80" s="67"/>
      <c r="J80" s="67"/>
      <c r="K80" s="74"/>
      <c r="L80" s="67"/>
      <c r="M80" s="67"/>
      <c r="N80" s="74"/>
    </row>
    <row r="81" spans="1:14" s="103" customFormat="1" x14ac:dyDescent="0.3">
      <c r="A81" s="31"/>
      <c r="B81" s="27"/>
      <c r="C81" s="47"/>
      <c r="D81" s="27"/>
      <c r="H81" s="27"/>
      <c r="I81" s="67"/>
      <c r="J81" s="67"/>
      <c r="K81" s="74"/>
      <c r="L81" s="67"/>
      <c r="M81" s="67"/>
      <c r="N81" s="74"/>
    </row>
    <row r="82" spans="1:14" s="103" customFormat="1" x14ac:dyDescent="0.3">
      <c r="A82" s="31"/>
      <c r="B82" s="27"/>
      <c r="C82" s="47"/>
      <c r="D82" s="27"/>
      <c r="H82" s="27"/>
      <c r="I82" s="67"/>
      <c r="J82" s="67"/>
      <c r="K82" s="74"/>
      <c r="L82" s="67"/>
      <c r="M82" s="67"/>
      <c r="N82" s="74"/>
    </row>
    <row r="83" spans="1:14" s="103" customFormat="1" x14ac:dyDescent="0.3">
      <c r="A83" s="31"/>
      <c r="B83" s="27"/>
      <c r="C83" s="47"/>
      <c r="D83" s="27"/>
      <c r="H83" s="27"/>
      <c r="I83" s="67"/>
      <c r="J83" s="67"/>
      <c r="K83" s="74"/>
      <c r="L83" s="67"/>
      <c r="M83" s="67"/>
      <c r="N83" s="74"/>
    </row>
    <row r="84" spans="1:14" s="103" customFormat="1" x14ac:dyDescent="0.3">
      <c r="A84" s="31"/>
      <c r="B84" s="27"/>
      <c r="C84" s="47"/>
      <c r="D84" s="27"/>
      <c r="H84" s="27"/>
      <c r="I84" s="67"/>
      <c r="J84" s="67"/>
      <c r="K84" s="74"/>
      <c r="L84" s="67"/>
      <c r="M84" s="67"/>
      <c r="N84" s="74"/>
    </row>
    <row r="85" spans="1:14" s="103" customFormat="1" x14ac:dyDescent="0.3">
      <c r="A85" s="31"/>
      <c r="B85" s="27"/>
      <c r="C85" s="47"/>
      <c r="D85" s="27"/>
      <c r="H85" s="27"/>
      <c r="I85" s="67"/>
      <c r="J85" s="67"/>
      <c r="K85" s="74"/>
      <c r="L85" s="67"/>
      <c r="M85" s="67"/>
      <c r="N85" s="74"/>
    </row>
    <row r="86" spans="1:14" s="103" customFormat="1" x14ac:dyDescent="0.3">
      <c r="A86" s="31"/>
      <c r="B86" s="27"/>
      <c r="C86" s="47"/>
      <c r="D86" s="27"/>
      <c r="H86" s="27"/>
      <c r="I86" s="67"/>
      <c r="J86" s="67"/>
      <c r="K86" s="74"/>
      <c r="L86" s="67"/>
      <c r="M86" s="67"/>
      <c r="N86" s="74"/>
    </row>
    <row r="87" spans="1:14" s="103" customFormat="1" x14ac:dyDescent="0.3">
      <c r="A87" s="31"/>
      <c r="B87" s="27"/>
      <c r="C87" s="47"/>
      <c r="D87" s="27"/>
      <c r="H87" s="27"/>
      <c r="I87" s="67"/>
      <c r="J87" s="67"/>
      <c r="K87" s="74"/>
      <c r="L87" s="67"/>
      <c r="M87" s="67"/>
      <c r="N87" s="74"/>
    </row>
    <row r="88" spans="1:14" s="103" customFormat="1" x14ac:dyDescent="0.3">
      <c r="A88" s="31"/>
      <c r="B88" s="27"/>
      <c r="C88" s="47"/>
      <c r="D88" s="27"/>
      <c r="H88" s="27"/>
      <c r="I88" s="67"/>
      <c r="J88" s="67"/>
      <c r="K88" s="74"/>
      <c r="L88" s="67"/>
      <c r="M88" s="67"/>
      <c r="N88" s="74"/>
    </row>
    <row r="89" spans="1:14" s="103" customFormat="1" x14ac:dyDescent="0.3">
      <c r="A89" s="31"/>
      <c r="B89" s="27"/>
      <c r="C89" s="47"/>
      <c r="D89" s="27"/>
      <c r="H89" s="27"/>
      <c r="I89" s="67"/>
      <c r="J89" s="67"/>
      <c r="K89" s="74"/>
      <c r="L89" s="67"/>
      <c r="M89" s="67"/>
      <c r="N89" s="74"/>
    </row>
    <row r="90" spans="1:14" s="103" customFormat="1" x14ac:dyDescent="0.3">
      <c r="A90" s="31"/>
      <c r="B90" s="27"/>
      <c r="C90" s="47"/>
      <c r="D90" s="27"/>
      <c r="H90" s="27"/>
      <c r="I90" s="67"/>
      <c r="J90" s="67"/>
      <c r="K90" s="74"/>
      <c r="L90" s="67"/>
      <c r="M90" s="67"/>
      <c r="N90" s="74"/>
    </row>
    <row r="91" spans="1:14" s="103" customFormat="1" x14ac:dyDescent="0.3">
      <c r="A91" s="31"/>
      <c r="B91" s="27"/>
      <c r="C91" s="47"/>
      <c r="D91" s="27"/>
      <c r="H91" s="27"/>
      <c r="I91" s="67"/>
      <c r="J91" s="67"/>
      <c r="K91" s="74"/>
      <c r="L91" s="67"/>
      <c r="M91" s="67"/>
      <c r="N91" s="74"/>
    </row>
    <row r="92" spans="1:14" s="103" customFormat="1" x14ac:dyDescent="0.3">
      <c r="A92" s="31"/>
      <c r="B92" s="27"/>
      <c r="C92" s="47"/>
      <c r="D92" s="27"/>
      <c r="H92" s="27"/>
      <c r="I92" s="67"/>
      <c r="J92" s="67"/>
      <c r="K92" s="74"/>
      <c r="L92" s="67"/>
      <c r="M92" s="67"/>
      <c r="N92" s="74"/>
    </row>
    <row r="93" spans="1:14" s="103" customFormat="1" x14ac:dyDescent="0.3">
      <c r="A93" s="31"/>
      <c r="B93" s="27"/>
      <c r="C93" s="47"/>
      <c r="D93" s="27"/>
      <c r="H93" s="27"/>
      <c r="I93" s="67"/>
      <c r="J93" s="67"/>
      <c r="K93" s="74"/>
      <c r="L93" s="67"/>
      <c r="M93" s="67"/>
      <c r="N93" s="74"/>
    </row>
    <row r="94" spans="1:14" s="103" customFormat="1" x14ac:dyDescent="0.3">
      <c r="A94" s="31"/>
      <c r="B94" s="27"/>
      <c r="C94" s="47"/>
      <c r="D94" s="27"/>
      <c r="H94" s="27"/>
      <c r="I94" s="67"/>
      <c r="J94" s="67"/>
      <c r="K94" s="74"/>
      <c r="L94" s="67"/>
      <c r="M94" s="67"/>
      <c r="N94" s="74"/>
    </row>
    <row r="95" spans="1:14" s="103" customFormat="1" x14ac:dyDescent="0.3">
      <c r="A95" s="31"/>
      <c r="B95" s="27"/>
      <c r="C95" s="47"/>
      <c r="D95" s="27"/>
      <c r="H95" s="27"/>
      <c r="I95" s="67"/>
      <c r="J95" s="67"/>
      <c r="K95" s="74"/>
      <c r="L95" s="67"/>
      <c r="M95" s="67"/>
      <c r="N95" s="74"/>
    </row>
    <row r="96" spans="1:14" s="103" customFormat="1" x14ac:dyDescent="0.3">
      <c r="A96" s="31"/>
      <c r="B96" s="27"/>
      <c r="C96" s="47"/>
      <c r="D96" s="27"/>
      <c r="H96" s="27"/>
      <c r="I96" s="67"/>
      <c r="J96" s="67"/>
      <c r="K96" s="74"/>
      <c r="L96" s="67"/>
      <c r="M96" s="67"/>
      <c r="N96" s="74"/>
    </row>
    <row r="97" spans="1:14" s="103" customFormat="1" x14ac:dyDescent="0.3">
      <c r="A97" s="31"/>
      <c r="B97" s="27"/>
      <c r="C97" s="47"/>
      <c r="D97" s="27"/>
      <c r="H97" s="27"/>
      <c r="I97" s="67"/>
      <c r="J97" s="67"/>
      <c r="K97" s="74"/>
      <c r="L97" s="67"/>
      <c r="M97" s="67"/>
      <c r="N97" s="74"/>
    </row>
    <row r="98" spans="1:14" s="103" customFormat="1" x14ac:dyDescent="0.3">
      <c r="A98" s="31"/>
      <c r="B98" s="27"/>
      <c r="C98" s="47"/>
      <c r="D98" s="27"/>
      <c r="H98" s="27"/>
      <c r="I98" s="67"/>
      <c r="J98" s="67"/>
      <c r="K98" s="74"/>
      <c r="L98" s="67"/>
      <c r="M98" s="67"/>
      <c r="N98" s="74"/>
    </row>
    <row r="99" spans="1:14" s="103" customFormat="1" x14ac:dyDescent="0.3">
      <c r="A99" s="31"/>
      <c r="B99" s="27"/>
      <c r="C99" s="47"/>
      <c r="D99" s="27"/>
      <c r="H99" s="27"/>
      <c r="I99" s="67"/>
      <c r="J99" s="67"/>
      <c r="K99" s="74"/>
      <c r="L99" s="67"/>
      <c r="M99" s="67"/>
      <c r="N99" s="74"/>
    </row>
    <row r="100" spans="1:14" s="103" customFormat="1" x14ac:dyDescent="0.3">
      <c r="A100" s="31"/>
      <c r="B100" s="27"/>
      <c r="C100" s="47"/>
      <c r="D100" s="27"/>
      <c r="H100" s="27"/>
      <c r="I100" s="67"/>
      <c r="J100" s="67"/>
      <c r="K100" s="74"/>
      <c r="L100" s="67"/>
      <c r="M100" s="67"/>
      <c r="N100" s="74"/>
    </row>
    <row r="101" spans="1:14" s="103" customFormat="1" x14ac:dyDescent="0.3">
      <c r="A101" s="31"/>
      <c r="B101" s="27"/>
      <c r="C101" s="47"/>
      <c r="D101" s="27"/>
      <c r="H101" s="27"/>
      <c r="I101" s="67"/>
      <c r="J101" s="67"/>
      <c r="K101" s="74"/>
      <c r="L101" s="67"/>
      <c r="M101" s="67"/>
      <c r="N101" s="74"/>
    </row>
    <row r="102" spans="1:14" s="103" customFormat="1" x14ac:dyDescent="0.3">
      <c r="A102" s="31"/>
      <c r="B102" s="27"/>
      <c r="C102" s="47"/>
      <c r="D102" s="27"/>
      <c r="H102" s="27"/>
      <c r="I102" s="67"/>
      <c r="J102" s="67"/>
      <c r="K102" s="74"/>
      <c r="L102" s="67"/>
      <c r="M102" s="67"/>
      <c r="N102" s="74"/>
    </row>
    <row r="103" spans="1:14" s="103" customFormat="1" x14ac:dyDescent="0.3">
      <c r="A103" s="31"/>
      <c r="B103" s="27"/>
      <c r="C103" s="47"/>
      <c r="D103" s="27"/>
      <c r="H103" s="27"/>
      <c r="I103" s="67"/>
      <c r="J103" s="67"/>
      <c r="K103" s="74"/>
      <c r="L103" s="67"/>
      <c r="M103" s="67"/>
      <c r="N103" s="74"/>
    </row>
    <row r="104" spans="1:14" s="103" customFormat="1" x14ac:dyDescent="0.3">
      <c r="A104" s="31"/>
      <c r="B104" s="27"/>
      <c r="C104" s="47"/>
      <c r="D104" s="27"/>
      <c r="H104" s="27"/>
      <c r="I104" s="67"/>
      <c r="J104" s="67"/>
      <c r="K104" s="74"/>
      <c r="L104" s="67"/>
      <c r="M104" s="67"/>
      <c r="N104" s="74"/>
    </row>
    <row r="105" spans="1:14" s="103" customFormat="1" x14ac:dyDescent="0.3">
      <c r="A105" s="31"/>
      <c r="B105" s="27"/>
      <c r="C105" s="47"/>
      <c r="D105" s="27"/>
      <c r="H105" s="27"/>
      <c r="I105" s="67"/>
      <c r="J105" s="67"/>
      <c r="K105" s="74"/>
      <c r="L105" s="67"/>
      <c r="M105" s="67"/>
      <c r="N105" s="74"/>
    </row>
    <row r="106" spans="1:14" s="103" customFormat="1" x14ac:dyDescent="0.3">
      <c r="A106" s="31"/>
      <c r="B106" s="27"/>
      <c r="C106" s="47"/>
      <c r="D106" s="27"/>
      <c r="H106" s="27"/>
      <c r="I106" s="67"/>
      <c r="J106" s="67"/>
      <c r="K106" s="74"/>
      <c r="L106" s="67"/>
      <c r="M106" s="67"/>
      <c r="N106" s="74"/>
    </row>
    <row r="107" spans="1:14" s="103" customFormat="1" x14ac:dyDescent="0.3">
      <c r="A107" s="31"/>
      <c r="B107" s="27"/>
      <c r="C107" s="47"/>
      <c r="D107" s="27"/>
      <c r="H107" s="27"/>
      <c r="I107" s="67"/>
      <c r="J107" s="67"/>
      <c r="K107" s="74"/>
      <c r="L107" s="67"/>
      <c r="M107" s="67"/>
      <c r="N107" s="74"/>
    </row>
    <row r="108" spans="1:14" s="103" customFormat="1" x14ac:dyDescent="0.3">
      <c r="A108" s="31"/>
      <c r="B108" s="27"/>
      <c r="C108" s="47"/>
      <c r="D108" s="27"/>
      <c r="H108" s="27"/>
      <c r="I108" s="67"/>
      <c r="J108" s="67"/>
      <c r="K108" s="74"/>
      <c r="L108" s="67"/>
      <c r="M108" s="67"/>
      <c r="N108" s="74"/>
    </row>
    <row r="109" spans="1:14" s="103" customFormat="1" x14ac:dyDescent="0.3">
      <c r="A109" s="31"/>
      <c r="B109" s="27"/>
      <c r="C109" s="47"/>
      <c r="D109" s="27"/>
      <c r="H109" s="27"/>
      <c r="I109" s="67"/>
      <c r="J109" s="67"/>
      <c r="K109" s="74"/>
      <c r="L109" s="67"/>
      <c r="M109" s="67"/>
      <c r="N109" s="74"/>
    </row>
    <row r="110" spans="1:14" s="103" customFormat="1" x14ac:dyDescent="0.3">
      <c r="A110" s="31"/>
      <c r="B110" s="27"/>
      <c r="C110" s="47"/>
      <c r="D110" s="27"/>
      <c r="H110" s="27"/>
      <c r="I110" s="67"/>
      <c r="J110" s="67"/>
      <c r="K110" s="74"/>
      <c r="L110" s="67"/>
      <c r="M110" s="67"/>
      <c r="N110" s="74"/>
    </row>
    <row r="111" spans="1:14" s="103" customFormat="1" x14ac:dyDescent="0.3">
      <c r="A111" s="31"/>
      <c r="B111" s="27"/>
      <c r="C111" s="47"/>
      <c r="D111" s="27"/>
      <c r="H111" s="27"/>
      <c r="I111" s="67"/>
      <c r="J111" s="67"/>
      <c r="K111" s="74"/>
      <c r="L111" s="67"/>
      <c r="M111" s="67"/>
      <c r="N111" s="74"/>
    </row>
    <row r="112" spans="1:14" s="103" customFormat="1" x14ac:dyDescent="0.3">
      <c r="A112" s="31"/>
      <c r="B112" s="27"/>
      <c r="C112" s="47"/>
      <c r="D112" s="27"/>
      <c r="H112" s="27"/>
      <c r="I112" s="67"/>
      <c r="J112" s="67"/>
      <c r="K112" s="74"/>
      <c r="L112" s="67"/>
      <c r="M112" s="67"/>
      <c r="N112" s="74"/>
    </row>
    <row r="113" spans="1:14" s="103" customFormat="1" x14ac:dyDescent="0.3">
      <c r="A113" s="31"/>
      <c r="B113" s="27"/>
      <c r="C113" s="47"/>
      <c r="D113" s="27"/>
      <c r="H113" s="27"/>
      <c r="I113" s="67"/>
      <c r="J113" s="67"/>
      <c r="K113" s="74"/>
      <c r="L113" s="67"/>
      <c r="M113" s="67"/>
      <c r="N113" s="74"/>
    </row>
    <row r="114" spans="1:14" s="103" customFormat="1" x14ac:dyDescent="0.3">
      <c r="A114" s="31"/>
      <c r="B114" s="27"/>
      <c r="C114" s="47"/>
      <c r="D114" s="27"/>
      <c r="H114" s="27"/>
      <c r="I114" s="67"/>
      <c r="J114" s="67"/>
      <c r="K114" s="74"/>
      <c r="L114" s="67"/>
      <c r="M114" s="67"/>
      <c r="N114" s="74"/>
    </row>
    <row r="115" spans="1:14" s="103" customFormat="1" x14ac:dyDescent="0.3">
      <c r="A115" s="31"/>
      <c r="B115" s="27"/>
      <c r="C115" s="47"/>
      <c r="D115" s="27"/>
      <c r="H115" s="27"/>
      <c r="I115" s="67"/>
      <c r="J115" s="67"/>
      <c r="K115" s="74"/>
      <c r="L115" s="67"/>
      <c r="M115" s="67"/>
      <c r="N115" s="74"/>
    </row>
    <row r="116" spans="1:14" s="103" customFormat="1" x14ac:dyDescent="0.3">
      <c r="A116" s="31"/>
      <c r="B116" s="27"/>
      <c r="C116" s="47"/>
      <c r="D116" s="27"/>
      <c r="H116" s="27"/>
      <c r="I116" s="67"/>
      <c r="J116" s="67"/>
      <c r="K116" s="74"/>
      <c r="L116" s="67"/>
      <c r="M116" s="67"/>
      <c r="N116" s="74"/>
    </row>
    <row r="117" spans="1:14" s="103" customFormat="1" x14ac:dyDescent="0.3">
      <c r="A117" s="31"/>
      <c r="B117" s="27"/>
      <c r="C117" s="47"/>
      <c r="D117" s="27"/>
      <c r="H117" s="27"/>
      <c r="I117" s="67"/>
      <c r="J117" s="67"/>
      <c r="K117" s="74"/>
      <c r="L117" s="67"/>
      <c r="M117" s="67"/>
      <c r="N117" s="74"/>
    </row>
    <row r="118" spans="1:14" s="103" customFormat="1" x14ac:dyDescent="0.3">
      <c r="A118" s="31"/>
      <c r="B118" s="27"/>
      <c r="C118" s="47"/>
      <c r="D118" s="27"/>
      <c r="H118" s="27"/>
      <c r="I118" s="67"/>
      <c r="J118" s="67"/>
      <c r="K118" s="74"/>
      <c r="L118" s="67"/>
      <c r="M118" s="67"/>
      <c r="N118" s="74"/>
    </row>
    <row r="119" spans="1:14" s="103" customFormat="1" x14ac:dyDescent="0.3">
      <c r="A119" s="31"/>
      <c r="B119" s="27"/>
      <c r="C119" s="47"/>
      <c r="D119" s="27"/>
      <c r="H119" s="27"/>
      <c r="I119" s="67"/>
      <c r="J119" s="67"/>
      <c r="K119" s="74"/>
      <c r="L119" s="67"/>
      <c r="M119" s="67"/>
      <c r="N119" s="74"/>
    </row>
    <row r="120" spans="1:14" s="103" customFormat="1" x14ac:dyDescent="0.3">
      <c r="A120" s="31"/>
      <c r="B120" s="27"/>
      <c r="C120" s="47"/>
      <c r="D120" s="27"/>
      <c r="H120" s="27"/>
      <c r="I120" s="67"/>
      <c r="J120" s="67"/>
      <c r="K120" s="74"/>
      <c r="L120" s="67"/>
      <c r="M120" s="67"/>
      <c r="N120" s="74"/>
    </row>
    <row r="121" spans="1:14" s="103" customFormat="1" x14ac:dyDescent="0.3">
      <c r="A121" s="31"/>
      <c r="B121" s="27"/>
      <c r="C121" s="47"/>
      <c r="D121" s="27"/>
      <c r="H121" s="27"/>
      <c r="I121" s="67"/>
      <c r="J121" s="67"/>
      <c r="K121" s="74"/>
      <c r="L121" s="67"/>
      <c r="M121" s="67"/>
      <c r="N121" s="74"/>
    </row>
    <row r="122" spans="1:14" s="103" customFormat="1" x14ac:dyDescent="0.3">
      <c r="A122" s="31"/>
      <c r="B122" s="27"/>
      <c r="C122" s="47"/>
      <c r="D122" s="27"/>
      <c r="H122" s="27"/>
      <c r="I122" s="67"/>
      <c r="J122" s="67"/>
      <c r="K122" s="74"/>
      <c r="L122" s="67"/>
      <c r="M122" s="67"/>
      <c r="N122" s="74"/>
    </row>
    <row r="123" spans="1:14" s="103" customFormat="1" x14ac:dyDescent="0.3">
      <c r="A123" s="31"/>
      <c r="B123" s="27"/>
      <c r="C123" s="47"/>
      <c r="D123" s="27"/>
      <c r="H123" s="27"/>
      <c r="I123" s="67"/>
      <c r="J123" s="67"/>
      <c r="K123" s="74"/>
      <c r="L123" s="67"/>
      <c r="M123" s="67"/>
      <c r="N123" s="74"/>
    </row>
    <row r="124" spans="1:14" s="103" customFormat="1" x14ac:dyDescent="0.3">
      <c r="A124" s="31"/>
      <c r="B124" s="27"/>
      <c r="C124" s="47"/>
      <c r="D124" s="27"/>
      <c r="H124" s="27"/>
      <c r="I124" s="67"/>
      <c r="J124" s="67"/>
      <c r="K124" s="74"/>
      <c r="L124" s="67"/>
      <c r="M124" s="67"/>
      <c r="N124" s="74"/>
    </row>
    <row r="125" spans="1:14" s="103" customFormat="1" x14ac:dyDescent="0.3">
      <c r="A125" s="31"/>
      <c r="B125" s="27"/>
      <c r="C125" s="47"/>
      <c r="D125" s="27"/>
      <c r="H125" s="27"/>
      <c r="I125" s="67"/>
      <c r="J125" s="67"/>
      <c r="K125" s="74"/>
      <c r="L125" s="67"/>
      <c r="M125" s="67"/>
      <c r="N125" s="74"/>
    </row>
    <row r="126" spans="1:14" s="103" customFormat="1" x14ac:dyDescent="0.3">
      <c r="A126" s="31"/>
      <c r="B126" s="27"/>
      <c r="C126" s="47"/>
      <c r="D126" s="27"/>
      <c r="H126" s="27"/>
      <c r="I126" s="67"/>
      <c r="J126" s="67"/>
      <c r="K126" s="74"/>
      <c r="L126" s="67"/>
      <c r="M126" s="67"/>
      <c r="N126" s="74"/>
    </row>
    <row r="127" spans="1:14" s="103" customFormat="1" x14ac:dyDescent="0.3">
      <c r="A127" s="31"/>
      <c r="B127" s="27"/>
      <c r="C127" s="47"/>
      <c r="D127" s="27"/>
      <c r="H127" s="27"/>
      <c r="I127" s="67"/>
      <c r="J127" s="67"/>
      <c r="K127" s="74"/>
      <c r="L127" s="67"/>
      <c r="M127" s="67"/>
      <c r="N127" s="74"/>
    </row>
    <row r="128" spans="1:14" s="103" customFormat="1" x14ac:dyDescent="0.3">
      <c r="A128" s="31"/>
      <c r="B128" s="27"/>
      <c r="C128" s="47"/>
      <c r="D128" s="27"/>
      <c r="H128" s="27"/>
      <c r="I128" s="67"/>
      <c r="J128" s="67"/>
      <c r="K128" s="74"/>
      <c r="L128" s="67"/>
      <c r="M128" s="67"/>
      <c r="N128" s="74"/>
    </row>
    <row r="129" spans="1:14" s="103" customFormat="1" x14ac:dyDescent="0.3">
      <c r="A129" s="31"/>
      <c r="B129" s="27"/>
      <c r="C129" s="47"/>
      <c r="D129" s="27"/>
      <c r="H129" s="27"/>
      <c r="I129" s="67"/>
      <c r="J129" s="67"/>
      <c r="K129" s="74"/>
      <c r="L129" s="67"/>
      <c r="M129" s="67"/>
      <c r="N129" s="74"/>
    </row>
    <row r="130" spans="1:14" s="103" customFormat="1" x14ac:dyDescent="0.3">
      <c r="A130" s="31"/>
      <c r="B130" s="27"/>
      <c r="C130" s="47"/>
      <c r="D130" s="27"/>
      <c r="H130" s="27"/>
      <c r="I130" s="67"/>
      <c r="J130" s="67"/>
      <c r="K130" s="74"/>
      <c r="L130" s="67"/>
      <c r="M130" s="67"/>
      <c r="N130" s="74"/>
    </row>
    <row r="131" spans="1:14" s="103" customFormat="1" x14ac:dyDescent="0.3">
      <c r="A131" s="31"/>
      <c r="B131" s="27"/>
      <c r="C131" s="47"/>
      <c r="D131" s="27"/>
      <c r="H131" s="27"/>
      <c r="I131" s="67"/>
      <c r="J131" s="67"/>
      <c r="K131" s="74"/>
      <c r="L131" s="67"/>
      <c r="M131" s="67"/>
      <c r="N131" s="74"/>
    </row>
    <row r="132" spans="1:14" s="103" customFormat="1" x14ac:dyDescent="0.3">
      <c r="A132" s="31"/>
      <c r="B132" s="27"/>
      <c r="C132" s="47"/>
      <c r="D132" s="27"/>
      <c r="H132" s="27"/>
      <c r="I132" s="67"/>
      <c r="J132" s="67"/>
      <c r="K132" s="74"/>
      <c r="L132" s="67"/>
      <c r="M132" s="67"/>
      <c r="N132" s="74"/>
    </row>
    <row r="133" spans="1:14" s="103" customFormat="1" x14ac:dyDescent="0.3">
      <c r="A133" s="31"/>
      <c r="B133" s="27"/>
      <c r="C133" s="47"/>
      <c r="D133" s="27"/>
      <c r="H133" s="27"/>
      <c r="I133" s="67"/>
      <c r="J133" s="67"/>
      <c r="K133" s="74"/>
      <c r="L133" s="67"/>
      <c r="M133" s="67"/>
      <c r="N133" s="74"/>
    </row>
    <row r="134" spans="1:14" s="103" customFormat="1" x14ac:dyDescent="0.3">
      <c r="A134" s="31"/>
      <c r="B134" s="27"/>
      <c r="C134" s="47"/>
      <c r="D134" s="27"/>
      <c r="H134" s="27"/>
      <c r="I134" s="67"/>
      <c r="J134" s="67"/>
      <c r="K134" s="74"/>
      <c r="L134" s="67"/>
      <c r="M134" s="67"/>
      <c r="N134" s="74"/>
    </row>
    <row r="135" spans="1:14" s="103" customFormat="1" x14ac:dyDescent="0.3">
      <c r="A135" s="31"/>
      <c r="B135" s="27"/>
      <c r="C135" s="47"/>
      <c r="D135" s="27"/>
      <c r="H135" s="27"/>
      <c r="I135" s="67"/>
      <c r="J135" s="67"/>
      <c r="K135" s="74"/>
      <c r="L135" s="67"/>
      <c r="M135" s="67"/>
      <c r="N135" s="74"/>
    </row>
    <row r="136" spans="1:14" s="103" customFormat="1" x14ac:dyDescent="0.3">
      <c r="A136" s="31"/>
      <c r="B136" s="27"/>
      <c r="C136" s="47"/>
      <c r="D136" s="27"/>
      <c r="H136" s="27"/>
      <c r="I136" s="67"/>
      <c r="J136" s="67"/>
      <c r="K136" s="74"/>
      <c r="L136" s="67"/>
      <c r="M136" s="67"/>
      <c r="N136" s="74"/>
    </row>
    <row r="137" spans="1:14" s="103" customFormat="1" x14ac:dyDescent="0.3">
      <c r="A137" s="31"/>
      <c r="B137" s="27"/>
      <c r="C137" s="47"/>
      <c r="D137" s="27"/>
      <c r="H137" s="27"/>
      <c r="I137" s="67"/>
      <c r="J137" s="67"/>
      <c r="K137" s="74"/>
      <c r="L137" s="67"/>
      <c r="M137" s="67"/>
      <c r="N137" s="74"/>
    </row>
    <row r="138" spans="1:14" s="103" customFormat="1" x14ac:dyDescent="0.3">
      <c r="A138" s="31"/>
      <c r="B138" s="27"/>
      <c r="C138" s="47"/>
      <c r="D138" s="27"/>
      <c r="H138" s="27"/>
      <c r="I138" s="67"/>
      <c r="J138" s="67"/>
      <c r="K138" s="74"/>
      <c r="L138" s="67"/>
      <c r="M138" s="67"/>
      <c r="N138" s="74"/>
    </row>
    <row r="139" spans="1:14" s="103" customFormat="1" x14ac:dyDescent="0.3">
      <c r="A139" s="31"/>
      <c r="B139" s="27"/>
      <c r="C139" s="47"/>
      <c r="D139" s="27"/>
      <c r="H139" s="27"/>
      <c r="I139" s="67"/>
      <c r="J139" s="67"/>
      <c r="K139" s="74"/>
      <c r="L139" s="67"/>
      <c r="M139" s="67"/>
      <c r="N139" s="74"/>
    </row>
    <row r="140" spans="1:14" s="103" customFormat="1" x14ac:dyDescent="0.3">
      <c r="A140" s="31"/>
      <c r="B140" s="27"/>
      <c r="C140" s="47"/>
      <c r="D140" s="27"/>
      <c r="H140" s="27"/>
      <c r="I140" s="67"/>
      <c r="J140" s="67"/>
      <c r="K140" s="74"/>
      <c r="L140" s="67"/>
      <c r="M140" s="67"/>
      <c r="N140" s="74"/>
    </row>
    <row r="141" spans="1:14" s="103" customFormat="1" x14ac:dyDescent="0.3">
      <c r="A141" s="31"/>
      <c r="B141" s="27"/>
      <c r="C141" s="47"/>
      <c r="D141" s="27"/>
      <c r="H141" s="27"/>
      <c r="I141" s="67"/>
      <c r="J141" s="67"/>
      <c r="K141" s="74"/>
      <c r="L141" s="67"/>
      <c r="M141" s="67"/>
      <c r="N141" s="74"/>
    </row>
    <row r="142" spans="1:14" s="103" customFormat="1" x14ac:dyDescent="0.3">
      <c r="A142" s="31"/>
      <c r="B142" s="27"/>
      <c r="C142" s="47"/>
      <c r="D142" s="27"/>
      <c r="H142" s="27"/>
      <c r="I142" s="67"/>
      <c r="J142" s="67"/>
      <c r="K142" s="74"/>
      <c r="L142" s="67"/>
      <c r="M142" s="67"/>
      <c r="N142" s="74"/>
    </row>
    <row r="143" spans="1:14" s="103" customFormat="1" x14ac:dyDescent="0.3">
      <c r="A143" s="31"/>
      <c r="B143" s="27"/>
      <c r="C143" s="47"/>
      <c r="D143" s="27"/>
      <c r="H143" s="27"/>
      <c r="I143" s="67"/>
      <c r="J143" s="67"/>
      <c r="K143" s="74"/>
      <c r="L143" s="67"/>
      <c r="M143" s="67"/>
      <c r="N143" s="74"/>
    </row>
    <row r="144" spans="1:14" s="103" customFormat="1" x14ac:dyDescent="0.3">
      <c r="A144" s="31"/>
      <c r="B144" s="27"/>
      <c r="C144" s="47"/>
      <c r="D144" s="27"/>
      <c r="H144" s="27"/>
      <c r="I144" s="67"/>
      <c r="J144" s="67"/>
      <c r="K144" s="74"/>
      <c r="L144" s="67"/>
      <c r="M144" s="67"/>
      <c r="N144" s="74"/>
    </row>
    <row r="145" spans="1:14" s="103" customFormat="1" x14ac:dyDescent="0.3">
      <c r="A145" s="31"/>
      <c r="B145" s="27"/>
      <c r="C145" s="47"/>
      <c r="D145" s="27"/>
      <c r="H145" s="27"/>
      <c r="I145" s="67"/>
      <c r="J145" s="67"/>
      <c r="K145" s="74"/>
      <c r="L145" s="67"/>
      <c r="M145" s="67"/>
      <c r="N145" s="74"/>
    </row>
    <row r="146" spans="1:14" s="103" customFormat="1" x14ac:dyDescent="0.3">
      <c r="A146" s="31"/>
      <c r="B146" s="27"/>
      <c r="C146" s="47"/>
      <c r="D146" s="27"/>
      <c r="H146" s="27"/>
      <c r="I146" s="67"/>
      <c r="J146" s="67"/>
      <c r="K146" s="74"/>
      <c r="L146" s="67"/>
      <c r="M146" s="67"/>
      <c r="N146" s="74"/>
    </row>
    <row r="147" spans="1:14" s="103" customFormat="1" x14ac:dyDescent="0.3">
      <c r="A147" s="31"/>
      <c r="B147" s="27"/>
      <c r="C147" s="47"/>
      <c r="D147" s="27"/>
      <c r="H147" s="27"/>
      <c r="I147" s="67"/>
      <c r="J147" s="67"/>
      <c r="K147" s="74"/>
      <c r="L147" s="67"/>
      <c r="M147" s="67"/>
      <c r="N147" s="74"/>
    </row>
    <row r="148" spans="1:14" s="103" customFormat="1" x14ac:dyDescent="0.3">
      <c r="A148" s="31"/>
      <c r="B148" s="27"/>
      <c r="C148" s="47"/>
      <c r="D148" s="27"/>
      <c r="H148" s="27"/>
      <c r="I148" s="67"/>
      <c r="J148" s="67"/>
      <c r="K148" s="74"/>
      <c r="L148" s="67"/>
      <c r="M148" s="67"/>
      <c r="N148" s="74"/>
    </row>
    <row r="149" spans="1:14" s="103" customFormat="1" x14ac:dyDescent="0.3">
      <c r="A149" s="31"/>
      <c r="B149" s="27"/>
      <c r="C149" s="47"/>
      <c r="D149" s="27"/>
      <c r="H149" s="27"/>
      <c r="I149" s="67"/>
      <c r="J149" s="67"/>
      <c r="K149" s="74"/>
      <c r="L149" s="67"/>
      <c r="M149" s="67"/>
      <c r="N149" s="74"/>
    </row>
    <row r="150" spans="1:14" s="103" customFormat="1" x14ac:dyDescent="0.3">
      <c r="A150" s="31"/>
      <c r="B150" s="27"/>
      <c r="C150" s="47"/>
      <c r="D150" s="27"/>
      <c r="H150" s="27"/>
      <c r="I150" s="67"/>
      <c r="J150" s="67"/>
      <c r="K150" s="74"/>
      <c r="L150" s="67"/>
      <c r="M150" s="67"/>
      <c r="N150" s="74"/>
    </row>
    <row r="151" spans="1:14" s="103" customFormat="1" x14ac:dyDescent="0.3">
      <c r="A151" s="31"/>
      <c r="B151" s="27"/>
      <c r="C151" s="47"/>
      <c r="D151" s="27"/>
      <c r="H151" s="27"/>
      <c r="I151" s="67"/>
      <c r="J151" s="67"/>
      <c r="K151" s="74"/>
      <c r="L151" s="67"/>
      <c r="M151" s="67"/>
      <c r="N151" s="74"/>
    </row>
    <row r="152" spans="1:14" s="103" customFormat="1" x14ac:dyDescent="0.3">
      <c r="A152" s="31"/>
      <c r="B152" s="27"/>
      <c r="C152" s="47"/>
      <c r="D152" s="27"/>
      <c r="H152" s="27"/>
      <c r="I152" s="67"/>
      <c r="J152" s="67"/>
      <c r="K152" s="74"/>
      <c r="L152" s="67"/>
      <c r="M152" s="67"/>
      <c r="N152" s="74"/>
    </row>
    <row r="153" spans="1:14" s="103" customFormat="1" x14ac:dyDescent="0.3">
      <c r="A153" s="31"/>
      <c r="B153" s="27"/>
      <c r="C153" s="47"/>
      <c r="D153" s="27"/>
      <c r="H153" s="27"/>
      <c r="I153" s="67"/>
      <c r="J153" s="67"/>
      <c r="K153" s="74"/>
      <c r="L153" s="67"/>
      <c r="M153" s="67"/>
      <c r="N153" s="74"/>
    </row>
    <row r="154" spans="1:14" s="103" customFormat="1" x14ac:dyDescent="0.3">
      <c r="A154" s="31"/>
      <c r="B154" s="27"/>
      <c r="C154" s="47"/>
      <c r="D154" s="27"/>
      <c r="H154" s="27"/>
      <c r="I154" s="67"/>
      <c r="J154" s="67"/>
      <c r="K154" s="74"/>
      <c r="L154" s="67"/>
      <c r="M154" s="67"/>
      <c r="N154" s="74"/>
    </row>
    <row r="155" spans="1:14" s="103" customFormat="1" x14ac:dyDescent="0.3">
      <c r="A155" s="31"/>
      <c r="B155" s="27"/>
      <c r="C155" s="47"/>
      <c r="D155" s="27"/>
      <c r="H155" s="27"/>
      <c r="I155" s="67"/>
      <c r="J155" s="67"/>
      <c r="K155" s="74"/>
      <c r="L155" s="67"/>
      <c r="M155" s="67"/>
      <c r="N155" s="74"/>
    </row>
    <row r="156" spans="1:14" s="103" customFormat="1" x14ac:dyDescent="0.3">
      <c r="A156" s="31"/>
      <c r="B156" s="27"/>
      <c r="C156" s="47"/>
      <c r="D156" s="27"/>
      <c r="H156" s="27"/>
      <c r="I156" s="67"/>
      <c r="J156" s="67"/>
      <c r="K156" s="74"/>
      <c r="L156" s="67"/>
      <c r="M156" s="67"/>
      <c r="N156" s="74"/>
    </row>
    <row r="157" spans="1:14" s="103" customFormat="1" x14ac:dyDescent="0.3">
      <c r="A157" s="31"/>
      <c r="B157" s="27"/>
      <c r="C157" s="47"/>
      <c r="D157" s="27"/>
      <c r="H157" s="27"/>
      <c r="I157" s="67"/>
      <c r="J157" s="67"/>
      <c r="K157" s="74"/>
      <c r="L157" s="67"/>
      <c r="M157" s="67"/>
      <c r="N157" s="74"/>
    </row>
    <row r="158" spans="1:14" s="103" customFormat="1" x14ac:dyDescent="0.3">
      <c r="A158" s="31"/>
      <c r="B158" s="27"/>
      <c r="C158" s="47"/>
      <c r="D158" s="27"/>
      <c r="H158" s="27"/>
      <c r="I158" s="67"/>
      <c r="J158" s="67"/>
      <c r="K158" s="74"/>
      <c r="L158" s="67"/>
      <c r="M158" s="67"/>
      <c r="N158" s="74"/>
    </row>
    <row r="159" spans="1:14" s="103" customFormat="1" x14ac:dyDescent="0.3">
      <c r="A159" s="31"/>
      <c r="B159" s="27"/>
      <c r="C159" s="47"/>
      <c r="D159" s="27"/>
      <c r="H159" s="27"/>
      <c r="I159" s="67"/>
      <c r="J159" s="67"/>
      <c r="K159" s="74"/>
      <c r="L159" s="67"/>
      <c r="M159" s="67"/>
      <c r="N159" s="74"/>
    </row>
    <row r="160" spans="1:14" s="103" customFormat="1" x14ac:dyDescent="0.3">
      <c r="A160" s="31"/>
      <c r="B160" s="27"/>
      <c r="C160" s="47"/>
      <c r="D160" s="27"/>
      <c r="H160" s="27"/>
      <c r="I160" s="67"/>
      <c r="J160" s="67"/>
      <c r="K160" s="74"/>
      <c r="L160" s="67"/>
      <c r="M160" s="67"/>
      <c r="N160" s="74"/>
    </row>
    <row r="161" spans="1:14" s="103" customFormat="1" x14ac:dyDescent="0.3">
      <c r="A161" s="31"/>
      <c r="B161" s="27"/>
      <c r="C161" s="47"/>
      <c r="D161" s="27"/>
      <c r="H161" s="27"/>
      <c r="I161" s="67"/>
      <c r="J161" s="67"/>
      <c r="K161" s="74"/>
      <c r="L161" s="67"/>
      <c r="M161" s="67"/>
      <c r="N161" s="74"/>
    </row>
    <row r="162" spans="1:14" s="103" customFormat="1" x14ac:dyDescent="0.3">
      <c r="A162" s="31"/>
      <c r="B162" s="27"/>
      <c r="C162" s="47"/>
      <c r="D162" s="27"/>
      <c r="H162" s="27"/>
      <c r="I162" s="67"/>
      <c r="J162" s="67"/>
      <c r="K162" s="74"/>
      <c r="L162" s="67"/>
      <c r="M162" s="67"/>
      <c r="N162" s="74"/>
    </row>
    <row r="163" spans="1:14" x14ac:dyDescent="0.3">
      <c r="A163" s="31"/>
      <c r="B163" s="27"/>
      <c r="C163" s="47"/>
      <c r="D163" s="27"/>
      <c r="H163" s="27"/>
      <c r="I163" s="67"/>
      <c r="J163" s="67"/>
      <c r="K163" s="74"/>
      <c r="L163" s="67"/>
      <c r="M163" s="67"/>
      <c r="N163" s="74"/>
    </row>
    <row r="164" spans="1:14" x14ac:dyDescent="0.3">
      <c r="A164" s="31"/>
      <c r="B164" s="27"/>
      <c r="C164" s="47"/>
      <c r="D164" s="27"/>
      <c r="H164" s="27"/>
      <c r="I164" s="67"/>
      <c r="J164" s="67"/>
      <c r="K164" s="74"/>
      <c r="L164" s="67"/>
      <c r="M164" s="67"/>
      <c r="N164" s="74"/>
    </row>
    <row r="165" spans="1:14" x14ac:dyDescent="0.3">
      <c r="A165" s="31"/>
      <c r="B165" s="27"/>
      <c r="C165" s="47"/>
      <c r="D165" s="27"/>
      <c r="H165" s="27"/>
      <c r="I165" s="67"/>
      <c r="J165" s="67"/>
      <c r="K165" s="74"/>
      <c r="L165" s="67"/>
      <c r="M165" s="67"/>
      <c r="N165" s="74"/>
    </row>
    <row r="166" spans="1:14" x14ac:dyDescent="0.3">
      <c r="A166" s="31"/>
      <c r="B166" s="27"/>
      <c r="C166" s="47"/>
      <c r="D166" s="27"/>
      <c r="H166" s="27"/>
      <c r="I166" s="67"/>
      <c r="J166" s="67"/>
      <c r="K166" s="74"/>
      <c r="L166" s="67"/>
      <c r="M166" s="67"/>
      <c r="N166" s="74"/>
    </row>
    <row r="167" spans="1:14" x14ac:dyDescent="0.3">
      <c r="A167" s="48"/>
      <c r="B167" s="29"/>
      <c r="C167" s="49"/>
      <c r="D167" s="29"/>
      <c r="E167" s="50"/>
      <c r="F167" s="50"/>
      <c r="G167" s="50"/>
      <c r="H167" s="29"/>
      <c r="I167" s="50"/>
      <c r="J167" s="50"/>
      <c r="K167" s="29"/>
      <c r="L167" s="50"/>
      <c r="M167" s="50"/>
      <c r="N167" s="29"/>
    </row>
    <row r="168" spans="1:14" x14ac:dyDescent="0.3">
      <c r="A168" s="51"/>
      <c r="B168" s="52"/>
      <c r="C168" s="53"/>
      <c r="D168" s="52"/>
      <c r="E168" s="54"/>
      <c r="F168" s="54"/>
      <c r="G168" s="54"/>
      <c r="H168" s="52"/>
      <c r="I168" s="54"/>
      <c r="J168" s="54"/>
      <c r="L168" s="54"/>
      <c r="M168" s="54"/>
    </row>
    <row r="169" spans="1:14" x14ac:dyDescent="0.3">
      <c r="A169" s="31"/>
      <c r="B169" s="27"/>
      <c r="C169" s="47"/>
      <c r="D169" s="27"/>
      <c r="H169" s="27"/>
    </row>
    <row r="170" spans="1:14" x14ac:dyDescent="0.3">
      <c r="A170" s="31"/>
      <c r="B170" s="27"/>
      <c r="C170" s="47"/>
      <c r="D170" s="27"/>
      <c r="H170" s="27"/>
    </row>
    <row r="171" spans="1:14" x14ac:dyDescent="0.3">
      <c r="A171" s="31"/>
      <c r="B171" s="27"/>
      <c r="C171" s="47"/>
      <c r="D171" s="27"/>
      <c r="H171" s="27"/>
    </row>
    <row r="172" spans="1:14" x14ac:dyDescent="0.3">
      <c r="A172" s="31"/>
      <c r="B172" s="27"/>
      <c r="C172" s="47"/>
      <c r="D172" s="27"/>
      <c r="H172" s="27"/>
    </row>
    <row r="173" spans="1:14" x14ac:dyDescent="0.3">
      <c r="A173" s="31"/>
      <c r="B173" s="27"/>
      <c r="C173" s="47"/>
      <c r="D173" s="27"/>
      <c r="H173" s="27"/>
    </row>
    <row r="174" spans="1:14" x14ac:dyDescent="0.3">
      <c r="A174" s="31"/>
      <c r="B174" s="27"/>
      <c r="C174" s="47"/>
      <c r="D174" s="27"/>
      <c r="H174" s="27"/>
    </row>
    <row r="175" spans="1:14" x14ac:dyDescent="0.3">
      <c r="A175" s="31"/>
      <c r="B175" s="27"/>
      <c r="C175" s="47"/>
      <c r="D175" s="27"/>
      <c r="H175" s="27"/>
    </row>
    <row r="176" spans="1:14" x14ac:dyDescent="0.3">
      <c r="A176" s="31"/>
      <c r="B176" s="27"/>
      <c r="C176" s="47"/>
      <c r="D176" s="27"/>
      <c r="H176" s="27"/>
    </row>
    <row r="177" spans="1:8" x14ac:dyDescent="0.3">
      <c r="A177" s="31"/>
      <c r="B177" s="27"/>
      <c r="C177" s="47"/>
      <c r="D177" s="27"/>
      <c r="H177" s="27"/>
    </row>
    <row r="178" spans="1:8" x14ac:dyDescent="0.3">
      <c r="A178" s="31"/>
      <c r="B178" s="27"/>
      <c r="C178" s="47"/>
      <c r="D178" s="27"/>
      <c r="H178" s="27"/>
    </row>
    <row r="179" spans="1:8" x14ac:dyDescent="0.3">
      <c r="A179" s="31"/>
      <c r="B179" s="27"/>
      <c r="C179" s="47"/>
      <c r="D179" s="27"/>
      <c r="H179" s="27"/>
    </row>
    <row r="180" spans="1:8" x14ac:dyDescent="0.3">
      <c r="A180" s="31"/>
      <c r="B180" s="27"/>
      <c r="C180" s="47"/>
      <c r="D180" s="27"/>
      <c r="H180" s="27"/>
    </row>
    <row r="181" spans="1:8" x14ac:dyDescent="0.3">
      <c r="A181" s="31"/>
      <c r="B181" s="27"/>
      <c r="C181" s="47"/>
      <c r="D181" s="27"/>
      <c r="H181" s="27"/>
    </row>
    <row r="182" spans="1:8" x14ac:dyDescent="0.3">
      <c r="A182" s="31"/>
      <c r="B182" s="27"/>
      <c r="C182" s="47"/>
      <c r="D182" s="27"/>
      <c r="H182" s="27"/>
    </row>
    <row r="183" spans="1:8" x14ac:dyDescent="0.3">
      <c r="A183" s="31"/>
      <c r="B183" s="27"/>
      <c r="C183" s="47"/>
      <c r="D183" s="27"/>
      <c r="H183" s="27"/>
    </row>
    <row r="184" spans="1:8" x14ac:dyDescent="0.3">
      <c r="A184" s="31"/>
      <c r="B184" s="27"/>
      <c r="C184" s="47"/>
      <c r="D184" s="27"/>
      <c r="H184" s="27"/>
    </row>
    <row r="185" spans="1:8" x14ac:dyDescent="0.3">
      <c r="A185" s="31"/>
      <c r="B185" s="27"/>
      <c r="C185" s="47"/>
      <c r="D185" s="27"/>
      <c r="H185" s="27"/>
    </row>
    <row r="186" spans="1:8" x14ac:dyDescent="0.3">
      <c r="A186" s="31"/>
      <c r="B186" s="27"/>
      <c r="C186" s="47"/>
      <c r="D186" s="27"/>
      <c r="H186" s="27"/>
    </row>
    <row r="187" spans="1:8" x14ac:dyDescent="0.3">
      <c r="A187" s="31"/>
      <c r="B187" s="27"/>
      <c r="C187" s="47"/>
      <c r="D187" s="27"/>
      <c r="H187" s="27"/>
    </row>
    <row r="188" spans="1:8" x14ac:dyDescent="0.3">
      <c r="A188" s="31"/>
      <c r="B188" s="27"/>
      <c r="C188" s="47"/>
      <c r="D188" s="27"/>
      <c r="H188" s="27"/>
    </row>
    <row r="189" spans="1:8" x14ac:dyDescent="0.3">
      <c r="A189" s="31"/>
      <c r="B189" s="27"/>
      <c r="C189" s="47"/>
      <c r="D189" s="27"/>
      <c r="H189" s="27"/>
    </row>
    <row r="190" spans="1:8" x14ac:dyDescent="0.3">
      <c r="A190" s="31"/>
      <c r="B190" s="27"/>
      <c r="C190" s="47"/>
      <c r="D190" s="27"/>
      <c r="H190" s="27"/>
    </row>
    <row r="191" spans="1:8" x14ac:dyDescent="0.3">
      <c r="A191" s="31"/>
      <c r="B191" s="27"/>
      <c r="C191" s="47"/>
      <c r="D191" s="27"/>
      <c r="H191" s="27"/>
    </row>
    <row r="192" spans="1:8" x14ac:dyDescent="0.3">
      <c r="A192" s="31"/>
      <c r="B192" s="27"/>
      <c r="C192" s="47"/>
      <c r="D192" s="27"/>
      <c r="H192" s="27"/>
    </row>
    <row r="193" spans="1:8" x14ac:dyDescent="0.3">
      <c r="A193" s="31"/>
      <c r="B193" s="27"/>
      <c r="C193" s="47"/>
      <c r="D193" s="27"/>
      <c r="H193" s="27"/>
    </row>
    <row r="194" spans="1:8" x14ac:dyDescent="0.3">
      <c r="A194" s="31"/>
      <c r="B194" s="27"/>
      <c r="C194" s="47"/>
      <c r="D194" s="27"/>
      <c r="H194" s="27"/>
    </row>
    <row r="195" spans="1:8" x14ac:dyDescent="0.3">
      <c r="A195" s="31"/>
      <c r="B195" s="27"/>
      <c r="C195" s="47"/>
      <c r="D195" s="27"/>
      <c r="H195" s="27"/>
    </row>
    <row r="196" spans="1:8" x14ac:dyDescent="0.3">
      <c r="A196" s="31"/>
      <c r="B196" s="27"/>
      <c r="C196" s="47"/>
      <c r="D196" s="27"/>
      <c r="H196" s="27"/>
    </row>
    <row r="197" spans="1:8" x14ac:dyDescent="0.3">
      <c r="A197" s="31"/>
      <c r="B197" s="27"/>
      <c r="C197" s="47"/>
      <c r="D197" s="27"/>
      <c r="H197" s="27"/>
    </row>
    <row r="198" spans="1:8" x14ac:dyDescent="0.3">
      <c r="A198" s="31"/>
      <c r="B198" s="27"/>
      <c r="C198" s="47"/>
      <c r="D198" s="27"/>
      <c r="H198" s="27"/>
    </row>
    <row r="199" spans="1:8" x14ac:dyDescent="0.3">
      <c r="A199" s="31"/>
      <c r="B199" s="27"/>
      <c r="C199" s="47"/>
      <c r="D199" s="27"/>
      <c r="H199" s="27"/>
    </row>
    <row r="200" spans="1:8" x14ac:dyDescent="0.3">
      <c r="A200" s="31"/>
      <c r="B200" s="27"/>
      <c r="C200" s="47"/>
      <c r="D200" s="27"/>
      <c r="H200" s="27"/>
    </row>
    <row r="201" spans="1:8" x14ac:dyDescent="0.3">
      <c r="A201" s="31"/>
      <c r="B201" s="27"/>
      <c r="C201" s="47"/>
      <c r="D201" s="27"/>
      <c r="H201" s="27"/>
    </row>
    <row r="202" spans="1:8" x14ac:dyDescent="0.3">
      <c r="A202" s="31"/>
      <c r="B202" s="27"/>
      <c r="C202" s="47"/>
      <c r="D202" s="27"/>
      <c r="H202" s="27"/>
    </row>
    <row r="203" spans="1:8" x14ac:dyDescent="0.3">
      <c r="A203" s="31"/>
      <c r="B203" s="27"/>
      <c r="C203" s="47"/>
      <c r="D203" s="27"/>
      <c r="H203" s="27"/>
    </row>
    <row r="204" spans="1:8" x14ac:dyDescent="0.3">
      <c r="A204" s="31"/>
      <c r="B204" s="27"/>
      <c r="C204" s="47"/>
      <c r="D204" s="27"/>
      <c r="H204" s="27"/>
    </row>
    <row r="205" spans="1:8" x14ac:dyDescent="0.3">
      <c r="A205" s="31"/>
      <c r="B205" s="27"/>
      <c r="C205" s="47"/>
      <c r="D205" s="27"/>
      <c r="H205" s="27"/>
    </row>
    <row r="206" spans="1:8" x14ac:dyDescent="0.3">
      <c r="A206" s="31"/>
      <c r="B206" s="27"/>
      <c r="C206" s="47"/>
      <c r="D206" s="27"/>
      <c r="H206" s="27"/>
    </row>
  </sheetData>
  <autoFilter ref="A2:N166">
    <sortState ref="A3:N166">
      <sortCondition ref="C2:C11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D63"/>
  <sheetViews>
    <sheetView zoomScale="80" zoomScaleNormal="80" workbookViewId="0">
      <selection activeCell="G27" sqref="G27"/>
    </sheetView>
  </sheetViews>
  <sheetFormatPr baseColWidth="10" defaultRowHeight="14.4" x14ac:dyDescent="0.3"/>
  <cols>
    <col min="1" max="1" width="40.109375" bestFit="1" customWidth="1"/>
    <col min="2" max="2" width="14.5546875" bestFit="1" customWidth="1"/>
    <col min="3" max="4" width="8.6640625" bestFit="1" customWidth="1"/>
    <col min="5" max="5" width="9.109375" bestFit="1" customWidth="1"/>
    <col min="6" max="6" width="9.5546875" bestFit="1" customWidth="1"/>
    <col min="7" max="7" width="14.5546875" bestFit="1" customWidth="1"/>
    <col min="8" max="8" width="40.109375" bestFit="1" customWidth="1"/>
    <col min="9" max="9" width="14.5546875" bestFit="1" customWidth="1"/>
    <col min="10" max="11" width="8.6640625" bestFit="1" customWidth="1"/>
    <col min="12" max="12" width="9.109375" bestFit="1" customWidth="1"/>
    <col min="13" max="13" width="9.5546875" bestFit="1" customWidth="1"/>
    <col min="14" max="14" width="14.5546875" bestFit="1" customWidth="1"/>
    <col min="15" max="15" width="40.109375" bestFit="1" customWidth="1"/>
    <col min="16" max="16" width="23" bestFit="1" customWidth="1"/>
    <col min="17" max="18" width="8.6640625" bestFit="1" customWidth="1"/>
    <col min="19" max="19" width="9.109375" bestFit="1" customWidth="1"/>
    <col min="20" max="20" width="9.5546875" bestFit="1" customWidth="1"/>
    <col min="21" max="21" width="11.6640625" customWidth="1"/>
    <col min="22" max="22" width="40.109375" bestFit="1" customWidth="1"/>
    <col min="23" max="23" width="14.5546875" bestFit="1" customWidth="1"/>
    <col min="24" max="25" width="8.6640625" bestFit="1" customWidth="1"/>
    <col min="26" max="26" width="9.109375" bestFit="1" customWidth="1"/>
    <col min="27" max="27" width="9.5546875" bestFit="1" customWidth="1"/>
    <col min="29" max="29" width="40.109375" bestFit="1" customWidth="1"/>
    <col min="30" max="30" width="14.5546875" bestFit="1" customWidth="1"/>
    <col min="31" max="32" width="8.6640625" bestFit="1" customWidth="1"/>
    <col min="33" max="33" width="9.109375" bestFit="1" customWidth="1"/>
    <col min="34" max="34" width="9.5546875" bestFit="1" customWidth="1"/>
    <col min="36" max="36" width="40.109375" bestFit="1" customWidth="1"/>
    <col min="37" max="37" width="14.5546875" bestFit="1" customWidth="1"/>
    <col min="38" max="39" width="8.6640625" bestFit="1" customWidth="1"/>
    <col min="40" max="40" width="9.109375" bestFit="1" customWidth="1"/>
    <col min="41" max="41" width="9.5546875" bestFit="1" customWidth="1"/>
    <col min="43" max="43" width="40.109375" bestFit="1" customWidth="1"/>
    <col min="44" max="44" width="14.5546875" bestFit="1" customWidth="1"/>
    <col min="45" max="46" width="8.6640625" bestFit="1" customWidth="1"/>
    <col min="47" max="47" width="9.109375" bestFit="1" customWidth="1"/>
    <col min="48" max="48" width="9.5546875" bestFit="1" customWidth="1"/>
    <col min="50" max="50" width="40.109375" bestFit="1" customWidth="1"/>
    <col min="51" max="51" width="14.5546875" bestFit="1" customWidth="1"/>
    <col min="52" max="53" width="8.6640625" bestFit="1" customWidth="1"/>
    <col min="54" max="54" width="9.109375" bestFit="1" customWidth="1"/>
    <col min="55" max="55" width="9.5546875" bestFit="1" customWidth="1"/>
  </cols>
  <sheetData>
    <row r="2" spans="1:56" x14ac:dyDescent="0.3">
      <c r="A2" s="10" t="s">
        <v>80</v>
      </c>
      <c r="B2" s="109">
        <v>43118</v>
      </c>
      <c r="H2" s="10" t="s">
        <v>80</v>
      </c>
      <c r="I2" s="103" t="s">
        <v>152</v>
      </c>
      <c r="O2" s="10" t="s">
        <v>80</v>
      </c>
      <c r="P2" s="103" t="s">
        <v>152</v>
      </c>
      <c r="V2" s="10" t="s">
        <v>80</v>
      </c>
      <c r="W2" s="73" t="s">
        <v>85</v>
      </c>
      <c r="AC2" s="10" t="s">
        <v>80</v>
      </c>
      <c r="AD2" s="73" t="s">
        <v>85</v>
      </c>
      <c r="AJ2" s="10" t="s">
        <v>80</v>
      </c>
      <c r="AK2" s="73" t="s">
        <v>85</v>
      </c>
      <c r="AQ2" s="10" t="s">
        <v>80</v>
      </c>
      <c r="AR2" s="73" t="s">
        <v>85</v>
      </c>
      <c r="AX2" s="10" t="s">
        <v>80</v>
      </c>
      <c r="AY2" s="73" t="s">
        <v>85</v>
      </c>
    </row>
    <row r="3" spans="1:56" ht="29.25" customHeight="1" x14ac:dyDescent="0.3"/>
    <row r="4" spans="1:56" x14ac:dyDescent="0.3">
      <c r="A4" s="10" t="s">
        <v>76</v>
      </c>
      <c r="B4" s="10" t="s">
        <v>77</v>
      </c>
      <c r="C4" s="82" t="s">
        <v>113</v>
      </c>
      <c r="D4" s="82" t="s">
        <v>114</v>
      </c>
      <c r="E4" s="82" t="s">
        <v>115</v>
      </c>
      <c r="F4" s="82" t="s">
        <v>116</v>
      </c>
      <c r="H4" s="10" t="s">
        <v>76</v>
      </c>
      <c r="I4" s="10" t="s">
        <v>77</v>
      </c>
      <c r="J4" s="82" t="s">
        <v>113</v>
      </c>
      <c r="K4" s="82" t="s">
        <v>114</v>
      </c>
      <c r="L4" s="82" t="s">
        <v>115</v>
      </c>
      <c r="M4" s="82" t="s">
        <v>116</v>
      </c>
      <c r="O4" s="10" t="s">
        <v>76</v>
      </c>
      <c r="P4" s="10" t="s">
        <v>77</v>
      </c>
      <c r="Q4" s="82" t="s">
        <v>113</v>
      </c>
      <c r="R4" s="82" t="s">
        <v>114</v>
      </c>
      <c r="S4" s="82" t="s">
        <v>115</v>
      </c>
      <c r="T4" s="82" t="s">
        <v>116</v>
      </c>
      <c r="U4" t="str">
        <f t="shared" ref="U4:U40" si="0">P4</f>
        <v>FUNCION</v>
      </c>
      <c r="V4" s="10" t="s">
        <v>76</v>
      </c>
      <c r="W4" s="10" t="s">
        <v>77</v>
      </c>
      <c r="X4" s="82" t="s">
        <v>113</v>
      </c>
      <c r="Y4" s="82" t="s">
        <v>114</v>
      </c>
      <c r="Z4" s="82" t="s">
        <v>115</v>
      </c>
      <c r="AA4" s="82" t="s">
        <v>116</v>
      </c>
      <c r="AC4" s="10" t="s">
        <v>76</v>
      </c>
      <c r="AD4" s="10" t="s">
        <v>77</v>
      </c>
      <c r="AE4" s="82" t="s">
        <v>113</v>
      </c>
      <c r="AF4" s="82" t="s">
        <v>114</v>
      </c>
      <c r="AG4" s="82" t="s">
        <v>115</v>
      </c>
      <c r="AH4" s="82" t="s">
        <v>116</v>
      </c>
      <c r="AJ4" s="10" t="s">
        <v>76</v>
      </c>
      <c r="AK4" s="10" t="s">
        <v>77</v>
      </c>
      <c r="AL4" s="82" t="s">
        <v>113</v>
      </c>
      <c r="AM4" s="82" t="s">
        <v>114</v>
      </c>
      <c r="AN4" s="82" t="s">
        <v>115</v>
      </c>
      <c r="AO4" s="82" t="s">
        <v>116</v>
      </c>
      <c r="AQ4" s="10" t="s">
        <v>76</v>
      </c>
      <c r="AR4" s="10" t="s">
        <v>77</v>
      </c>
      <c r="AS4" s="82" t="s">
        <v>113</v>
      </c>
      <c r="AT4" s="82" t="s">
        <v>114</v>
      </c>
      <c r="AU4" s="82" t="s">
        <v>115</v>
      </c>
      <c r="AV4" s="82" t="s">
        <v>116</v>
      </c>
      <c r="AX4" s="10" t="s">
        <v>76</v>
      </c>
      <c r="AY4" s="10" t="s">
        <v>77</v>
      </c>
      <c r="AZ4" s="82" t="s">
        <v>113</v>
      </c>
      <c r="BA4" s="82" t="s">
        <v>114</v>
      </c>
      <c r="BB4" s="82" t="s">
        <v>115</v>
      </c>
      <c r="BC4" s="82" t="s">
        <v>116</v>
      </c>
    </row>
    <row r="5" spans="1:56" x14ac:dyDescent="0.3">
      <c r="A5" s="103" t="s">
        <v>39</v>
      </c>
      <c r="B5" s="103" t="s">
        <v>89</v>
      </c>
      <c r="C5" s="108">
        <v>0.83333333333333337</v>
      </c>
      <c r="D5" s="108">
        <v>1</v>
      </c>
      <c r="E5" s="108">
        <v>0</v>
      </c>
      <c r="F5" s="108">
        <v>0.125</v>
      </c>
      <c r="G5" t="str">
        <f t="shared" ref="G5:G40" si="1">B5</f>
        <v>2.- Chayo</v>
      </c>
      <c r="N5">
        <f t="shared" ref="N5:N23" si="2">I5</f>
        <v>0</v>
      </c>
      <c r="U5">
        <f t="shared" si="0"/>
        <v>0</v>
      </c>
      <c r="AB5">
        <f t="shared" ref="AB5:AB40" si="3">W5</f>
        <v>0</v>
      </c>
      <c r="AI5">
        <f t="shared" ref="AI5:AI40" si="4">AD5</f>
        <v>0</v>
      </c>
      <c r="AP5">
        <f t="shared" ref="AP5:AP40" si="5">AK5</f>
        <v>0</v>
      </c>
      <c r="AW5">
        <f t="shared" ref="AW5:AW40" si="6">AR5</f>
        <v>0</v>
      </c>
      <c r="BD5">
        <f t="shared" ref="BD5:BD40" si="7">AY5</f>
        <v>0</v>
      </c>
    </row>
    <row r="6" spans="1:56" x14ac:dyDescent="0.3">
      <c r="A6" s="103" t="s">
        <v>25</v>
      </c>
      <c r="B6" s="103" t="s">
        <v>98</v>
      </c>
      <c r="C6" s="108">
        <v>0.83333333333333337</v>
      </c>
      <c r="D6" s="108">
        <v>1</v>
      </c>
      <c r="E6" s="108">
        <v>0</v>
      </c>
      <c r="F6" s="108">
        <v>0.125</v>
      </c>
      <c r="G6" t="str">
        <f t="shared" si="1"/>
        <v>5.- Transporte</v>
      </c>
      <c r="N6">
        <f t="shared" si="2"/>
        <v>0</v>
      </c>
      <c r="U6">
        <f t="shared" si="0"/>
        <v>0</v>
      </c>
      <c r="AB6">
        <f t="shared" si="3"/>
        <v>0</v>
      </c>
      <c r="AI6">
        <f t="shared" si="4"/>
        <v>0</v>
      </c>
      <c r="AP6">
        <f t="shared" si="5"/>
        <v>0</v>
      </c>
      <c r="AW6">
        <f t="shared" si="6"/>
        <v>0</v>
      </c>
      <c r="BD6">
        <f t="shared" si="7"/>
        <v>0</v>
      </c>
    </row>
    <row r="7" spans="1:56" x14ac:dyDescent="0.3">
      <c r="A7" s="103" t="s">
        <v>69</v>
      </c>
      <c r="B7" s="103" t="s">
        <v>79</v>
      </c>
      <c r="C7" s="108">
        <v>0.83333333333333337</v>
      </c>
      <c r="D7" s="108">
        <v>1</v>
      </c>
      <c r="E7" s="108">
        <v>0</v>
      </c>
      <c r="F7" s="108">
        <v>0.125</v>
      </c>
      <c r="G7" t="str">
        <f t="shared" si="1"/>
        <v>1.- Bolsero</v>
      </c>
      <c r="N7">
        <f t="shared" si="2"/>
        <v>0</v>
      </c>
      <c r="U7">
        <f t="shared" si="0"/>
        <v>0</v>
      </c>
      <c r="AB7">
        <f t="shared" si="3"/>
        <v>0</v>
      </c>
      <c r="AI7">
        <f t="shared" si="4"/>
        <v>0</v>
      </c>
      <c r="AP7">
        <f t="shared" si="5"/>
        <v>0</v>
      </c>
      <c r="AW7">
        <f t="shared" si="6"/>
        <v>0</v>
      </c>
      <c r="BD7">
        <f t="shared" si="7"/>
        <v>0</v>
      </c>
    </row>
    <row r="8" spans="1:56" x14ac:dyDescent="0.3">
      <c r="A8" s="103" t="s">
        <v>53</v>
      </c>
      <c r="B8" s="103" t="s">
        <v>98</v>
      </c>
      <c r="C8" s="108">
        <v>0.83333333333333337</v>
      </c>
      <c r="D8" s="108">
        <v>1</v>
      </c>
      <c r="E8" s="108">
        <v>0</v>
      </c>
      <c r="F8" s="108">
        <v>0.125</v>
      </c>
      <c r="G8" t="str">
        <f t="shared" si="1"/>
        <v>5.- Transporte</v>
      </c>
      <c r="N8">
        <f t="shared" si="2"/>
        <v>0</v>
      </c>
      <c r="U8">
        <f t="shared" si="0"/>
        <v>0</v>
      </c>
      <c r="AB8">
        <f t="shared" si="3"/>
        <v>0</v>
      </c>
      <c r="AI8">
        <f t="shared" si="4"/>
        <v>0</v>
      </c>
      <c r="AP8">
        <f t="shared" si="5"/>
        <v>0</v>
      </c>
      <c r="AW8">
        <f t="shared" si="6"/>
        <v>0</v>
      </c>
      <c r="BD8">
        <f t="shared" si="7"/>
        <v>0</v>
      </c>
    </row>
    <row r="9" spans="1:56" x14ac:dyDescent="0.3">
      <c r="A9" s="103" t="s">
        <v>57</v>
      </c>
      <c r="B9" s="103" t="s">
        <v>98</v>
      </c>
      <c r="C9" s="108">
        <v>0.83333333333333337</v>
      </c>
      <c r="D9" s="108">
        <v>1</v>
      </c>
      <c r="E9" s="108">
        <v>0</v>
      </c>
      <c r="F9" s="108">
        <v>0.125</v>
      </c>
      <c r="G9" t="str">
        <f t="shared" si="1"/>
        <v>5.- Transporte</v>
      </c>
      <c r="N9">
        <f t="shared" si="2"/>
        <v>0</v>
      </c>
      <c r="U9">
        <f t="shared" si="0"/>
        <v>0</v>
      </c>
      <c r="AB9">
        <f t="shared" si="3"/>
        <v>0</v>
      </c>
      <c r="AI9">
        <f t="shared" si="4"/>
        <v>0</v>
      </c>
      <c r="AP9">
        <f t="shared" si="5"/>
        <v>0</v>
      </c>
      <c r="AW9">
        <f t="shared" si="6"/>
        <v>0</v>
      </c>
      <c r="BD9">
        <f t="shared" si="7"/>
        <v>0</v>
      </c>
    </row>
    <row r="10" spans="1:56" x14ac:dyDescent="0.3">
      <c r="A10" s="103" t="s">
        <v>97</v>
      </c>
      <c r="B10" s="103" t="s">
        <v>98</v>
      </c>
      <c r="C10" s="108">
        <v>0.83333333333333337</v>
      </c>
      <c r="D10" s="108">
        <v>1</v>
      </c>
      <c r="E10" s="108">
        <v>0</v>
      </c>
      <c r="F10" s="108">
        <v>0.125</v>
      </c>
      <c r="G10" t="str">
        <f t="shared" si="1"/>
        <v>5.- Transporte</v>
      </c>
      <c r="N10">
        <f t="shared" si="2"/>
        <v>0</v>
      </c>
      <c r="U10">
        <f t="shared" si="0"/>
        <v>0</v>
      </c>
      <c r="AB10">
        <f t="shared" si="3"/>
        <v>0</v>
      </c>
      <c r="AI10">
        <f t="shared" si="4"/>
        <v>0</v>
      </c>
      <c r="AP10">
        <f t="shared" si="5"/>
        <v>0</v>
      </c>
      <c r="AW10">
        <f t="shared" si="6"/>
        <v>0</v>
      </c>
      <c r="BD10">
        <f t="shared" si="7"/>
        <v>0</v>
      </c>
    </row>
    <row r="11" spans="1:56" x14ac:dyDescent="0.3">
      <c r="A11" s="103" t="s">
        <v>51</v>
      </c>
      <c r="B11" s="103" t="s">
        <v>98</v>
      </c>
      <c r="C11" s="108">
        <v>0.83333333333333337</v>
      </c>
      <c r="D11" s="108">
        <v>1</v>
      </c>
      <c r="E11" s="108">
        <v>0</v>
      </c>
      <c r="F11" s="108">
        <v>0.125</v>
      </c>
      <c r="G11" t="str">
        <f t="shared" si="1"/>
        <v>5.- Transporte</v>
      </c>
      <c r="N11">
        <f t="shared" si="2"/>
        <v>0</v>
      </c>
      <c r="U11">
        <f t="shared" si="0"/>
        <v>0</v>
      </c>
      <c r="AB11">
        <f t="shared" si="3"/>
        <v>0</v>
      </c>
      <c r="AI11">
        <f t="shared" si="4"/>
        <v>0</v>
      </c>
      <c r="AP11">
        <f t="shared" si="5"/>
        <v>0</v>
      </c>
      <c r="AW11">
        <f t="shared" si="6"/>
        <v>0</v>
      </c>
      <c r="BD11">
        <f t="shared" si="7"/>
        <v>0</v>
      </c>
    </row>
    <row r="12" spans="1:56" x14ac:dyDescent="0.3">
      <c r="A12" s="103" t="s">
        <v>31</v>
      </c>
      <c r="B12" s="103" t="s">
        <v>79</v>
      </c>
      <c r="C12" s="108">
        <v>0.83333333333333337</v>
      </c>
      <c r="D12" s="108">
        <v>1</v>
      </c>
      <c r="E12" s="108">
        <v>0</v>
      </c>
      <c r="F12" s="108">
        <v>0.125</v>
      </c>
      <c r="G12" t="str">
        <f t="shared" si="1"/>
        <v>1.- Bolsero</v>
      </c>
      <c r="N12">
        <f t="shared" si="2"/>
        <v>0</v>
      </c>
      <c r="U12">
        <f t="shared" si="0"/>
        <v>0</v>
      </c>
      <c r="AB12">
        <f t="shared" si="3"/>
        <v>0</v>
      </c>
      <c r="AI12">
        <f t="shared" si="4"/>
        <v>0</v>
      </c>
      <c r="AP12">
        <f t="shared" si="5"/>
        <v>0</v>
      </c>
      <c r="AW12">
        <f t="shared" si="6"/>
        <v>0</v>
      </c>
      <c r="BD12">
        <f t="shared" si="7"/>
        <v>0</v>
      </c>
    </row>
    <row r="13" spans="1:56" x14ac:dyDescent="0.3">
      <c r="A13" s="103" t="s">
        <v>22</v>
      </c>
      <c r="B13" s="103" t="s">
        <v>98</v>
      </c>
      <c r="C13" s="108">
        <v>0.83333333333333337</v>
      </c>
      <c r="D13" s="108">
        <v>1</v>
      </c>
      <c r="E13" s="108">
        <v>0</v>
      </c>
      <c r="F13" s="108">
        <v>0.125</v>
      </c>
      <c r="G13" t="str">
        <f t="shared" si="1"/>
        <v>5.- Transporte</v>
      </c>
      <c r="N13">
        <f t="shared" si="2"/>
        <v>0</v>
      </c>
      <c r="U13">
        <f t="shared" si="0"/>
        <v>0</v>
      </c>
      <c r="AB13">
        <f t="shared" si="3"/>
        <v>0</v>
      </c>
      <c r="AI13">
        <f t="shared" si="4"/>
        <v>0</v>
      </c>
      <c r="AP13">
        <f t="shared" si="5"/>
        <v>0</v>
      </c>
      <c r="AW13">
        <f t="shared" si="6"/>
        <v>0</v>
      </c>
      <c r="BD13">
        <f t="shared" si="7"/>
        <v>0</v>
      </c>
    </row>
    <row r="14" spans="1:56" x14ac:dyDescent="0.3">
      <c r="A14" s="103" t="s">
        <v>33</v>
      </c>
      <c r="B14" s="103" t="s">
        <v>90</v>
      </c>
      <c r="C14" s="108">
        <v>0.83333333333333337</v>
      </c>
      <c r="D14" s="108">
        <v>1</v>
      </c>
      <c r="E14" s="108">
        <v>0</v>
      </c>
      <c r="F14" s="108">
        <v>0.125</v>
      </c>
      <c r="G14" t="str">
        <f t="shared" si="1"/>
        <v>3.- Pesador</v>
      </c>
      <c r="N14">
        <f t="shared" si="2"/>
        <v>0</v>
      </c>
      <c r="U14">
        <f t="shared" si="0"/>
        <v>0</v>
      </c>
      <c r="AB14">
        <f t="shared" si="3"/>
        <v>0</v>
      </c>
      <c r="AI14">
        <f t="shared" si="4"/>
        <v>0</v>
      </c>
      <c r="AP14">
        <f t="shared" si="5"/>
        <v>0</v>
      </c>
      <c r="AW14">
        <f t="shared" si="6"/>
        <v>0</v>
      </c>
      <c r="BD14">
        <f t="shared" si="7"/>
        <v>0</v>
      </c>
    </row>
    <row r="15" spans="1:56" x14ac:dyDescent="0.3">
      <c r="A15" s="103" t="s">
        <v>144</v>
      </c>
      <c r="B15" s="103" t="s">
        <v>98</v>
      </c>
      <c r="C15" s="108">
        <v>0.83333333333333337</v>
      </c>
      <c r="D15" s="108">
        <v>1</v>
      </c>
      <c r="E15" s="108">
        <v>0</v>
      </c>
      <c r="F15" s="108">
        <v>0.125</v>
      </c>
      <c r="G15" t="str">
        <f t="shared" si="1"/>
        <v>5.- Transporte</v>
      </c>
      <c r="N15">
        <f t="shared" si="2"/>
        <v>0</v>
      </c>
      <c r="U15">
        <f t="shared" si="0"/>
        <v>0</v>
      </c>
      <c r="AB15">
        <f t="shared" si="3"/>
        <v>0</v>
      </c>
      <c r="AI15">
        <f t="shared" si="4"/>
        <v>0</v>
      </c>
      <c r="AP15">
        <f t="shared" si="5"/>
        <v>0</v>
      </c>
      <c r="AW15">
        <f t="shared" si="6"/>
        <v>0</v>
      </c>
      <c r="BD15">
        <f t="shared" si="7"/>
        <v>0</v>
      </c>
    </row>
    <row r="16" spans="1:56" x14ac:dyDescent="0.3">
      <c r="A16" s="103" t="s">
        <v>59</v>
      </c>
      <c r="B16" s="103" t="s">
        <v>98</v>
      </c>
      <c r="C16" s="108">
        <v>0.83333333333333337</v>
      </c>
      <c r="D16" s="108">
        <v>1</v>
      </c>
      <c r="E16" s="108">
        <v>0</v>
      </c>
      <c r="F16" s="108">
        <v>0.125</v>
      </c>
      <c r="G16" t="str">
        <f t="shared" si="1"/>
        <v>5.- Transporte</v>
      </c>
      <c r="N16">
        <f t="shared" si="2"/>
        <v>0</v>
      </c>
      <c r="U16">
        <f t="shared" si="0"/>
        <v>0</v>
      </c>
      <c r="AB16">
        <f t="shared" si="3"/>
        <v>0</v>
      </c>
      <c r="AI16">
        <f t="shared" si="4"/>
        <v>0</v>
      </c>
      <c r="AP16">
        <f t="shared" si="5"/>
        <v>0</v>
      </c>
      <c r="AW16">
        <f t="shared" si="6"/>
        <v>0</v>
      </c>
      <c r="BD16">
        <f t="shared" si="7"/>
        <v>0</v>
      </c>
    </row>
    <row r="17" spans="1:56" x14ac:dyDescent="0.3">
      <c r="A17" s="103" t="s">
        <v>45</v>
      </c>
      <c r="B17" s="103" t="s">
        <v>98</v>
      </c>
      <c r="C17" s="108">
        <v>0.83333333333333337</v>
      </c>
      <c r="D17" s="108">
        <v>1</v>
      </c>
      <c r="E17" s="108">
        <v>0</v>
      </c>
      <c r="F17" s="108">
        <v>0.125</v>
      </c>
      <c r="G17" t="str">
        <f t="shared" si="1"/>
        <v>5.- Transporte</v>
      </c>
      <c r="N17">
        <f t="shared" si="2"/>
        <v>0</v>
      </c>
      <c r="U17">
        <f t="shared" si="0"/>
        <v>0</v>
      </c>
      <c r="AB17">
        <f t="shared" si="3"/>
        <v>0</v>
      </c>
      <c r="AI17">
        <f t="shared" si="4"/>
        <v>0</v>
      </c>
      <c r="AP17">
        <f t="shared" si="5"/>
        <v>0</v>
      </c>
      <c r="AW17">
        <f t="shared" si="6"/>
        <v>0</v>
      </c>
      <c r="BD17">
        <f t="shared" si="7"/>
        <v>0</v>
      </c>
    </row>
    <row r="18" spans="1:56" x14ac:dyDescent="0.3">
      <c r="A18" s="103" t="s">
        <v>40</v>
      </c>
      <c r="B18" s="103" t="s">
        <v>89</v>
      </c>
      <c r="C18" s="108">
        <v>0.83333333333333337</v>
      </c>
      <c r="D18" s="108">
        <v>1</v>
      </c>
      <c r="E18" s="108">
        <v>0</v>
      </c>
      <c r="F18" s="108">
        <v>0.125</v>
      </c>
      <c r="G18" t="str">
        <f t="shared" si="1"/>
        <v>2.- Chayo</v>
      </c>
      <c r="N18">
        <f t="shared" si="2"/>
        <v>0</v>
      </c>
      <c r="U18">
        <f t="shared" si="0"/>
        <v>0</v>
      </c>
      <c r="AB18">
        <f t="shared" si="3"/>
        <v>0</v>
      </c>
      <c r="AI18">
        <f t="shared" si="4"/>
        <v>0</v>
      </c>
      <c r="AP18">
        <f t="shared" si="5"/>
        <v>0</v>
      </c>
      <c r="AW18">
        <f t="shared" si="6"/>
        <v>0</v>
      </c>
      <c r="BD18">
        <f t="shared" si="7"/>
        <v>0</v>
      </c>
    </row>
    <row r="19" spans="1:56" x14ac:dyDescent="0.3">
      <c r="A19" s="103" t="s">
        <v>141</v>
      </c>
      <c r="B19" s="103" t="s">
        <v>92</v>
      </c>
      <c r="C19" s="108">
        <v>0.83333333333333337</v>
      </c>
      <c r="D19" s="108">
        <v>1</v>
      </c>
      <c r="E19" s="108">
        <v>0</v>
      </c>
      <c r="F19" s="108">
        <v>0.125</v>
      </c>
      <c r="G19" t="str">
        <f t="shared" si="1"/>
        <v>6.- Patero</v>
      </c>
      <c r="N19">
        <f t="shared" si="2"/>
        <v>0</v>
      </c>
      <c r="U19">
        <f t="shared" si="0"/>
        <v>0</v>
      </c>
      <c r="AB19">
        <f t="shared" si="3"/>
        <v>0</v>
      </c>
      <c r="AI19">
        <f t="shared" si="4"/>
        <v>0</v>
      </c>
      <c r="AP19">
        <f t="shared" si="5"/>
        <v>0</v>
      </c>
      <c r="AW19">
        <f t="shared" si="6"/>
        <v>0</v>
      </c>
      <c r="BD19">
        <f t="shared" si="7"/>
        <v>0</v>
      </c>
    </row>
    <row r="20" spans="1:56" x14ac:dyDescent="0.3">
      <c r="A20" s="103" t="s">
        <v>49</v>
      </c>
      <c r="B20" s="103" t="s">
        <v>98</v>
      </c>
      <c r="C20" s="108">
        <v>0.83333333333333337</v>
      </c>
      <c r="D20" s="108">
        <v>1</v>
      </c>
      <c r="E20" s="108">
        <v>0</v>
      </c>
      <c r="F20" s="108">
        <v>0.125</v>
      </c>
      <c r="G20" t="str">
        <f t="shared" si="1"/>
        <v>5.- Transporte</v>
      </c>
      <c r="N20">
        <f t="shared" si="2"/>
        <v>0</v>
      </c>
      <c r="U20">
        <f t="shared" si="0"/>
        <v>0</v>
      </c>
      <c r="AB20">
        <f t="shared" si="3"/>
        <v>0</v>
      </c>
      <c r="AI20">
        <f t="shared" si="4"/>
        <v>0</v>
      </c>
      <c r="AP20">
        <f t="shared" si="5"/>
        <v>0</v>
      </c>
      <c r="AW20">
        <f t="shared" si="6"/>
        <v>0</v>
      </c>
      <c r="BD20">
        <f t="shared" si="7"/>
        <v>0</v>
      </c>
    </row>
    <row r="21" spans="1:56" x14ac:dyDescent="0.3">
      <c r="A21" s="103" t="s">
        <v>47</v>
      </c>
      <c r="B21" s="103" t="s">
        <v>91</v>
      </c>
      <c r="C21" s="108">
        <v>0.83333333333333337</v>
      </c>
      <c r="D21" s="108">
        <v>1</v>
      </c>
      <c r="E21" s="108">
        <v>0</v>
      </c>
      <c r="F21" s="108">
        <v>0.125</v>
      </c>
      <c r="G21" t="str">
        <f t="shared" si="1"/>
        <v>4.- Sembrador</v>
      </c>
      <c r="N21">
        <f t="shared" si="2"/>
        <v>0</v>
      </c>
      <c r="U21">
        <f t="shared" si="0"/>
        <v>0</v>
      </c>
      <c r="AB21">
        <f t="shared" si="3"/>
        <v>0</v>
      </c>
      <c r="AI21">
        <f t="shared" si="4"/>
        <v>0</v>
      </c>
      <c r="AP21">
        <f t="shared" si="5"/>
        <v>0</v>
      </c>
      <c r="AW21">
        <f t="shared" si="6"/>
        <v>0</v>
      </c>
      <c r="BD21">
        <f t="shared" si="7"/>
        <v>0</v>
      </c>
    </row>
    <row r="22" spans="1:56" x14ac:dyDescent="0.3">
      <c r="A22" s="103" t="s">
        <v>36</v>
      </c>
      <c r="B22" s="103" t="s">
        <v>98</v>
      </c>
      <c r="C22" s="108">
        <v>0.83333333333333337</v>
      </c>
      <c r="D22" s="108">
        <v>1</v>
      </c>
      <c r="E22" s="108">
        <v>0</v>
      </c>
      <c r="F22" s="108">
        <v>0.125</v>
      </c>
      <c r="G22" t="str">
        <f t="shared" si="1"/>
        <v>5.- Transporte</v>
      </c>
      <c r="N22">
        <f t="shared" si="2"/>
        <v>0</v>
      </c>
      <c r="U22">
        <f t="shared" si="0"/>
        <v>0</v>
      </c>
      <c r="AB22">
        <f t="shared" si="3"/>
        <v>0</v>
      </c>
      <c r="AI22">
        <f t="shared" si="4"/>
        <v>0</v>
      </c>
      <c r="AP22">
        <f t="shared" si="5"/>
        <v>0</v>
      </c>
      <c r="AW22">
        <f t="shared" si="6"/>
        <v>0</v>
      </c>
      <c r="BD22">
        <f t="shared" si="7"/>
        <v>0</v>
      </c>
    </row>
    <row r="23" spans="1:56" x14ac:dyDescent="0.3">
      <c r="A23" s="103" t="s">
        <v>27</v>
      </c>
      <c r="B23" s="103" t="s">
        <v>88</v>
      </c>
      <c r="C23" s="108">
        <v>0.83333333333333337</v>
      </c>
      <c r="D23" s="108">
        <v>1</v>
      </c>
      <c r="E23" s="108">
        <v>0</v>
      </c>
      <c r="F23" s="108">
        <v>0.125</v>
      </c>
      <c r="G23" t="str">
        <f t="shared" si="1"/>
        <v xml:space="preserve"> </v>
      </c>
      <c r="N23">
        <f t="shared" si="2"/>
        <v>0</v>
      </c>
      <c r="U23">
        <f t="shared" si="0"/>
        <v>0</v>
      </c>
      <c r="AB23">
        <f t="shared" si="3"/>
        <v>0</v>
      </c>
      <c r="AI23">
        <f t="shared" si="4"/>
        <v>0</v>
      </c>
      <c r="AP23">
        <f t="shared" si="5"/>
        <v>0</v>
      </c>
      <c r="AW23">
        <f t="shared" si="6"/>
        <v>0</v>
      </c>
      <c r="BD23">
        <f t="shared" si="7"/>
        <v>0</v>
      </c>
    </row>
    <row r="24" spans="1:56" x14ac:dyDescent="0.3">
      <c r="A24" s="103" t="s">
        <v>38</v>
      </c>
      <c r="B24" s="103" t="s">
        <v>98</v>
      </c>
      <c r="C24" s="108">
        <v>0.83333333333333337</v>
      </c>
      <c r="D24" s="108">
        <v>1</v>
      </c>
      <c r="E24" s="108">
        <v>0</v>
      </c>
      <c r="F24" s="108">
        <v>0.125</v>
      </c>
      <c r="G24" t="str">
        <f t="shared" si="1"/>
        <v>5.- Transporte</v>
      </c>
      <c r="N24">
        <f t="shared" ref="N24:N40" si="8">I24</f>
        <v>0</v>
      </c>
      <c r="U24">
        <f t="shared" si="0"/>
        <v>0</v>
      </c>
      <c r="AB24">
        <f t="shared" si="3"/>
        <v>0</v>
      </c>
      <c r="AI24">
        <f t="shared" si="4"/>
        <v>0</v>
      </c>
      <c r="AP24">
        <f t="shared" si="5"/>
        <v>0</v>
      </c>
      <c r="AW24">
        <f t="shared" si="6"/>
        <v>0</v>
      </c>
      <c r="BD24">
        <f t="shared" si="7"/>
        <v>0</v>
      </c>
    </row>
    <row r="25" spans="1:56" x14ac:dyDescent="0.3">
      <c r="A25" s="103" t="s">
        <v>24</v>
      </c>
      <c r="B25" s="103" t="s">
        <v>91</v>
      </c>
      <c r="C25" s="108">
        <v>0.83333333333333337</v>
      </c>
      <c r="D25" s="108">
        <v>1</v>
      </c>
      <c r="E25" s="108">
        <v>0</v>
      </c>
      <c r="F25" s="108">
        <v>0.125</v>
      </c>
      <c r="G25" t="str">
        <f t="shared" si="1"/>
        <v>4.- Sembrador</v>
      </c>
      <c r="N25">
        <f t="shared" si="8"/>
        <v>0</v>
      </c>
      <c r="U25">
        <f t="shared" si="0"/>
        <v>0</v>
      </c>
      <c r="AB25">
        <f t="shared" si="3"/>
        <v>0</v>
      </c>
      <c r="AI25">
        <f t="shared" si="4"/>
        <v>0</v>
      </c>
      <c r="AP25">
        <f t="shared" si="5"/>
        <v>0</v>
      </c>
      <c r="AW25">
        <f t="shared" si="6"/>
        <v>0</v>
      </c>
      <c r="BD25">
        <f t="shared" si="7"/>
        <v>0</v>
      </c>
    </row>
    <row r="26" spans="1:56" x14ac:dyDescent="0.3">
      <c r="A26" s="103" t="s">
        <v>139</v>
      </c>
      <c r="B26" s="103" t="s">
        <v>89</v>
      </c>
      <c r="C26" s="108">
        <v>0.83333333333333337</v>
      </c>
      <c r="D26" s="108">
        <v>1</v>
      </c>
      <c r="E26" s="108">
        <v>0</v>
      </c>
      <c r="F26" s="108">
        <v>0.125</v>
      </c>
      <c r="G26" t="str">
        <f t="shared" si="1"/>
        <v>2.- Chayo</v>
      </c>
      <c r="N26">
        <f t="shared" si="8"/>
        <v>0</v>
      </c>
      <c r="U26">
        <f t="shared" si="0"/>
        <v>0</v>
      </c>
      <c r="AB26">
        <f t="shared" si="3"/>
        <v>0</v>
      </c>
      <c r="AI26">
        <f t="shared" si="4"/>
        <v>0</v>
      </c>
      <c r="AP26">
        <f t="shared" si="5"/>
        <v>0</v>
      </c>
      <c r="AW26">
        <f t="shared" si="6"/>
        <v>0</v>
      </c>
      <c r="BD26">
        <f t="shared" si="7"/>
        <v>0</v>
      </c>
    </row>
    <row r="27" spans="1:56" x14ac:dyDescent="0.3">
      <c r="G27">
        <f t="shared" si="1"/>
        <v>0</v>
      </c>
      <c r="N27">
        <f t="shared" si="8"/>
        <v>0</v>
      </c>
      <c r="U27">
        <f t="shared" si="0"/>
        <v>0</v>
      </c>
      <c r="AB27">
        <f t="shared" si="3"/>
        <v>0</v>
      </c>
      <c r="AI27">
        <f t="shared" si="4"/>
        <v>0</v>
      </c>
      <c r="AP27">
        <f t="shared" si="5"/>
        <v>0</v>
      </c>
      <c r="AW27">
        <f t="shared" si="6"/>
        <v>0</v>
      </c>
      <c r="BD27">
        <f t="shared" si="7"/>
        <v>0</v>
      </c>
    </row>
    <row r="28" spans="1:56" x14ac:dyDescent="0.3">
      <c r="G28">
        <f t="shared" si="1"/>
        <v>0</v>
      </c>
      <c r="N28">
        <f t="shared" si="8"/>
        <v>0</v>
      </c>
      <c r="U28">
        <f t="shared" si="0"/>
        <v>0</v>
      </c>
      <c r="AB28">
        <f t="shared" si="3"/>
        <v>0</v>
      </c>
      <c r="AI28">
        <f t="shared" si="4"/>
        <v>0</v>
      </c>
      <c r="AP28">
        <f t="shared" si="5"/>
        <v>0</v>
      </c>
      <c r="AW28">
        <f t="shared" si="6"/>
        <v>0</v>
      </c>
      <c r="BD28">
        <f t="shared" si="7"/>
        <v>0</v>
      </c>
    </row>
    <row r="29" spans="1:56" x14ac:dyDescent="0.3">
      <c r="G29">
        <f t="shared" si="1"/>
        <v>0</v>
      </c>
      <c r="N29">
        <f t="shared" si="8"/>
        <v>0</v>
      </c>
      <c r="U29">
        <f t="shared" si="0"/>
        <v>0</v>
      </c>
      <c r="AB29">
        <f t="shared" si="3"/>
        <v>0</v>
      </c>
      <c r="AI29">
        <f t="shared" si="4"/>
        <v>0</v>
      </c>
      <c r="AP29">
        <f t="shared" si="5"/>
        <v>0</v>
      </c>
      <c r="AW29">
        <f t="shared" si="6"/>
        <v>0</v>
      </c>
      <c r="BD29">
        <f t="shared" si="7"/>
        <v>0</v>
      </c>
    </row>
    <row r="30" spans="1:56" x14ac:dyDescent="0.3">
      <c r="G30">
        <f t="shared" si="1"/>
        <v>0</v>
      </c>
      <c r="N30">
        <f t="shared" si="8"/>
        <v>0</v>
      </c>
      <c r="U30">
        <f t="shared" si="0"/>
        <v>0</v>
      </c>
      <c r="AB30">
        <f t="shared" si="3"/>
        <v>0</v>
      </c>
      <c r="AI30">
        <f t="shared" si="4"/>
        <v>0</v>
      </c>
      <c r="AP30">
        <f t="shared" si="5"/>
        <v>0</v>
      </c>
      <c r="AW30">
        <f t="shared" si="6"/>
        <v>0</v>
      </c>
      <c r="BD30">
        <f t="shared" si="7"/>
        <v>0</v>
      </c>
    </row>
    <row r="31" spans="1:56" x14ac:dyDescent="0.3">
      <c r="G31">
        <f t="shared" si="1"/>
        <v>0</v>
      </c>
      <c r="N31">
        <f t="shared" si="8"/>
        <v>0</v>
      </c>
      <c r="U31">
        <f t="shared" si="0"/>
        <v>0</v>
      </c>
      <c r="AB31">
        <f t="shared" si="3"/>
        <v>0</v>
      </c>
      <c r="AI31">
        <f t="shared" si="4"/>
        <v>0</v>
      </c>
      <c r="AP31">
        <f t="shared" si="5"/>
        <v>0</v>
      </c>
      <c r="AW31">
        <f t="shared" si="6"/>
        <v>0</v>
      </c>
      <c r="BD31">
        <f t="shared" si="7"/>
        <v>0</v>
      </c>
    </row>
    <row r="32" spans="1:56" x14ac:dyDescent="0.3">
      <c r="G32">
        <f t="shared" si="1"/>
        <v>0</v>
      </c>
      <c r="N32">
        <f t="shared" si="8"/>
        <v>0</v>
      </c>
      <c r="U32">
        <f t="shared" si="0"/>
        <v>0</v>
      </c>
      <c r="AB32">
        <f t="shared" si="3"/>
        <v>0</v>
      </c>
      <c r="AI32">
        <f t="shared" si="4"/>
        <v>0</v>
      </c>
      <c r="AP32">
        <f t="shared" si="5"/>
        <v>0</v>
      </c>
      <c r="AW32">
        <f t="shared" si="6"/>
        <v>0</v>
      </c>
      <c r="BD32">
        <f t="shared" si="7"/>
        <v>0</v>
      </c>
    </row>
    <row r="33" spans="7:56" x14ac:dyDescent="0.3">
      <c r="G33">
        <f t="shared" si="1"/>
        <v>0</v>
      </c>
      <c r="N33">
        <f t="shared" si="8"/>
        <v>0</v>
      </c>
      <c r="U33">
        <f t="shared" si="0"/>
        <v>0</v>
      </c>
      <c r="AB33">
        <f t="shared" si="3"/>
        <v>0</v>
      </c>
      <c r="AI33">
        <f t="shared" si="4"/>
        <v>0</v>
      </c>
      <c r="AP33">
        <f t="shared" si="5"/>
        <v>0</v>
      </c>
      <c r="AW33">
        <f t="shared" si="6"/>
        <v>0</v>
      </c>
      <c r="BD33">
        <f t="shared" si="7"/>
        <v>0</v>
      </c>
    </row>
    <row r="34" spans="7:56" x14ac:dyDescent="0.3">
      <c r="G34">
        <f t="shared" si="1"/>
        <v>0</v>
      </c>
      <c r="N34">
        <f t="shared" si="8"/>
        <v>0</v>
      </c>
      <c r="U34">
        <f t="shared" si="0"/>
        <v>0</v>
      </c>
      <c r="AB34">
        <f t="shared" si="3"/>
        <v>0</v>
      </c>
      <c r="AI34">
        <f t="shared" si="4"/>
        <v>0</v>
      </c>
      <c r="AP34">
        <f t="shared" si="5"/>
        <v>0</v>
      </c>
      <c r="AW34">
        <f t="shared" si="6"/>
        <v>0</v>
      </c>
      <c r="BD34">
        <f t="shared" si="7"/>
        <v>0</v>
      </c>
    </row>
    <row r="35" spans="7:56" x14ac:dyDescent="0.3">
      <c r="G35">
        <f t="shared" si="1"/>
        <v>0</v>
      </c>
      <c r="N35">
        <f t="shared" si="8"/>
        <v>0</v>
      </c>
      <c r="U35">
        <f t="shared" si="0"/>
        <v>0</v>
      </c>
      <c r="AB35">
        <f t="shared" si="3"/>
        <v>0</v>
      </c>
      <c r="AI35">
        <f t="shared" si="4"/>
        <v>0</v>
      </c>
      <c r="AP35">
        <f t="shared" si="5"/>
        <v>0</v>
      </c>
      <c r="AW35">
        <f t="shared" si="6"/>
        <v>0</v>
      </c>
      <c r="BD35">
        <f t="shared" si="7"/>
        <v>0</v>
      </c>
    </row>
    <row r="36" spans="7:56" x14ac:dyDescent="0.3">
      <c r="G36">
        <f t="shared" si="1"/>
        <v>0</v>
      </c>
      <c r="N36">
        <f t="shared" si="8"/>
        <v>0</v>
      </c>
      <c r="U36">
        <f t="shared" si="0"/>
        <v>0</v>
      </c>
      <c r="AB36">
        <f t="shared" si="3"/>
        <v>0</v>
      </c>
      <c r="AI36">
        <f t="shared" si="4"/>
        <v>0</v>
      </c>
      <c r="AP36">
        <f t="shared" si="5"/>
        <v>0</v>
      </c>
      <c r="AW36">
        <f t="shared" si="6"/>
        <v>0</v>
      </c>
      <c r="BD36">
        <f t="shared" si="7"/>
        <v>0</v>
      </c>
    </row>
    <row r="37" spans="7:56" x14ac:dyDescent="0.3">
      <c r="G37">
        <f t="shared" si="1"/>
        <v>0</v>
      </c>
      <c r="N37">
        <f t="shared" si="8"/>
        <v>0</v>
      </c>
      <c r="U37">
        <f t="shared" si="0"/>
        <v>0</v>
      </c>
      <c r="AB37">
        <f t="shared" si="3"/>
        <v>0</v>
      </c>
      <c r="AI37">
        <f t="shared" si="4"/>
        <v>0</v>
      </c>
      <c r="AP37">
        <f t="shared" si="5"/>
        <v>0</v>
      </c>
      <c r="AW37">
        <f t="shared" si="6"/>
        <v>0</v>
      </c>
      <c r="BD37">
        <f t="shared" si="7"/>
        <v>0</v>
      </c>
    </row>
    <row r="38" spans="7:56" x14ac:dyDescent="0.3">
      <c r="G38">
        <f t="shared" si="1"/>
        <v>0</v>
      </c>
      <c r="N38">
        <f t="shared" si="8"/>
        <v>0</v>
      </c>
      <c r="U38">
        <f t="shared" si="0"/>
        <v>0</v>
      </c>
      <c r="AB38">
        <f t="shared" si="3"/>
        <v>0</v>
      </c>
      <c r="AI38">
        <f t="shared" si="4"/>
        <v>0</v>
      </c>
      <c r="AP38">
        <f t="shared" si="5"/>
        <v>0</v>
      </c>
      <c r="AW38">
        <f t="shared" si="6"/>
        <v>0</v>
      </c>
      <c r="BD38">
        <f t="shared" si="7"/>
        <v>0</v>
      </c>
    </row>
    <row r="39" spans="7:56" x14ac:dyDescent="0.3">
      <c r="G39">
        <f t="shared" si="1"/>
        <v>0</v>
      </c>
      <c r="N39">
        <f t="shared" si="8"/>
        <v>0</v>
      </c>
      <c r="U39">
        <f t="shared" si="0"/>
        <v>0</v>
      </c>
      <c r="AB39">
        <f t="shared" si="3"/>
        <v>0</v>
      </c>
      <c r="AI39">
        <f t="shared" si="4"/>
        <v>0</v>
      </c>
      <c r="AP39">
        <f t="shared" si="5"/>
        <v>0</v>
      </c>
      <c r="AW39">
        <f t="shared" si="6"/>
        <v>0</v>
      </c>
      <c r="BD39">
        <f t="shared" si="7"/>
        <v>0</v>
      </c>
    </row>
    <row r="40" spans="7:56" x14ac:dyDescent="0.3">
      <c r="G40">
        <f t="shared" si="1"/>
        <v>0</v>
      </c>
      <c r="N40">
        <f t="shared" si="8"/>
        <v>0</v>
      </c>
      <c r="U40">
        <f t="shared" si="0"/>
        <v>0</v>
      </c>
      <c r="AB40">
        <f t="shared" si="3"/>
        <v>0</v>
      </c>
      <c r="AI40">
        <f t="shared" si="4"/>
        <v>0</v>
      </c>
      <c r="AP40">
        <f t="shared" si="5"/>
        <v>0</v>
      </c>
      <c r="AW40">
        <f t="shared" si="6"/>
        <v>0</v>
      </c>
      <c r="BD40">
        <f t="shared" si="7"/>
        <v>0</v>
      </c>
    </row>
    <row r="57" spans="3:54" x14ac:dyDescent="0.3">
      <c r="C57" s="55"/>
      <c r="E57" s="55"/>
      <c r="J57" s="55"/>
      <c r="L57" s="55"/>
      <c r="Q57" s="55"/>
      <c r="S57" s="55"/>
      <c r="X57" s="55"/>
      <c r="Z57" s="55"/>
      <c r="AE57" s="55"/>
      <c r="AG57" s="55"/>
      <c r="AL57" s="55"/>
      <c r="AN57" s="55"/>
      <c r="AS57" s="55"/>
      <c r="AU57" s="55"/>
      <c r="AZ57" s="55"/>
      <c r="BB57" s="55"/>
    </row>
    <row r="58" spans="3:54" x14ac:dyDescent="0.3">
      <c r="C58" s="55"/>
      <c r="E58" s="55"/>
      <c r="J58" s="55"/>
      <c r="L58" s="55"/>
      <c r="Q58" s="55"/>
      <c r="S58" s="55"/>
      <c r="X58" s="55"/>
      <c r="Z58" s="55"/>
      <c r="AE58" s="55"/>
      <c r="AG58" s="55"/>
      <c r="AL58" s="55"/>
      <c r="AN58" s="55"/>
      <c r="AS58" s="55"/>
      <c r="AU58" s="55"/>
      <c r="AZ58" s="55"/>
      <c r="BB58" s="55"/>
    </row>
    <row r="59" spans="3:54" x14ac:dyDescent="0.3">
      <c r="C59" s="55"/>
      <c r="E59" s="55"/>
      <c r="J59" s="55"/>
      <c r="L59" s="55"/>
      <c r="Q59" s="55"/>
      <c r="S59" s="55"/>
      <c r="X59" s="55"/>
      <c r="Z59" s="55"/>
      <c r="AE59" s="55"/>
      <c r="AG59" s="55"/>
      <c r="AL59" s="55"/>
      <c r="AN59" s="55"/>
      <c r="AS59" s="55"/>
      <c r="AU59" s="55"/>
      <c r="AZ59" s="55"/>
      <c r="BB59" s="55"/>
    </row>
    <row r="60" spans="3:54" x14ac:dyDescent="0.3">
      <c r="C60" s="55"/>
      <c r="E60" s="55"/>
      <c r="J60" s="55"/>
      <c r="L60" s="55"/>
      <c r="Q60" s="55"/>
      <c r="S60" s="55"/>
      <c r="X60" s="55"/>
      <c r="Z60" s="55"/>
      <c r="AE60" s="55"/>
      <c r="AG60" s="55"/>
      <c r="AL60" s="55"/>
      <c r="AN60" s="55"/>
      <c r="AS60" s="55"/>
      <c r="AU60" s="55"/>
      <c r="AZ60" s="55"/>
      <c r="BB60" s="55"/>
    </row>
    <row r="61" spans="3:54" x14ac:dyDescent="0.3">
      <c r="C61" s="55"/>
      <c r="E61" s="55"/>
      <c r="J61" s="55"/>
      <c r="L61" s="55"/>
      <c r="Q61" s="55"/>
      <c r="S61" s="55"/>
      <c r="X61" s="55"/>
      <c r="Z61" s="55"/>
      <c r="AE61" s="55"/>
      <c r="AG61" s="55"/>
      <c r="AL61" s="55"/>
      <c r="AN61" s="55"/>
      <c r="AS61" s="55"/>
      <c r="AU61" s="55"/>
      <c r="AZ61" s="55"/>
      <c r="BB61" s="55"/>
    </row>
    <row r="62" spans="3:54" x14ac:dyDescent="0.3">
      <c r="C62" s="55"/>
      <c r="E62" s="55"/>
      <c r="J62" s="55"/>
      <c r="L62" s="55"/>
      <c r="Q62" s="55"/>
      <c r="S62" s="55"/>
      <c r="X62" s="55"/>
      <c r="Z62" s="55"/>
      <c r="AE62" s="55"/>
      <c r="AG62" s="55"/>
      <c r="AL62" s="55"/>
      <c r="AN62" s="55"/>
      <c r="AS62" s="55"/>
      <c r="AU62" s="55"/>
      <c r="AZ62" s="55"/>
      <c r="BB62" s="55"/>
    </row>
    <row r="63" spans="3:54" x14ac:dyDescent="0.3">
      <c r="C63" s="55"/>
      <c r="E63" s="55"/>
      <c r="J63" s="55"/>
      <c r="L63" s="55"/>
      <c r="Q63" s="55"/>
      <c r="S63" s="55"/>
      <c r="X63" s="55"/>
      <c r="Z63" s="55"/>
      <c r="AE63" s="55"/>
      <c r="AG63" s="55"/>
      <c r="AL63" s="55"/>
      <c r="AN63" s="55"/>
      <c r="AS63" s="55"/>
      <c r="AU63" s="55"/>
      <c r="AZ63" s="55"/>
      <c r="BB63" s="5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18"/>
  <sheetViews>
    <sheetView tabSelected="1" zoomScale="80" zoomScaleNormal="80" workbookViewId="0">
      <selection activeCell="B11" sqref="B11"/>
    </sheetView>
  </sheetViews>
  <sheetFormatPr baseColWidth="10" defaultRowHeight="14.4" x14ac:dyDescent="0.3"/>
  <cols>
    <col min="1" max="1" width="36.33203125" customWidth="1"/>
    <col min="2" max="2" width="8.6640625" customWidth="1"/>
    <col min="3" max="3" width="17.109375" customWidth="1"/>
    <col min="4" max="4" width="5.6640625" customWidth="1"/>
    <col min="5" max="5" width="38.33203125" customWidth="1"/>
    <col min="6" max="6" width="8.6640625" customWidth="1"/>
    <col min="7" max="7" width="17.109375" customWidth="1"/>
  </cols>
  <sheetData>
    <row r="1" spans="1:7" ht="23.4" x14ac:dyDescent="0.3">
      <c r="A1" s="98" t="s">
        <v>129</v>
      </c>
      <c r="E1" s="98" t="s">
        <v>130</v>
      </c>
    </row>
    <row r="2" spans="1:7" ht="17.399999999999999" x14ac:dyDescent="0.3">
      <c r="A2" s="99" t="s">
        <v>128</v>
      </c>
      <c r="E2" s="99" t="s">
        <v>128</v>
      </c>
    </row>
    <row r="3" spans="1:7" x14ac:dyDescent="0.3">
      <c r="A3" s="10" t="s">
        <v>41</v>
      </c>
      <c r="B3" s="103" t="s">
        <v>42</v>
      </c>
      <c r="E3" s="10" t="s">
        <v>41</v>
      </c>
      <c r="F3" s="103" t="s">
        <v>71</v>
      </c>
    </row>
    <row r="5" spans="1:7" x14ac:dyDescent="0.3">
      <c r="A5" s="10" t="s">
        <v>78</v>
      </c>
      <c r="B5" s="103" t="s">
        <v>108</v>
      </c>
      <c r="C5" s="103" t="s">
        <v>127</v>
      </c>
      <c r="E5" s="10" t="s">
        <v>78</v>
      </c>
      <c r="F5" s="103" t="s">
        <v>108</v>
      </c>
      <c r="G5" s="103" t="s">
        <v>127</v>
      </c>
    </row>
    <row r="6" spans="1:7" x14ac:dyDescent="0.3">
      <c r="A6" s="95" t="s">
        <v>39</v>
      </c>
      <c r="B6" s="96">
        <v>3.9999999999999991</v>
      </c>
      <c r="C6" s="96">
        <v>3</v>
      </c>
      <c r="E6" s="95" t="s">
        <v>69</v>
      </c>
      <c r="F6" s="96">
        <v>3.9999999999999991</v>
      </c>
      <c r="G6" s="96">
        <v>3</v>
      </c>
    </row>
    <row r="7" spans="1:7" x14ac:dyDescent="0.3">
      <c r="A7" s="95" t="s">
        <v>25</v>
      </c>
      <c r="B7" s="96">
        <v>3.9999999999999991</v>
      </c>
      <c r="C7" s="96">
        <v>3</v>
      </c>
      <c r="E7" s="95" t="s">
        <v>53</v>
      </c>
      <c r="F7" s="96">
        <v>3.9999999999999991</v>
      </c>
      <c r="G7" s="96">
        <v>3</v>
      </c>
    </row>
    <row r="8" spans="1:7" x14ac:dyDescent="0.3">
      <c r="A8" s="95" t="s">
        <v>97</v>
      </c>
      <c r="B8" s="96">
        <v>3.9999999999999991</v>
      </c>
      <c r="C8" s="96">
        <v>3</v>
      </c>
      <c r="E8" s="95" t="s">
        <v>57</v>
      </c>
      <c r="F8" s="96">
        <v>3.9999999999999991</v>
      </c>
      <c r="G8" s="96">
        <v>3</v>
      </c>
    </row>
    <row r="9" spans="1:7" x14ac:dyDescent="0.3">
      <c r="A9" s="95" t="s">
        <v>31</v>
      </c>
      <c r="B9" s="96">
        <v>3.9999999999999991</v>
      </c>
      <c r="C9" s="96">
        <v>3</v>
      </c>
      <c r="E9" s="95" t="s">
        <v>51</v>
      </c>
      <c r="F9" s="96">
        <v>3.9999999999999991</v>
      </c>
      <c r="G9" s="96">
        <v>3</v>
      </c>
    </row>
    <row r="10" spans="1:7" x14ac:dyDescent="0.3">
      <c r="A10" s="95" t="s">
        <v>22</v>
      </c>
      <c r="B10" s="96">
        <v>3.9999999999999991</v>
      </c>
      <c r="C10" s="96">
        <v>3</v>
      </c>
      <c r="E10" s="95" t="s">
        <v>59</v>
      </c>
      <c r="F10" s="96">
        <v>3.9999999999999991</v>
      </c>
      <c r="G10" s="96">
        <v>3</v>
      </c>
    </row>
    <row r="11" spans="1:7" x14ac:dyDescent="0.3">
      <c r="A11" s="95" t="s">
        <v>33</v>
      </c>
      <c r="B11" s="96">
        <v>3.9999999999999991</v>
      </c>
      <c r="C11" s="96">
        <v>3</v>
      </c>
      <c r="E11" s="95" t="s">
        <v>49</v>
      </c>
      <c r="F11" s="96">
        <v>3.9999999999999991</v>
      </c>
      <c r="G11" s="96">
        <v>3</v>
      </c>
    </row>
    <row r="12" spans="1:7" x14ac:dyDescent="0.3">
      <c r="A12" s="95" t="s">
        <v>40</v>
      </c>
      <c r="B12" s="96">
        <v>3.9999999999999991</v>
      </c>
      <c r="C12" s="96">
        <v>3</v>
      </c>
      <c r="E12" s="95" t="s">
        <v>47</v>
      </c>
      <c r="F12" s="96">
        <v>3.9999999999999991</v>
      </c>
      <c r="G12" s="96">
        <v>3</v>
      </c>
    </row>
    <row r="13" spans="1:7" x14ac:dyDescent="0.3">
      <c r="A13" s="95" t="s">
        <v>36</v>
      </c>
      <c r="B13" s="96">
        <v>3.9999999999999991</v>
      </c>
      <c r="C13" s="96">
        <v>3</v>
      </c>
      <c r="E13" s="95" t="s">
        <v>45</v>
      </c>
      <c r="F13" s="96">
        <v>3.9999999999999991</v>
      </c>
      <c r="G13" s="96">
        <v>3</v>
      </c>
    </row>
    <row r="14" spans="1:7" x14ac:dyDescent="0.3">
      <c r="A14" s="95" t="s">
        <v>38</v>
      </c>
      <c r="B14" s="96">
        <v>3.9999999999999991</v>
      </c>
      <c r="C14" s="96">
        <v>3</v>
      </c>
      <c r="E14" s="95" t="s">
        <v>144</v>
      </c>
      <c r="F14" s="96">
        <v>3.9999999999999991</v>
      </c>
      <c r="G14" s="96">
        <v>3</v>
      </c>
    </row>
    <row r="15" spans="1:7" x14ac:dyDescent="0.3">
      <c r="A15" s="95" t="s">
        <v>24</v>
      </c>
      <c r="B15" s="96">
        <v>3.9999999999999991</v>
      </c>
      <c r="C15" s="96">
        <v>3</v>
      </c>
      <c r="E15" s="95" t="s">
        <v>139</v>
      </c>
      <c r="F15" s="96">
        <v>3.9999999999999991</v>
      </c>
      <c r="G15" s="96">
        <v>3</v>
      </c>
    </row>
    <row r="16" spans="1:7" x14ac:dyDescent="0.3">
      <c r="A16" s="95" t="s">
        <v>141</v>
      </c>
      <c r="B16" s="96">
        <v>3.9999999999999991</v>
      </c>
      <c r="C16" s="96">
        <v>3</v>
      </c>
      <c r="E16" s="95" t="s">
        <v>126</v>
      </c>
      <c r="F16" s="96">
        <v>39.999999999999993</v>
      </c>
      <c r="G16" s="96">
        <v>30</v>
      </c>
    </row>
    <row r="17" spans="1:3" x14ac:dyDescent="0.3">
      <c r="A17" s="95" t="s">
        <v>27</v>
      </c>
      <c r="B17" s="96">
        <v>3.9999999999999991</v>
      </c>
      <c r="C17" s="96">
        <v>3</v>
      </c>
    </row>
    <row r="18" spans="1:3" x14ac:dyDescent="0.3">
      <c r="A18" s="95" t="s">
        <v>126</v>
      </c>
      <c r="B18" s="96">
        <v>47.999999999999993</v>
      </c>
      <c r="C18" s="96">
        <v>36</v>
      </c>
    </row>
  </sheetData>
  <pageMargins left="0.70866141732283472" right="0.70866141732283472" top="0.74803149606299213" bottom="0.74803149606299213" header="0.31496062992125984" footer="0.31496062992125984"/>
  <pageSetup paperSize="9" orientation="portrait" horizontalDpi="120" verticalDpi="72" r:id="rId3"/>
  <headerFooter>
    <oddFooter>&amp;L&amp;"-,Negrita"&amp;12Elaborado:__________&amp;C&amp;"-,Negrita"&amp;12Revisado:__________&amp;R&amp;"-,Negrita"&amp;12Visto Bueno:__________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I6"/>
  <sheetViews>
    <sheetView zoomScale="80" zoomScaleNormal="80" workbookViewId="0">
      <selection activeCell="C14" sqref="C14"/>
    </sheetView>
  </sheetViews>
  <sheetFormatPr baseColWidth="10" defaultRowHeight="14.4" x14ac:dyDescent="0.3"/>
  <cols>
    <col min="1" max="1" width="8.6640625" customWidth="1"/>
    <col min="2" max="2" width="8.44140625" customWidth="1"/>
    <col min="3" max="3" width="42.6640625" bestFit="1" customWidth="1"/>
    <col min="4" max="4" width="17.6640625" customWidth="1"/>
    <col min="5" max="5" width="15.6640625" bestFit="1" customWidth="1"/>
    <col min="6" max="6" width="18.44140625" bestFit="1" customWidth="1"/>
    <col min="7" max="7" width="15.5546875" bestFit="1" customWidth="1"/>
    <col min="8" max="8" width="19.109375" bestFit="1" customWidth="1"/>
    <col min="9" max="9" width="15.21875" customWidth="1"/>
  </cols>
  <sheetData>
    <row r="1" spans="2:9" ht="30" customHeight="1" x14ac:dyDescent="0.35">
      <c r="B1" s="43" t="s">
        <v>87</v>
      </c>
      <c r="C1" s="32"/>
    </row>
    <row r="2" spans="2:9" ht="30" customHeight="1" x14ac:dyDescent="0.4">
      <c r="B2" s="42" t="s">
        <v>112</v>
      </c>
      <c r="D2" s="35"/>
      <c r="E2" s="56"/>
    </row>
    <row r="3" spans="2:9" ht="28.5" customHeight="1" x14ac:dyDescent="0.35">
      <c r="B3" s="58" t="s">
        <v>84</v>
      </c>
      <c r="C3" s="59" t="e">
        <f>IF(C4="(TODAS)"," ",VLOOKUP(C4,Reg_Partic_Transf!B:J,2,FALSE))</f>
        <v>#N/A</v>
      </c>
      <c r="D3" s="87" t="s">
        <v>123</v>
      </c>
      <c r="E3" s="87" t="s">
        <v>124</v>
      </c>
    </row>
    <row r="4" spans="2:9" ht="15.6" x14ac:dyDescent="0.3">
      <c r="B4" s="57" t="s">
        <v>74</v>
      </c>
      <c r="C4" s="103" t="s">
        <v>152</v>
      </c>
      <c r="D4" s="86">
        <f>IF(F7=0,H7,F7)</f>
        <v>0</v>
      </c>
      <c r="E4" s="86">
        <f>IF(I7=0,G7,I7)</f>
        <v>0</v>
      </c>
    </row>
    <row r="6" spans="2:9" x14ac:dyDescent="0.3">
      <c r="B6" s="10" t="s">
        <v>75</v>
      </c>
      <c r="C6" s="10" t="s">
        <v>76</v>
      </c>
      <c r="D6" s="10" t="s">
        <v>77</v>
      </c>
      <c r="E6" s="10" t="s">
        <v>95</v>
      </c>
      <c r="F6" s="10" t="s">
        <v>120</v>
      </c>
      <c r="G6" s="10" t="s">
        <v>119</v>
      </c>
      <c r="H6" s="10" t="s">
        <v>121</v>
      </c>
      <c r="I6" s="10" t="s">
        <v>122</v>
      </c>
    </row>
  </sheetData>
  <pageMargins left="0.11811023622047245" right="0.11811023622047245" top="0.55118110236220474" bottom="0.35433070866141736" header="0.31496062992125984" footer="0.31496062992125984"/>
  <pageSetup scale="105" orientation="portrait" horizontalDpi="120" verticalDpi="72" r:id="rId2"/>
  <headerFooter>
    <oddFooter>&amp;L&amp;"-,Negrita"&amp;12ELABORADO POR: _________&amp;C&amp;"-,Negrita"&amp;12REVISADO POR: _________&amp;R&amp;"-,Negrita"&amp;12VISTO BUENO POR: _________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NOMINAS PSM&amp;BIO</vt:lpstr>
      <vt:lpstr>FUNCIONES</vt:lpstr>
      <vt:lpstr>Nomina Transfer.</vt:lpstr>
      <vt:lpstr>Reg_Partic_Transf</vt:lpstr>
      <vt:lpstr>Resumen</vt:lpstr>
      <vt:lpstr>Resumen H.E. Transf</vt:lpstr>
      <vt:lpstr>Consulta x Transf</vt:lpstr>
      <vt:lpstr>'Consulta x Transf'!Área_de_impresión</vt:lpstr>
      <vt:lpstr>'Nomina Transfer.'!Área_de_impresión</vt:lpstr>
      <vt:lpstr>'Resumen H.E. Transf'!Área_de_impresión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PRODUCCION-02</cp:lastModifiedBy>
  <cp:lastPrinted>2018-01-31T16:57:22Z</cp:lastPrinted>
  <dcterms:created xsi:type="dcterms:W3CDTF">2017-08-18T22:39:30Z</dcterms:created>
  <dcterms:modified xsi:type="dcterms:W3CDTF">2018-02-05T13:40:28Z</dcterms:modified>
</cp:coreProperties>
</file>