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PRODUCCION-02\Dropbox\1 PSM\ADMINISTRACION\ROLES\roles 2018\1. ENERO\2ª QUINCENA\"/>
    </mc:Choice>
  </mc:AlternateContent>
  <bookViews>
    <workbookView xWindow="0" yWindow="0" windowWidth="19200" windowHeight="6960" tabRatio="790" activeTab="5"/>
  </bookViews>
  <sheets>
    <sheet name="NOMINAS PSM&amp;BIO" sheetId="1" r:id="rId1"/>
    <sheet name="FUNCIONES" sheetId="2" state="hidden" r:id="rId2"/>
    <sheet name="Nomina Pesca" sheetId="4" r:id="rId3"/>
    <sheet name="Reg_Partic_Pesc" sheetId="5" r:id="rId4"/>
    <sheet name="Resumen" sheetId="6" r:id="rId5"/>
    <sheet name="Resumen x Empresa" sheetId="9" r:id="rId6"/>
    <sheet name="Consulta x NochE_Pesc" sheetId="8" r:id="rId7"/>
  </sheets>
  <externalReferences>
    <externalReference r:id="rId8"/>
  </externalReferences>
  <definedNames>
    <definedName name="_xlnm._FilterDatabase" localSheetId="2" hidden="1">'Nomina Pesca'!$I$9:$L$9</definedName>
    <definedName name="_xlnm._FilterDatabase" localSheetId="3" hidden="1">Reg_Partic_Pesc!$A$2:$L$324</definedName>
    <definedName name="_xlnm.Print_Area" localSheetId="6">'Consulta x NochE_Pesc'!$A$1:$F$46</definedName>
    <definedName name="_xlnm.Print_Area" localSheetId="2">'Nomina Pesca'!$H$59:$K$109</definedName>
    <definedName name="_xlnm.Print_Area" localSheetId="5">'Resumen x Empresa'!$A$1:$H$45</definedName>
  </definedNames>
  <calcPr calcId="152511"/>
  <pivotCaches>
    <pivotCache cacheId="65" r:id="rId9"/>
    <pivotCache cacheId="84" r:id="rId10"/>
    <pivotCache cacheId="101" r:id="rId11"/>
  </pivotCaches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6" i="5" l="1"/>
  <c r="A45" i="5"/>
  <c r="A44" i="5"/>
  <c r="B2" i="4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146" i="5"/>
  <c r="A147" i="5"/>
  <c r="A148" i="5"/>
  <c r="A149" i="5"/>
  <c r="A150" i="5"/>
  <c r="A151" i="5"/>
  <c r="A152" i="5"/>
  <c r="A153" i="5"/>
  <c r="A154" i="5"/>
  <c r="A41" i="5"/>
  <c r="A42" i="5"/>
  <c r="A43" i="5"/>
  <c r="I60" i="4" l="1"/>
  <c r="K60" i="4"/>
  <c r="K62" i="4"/>
  <c r="I66" i="4"/>
  <c r="J66" i="4"/>
  <c r="K66" i="4"/>
  <c r="L66" i="4"/>
  <c r="I62" i="4" l="1"/>
  <c r="A32" i="5"/>
  <c r="A33" i="5"/>
  <c r="A34" i="5"/>
  <c r="A35" i="5"/>
  <c r="A36" i="5"/>
  <c r="A37" i="5"/>
  <c r="A38" i="5"/>
  <c r="A39" i="5"/>
  <c r="A4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90" i="5" l="1"/>
  <c r="A91" i="5"/>
  <c r="A92" i="5"/>
  <c r="A93" i="5"/>
  <c r="A94" i="5"/>
  <c r="A95" i="5"/>
  <c r="A96" i="5"/>
  <c r="A97" i="5"/>
  <c r="A98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00" i="5" l="1"/>
  <c r="A3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99" i="5" l="1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65" i="5" l="1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03" i="5"/>
  <c r="A204" i="5"/>
  <c r="A205" i="5"/>
  <c r="A206" i="5"/>
  <c r="A207" i="5"/>
  <c r="A208" i="5"/>
  <c r="A209" i="5"/>
  <c r="A210" i="5"/>
  <c r="A211" i="5"/>
  <c r="A212" i="5"/>
  <c r="A213" i="5"/>
  <c r="A295" i="5" l="1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94" i="5" l="1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L2" i="9" l="1"/>
  <c r="N2" i="9" l="1"/>
  <c r="Q2" i="9"/>
  <c r="M2" i="9"/>
  <c r="O2" i="9" s="1"/>
  <c r="P2" i="9" s="1"/>
  <c r="A322" i="5"/>
  <c r="A323" i="5"/>
  <c r="E3" i="9" l="1"/>
  <c r="A3" i="9"/>
  <c r="F1" i="8"/>
  <c r="E4" i="8"/>
  <c r="E3" i="8"/>
  <c r="C3" i="8"/>
  <c r="G6" i="4" l="1"/>
  <c r="F6" i="4"/>
  <c r="E6" i="4"/>
  <c r="D6" i="4"/>
  <c r="C6" i="4"/>
  <c r="B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59" i="4"/>
  <c r="T5" i="4"/>
  <c r="C57" i="4" l="1"/>
  <c r="C58" i="4" s="1"/>
  <c r="D57" i="4"/>
  <c r="D58" i="4" s="1"/>
  <c r="E57" i="4"/>
  <c r="E58" i="4" s="1"/>
  <c r="F57" i="4"/>
  <c r="F58" i="4" s="1"/>
  <c r="G57" i="4"/>
  <c r="G58" i="4" s="1"/>
  <c r="B57" i="4"/>
  <c r="J107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I67" i="4"/>
  <c r="O67" i="4" s="1"/>
  <c r="I68" i="4"/>
  <c r="E68" i="4" s="1"/>
  <c r="I69" i="4"/>
  <c r="O69" i="4" s="1"/>
  <c r="I70" i="4"/>
  <c r="E70" i="4" s="1"/>
  <c r="I71" i="4"/>
  <c r="O71" i="4" s="1"/>
  <c r="I72" i="4"/>
  <c r="E72" i="4" s="1"/>
  <c r="I73" i="4"/>
  <c r="O73" i="4" s="1"/>
  <c r="I74" i="4"/>
  <c r="E74" i="4" s="1"/>
  <c r="I75" i="4"/>
  <c r="O75" i="4" s="1"/>
  <c r="I76" i="4"/>
  <c r="E76" i="4" s="1"/>
  <c r="I77" i="4"/>
  <c r="O77" i="4" s="1"/>
  <c r="I78" i="4"/>
  <c r="E78" i="4" s="1"/>
  <c r="I79" i="4"/>
  <c r="O79" i="4" s="1"/>
  <c r="I80" i="4"/>
  <c r="E80" i="4" s="1"/>
  <c r="I81" i="4"/>
  <c r="O81" i="4" s="1"/>
  <c r="I82" i="4"/>
  <c r="E82" i="4" s="1"/>
  <c r="I83" i="4"/>
  <c r="O83" i="4" s="1"/>
  <c r="I84" i="4"/>
  <c r="E84" i="4" s="1"/>
  <c r="I85" i="4"/>
  <c r="O85" i="4" s="1"/>
  <c r="I86" i="4"/>
  <c r="E86" i="4" s="1"/>
  <c r="I87" i="4"/>
  <c r="O87" i="4" s="1"/>
  <c r="I88" i="4"/>
  <c r="E88" i="4" s="1"/>
  <c r="I89" i="4"/>
  <c r="O89" i="4" s="1"/>
  <c r="I90" i="4"/>
  <c r="E90" i="4" s="1"/>
  <c r="I91" i="4"/>
  <c r="O91" i="4" s="1"/>
  <c r="I92" i="4"/>
  <c r="E92" i="4" s="1"/>
  <c r="I93" i="4"/>
  <c r="O93" i="4" s="1"/>
  <c r="I94" i="4"/>
  <c r="E94" i="4" s="1"/>
  <c r="I95" i="4"/>
  <c r="O95" i="4" s="1"/>
  <c r="I96" i="4"/>
  <c r="E96" i="4" s="1"/>
  <c r="I97" i="4"/>
  <c r="O97" i="4" s="1"/>
  <c r="I98" i="4"/>
  <c r="E98" i="4" s="1"/>
  <c r="I99" i="4"/>
  <c r="O99" i="4" s="1"/>
  <c r="I100" i="4"/>
  <c r="E100" i="4" s="1"/>
  <c r="I101" i="4"/>
  <c r="O101" i="4" s="1"/>
  <c r="I102" i="4"/>
  <c r="E102" i="4" s="1"/>
  <c r="I103" i="4"/>
  <c r="O103" i="4" s="1"/>
  <c r="I104" i="4"/>
  <c r="E104" i="4" s="1"/>
  <c r="I105" i="4"/>
  <c r="O105" i="4" s="1"/>
  <c r="E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66" i="4"/>
  <c r="B58" i="4" l="1"/>
  <c r="K63" i="4"/>
  <c r="M104" i="4"/>
  <c r="M102" i="4"/>
  <c r="M100" i="4"/>
  <c r="M98" i="4"/>
  <c r="M96" i="4"/>
  <c r="M103" i="4"/>
  <c r="M101" i="4"/>
  <c r="M99" i="4"/>
  <c r="M97" i="4"/>
  <c r="M95" i="4"/>
  <c r="M105" i="4"/>
  <c r="M68" i="4"/>
  <c r="M67" i="4"/>
  <c r="M66" i="4"/>
  <c r="M94" i="4"/>
  <c r="M92" i="4"/>
  <c r="M90" i="4"/>
  <c r="M88" i="4"/>
  <c r="M86" i="4"/>
  <c r="M84" i="4"/>
  <c r="M82" i="4"/>
  <c r="M80" i="4"/>
  <c r="M78" i="4"/>
  <c r="M76" i="4"/>
  <c r="M74" i="4"/>
  <c r="M72" i="4"/>
  <c r="M70" i="4"/>
  <c r="M93" i="4"/>
  <c r="M91" i="4"/>
  <c r="M89" i="4"/>
  <c r="M87" i="4"/>
  <c r="M85" i="4"/>
  <c r="M83" i="4"/>
  <c r="M81" i="4"/>
  <c r="M79" i="4"/>
  <c r="M77" i="4"/>
  <c r="M75" i="4"/>
  <c r="M73" i="4"/>
  <c r="M71" i="4"/>
  <c r="M69" i="4"/>
  <c r="F105" i="4"/>
  <c r="F103" i="4"/>
  <c r="F101" i="4"/>
  <c r="F99" i="4"/>
  <c r="F97" i="4"/>
  <c r="F95" i="4"/>
  <c r="F93" i="4"/>
  <c r="F91" i="4"/>
  <c r="F89" i="4"/>
  <c r="F87" i="4"/>
  <c r="F85" i="4"/>
  <c r="F83" i="4"/>
  <c r="F81" i="4"/>
  <c r="F79" i="4"/>
  <c r="F77" i="4"/>
  <c r="F75" i="4"/>
  <c r="F73" i="4"/>
  <c r="F71" i="4"/>
  <c r="F69" i="4"/>
  <c r="F67" i="4"/>
  <c r="G105" i="4"/>
  <c r="G103" i="4"/>
  <c r="G101" i="4"/>
  <c r="G99" i="4"/>
  <c r="G97" i="4"/>
  <c r="G95" i="4"/>
  <c r="G93" i="4"/>
  <c r="G91" i="4"/>
  <c r="G89" i="4"/>
  <c r="G87" i="4"/>
  <c r="G85" i="4"/>
  <c r="G83" i="4"/>
  <c r="G81" i="4"/>
  <c r="G79" i="4"/>
  <c r="G77" i="4"/>
  <c r="G75" i="4"/>
  <c r="G73" i="4"/>
  <c r="G71" i="4"/>
  <c r="G69" i="4"/>
  <c r="G67" i="4"/>
  <c r="E105" i="4"/>
  <c r="E103" i="4"/>
  <c r="E101" i="4"/>
  <c r="E99" i="4"/>
  <c r="E97" i="4"/>
  <c r="E95" i="4"/>
  <c r="E93" i="4"/>
  <c r="E91" i="4"/>
  <c r="E89" i="4"/>
  <c r="E87" i="4"/>
  <c r="E85" i="4"/>
  <c r="E83" i="4"/>
  <c r="E81" i="4"/>
  <c r="E79" i="4"/>
  <c r="E77" i="4"/>
  <c r="E75" i="4"/>
  <c r="E73" i="4"/>
  <c r="E71" i="4"/>
  <c r="E69" i="4"/>
  <c r="E67" i="4"/>
  <c r="O66" i="4"/>
  <c r="O104" i="4"/>
  <c r="O102" i="4"/>
  <c r="O100" i="4"/>
  <c r="O98" i="4"/>
  <c r="O96" i="4"/>
  <c r="O94" i="4"/>
  <c r="O92" i="4"/>
  <c r="O90" i="4"/>
  <c r="O88" i="4"/>
  <c r="O86" i="4"/>
  <c r="O84" i="4"/>
  <c r="O82" i="4"/>
  <c r="O80" i="4"/>
  <c r="O78" i="4"/>
  <c r="O76" i="4"/>
  <c r="O74" i="4"/>
  <c r="O72" i="4"/>
  <c r="O70" i="4"/>
  <c r="O68" i="4"/>
  <c r="F66" i="4"/>
  <c r="F104" i="4"/>
  <c r="F102" i="4"/>
  <c r="F100" i="4"/>
  <c r="F98" i="4"/>
  <c r="F96" i="4"/>
  <c r="F94" i="4"/>
  <c r="F92" i="4"/>
  <c r="F90" i="4"/>
  <c r="F88" i="4"/>
  <c r="F86" i="4"/>
  <c r="F84" i="4"/>
  <c r="F82" i="4"/>
  <c r="F80" i="4"/>
  <c r="F78" i="4"/>
  <c r="F76" i="4"/>
  <c r="F74" i="4"/>
  <c r="F72" i="4"/>
  <c r="F70" i="4"/>
  <c r="F68" i="4"/>
  <c r="G66" i="4"/>
  <c r="G104" i="4"/>
  <c r="G102" i="4"/>
  <c r="G100" i="4"/>
  <c r="G98" i="4"/>
  <c r="G96" i="4"/>
  <c r="G94" i="4"/>
  <c r="G92" i="4"/>
  <c r="G90" i="4"/>
  <c r="G88" i="4"/>
  <c r="G86" i="4"/>
  <c r="G84" i="4"/>
  <c r="G82" i="4"/>
  <c r="G80" i="4"/>
  <c r="G78" i="4"/>
  <c r="G76" i="4"/>
  <c r="G74" i="4"/>
  <c r="G72" i="4"/>
  <c r="G70" i="4"/>
  <c r="G68" i="4"/>
  <c r="U5" i="4"/>
  <c r="I6" i="4" l="1"/>
  <c r="L5" i="4"/>
</calcChain>
</file>

<file path=xl/sharedStrings.xml><?xml version="1.0" encoding="utf-8"?>
<sst xmlns="http://schemas.openxmlformats.org/spreadsheetml/2006/main" count="2006" uniqueCount="167">
  <si>
    <t>No.</t>
  </si>
  <si>
    <t>NOMINA</t>
  </si>
  <si>
    <t>No. Cédula</t>
  </si>
  <si>
    <t>230034363-5</t>
  </si>
  <si>
    <t>070219346-7</t>
  </si>
  <si>
    <t>110278326-1</t>
  </si>
  <si>
    <t>110315588-1</t>
  </si>
  <si>
    <t>070508993-6</t>
  </si>
  <si>
    <t>110377448-3</t>
  </si>
  <si>
    <t>070200116-5</t>
  </si>
  <si>
    <t>172485071-2</t>
  </si>
  <si>
    <t>172755391-7</t>
  </si>
  <si>
    <t>070733745-7</t>
  </si>
  <si>
    <t>110483502-8</t>
  </si>
  <si>
    <t>110571148-3</t>
  </si>
  <si>
    <t>110437810-2</t>
  </si>
  <si>
    <t>120653372-9</t>
  </si>
  <si>
    <t>110576532-3</t>
  </si>
  <si>
    <t>070605677-7</t>
  </si>
  <si>
    <t>110506978-3</t>
  </si>
  <si>
    <t>110514219-2</t>
  </si>
  <si>
    <t>230013608-8</t>
  </si>
  <si>
    <t>HERNANDEZ VALENCIA CARLOS ALBERTO</t>
  </si>
  <si>
    <t>ARMIJOS MIÑAN ANGEL</t>
  </si>
  <si>
    <t>SOTO CANGO ROBER CORNELIO</t>
  </si>
  <si>
    <t>CANGO QUITO JOSE LEOVARDO</t>
  </si>
  <si>
    <t>PEREZ JUMBO JORGE ROLANDO</t>
  </si>
  <si>
    <t>RUIZ RUIZ DIEGO PATRICIO</t>
  </si>
  <si>
    <t>GOMEZ ESPINOZA GASTON SANTOS</t>
  </si>
  <si>
    <t>PEÑA CEDEÑO JOSE PERFECTO</t>
  </si>
  <si>
    <t>BRAVO QUINTO JORGE DANIEL</t>
  </si>
  <si>
    <t>GOMEZ PARRA  RICARDO JOEL</t>
  </si>
  <si>
    <t>CUEVA LUDEÑA MANUEL DE JESUS</t>
  </si>
  <si>
    <t>JARA ARMIJOS CESAR HOMERO</t>
  </si>
  <si>
    <t>CASTILLO OCHOA HERIBERTO GUILLERMO</t>
  </si>
  <si>
    <t>CORNEJO SANCHEZ FELIX TEOBALDO</t>
  </si>
  <si>
    <t>PINTA PINTA WILMER ROLANDO</t>
  </si>
  <si>
    <t>CONTENTO LIVIZACA RUDY ANDRES</t>
  </si>
  <si>
    <t>SIMANCAS AGUILAR DAVID MOISES</t>
  </si>
  <si>
    <t>CANGO CUEVA FRANCISCO ARMANDO</t>
  </si>
  <si>
    <t>ORTIZ MENDEZ EDWIN ELOY</t>
  </si>
  <si>
    <t>EMPRESA</t>
  </si>
  <si>
    <t>PSM</t>
  </si>
  <si>
    <t>GOMEZ JUMBO YORGIN</t>
  </si>
  <si>
    <t>130362626-9</t>
  </si>
  <si>
    <t>MATAILO PINTA MIGUEL ANGEL</t>
  </si>
  <si>
    <t>110352731-1</t>
  </si>
  <si>
    <t>PINTA MATAILO REIMUNDO ROMELIO</t>
  </si>
  <si>
    <t>110295161-1</t>
  </si>
  <si>
    <t>PINTA AGUILAR DIEGO FERNANDO</t>
  </si>
  <si>
    <t>110457677-0</t>
  </si>
  <si>
    <t xml:space="preserve">CHAMBA BARSALLO ROBERTO CARLOS </t>
  </si>
  <si>
    <t>110495641-0</t>
  </si>
  <si>
    <t>CEDEÑO CHILAN SEGUNDO VICENTE</t>
  </si>
  <si>
    <t>171933177-7</t>
  </si>
  <si>
    <t>CHAGNA MORALES ARMANDO PAUL</t>
  </si>
  <si>
    <t>235026425-1</t>
  </si>
  <si>
    <t>CEVALLOS ALAY MELVIN DAVID</t>
  </si>
  <si>
    <t>070421950-0</t>
  </si>
  <si>
    <t>LOZANO MANZABA BRYAN RENE</t>
  </si>
  <si>
    <t>172485077-9</t>
  </si>
  <si>
    <t>HELGUERO MARTINEZ CARLOS RENE</t>
  </si>
  <si>
    <t>070362264-7</t>
  </si>
  <si>
    <t>VICENTE MACAS VICTOR HUGO</t>
  </si>
  <si>
    <t>110468487-1</t>
  </si>
  <si>
    <t>CANGO CUEVA DIEGO POLO</t>
  </si>
  <si>
    <t>110599059-0</t>
  </si>
  <si>
    <t>JARA ARMIJOS MARIO FABIAN</t>
  </si>
  <si>
    <t>115040949-6</t>
  </si>
  <si>
    <t>CASTILLO PINTA EDWIN MESIAS</t>
  </si>
  <si>
    <t>110323737-4</t>
  </si>
  <si>
    <t>BIO</t>
  </si>
  <si>
    <t>Cargos</t>
  </si>
  <si>
    <t>Valor</t>
  </si>
  <si>
    <t>LISTADO DE PERSONAL PARA PESCA</t>
  </si>
  <si>
    <t>PSM &amp; BIO</t>
  </si>
  <si>
    <t>AGUAJE #</t>
  </si>
  <si>
    <t>PISCINAS #</t>
  </si>
  <si>
    <t>NOCHE #</t>
  </si>
  <si>
    <t>#</t>
  </si>
  <si>
    <t>APELLIDOS Y NOMBRES</t>
  </si>
  <si>
    <t>FUNCION</t>
  </si>
  <si>
    <t>PISCINA</t>
  </si>
  <si>
    <t>/</t>
  </si>
  <si>
    <t>Etiquetas de fila</t>
  </si>
  <si>
    <t>1.- Bolsero</t>
  </si>
  <si>
    <t>2.- Pesador</t>
  </si>
  <si>
    <t>3.- Estibador</t>
  </si>
  <si>
    <t>4.- Tratador</t>
  </si>
  <si>
    <t>5.- Ayu.Tratador</t>
  </si>
  <si>
    <t>6.- Gavetero</t>
  </si>
  <si>
    <t>7.- Chofer</t>
  </si>
  <si>
    <t xml:space="preserve">  </t>
  </si>
  <si>
    <t>8.- Campamento</t>
  </si>
  <si>
    <t>HORA DE INICIO:</t>
  </si>
  <si>
    <t>FECHA</t>
  </si>
  <si>
    <t>CONTADOR</t>
  </si>
  <si>
    <t>HORA DE INICIO</t>
  </si>
  <si>
    <t>HORA INICIO</t>
  </si>
  <si>
    <t>NOCHE</t>
  </si>
  <si>
    <t>AGUAJE</t>
  </si>
  <si>
    <t>FECHA:</t>
  </si>
  <si>
    <t xml:space="preserve">AGUAJE: </t>
  </si>
  <si>
    <t># PC A PESCAR</t>
  </si>
  <si>
    <t>(en blanco)</t>
  </si>
  <si>
    <t>APELLIDOS Y NOMBRE</t>
  </si>
  <si>
    <t>CONT_NOCH</t>
  </si>
  <si>
    <t>CONT</t>
  </si>
  <si>
    <t>PSC # PESC</t>
  </si>
  <si>
    <t>PSC</t>
  </si>
  <si>
    <t>PCS</t>
  </si>
  <si>
    <t>Cuenta de FUNCION</t>
  </si>
  <si>
    <t>PSM, &amp; BIO</t>
  </si>
  <si>
    <t>LISTA DE PERSONAL PARA PESCA</t>
  </si>
  <si>
    <t>(Todas)</t>
  </si>
  <si>
    <t>Pesca entregada a:</t>
  </si>
  <si>
    <t>PESQUERA SAN MIGUEL C. LTDA.</t>
  </si>
  <si>
    <t>BIOCASCAJAL CIA. LTDA.</t>
  </si>
  <si>
    <t>DIA</t>
  </si>
  <si>
    <t>MES</t>
  </si>
  <si>
    <t>AÑO</t>
  </si>
  <si>
    <t>RESUMEN NOMINA DE PARTICIPACION EN PSCA POR EMPRESA.</t>
  </si>
  <si>
    <t>ENERO</t>
  </si>
  <si>
    <t>FEBRERO</t>
  </si>
  <si>
    <t>NOCHES PESCA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</si>
  <si>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</si>
  <si>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</si>
  <si>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</si>
  <si>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</si>
  <si>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</si>
  <si>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</si>
  <si>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</si>
  <si>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</si>
  <si>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</si>
  <si>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</si>
  <si>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 general</t>
  </si>
  <si>
    <t>195013467-4</t>
  </si>
  <si>
    <t>230078109-9</t>
  </si>
  <si>
    <t>085082270-1</t>
  </si>
  <si>
    <t>094237190-7</t>
  </si>
  <si>
    <t>AVILA AVILA STALIN JEFFERSON</t>
  </si>
  <si>
    <t>CHALACO CASTILLO ROBERTH IVAN</t>
  </si>
  <si>
    <t>070339013-8</t>
  </si>
  <si>
    <t>PEÑA CEDEÑO CRISTHIAN JAVIER</t>
  </si>
  <si>
    <t>235022240-8</t>
  </si>
  <si>
    <t>SOTO MATAILO JOSE ENRIQUE</t>
  </si>
  <si>
    <t>110495242-7</t>
  </si>
  <si>
    <t>JIMENEZ GUAYANAY ALEXANDER EDUARDO</t>
  </si>
  <si>
    <t>BUENAVENTURA GONZALEZ LUIS MIGUEL</t>
  </si>
  <si>
    <t>MARMOLEJO MARQUEZ VICTOR MANUEL</t>
  </si>
  <si>
    <t>ORTIZ RODRIGUEZ JOSE VICENTE</t>
  </si>
  <si>
    <t>075010317-8</t>
  </si>
  <si>
    <t>NOTA: LAS PERSONAS DEBEN ASISTIR COMO CONSTA EN EL LISTADO, UNA VEZ EN LA LISTA NADIE PUEDE SALIR, CASO CONTRARIO SE REALIZARA LA SANCION ESTABLECIDA.</t>
  </si>
  <si>
    <t xml:space="preserve"> </t>
  </si>
  <si>
    <t>MOROCHO SALINAS FABRICIO EDUARDO</t>
  </si>
  <si>
    <t>110480020-4</t>
  </si>
  <si>
    <t>2/3</t>
  </si>
  <si>
    <t xml:space="preserve">34 ; 15        </t>
  </si>
  <si>
    <t>3/3</t>
  </si>
  <si>
    <t xml:space="preserve">13 ; 19        </t>
  </si>
  <si>
    <t>1/4</t>
  </si>
  <si>
    <t xml:space="preserve">32 ; 10        </t>
  </si>
  <si>
    <t>18.30</t>
  </si>
  <si>
    <t>2/4</t>
  </si>
  <si>
    <t xml:space="preserve">33 ; 20        </t>
  </si>
  <si>
    <t>3/4</t>
  </si>
  <si>
    <t xml:space="preserve">40 ; 36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</si>
</sst>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&quot;$&quot;\ * #,##0.00_);_(&quot;$&quot;\ * \(#,##0.00\);_(&quot;$&quot;\ * &quot;-&quot;??_);_(@_)"/>
    <numFmt numFmtId="165" formatCode="[$-F800]dddd\,\ mmmm\ dd\,\ yyyy"/>
    <numFmt numFmtId="166" formatCode="[$-F400]h:mm:ss\ AM/PM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theme="1"/>
      <name val="Palatino Linotype"/>
      <family val="1"/>
    </font>
    <font>
      <sz val="11"/>
      <color theme="1"/>
      <name val="Palatino Linotype"/>
      <family val="1"/>
    </font>
    <font>
      <b/>
      <sz val="14"/>
      <color theme="1"/>
      <name val="Palatino Linotype"/>
      <family val="1"/>
    </font>
    <font>
      <b/>
      <sz val="12"/>
      <color theme="1"/>
      <name val="Palatino Linotype"/>
      <family val="1"/>
    </font>
    <font>
      <sz val="12"/>
      <color theme="1"/>
      <name val="Palatino Linotype"/>
      <family val="1"/>
    </font>
    <font>
      <sz val="14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24"/>
      <color theme="1"/>
      <name val="Calibri"/>
      <family val="2"/>
      <scheme val="minor"/>
    </font>
    <font>
      <sz val="9"/>
      <color rgb="FFFF0000"/>
      <name val="Palatino Linotype"/>
      <family val="1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auto="1"/>
      </left>
      <right style="thin">
        <color theme="0"/>
      </right>
      <top style="medium">
        <color auto="1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auto="1"/>
      </top>
      <bottom style="thin">
        <color indexed="64"/>
      </bottom>
      <diagonal/>
    </border>
    <border>
      <left style="thin">
        <color theme="0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16">
    <xf numFmtId="0" fontId="0" fillId="0" borderId="0" xfId="0"/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Fill="1" applyBorder="1" applyProtection="1">
      <protection locked="0"/>
    </xf>
    <xf numFmtId="0" fontId="3" fillId="0" borderId="1" xfId="0" applyFont="1" applyFill="1" applyBorder="1" applyProtection="1"/>
    <xf numFmtId="2" fontId="3" fillId="0" borderId="1" xfId="0" applyNumberFormat="1" applyFont="1" applyFill="1" applyBorder="1" applyProtection="1"/>
    <xf numFmtId="49" fontId="3" fillId="0" borderId="1" xfId="0" applyNumberFormat="1" applyFont="1" applyFill="1" applyBorder="1" applyProtection="1">
      <protection locked="0"/>
    </xf>
    <xf numFmtId="49" fontId="0" fillId="0" borderId="1" xfId="0" applyNumberFormat="1" applyFill="1" applyBorder="1" applyProtection="1">
      <protection locked="0"/>
    </xf>
    <xf numFmtId="0" fontId="2" fillId="0" borderId="1" xfId="0" applyFont="1" applyFill="1" applyBorder="1" applyAlignment="1" applyProtection="1">
      <alignment horizontal="center"/>
      <protection locked="0"/>
    </xf>
    <xf numFmtId="164" fontId="2" fillId="0" borderId="1" xfId="1" applyFont="1" applyFill="1" applyBorder="1" applyAlignment="1" applyProtection="1">
      <alignment horizontal="center"/>
      <protection locked="0"/>
    </xf>
    <xf numFmtId="0" fontId="3" fillId="0" borderId="0" xfId="0" applyFont="1" applyFill="1" applyProtection="1">
      <protection locked="0"/>
    </xf>
    <xf numFmtId="164" fontId="3" fillId="0" borderId="0" xfId="1" applyFont="1" applyFill="1" applyProtection="1">
      <protection locked="0"/>
    </xf>
    <xf numFmtId="0" fontId="3" fillId="2" borderId="0" xfId="0" applyFont="1" applyFill="1" applyProtection="1">
      <protection locked="0"/>
    </xf>
    <xf numFmtId="164" fontId="3" fillId="2" borderId="0" xfId="1" applyFont="1" applyFill="1" applyProtection="1">
      <protection locked="0"/>
    </xf>
    <xf numFmtId="0" fontId="0" fillId="3" borderId="0" xfId="0" applyFill="1"/>
    <xf numFmtId="0" fontId="7" fillId="4" borderId="2" xfId="0" applyFont="1" applyFill="1" applyBorder="1" applyAlignment="1">
      <alignment horizontal="center"/>
    </xf>
    <xf numFmtId="0" fontId="0" fillId="0" borderId="0" xfId="0" pivotButton="1"/>
    <xf numFmtId="0" fontId="0" fillId="4" borderId="0" xfId="0" applyFill="1"/>
    <xf numFmtId="0" fontId="4" fillId="4" borderId="3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4" borderId="3" xfId="0" applyFill="1" applyBorder="1" applyAlignment="1"/>
    <xf numFmtId="0" fontId="4" fillId="0" borderId="1" xfId="0" applyFont="1" applyBorder="1" applyAlignment="1">
      <alignment horizontal="center"/>
    </xf>
    <xf numFmtId="0" fontId="6" fillId="3" borderId="0" xfId="0" applyFont="1" applyFill="1" applyAlignment="1">
      <alignment horizontal="right"/>
    </xf>
    <xf numFmtId="0" fontId="4" fillId="4" borderId="4" xfId="0" applyFont="1" applyFill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0" fontId="3" fillId="3" borderId="0" xfId="0" applyFont="1" applyFill="1" applyAlignment="1">
      <alignment horizontal="left"/>
    </xf>
    <xf numFmtId="0" fontId="10" fillId="3" borderId="0" xfId="0" applyFont="1" applyFill="1"/>
    <xf numFmtId="0" fontId="11" fillId="3" borderId="0" xfId="0" applyFont="1" applyFill="1"/>
    <xf numFmtId="0" fontId="5" fillId="3" borderId="0" xfId="0" applyFont="1" applyFill="1" applyAlignment="1">
      <alignment horizontal="right"/>
    </xf>
    <xf numFmtId="0" fontId="6" fillId="3" borderId="8" xfId="0" applyFont="1" applyFill="1" applyBorder="1" applyAlignment="1">
      <alignment horizontal="left"/>
    </xf>
    <xf numFmtId="0" fontId="9" fillId="4" borderId="6" xfId="0" applyFont="1" applyFill="1" applyBorder="1" applyAlignment="1">
      <alignment horizontal="left"/>
    </xf>
    <xf numFmtId="0" fontId="0" fillId="4" borderId="6" xfId="0" applyFill="1" applyBorder="1" applyAlignment="1">
      <alignment horizontal="left"/>
    </xf>
    <xf numFmtId="0" fontId="0" fillId="4" borderId="1" xfId="0" applyFill="1" applyBorder="1" applyAlignment="1"/>
    <xf numFmtId="0" fontId="14" fillId="5" borderId="7" xfId="0" applyFont="1" applyFill="1" applyBorder="1" applyAlignment="1">
      <alignment horizontal="center"/>
    </xf>
    <xf numFmtId="0" fontId="14" fillId="5" borderId="8" xfId="0" applyFont="1" applyFill="1" applyBorder="1" applyAlignment="1">
      <alignment horizontal="center"/>
    </xf>
    <xf numFmtId="0" fontId="15" fillId="5" borderId="8" xfId="0" applyFont="1" applyFill="1" applyBorder="1" applyAlignment="1">
      <alignment horizontal="center"/>
    </xf>
    <xf numFmtId="0" fontId="15" fillId="5" borderId="9" xfId="0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166" fontId="0" fillId="0" borderId="0" xfId="0" applyNumberFormat="1" applyAlignment="1">
      <alignment horizontal="center"/>
    </xf>
    <xf numFmtId="0" fontId="15" fillId="5" borderId="9" xfId="0" applyFont="1" applyFill="1" applyBorder="1" applyAlignment="1">
      <alignment horizontal="right"/>
    </xf>
    <xf numFmtId="0" fontId="0" fillId="2" borderId="0" xfId="0" applyFill="1" applyAlignment="1">
      <alignment horizontal="center"/>
    </xf>
    <xf numFmtId="0" fontId="0" fillId="0" borderId="15" xfId="0" applyBorder="1" applyAlignment="1">
      <alignment horizontal="center"/>
    </xf>
    <xf numFmtId="0" fontId="15" fillId="5" borderId="16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8" fillId="0" borderId="0" xfId="0" applyFont="1"/>
    <xf numFmtId="0" fontId="18" fillId="0" borderId="0" xfId="0" applyFont="1" applyAlignment="1">
      <alignment vertical="center"/>
    </xf>
    <xf numFmtId="0" fontId="19" fillId="0" borderId="0" xfId="0" applyFont="1" applyAlignment="1">
      <alignment horizontal="right" vertical="center"/>
    </xf>
    <xf numFmtId="0" fontId="20" fillId="0" borderId="0" xfId="0" applyFont="1" applyAlignment="1">
      <alignment horizontal="right"/>
    </xf>
    <xf numFmtId="165" fontId="21" fillId="0" borderId="15" xfId="0" applyNumberFormat="1" applyFont="1" applyBorder="1" applyAlignment="1">
      <alignment horizontal="left"/>
    </xf>
    <xf numFmtId="0" fontId="18" fillId="0" borderId="15" xfId="0" applyFont="1" applyBorder="1" applyAlignment="1">
      <alignment horizontal="center"/>
    </xf>
    <xf numFmtId="0" fontId="19" fillId="0" borderId="17" xfId="0" applyFont="1" applyBorder="1" applyAlignment="1">
      <alignment horizontal="center"/>
    </xf>
    <xf numFmtId="0" fontId="19" fillId="0" borderId="18" xfId="0" applyFont="1" applyBorder="1" applyAlignment="1">
      <alignment horizontal="center"/>
    </xf>
    <xf numFmtId="0" fontId="19" fillId="0" borderId="9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19" xfId="0" applyFont="1" applyBorder="1"/>
    <xf numFmtId="0" fontId="18" fillId="0" borderId="20" xfId="0" applyFont="1" applyBorder="1" applyAlignment="1">
      <alignment horizontal="center"/>
    </xf>
    <xf numFmtId="0" fontId="18" fillId="0" borderId="20" xfId="0" applyFont="1" applyBorder="1"/>
    <xf numFmtId="0" fontId="18" fillId="0" borderId="21" xfId="0" applyFont="1" applyBorder="1" applyAlignment="1">
      <alignment horizontal="center"/>
    </xf>
    <xf numFmtId="0" fontId="18" fillId="0" borderId="21" xfId="0" applyFont="1" applyBorder="1"/>
    <xf numFmtId="0" fontId="19" fillId="0" borderId="0" xfId="0" applyFont="1" applyAlignment="1">
      <alignment horizontal="right"/>
    </xf>
    <xf numFmtId="166" fontId="18" fillId="0" borderId="14" xfId="0" applyNumberFormat="1" applyFont="1" applyBorder="1" applyAlignment="1">
      <alignment horizontal="center"/>
    </xf>
    <xf numFmtId="0" fontId="19" fillId="0" borderId="0" xfId="0" applyFont="1" applyAlignment="1">
      <alignment vertical="center"/>
    </xf>
    <xf numFmtId="0" fontId="17" fillId="0" borderId="0" xfId="0" applyFont="1" applyAlignment="1">
      <alignment horizontal="left" vertical="top"/>
    </xf>
    <xf numFmtId="0" fontId="15" fillId="6" borderId="22" xfId="0" applyFont="1" applyFill="1" applyBorder="1" applyAlignment="1">
      <alignment horizontal="center"/>
    </xf>
    <xf numFmtId="0" fontId="15" fillId="6" borderId="23" xfId="0" applyFont="1" applyFill="1" applyBorder="1" applyAlignment="1">
      <alignment horizontal="center"/>
    </xf>
    <xf numFmtId="0" fontId="15" fillId="6" borderId="24" xfId="0" applyFont="1" applyFill="1" applyBorder="1" applyAlignment="1">
      <alignment horizontal="center"/>
    </xf>
    <xf numFmtId="166" fontId="12" fillId="0" borderId="14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4" borderId="12" xfId="0" applyFont="1" applyFill="1" applyBorder="1" applyAlignment="1">
      <alignment horizontal="center"/>
    </xf>
    <xf numFmtId="0" fontId="4" fillId="4" borderId="25" xfId="0" applyFont="1" applyFill="1" applyBorder="1" applyAlignment="1">
      <alignment horizontal="center"/>
    </xf>
    <xf numFmtId="0" fontId="4" fillId="4" borderId="26" xfId="0" applyFont="1" applyFill="1" applyBorder="1" applyAlignment="1">
      <alignment horizontal="center"/>
    </xf>
    <xf numFmtId="0" fontId="4" fillId="4" borderId="27" xfId="0" applyFont="1" applyFill="1" applyBorder="1" applyAlignment="1">
      <alignment horizontal="center"/>
    </xf>
    <xf numFmtId="0" fontId="0" fillId="0" borderId="15" xfId="0" applyBorder="1" applyAlignment="1">
      <alignment horizontal="center" vertical="center"/>
    </xf>
    <xf numFmtId="14" fontId="0" fillId="0" borderId="15" xfId="0" applyNumberFormat="1" applyBorder="1" applyAlignment="1">
      <alignment horizontal="center"/>
    </xf>
    <xf numFmtId="0" fontId="0" fillId="0" borderId="15" xfId="0" applyBorder="1"/>
    <xf numFmtId="166" fontId="0" fillId="0" borderId="15" xfId="0" applyNumberForma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166" fontId="0" fillId="0" borderId="0" xfId="0" applyNumberFormat="1" applyBorder="1" applyAlignment="1">
      <alignment horizontal="center"/>
    </xf>
    <xf numFmtId="0" fontId="0" fillId="0" borderId="0" xfId="0" applyNumberFormat="1"/>
    <xf numFmtId="0" fontId="4" fillId="0" borderId="0" xfId="0" applyFont="1"/>
    <xf numFmtId="0" fontId="22" fillId="0" borderId="15" xfId="0" applyFont="1" applyBorder="1" applyAlignment="1">
      <alignment horizontal="left"/>
    </xf>
    <xf numFmtId="0" fontId="7" fillId="0" borderId="0" xfId="0" pivotButton="1" applyFont="1" applyAlignment="1">
      <alignment horizontal="right"/>
    </xf>
    <xf numFmtId="0" fontId="5" fillId="0" borderId="0" xfId="0" applyFont="1" applyAlignment="1">
      <alignment horizontal="right"/>
    </xf>
    <xf numFmtId="165" fontId="22" fillId="0" borderId="15" xfId="0" applyNumberFormat="1" applyFont="1" applyBorder="1" applyAlignment="1">
      <alignment horizontal="left"/>
    </xf>
    <xf numFmtId="0" fontId="22" fillId="0" borderId="2" xfId="0" applyFont="1" applyBorder="1" applyAlignment="1">
      <alignment horizontal="left"/>
    </xf>
    <xf numFmtId="0" fontId="6" fillId="0" borderId="0" xfId="0" applyFont="1" applyAlignment="1">
      <alignment horizontal="right"/>
    </xf>
    <xf numFmtId="166" fontId="12" fillId="0" borderId="15" xfId="0" applyNumberFormat="1" applyFont="1" applyBorder="1" applyAlignment="1">
      <alignment horizontal="left"/>
    </xf>
    <xf numFmtId="0" fontId="20" fillId="0" borderId="0" xfId="0" applyFont="1" applyAlignment="1">
      <alignment horizontal="left"/>
    </xf>
    <xf numFmtId="0" fontId="24" fillId="0" borderId="0" xfId="0" applyFont="1"/>
    <xf numFmtId="0" fontId="5" fillId="0" borderId="0" xfId="0" applyFont="1"/>
    <xf numFmtId="0" fontId="0" fillId="7" borderId="0" xfId="0" applyFill="1"/>
    <xf numFmtId="0" fontId="2" fillId="3" borderId="1" xfId="0" applyFont="1" applyFill="1" applyBorder="1" applyAlignment="1">
      <alignment horizontal="center"/>
    </xf>
    <xf numFmtId="0" fontId="3" fillId="0" borderId="0" xfId="0" applyFont="1" applyFill="1" applyBorder="1" applyProtection="1"/>
    <xf numFmtId="0" fontId="0" fillId="0" borderId="1" xfId="0" applyBorder="1"/>
    <xf numFmtId="0" fontId="0" fillId="4" borderId="0" xfId="0" applyFill="1" applyBorder="1" applyAlignment="1"/>
    <xf numFmtId="0" fontId="4" fillId="0" borderId="0" xfId="0" applyFont="1" applyBorder="1" applyAlignment="1">
      <alignment horizontal="center"/>
    </xf>
    <xf numFmtId="0" fontId="0" fillId="0" borderId="6" xfId="0" applyBorder="1"/>
    <xf numFmtId="0" fontId="0" fillId="0" borderId="5" xfId="0" applyBorder="1"/>
    <xf numFmtId="165" fontId="4" fillId="4" borderId="3" xfId="0" applyNumberFormat="1" applyFont="1" applyFill="1" applyBorder="1" applyAlignment="1">
      <alignment horizontal="center"/>
    </xf>
    <xf numFmtId="165" fontId="4" fillId="4" borderId="2" xfId="0" applyNumberFormat="1" applyFont="1" applyFill="1" applyBorder="1" applyAlignment="1">
      <alignment horizontal="center"/>
    </xf>
    <xf numFmtId="165" fontId="4" fillId="4" borderId="4" xfId="0" applyNumberFormat="1" applyFont="1" applyFill="1" applyBorder="1" applyAlignment="1">
      <alignment horizontal="center"/>
    </xf>
    <xf numFmtId="0" fontId="13" fillId="3" borderId="12" xfId="0" applyFont="1" applyFill="1" applyBorder="1" applyAlignment="1">
      <alignment horizontal="center" vertical="center" wrapText="1"/>
    </xf>
    <xf numFmtId="0" fontId="13" fillId="3" borderId="0" xfId="0" applyFont="1" applyFill="1" applyAlignment="1">
      <alignment horizontal="center" vertical="center" wrapText="1"/>
    </xf>
    <xf numFmtId="0" fontId="13" fillId="3" borderId="13" xfId="0" applyFont="1" applyFill="1" applyBorder="1" applyAlignment="1">
      <alignment horizontal="center" vertical="center" wrapText="1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25" fillId="0" borderId="0" xfId="0" applyFont="1" applyAlignment="1">
      <alignment horizontal="left" vertical="center" wrapText="1"/>
    </xf>
    <xf numFmtId="0" fontId="0" fillId="4" borderId="1" xfId="0" applyFill="1" applyBorder="1" applyAlignment="1">
      <alignment horizontal="left"/>
    </xf>
    <xf numFmtId="0" fontId="0" fillId="0" borderId="3" xfId="0" applyBorder="1"/>
  </cellXfs>
  <cellStyles count="2">
    <cellStyle name="Moneda" xfId="1" builtinId="4"/>
    <cellStyle name="Normal" xfId="0" builtinId="0"/>
  </cellStyles>
  <dxfs count="10">
    <dxf>
      <alignment horizontal="center" readingOrder="0"/>
    </dxf>
    <dxf>
      <alignment horizontal="right" readingOrder="0"/>
    </dxf>
    <dxf>
      <font>
        <b/>
      </font>
    </dxf>
    <dxf>
      <fill>
        <patternFill>
          <bgColor theme="7" tint="0.59999389629810485"/>
        </patternFill>
      </fill>
    </dxf>
    <dxf>
      <font>
        <color auto="1"/>
      </font>
    </dxf>
    <dxf>
      <font>
        <color theme="7" tint="0.59999389629810485"/>
      </font>
    </dxf>
    <dxf>
      <fill>
        <patternFill>
          <bgColor theme="7" tint="0.59999389629810485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83820</xdr:rowOff>
        </xdr:from>
        <xdr:to>
          <xdr:col>1</xdr:col>
          <xdr:colOff>289560</xdr:colOff>
          <xdr:row>8</xdr:row>
          <xdr:rowOff>251460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10583</xdr:colOff>
      <xdr:row>10</xdr:row>
      <xdr:rowOff>10583</xdr:rowOff>
    </xdr:from>
    <xdr:to>
      <xdr:col>1</xdr:col>
      <xdr:colOff>10583</xdr:colOff>
      <xdr:row>10</xdr:row>
      <xdr:rowOff>179917</xdr:rowOff>
    </xdr:to>
    <xdr:sp macro="[0]!DATO_A11" textlink="">
      <xdr:nvSpPr>
        <xdr:cNvPr id="13" name="Rectángulo 12">
          <a:extLst>
            <a:ext uri="{FF2B5EF4-FFF2-40B4-BE49-F238E27FC236}">
              <a16:creationId xmlns:a16="http://schemas.microsoft.com/office/drawing/2014/main" xmlns="" id="{24DBCABB-375E-481A-BBBC-F0D840449EAB}"/>
            </a:ext>
          </a:extLst>
        </xdr:cNvPr>
        <xdr:cNvSpPr/>
      </xdr:nvSpPr>
      <xdr:spPr>
        <a:xfrm>
          <a:off x="10583" y="2381250"/>
          <a:ext cx="2508250" cy="16933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14821</xdr:colOff>
      <xdr:row>11</xdr:row>
      <xdr:rowOff>14815</xdr:rowOff>
    </xdr:from>
    <xdr:to>
      <xdr:col>1</xdr:col>
      <xdr:colOff>14821</xdr:colOff>
      <xdr:row>11</xdr:row>
      <xdr:rowOff>184149</xdr:rowOff>
    </xdr:to>
    <xdr:sp macro="[0]!DATO_A12" textlink="">
      <xdr:nvSpPr>
        <xdr:cNvPr id="15" name="Rectángulo 14">
          <a:extLst>
            <a:ext uri="{FF2B5EF4-FFF2-40B4-BE49-F238E27FC236}">
              <a16:creationId xmlns:a16="http://schemas.microsoft.com/office/drawing/2014/main" xmlns="" id="{0AE36E68-9CE0-4387-87CD-CB0F2F9E5C71}"/>
            </a:ext>
          </a:extLst>
        </xdr:cNvPr>
        <xdr:cNvSpPr/>
      </xdr:nvSpPr>
      <xdr:spPr>
        <a:xfrm>
          <a:off x="14821" y="2586565"/>
          <a:ext cx="2508250" cy="16933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8476</xdr:colOff>
      <xdr:row>12</xdr:row>
      <xdr:rowOff>8464</xdr:rowOff>
    </xdr:from>
    <xdr:to>
      <xdr:col>1</xdr:col>
      <xdr:colOff>8476</xdr:colOff>
      <xdr:row>12</xdr:row>
      <xdr:rowOff>177798</xdr:rowOff>
    </xdr:to>
    <xdr:sp macro="[0]!DATO_A13" textlink="">
      <xdr:nvSpPr>
        <xdr:cNvPr id="16" name="Rectángulo 15">
          <a:extLst>
            <a:ext uri="{FF2B5EF4-FFF2-40B4-BE49-F238E27FC236}">
              <a16:creationId xmlns:a16="http://schemas.microsoft.com/office/drawing/2014/main" xmlns="" id="{992C4194-C647-4DA6-8174-FE5FAA83C5E2}"/>
            </a:ext>
          </a:extLst>
        </xdr:cNvPr>
        <xdr:cNvSpPr/>
      </xdr:nvSpPr>
      <xdr:spPr>
        <a:xfrm>
          <a:off x="8476" y="2781297"/>
          <a:ext cx="2508250" cy="16933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12714</xdr:colOff>
      <xdr:row>13</xdr:row>
      <xdr:rowOff>12695</xdr:rowOff>
    </xdr:from>
    <xdr:to>
      <xdr:col>1</xdr:col>
      <xdr:colOff>12714</xdr:colOff>
      <xdr:row>13</xdr:row>
      <xdr:rowOff>182029</xdr:rowOff>
    </xdr:to>
    <xdr:sp macro="[0]!DATO_A14" textlink="">
      <xdr:nvSpPr>
        <xdr:cNvPr id="17" name="Rectángulo 16">
          <a:extLst>
            <a:ext uri="{FF2B5EF4-FFF2-40B4-BE49-F238E27FC236}">
              <a16:creationId xmlns:a16="http://schemas.microsoft.com/office/drawing/2014/main" xmlns="" id="{658D2A81-738C-4AAF-BF39-5200927C6F7E}"/>
            </a:ext>
          </a:extLst>
        </xdr:cNvPr>
        <xdr:cNvSpPr/>
      </xdr:nvSpPr>
      <xdr:spPr>
        <a:xfrm>
          <a:off x="12714" y="2986612"/>
          <a:ext cx="2508250" cy="16933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6369</xdr:colOff>
      <xdr:row>14</xdr:row>
      <xdr:rowOff>6344</xdr:rowOff>
    </xdr:from>
    <xdr:to>
      <xdr:col>1</xdr:col>
      <xdr:colOff>6369</xdr:colOff>
      <xdr:row>14</xdr:row>
      <xdr:rowOff>175678</xdr:rowOff>
    </xdr:to>
    <xdr:sp macro="[0]!DATO_A15" textlink="">
      <xdr:nvSpPr>
        <xdr:cNvPr id="18" name="Rectángulo 17">
          <a:extLst>
            <a:ext uri="{FF2B5EF4-FFF2-40B4-BE49-F238E27FC236}">
              <a16:creationId xmlns:a16="http://schemas.microsoft.com/office/drawing/2014/main" xmlns="" id="{D70FE6BC-C0B6-43F5-A5D1-EF5DEF025B17}"/>
            </a:ext>
          </a:extLst>
        </xdr:cNvPr>
        <xdr:cNvSpPr/>
      </xdr:nvSpPr>
      <xdr:spPr>
        <a:xfrm>
          <a:off x="6369" y="3181344"/>
          <a:ext cx="2508250" cy="16933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10607</xdr:colOff>
      <xdr:row>15</xdr:row>
      <xdr:rowOff>10576</xdr:rowOff>
    </xdr:from>
    <xdr:to>
      <xdr:col>1</xdr:col>
      <xdr:colOff>10607</xdr:colOff>
      <xdr:row>15</xdr:row>
      <xdr:rowOff>179910</xdr:rowOff>
    </xdr:to>
    <xdr:sp macro="[0]!DATO_A16" textlink="">
      <xdr:nvSpPr>
        <xdr:cNvPr id="19" name="Rectángulo 18">
          <a:extLst>
            <a:ext uri="{FF2B5EF4-FFF2-40B4-BE49-F238E27FC236}">
              <a16:creationId xmlns:a16="http://schemas.microsoft.com/office/drawing/2014/main" xmlns="" id="{B4CD1CF0-51A3-4DD9-A4C0-5131F67651E3}"/>
            </a:ext>
          </a:extLst>
        </xdr:cNvPr>
        <xdr:cNvSpPr/>
      </xdr:nvSpPr>
      <xdr:spPr>
        <a:xfrm>
          <a:off x="10607" y="3386659"/>
          <a:ext cx="2508250" cy="16933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5</xdr:row>
          <xdr:rowOff>99060</xdr:rowOff>
        </xdr:from>
        <xdr:to>
          <xdr:col>9</xdr:col>
          <xdr:colOff>1226820</xdr:colOff>
          <xdr:row>7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Calibri"/>
                </a:rPr>
                <a:t>Agregar a 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2507316</xdr:colOff>
      <xdr:row>5</xdr:row>
      <xdr:rowOff>0</xdr:rowOff>
    </xdr:from>
    <xdr:to>
      <xdr:col>2</xdr:col>
      <xdr:colOff>4482</xdr:colOff>
      <xdr:row>6</xdr:row>
      <xdr:rowOff>0</xdr:rowOff>
    </xdr:to>
    <xdr:sp macro="[0]!DATO_PC_B5" textlink="">
      <xdr:nvSpPr>
        <xdr:cNvPr id="22" name="Rectángulo 21"/>
        <xdr:cNvSpPr/>
      </xdr:nvSpPr>
      <xdr:spPr>
        <a:xfrm>
          <a:off x="2507316" y="1546412"/>
          <a:ext cx="298637" cy="190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2</xdr:col>
      <xdr:colOff>11206</xdr:colOff>
      <xdr:row>5</xdr:row>
      <xdr:rowOff>0</xdr:rowOff>
    </xdr:from>
    <xdr:to>
      <xdr:col>3</xdr:col>
      <xdr:colOff>0</xdr:colOff>
      <xdr:row>6</xdr:row>
      <xdr:rowOff>0</xdr:rowOff>
    </xdr:to>
    <xdr:sp macro="[0]!DATO_PC_C5" textlink="">
      <xdr:nvSpPr>
        <xdr:cNvPr id="23" name="Rectángulo 22"/>
        <xdr:cNvSpPr/>
      </xdr:nvSpPr>
      <xdr:spPr>
        <a:xfrm>
          <a:off x="2812677" y="1546412"/>
          <a:ext cx="280147" cy="190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3</xdr:col>
      <xdr:colOff>11206</xdr:colOff>
      <xdr:row>5</xdr:row>
      <xdr:rowOff>0</xdr:rowOff>
    </xdr:from>
    <xdr:to>
      <xdr:col>4</xdr:col>
      <xdr:colOff>1</xdr:colOff>
      <xdr:row>6</xdr:row>
      <xdr:rowOff>0</xdr:rowOff>
    </xdr:to>
    <xdr:sp macro="[0]!DATO_PC_D5" textlink="">
      <xdr:nvSpPr>
        <xdr:cNvPr id="24" name="Rectángulo 23"/>
        <xdr:cNvSpPr/>
      </xdr:nvSpPr>
      <xdr:spPr>
        <a:xfrm>
          <a:off x="3104030" y="1546412"/>
          <a:ext cx="280147" cy="190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4</xdr:col>
      <xdr:colOff>11206</xdr:colOff>
      <xdr:row>5</xdr:row>
      <xdr:rowOff>0</xdr:rowOff>
    </xdr:from>
    <xdr:to>
      <xdr:col>5</xdr:col>
      <xdr:colOff>0</xdr:colOff>
      <xdr:row>6</xdr:row>
      <xdr:rowOff>0</xdr:rowOff>
    </xdr:to>
    <xdr:sp macro="[0]!DATO_PC_E5" textlink="">
      <xdr:nvSpPr>
        <xdr:cNvPr id="25" name="Rectángulo 24"/>
        <xdr:cNvSpPr/>
      </xdr:nvSpPr>
      <xdr:spPr>
        <a:xfrm>
          <a:off x="3395382" y="1546412"/>
          <a:ext cx="280147" cy="190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5</xdr:col>
      <xdr:colOff>11206</xdr:colOff>
      <xdr:row>5</xdr:row>
      <xdr:rowOff>0</xdr:rowOff>
    </xdr:from>
    <xdr:to>
      <xdr:col>6</xdr:col>
      <xdr:colOff>0</xdr:colOff>
      <xdr:row>6</xdr:row>
      <xdr:rowOff>0</xdr:rowOff>
    </xdr:to>
    <xdr:sp macro="[0]!DATO_PC_F5" textlink="">
      <xdr:nvSpPr>
        <xdr:cNvPr id="26" name="Rectángulo 25"/>
        <xdr:cNvSpPr/>
      </xdr:nvSpPr>
      <xdr:spPr>
        <a:xfrm>
          <a:off x="3686735" y="1546412"/>
          <a:ext cx="280147" cy="190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6</xdr:col>
      <xdr:colOff>11206</xdr:colOff>
      <xdr:row>5</xdr:row>
      <xdr:rowOff>0</xdr:rowOff>
    </xdr:from>
    <xdr:to>
      <xdr:col>7</xdr:col>
      <xdr:colOff>0</xdr:colOff>
      <xdr:row>6</xdr:row>
      <xdr:rowOff>0</xdr:rowOff>
    </xdr:to>
    <xdr:sp macro="[0]!DATO_PC_G5" textlink="">
      <xdr:nvSpPr>
        <xdr:cNvPr id="27" name="Rectángulo 26"/>
        <xdr:cNvSpPr/>
      </xdr:nvSpPr>
      <xdr:spPr>
        <a:xfrm>
          <a:off x="3978088" y="1546412"/>
          <a:ext cx="280147" cy="190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705970</xdr:colOff>
      <xdr:row>8</xdr:row>
      <xdr:rowOff>22411</xdr:rowOff>
    </xdr:from>
    <xdr:to>
      <xdr:col>11</xdr:col>
      <xdr:colOff>0</xdr:colOff>
      <xdr:row>8</xdr:row>
      <xdr:rowOff>268941</xdr:rowOff>
    </xdr:to>
    <xdr:sp macro="[0]!ORD_K9" textlink="">
      <xdr:nvSpPr>
        <xdr:cNvPr id="32" name="Flecha abajo 31"/>
        <xdr:cNvSpPr/>
      </xdr:nvSpPr>
      <xdr:spPr>
        <a:xfrm>
          <a:off x="9782735" y="2151529"/>
          <a:ext cx="291353" cy="246530"/>
        </a:xfrm>
        <a:prstGeom prst="downArrow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10</xdr:col>
      <xdr:colOff>11206</xdr:colOff>
      <xdr:row>8</xdr:row>
      <xdr:rowOff>11206</xdr:rowOff>
    </xdr:from>
    <xdr:to>
      <xdr:col>10</xdr:col>
      <xdr:colOff>302559</xdr:colOff>
      <xdr:row>8</xdr:row>
      <xdr:rowOff>257736</xdr:rowOff>
    </xdr:to>
    <xdr:sp macro="[0]!ORD_K9_MEMAY" textlink="">
      <xdr:nvSpPr>
        <xdr:cNvPr id="33" name="Flecha abajo 32"/>
        <xdr:cNvSpPr/>
      </xdr:nvSpPr>
      <xdr:spPr>
        <a:xfrm rot="10800000">
          <a:off x="9087971" y="2140324"/>
          <a:ext cx="291353" cy="246530"/>
        </a:xfrm>
        <a:prstGeom prst="downArrow">
          <a:avLst/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5</xdr:row>
          <xdr:rowOff>76200</xdr:rowOff>
        </xdr:from>
        <xdr:to>
          <xdr:col>12</xdr:col>
          <xdr:colOff>1203960</xdr:colOff>
          <xdr:row>8</xdr:row>
          <xdr:rowOff>114300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</a:rPr>
                <a:t>GUARA LISTADO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728382</xdr:colOff>
      <xdr:row>63</xdr:row>
      <xdr:rowOff>0</xdr:rowOff>
    </xdr:from>
    <xdr:to>
      <xdr:col>8</xdr:col>
      <xdr:colOff>2823882</xdr:colOff>
      <xdr:row>63</xdr:row>
      <xdr:rowOff>0</xdr:rowOff>
    </xdr:to>
    <xdr:cxnSp macro="">
      <xdr:nvCxnSpPr>
        <xdr:cNvPr id="3" name="Conector recto 2"/>
        <xdr:cNvCxnSpPr/>
      </xdr:nvCxnSpPr>
      <xdr:spPr>
        <a:xfrm>
          <a:off x="5681382" y="13323794"/>
          <a:ext cx="2095500" cy="0"/>
        </a:xfrm>
        <a:prstGeom prst="line">
          <a:avLst/>
        </a:prstGeom>
        <a:ln w="12700"/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roduccion01-pc\d\Nomina%20Pesca%2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MINAS PSM&amp;BIO"/>
      <sheetName val="FUNCIONES"/>
      <sheetName val="Nomina Pesca"/>
      <sheetName val="Reg_Partic_Pesc"/>
      <sheetName val="Resumen"/>
      <sheetName val="Resumen x Empresa"/>
      <sheetName val="Consulta x NochE_Pesc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RODUCCION-02" refreshedDate="43136.320590856485" createdVersion="5" refreshedVersion="5" minRefreshableVersion="3" recordCount="43">
  <cacheSource type="worksheet">
    <worksheetSource ref="B3:D46" sheet="NOMINAS PSM&amp;BIO"/>
  </cacheSource>
  <cacheFields count="3">
    <cacheField name="NOMINA" numFmtId="0">
      <sharedItems containsBlank="1" count="48">
        <s v="HERNANDEZ VALENCIA CARLOS ALBERTO"/>
        <s v="ARMIJOS MIÑAN ANGEL"/>
        <s v="SOTO CANGO ROBER CORNELIO"/>
        <s v="CANGO QUITO JOSE LEOVARDO"/>
        <s v="PEREZ JUMBO JORGE ROLANDO"/>
        <s v="RUIZ RUIZ DIEGO PATRICIO"/>
        <s v="GOMEZ ESPINOZA GASTON SANTOS"/>
        <s v="PEÑA CEDEÑO JOSE PERFECTO"/>
        <s v="BRAVO QUINTO JORGE DANIEL"/>
        <s v="GOMEZ PARRA  RICARDO JOEL"/>
        <s v="CUEVA LUDEÑA MANUEL DE JESUS"/>
        <s v="JARA ARMIJOS CESAR HOMERO"/>
        <s v="CASTILLO OCHOA HERIBERTO GUILLERMO"/>
        <s v="CORNEJO SANCHEZ FELIX TEOBALDO"/>
        <s v="PINTA PINTA WILMER ROLANDO"/>
        <s v="CONTENTO LIVIZACA RUDY ANDRES"/>
        <s v="SIMANCAS AGUILAR DAVID MOISES"/>
        <s v="CANGO CUEVA FRANCISCO ARMANDO"/>
        <s v="ORTIZ MENDEZ EDWIN ELOY"/>
        <s v="GOMEZ JUMBO YORGIN"/>
        <s v="MATAILO PINTA MIGUEL ANGEL"/>
        <s v="PINTA MATAILO REIMUNDO ROMELIO"/>
        <s v="PINTA AGUILAR DIEGO FERNANDO"/>
        <s v="CHAMBA BARSALLO ROBERTO CARLOS "/>
        <s v="CEDEÑO CHILAN SEGUNDO VICENTE"/>
        <s v="CHAGNA MORALES ARMANDO PAUL"/>
        <s v="CEVALLOS ALAY MELVIN DAVID"/>
        <s v="LOZANO MANZABA BRYAN RENE"/>
        <s v="HELGUERO MARTINEZ CARLOS RENE"/>
        <s v="VICENTE MACAS VICTOR HUGO"/>
        <s v="CANGO CUEVA DIEGO POLO"/>
        <s v="JARA ARMIJOS MARIO FABIAN"/>
        <s v="CASTILLO PINTA EDWIN MESIAS"/>
        <s v="CHALACO CASTILLO ROBERTH IVAN"/>
        <s v="JIMENEZ GUAYANAY ALEXANDER EDUARDO"/>
        <s v="MARMOLEJO MARQUEZ VICTOR MANUEL"/>
        <s v="BUENAVENTURA GONZALEZ LUIS MIGUEL"/>
        <s v="AVILA AVILA STALIN JEFFERSON"/>
        <s v="PEÑA CEDEÑO CRISTHIAN JAVIER"/>
        <s v="SOTO MATAILO JOSE ENRIQUE"/>
        <s v="ORTIZ RODRIGUEZ JOSE VICENTE"/>
        <s v="MOROCHO SALINAS FABRICIO EDUARDO"/>
        <m/>
        <s v="CEREZO SANCHEZ CARLOS LEONARDO" u="1"/>
        <s v="ROBLES BUSTAMANTE CARLOS" u="1"/>
        <s v="BRIONES DAVILA ROBERTH SAMUEL" u="1"/>
        <s v="MATAILO MATAILO JOSE EFRAIN" u="1"/>
        <s v="JARA ARMIJOS BYRON GERMAN" u="1"/>
      </sharedItems>
    </cacheField>
    <cacheField name="No. Cédula" numFmtId="0">
      <sharedItems containsBlank="1"/>
    </cacheField>
    <cacheField name="EMPRES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PRODUCCION-02" refreshedDate="43136.320962268517" createdVersion="5" refreshedVersion="5" minRefreshableVersion="3" recordCount="322">
  <cacheSource type="worksheet">
    <worksheetSource ref="A2:L324" sheet="Reg_Partic_Pesc"/>
  </cacheSource>
  <cacheFields count="12">
    <cacheField name="CONT_NOCH" numFmtId="0">
      <sharedItems containsString="0" containsBlank="1" containsNumber="1" containsInteger="1" minValue="0" maxValue="1"/>
    </cacheField>
    <cacheField name="NOCHE" numFmtId="0">
      <sharedItems containsBlank="1" count="12">
        <s v="3/3"/>
        <s v="3/4"/>
        <s v="2/4"/>
        <s v=" "/>
        <s v="1/4"/>
        <s v="2/3"/>
        <m/>
        <s v="2/2" u="1"/>
        <s v="1/2" u="1"/>
        <s v="1/3" u="1"/>
        <s v="2/16" u="1"/>
        <s v="1/7" u="1"/>
      </sharedItems>
    </cacheField>
    <cacheField name="FECHA" numFmtId="14">
      <sharedItems containsDate="1" containsBlank="1" containsMixedTypes="1" minDate="2018-01-16T00:00:00" maxDate="2018-02-01T00:00:00"/>
    </cacheField>
    <cacheField name="AGUAJE" numFmtId="0">
      <sharedItems containsBlank="1" containsMixedTypes="1" containsNumber="1" containsInteger="1" minValue="2" maxValue="3"/>
    </cacheField>
    <cacheField name="#" numFmtId="0">
      <sharedItems containsBlank="1" containsMixedTypes="1" containsNumber="1" containsInteger="1" minValue="1" maxValue="30" count="32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s v=" "/>
        <m/>
        <n v="29" u="1"/>
        <n v="30" u="1"/>
      </sharedItems>
    </cacheField>
    <cacheField name="APELLIDOS Y NOMBRES" numFmtId="0">
      <sharedItems containsBlank="1" count="44">
        <s v="CEDEÑO CHILAN SEGUNDO VICENTE"/>
        <s v="JARA ARMIJOS CESAR HOMERO"/>
        <s v="PEREZ JUMBO JORGE ROLANDO"/>
        <s v="RUIZ RUIZ DIEGO PATRICIO"/>
        <s v="CHAMBA BARSALLO ROBERTO CARLOS "/>
        <s v="SIMANCAS AGUILAR DAVID MOISES"/>
        <s v="CANGO QUITO JOSE LEOVARDO"/>
        <s v="CORNEJO SANCHEZ FELIX TEOBALDO"/>
        <s v="CASTILLO PINTA EDWIN MESIAS"/>
        <s v="BUENAVENTURA GONZALEZ LUIS MIGUEL"/>
        <s v="MARMOLEJO MARQUEZ VICTOR MANUEL"/>
        <s v="SOTO CANGO ROBER CORNELIO"/>
        <s v="CHAGNA MORALES ARMANDO PAUL"/>
        <s v="MATAILO PINTA MIGUEL ANGEL"/>
        <s v="CANGO CUEVA FRANCISCO ARMANDO"/>
        <s v="PINTA MATAILO REIMUNDO ROMELIO"/>
        <s v="LOZANO MANZABA BRYAN RENE"/>
        <s v="GOMEZ ESPINOZA GASTON SANTOS"/>
        <s v="CANGO CUEVA DIEGO POLO"/>
        <s v="JIMENEZ GUAYANAY ALEXANDER EDUARDO"/>
        <s v="AVILA AVILA STALIN JEFFERSON"/>
        <s v="MOROCHO SALINAS FABRICIO EDUARDO"/>
        <s v="CEVALLOS ALAY MELVIN DAVID"/>
        <s v="PINTA AGUILAR DIEGO FERNANDO"/>
        <s v="CUEVA LUDEÑA MANUEL DE JESUS"/>
        <s v="BRAVO QUINTO JORGE DANIEL"/>
        <s v="ORTIZ MENDEZ EDWIN ELOY"/>
        <s v="HERNANDEZ VALENCIA CARLOS ALBERTO"/>
        <s v="CASTILLO OCHOA HERIBERTO GUILLERMO"/>
        <s v=" "/>
        <s v="CONTENTO LIVIZACA RUDY ANDRES"/>
        <s v="GOMEZ PARRA  RICARDO JOEL"/>
        <s v="SOTO MATAILO JOSE ENRIQUE"/>
        <s v="PEÑA CEDEÑO CRISTHIAN JAVIER"/>
        <m/>
        <s v="CEREZO SANCHEZ CARLOS LEONARDO" u="1"/>
        <s v="ROBLES BUSTAMANTE CARLOS" u="1"/>
        <s v="HELGUERO MARTINEZ CARLOS RENE" u="1"/>
        <s v="PINTA PINTA WILMER ROLANDO" u="1"/>
        <s v="ARMIJOS MIÑAN ANGEL" u="1"/>
        <s v="JARA ARMIJOS MARIO FABIAN" u="1"/>
        <s v="MATAILO MATAILO JOSE EFRAIN" u="1"/>
        <s v="JARA ARMIJOS BYRON GERMAN" u="1"/>
        <s v="PEÑA CEDEÑO JOSE PERFECTO" u="1"/>
      </sharedItems>
    </cacheField>
    <cacheField name="FUNCION" numFmtId="0">
      <sharedItems containsBlank="1" count="9">
        <s v="1.- Bolsero"/>
        <s v="2.- Pesador"/>
        <s v="3.- Estibador"/>
        <s v="4.- Tratador"/>
        <s v="5.- Ayu.Tratador"/>
        <s v="6.- Gavetero"/>
        <s v="7.- Chofer"/>
        <s v=" "/>
        <m/>
      </sharedItems>
    </cacheField>
    <cacheField name="PSC" numFmtId="0">
      <sharedItems containsBlank="1" containsMixedTypes="1" containsNumber="1" containsInteger="1" minValue="2" maxValue="40" count="23">
        <n v="13"/>
        <n v="40"/>
        <n v="36"/>
        <n v="33"/>
        <s v=" "/>
        <n v="19"/>
        <n v="20"/>
        <n v="32"/>
        <n v="34"/>
        <n v="15"/>
        <n v="10"/>
        <m/>
        <n v="14" u="1"/>
        <n v="2" u="1"/>
        <n v="6" u="1"/>
        <n v="16" u="1"/>
        <n v="17" u="1"/>
        <n v="18" u="1"/>
        <n v="21" u="1"/>
        <n v="35" u="1"/>
        <n v="9" u="1"/>
        <n v="28" u="1"/>
        <n v="12" u="1"/>
      </sharedItems>
    </cacheField>
    <cacheField name="EMPRESA" numFmtId="0">
      <sharedItems containsBlank="1" containsMixedTypes="1" containsNumber="1" containsInteger="1" minValue="0" maxValue="0"/>
    </cacheField>
    <cacheField name="PSC # PESC" numFmtId="0">
      <sharedItems containsBlank="1" containsMixedTypes="1" containsNumber="1" containsInteger="1" minValue="0" maxValue="0"/>
    </cacheField>
    <cacheField name="CONT" numFmtId="0">
      <sharedItems containsString="0" containsBlank="1" containsNumber="1" containsInteger="1" minValue="0" maxValue="1"/>
    </cacheField>
    <cacheField name="HORA INICIO" numFmtId="166">
      <sharedItems containsDate="1" containsBlank="1" containsMixedTypes="1" minDate="1899-12-30T18:00:00" maxDate="1899-12-30T19:3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PRODUCCION-02" refreshedDate="43136.337232291669" createdVersion="5" refreshedVersion="5" minRefreshableVersion="3" recordCount="323">
  <cacheSource type="worksheet">
    <worksheetSource ref="A2:L325" sheet="Reg_Partic_Pesc"/>
  </cacheSource>
  <cacheFields count="12">
    <cacheField name="CONT_NOCH" numFmtId="0">
      <sharedItems containsString="0" containsBlank="1" containsNumber="1" containsInteger="1" minValue="0" maxValue="1"/>
    </cacheField>
    <cacheField name="NOCHE" numFmtId="0">
      <sharedItems containsBlank="1"/>
    </cacheField>
    <cacheField name="FECHA" numFmtId="14">
      <sharedItems containsDate="1" containsBlank="1" containsMixedTypes="1" minDate="2018-01-16T00:00:00" maxDate="2018-02-01T00:00:00"/>
    </cacheField>
    <cacheField name="AGUAJE" numFmtId="0">
      <sharedItems containsBlank="1" containsMixedTypes="1" containsNumber="1" containsInteger="1" minValue="2" maxValue="3"/>
    </cacheField>
    <cacheField name="#" numFmtId="0">
      <sharedItems containsBlank="1" containsMixedTypes="1" containsNumber="1" containsInteger="1" minValue="1" maxValue="28"/>
    </cacheField>
    <cacheField name="APELLIDOS Y NOMBRES" numFmtId="0">
      <sharedItems containsBlank="1" count="45">
        <s v="CEDEÑO CHILAN SEGUNDO VICENTE"/>
        <s v="JARA ARMIJOS CESAR HOMERO"/>
        <s v="PEREZ JUMBO JORGE ROLANDO"/>
        <s v="RUIZ RUIZ DIEGO PATRICIO"/>
        <s v="CHAMBA BARSALLO ROBERTO CARLOS "/>
        <s v="SIMANCAS AGUILAR DAVID MOISES"/>
        <s v="CANGO QUITO JOSE LEOVARDO"/>
        <s v="CORNEJO SANCHEZ FELIX TEOBALDO"/>
        <s v="CASTILLO PINTA EDWIN MESIAS"/>
        <s v="BUENAVENTURA GONZALEZ LUIS MIGUEL"/>
        <s v="MARMOLEJO MARQUEZ VICTOR MANUEL"/>
        <s v="SOTO CANGO ROBER CORNELIO"/>
        <s v="CHAGNA MORALES ARMANDO PAUL"/>
        <s v="MATAILO PINTA MIGUEL ANGEL"/>
        <s v="CANGO CUEVA FRANCISCO ARMANDO"/>
        <s v="PINTA MATAILO REIMUNDO ROMELIO"/>
        <s v="LOZANO MANZABA BRYAN RENE"/>
        <s v="GOMEZ ESPINOZA GASTON SANTOS"/>
        <s v="CANGO CUEVA DIEGO POLO"/>
        <s v="JIMENEZ GUAYANAY ALEXANDER EDUARDO"/>
        <s v="AVILA AVILA STALIN JEFFERSON"/>
        <s v="MOROCHO SALINAS FABRICIO EDUARDO"/>
        <s v="CEVALLOS ALAY MELVIN DAVID"/>
        <s v="PINTA AGUILAR DIEGO FERNANDO"/>
        <s v="CUEVA LUDEÑA MANUEL DE JESUS"/>
        <s v="BRAVO QUINTO JORGE DANIEL"/>
        <s v="ORTIZ MENDEZ EDWIN ELOY"/>
        <s v="HERNANDEZ VALENCIA CARLOS ALBERTO"/>
        <s v="CASTILLO OCHOA HERIBERTO GUILLERMO"/>
        <s v=" "/>
        <s v="CONTENTO LIVIZACA RUDY ANDRES"/>
        <s v="GOMEZ PARRA  RICARDO JOEL"/>
        <s v="SOTO MATAILO JOSE ENRIQUE"/>
        <s v="PEÑA CEDEÑO CRISTHIAN JAVIER"/>
        <m/>
        <s v="CEREZO SANCHEZ CARLOS LEONARDO" u="1"/>
        <s v="ROBLES BUSTAMANTE CARLOS" u="1"/>
        <s v="HELGUERO MARTINEZ CARLOS RENE" u="1"/>
        <s v="BRIONES DAVILA ROBERTH SAMUEL" u="1"/>
        <s v="PINTA PINTA WILMER ROLANDO" u="1"/>
        <s v="ARMIJOS MIÑAN ANGEL" u="1"/>
        <s v="JARA ARMIJOS MARIO FABIAN" u="1"/>
        <s v="MATAILO MATAILO JOSE EFRAIN" u="1"/>
        <s v="JARA ARMIJOS BYRON GERMAN" u="1"/>
        <s v="PEÑA CEDEÑO JOSE PERFECTO" u="1"/>
      </sharedItems>
    </cacheField>
    <cacheField name="FUNCION" numFmtId="0">
      <sharedItems containsBlank="1" count="9">
        <s v="1.- Bolsero"/>
        <s v="2.- Pesador"/>
        <s v="3.- Estibador"/>
        <s v="4.- Tratador"/>
        <s v="5.- Ayu.Tratador"/>
        <s v="6.- Gavetero"/>
        <s v="7.- Chofer"/>
        <s v=" "/>
        <m/>
      </sharedItems>
    </cacheField>
    <cacheField name="PSC" numFmtId="0">
      <sharedItems containsBlank="1" containsMixedTypes="1" containsNumber="1" containsInteger="1" minValue="10" maxValue="40"/>
    </cacheField>
    <cacheField name="EMPRESA" numFmtId="0">
      <sharedItems containsBlank="1" containsMixedTypes="1" containsNumber="1" containsInteger="1" minValue="0" maxValue="0" count="5">
        <s v="BIO"/>
        <s v="PSM"/>
        <n v="0"/>
        <s v=" "/>
        <m/>
      </sharedItems>
    </cacheField>
    <cacheField name="PSC # PESC" numFmtId="0">
      <sharedItems containsBlank="1" containsMixedTypes="1" containsNumber="1" containsInteger="1" minValue="0" maxValue="0"/>
    </cacheField>
    <cacheField name="CONT" numFmtId="0">
      <sharedItems containsString="0" containsBlank="1" containsNumber="1" containsInteger="1" minValue="0" maxValue="1"/>
    </cacheField>
    <cacheField name="HORA INICIO" numFmtId="166">
      <sharedItems containsDate="1" containsBlank="1" containsMixedTypes="1" minDate="1899-12-30T18:00:00" maxDate="1899-12-30T19:3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3">
  <r>
    <x v="0"/>
    <s v="230034363-5"/>
    <s v="PSM"/>
  </r>
  <r>
    <x v="1"/>
    <s v="070219346-7"/>
    <s v="PSM"/>
  </r>
  <r>
    <x v="2"/>
    <s v="110278326-1"/>
    <s v="PSM"/>
  </r>
  <r>
    <x v="3"/>
    <s v="110315588-1"/>
    <s v="PSM"/>
  </r>
  <r>
    <x v="4"/>
    <s v="070508993-6"/>
    <s v="PSM"/>
  </r>
  <r>
    <x v="5"/>
    <s v="110377448-3"/>
    <s v="PSM"/>
  </r>
  <r>
    <x v="6"/>
    <s v="070200116-5"/>
    <s v="PSM"/>
  </r>
  <r>
    <x v="7"/>
    <s v="172485071-2"/>
    <s v="PSM"/>
  </r>
  <r>
    <x v="8"/>
    <s v="172755391-7"/>
    <s v="PSM"/>
  </r>
  <r>
    <x v="9"/>
    <s v="070733745-7"/>
    <s v="PSM"/>
  </r>
  <r>
    <x v="10"/>
    <s v="110483502-8"/>
    <s v="PSM"/>
  </r>
  <r>
    <x v="11"/>
    <s v="110571148-3"/>
    <s v="PSM"/>
  </r>
  <r>
    <x v="12"/>
    <s v="110437810-2"/>
    <s v="PSM"/>
  </r>
  <r>
    <x v="13"/>
    <s v="120653372-9"/>
    <s v="PSM"/>
  </r>
  <r>
    <x v="14"/>
    <s v="110576532-3"/>
    <s v="PSM"/>
  </r>
  <r>
    <x v="15"/>
    <s v="070605677-7"/>
    <s v="PSM"/>
  </r>
  <r>
    <x v="16"/>
    <s v="110506978-3"/>
    <s v="PSM"/>
  </r>
  <r>
    <x v="17"/>
    <s v="110514219-2"/>
    <s v="PSM"/>
  </r>
  <r>
    <x v="18"/>
    <s v="230013608-8"/>
    <s v="PSM"/>
  </r>
  <r>
    <x v="19"/>
    <s v="130362626-9"/>
    <s v="BIO"/>
  </r>
  <r>
    <x v="20"/>
    <s v="110352731-1"/>
    <s v="BIO"/>
  </r>
  <r>
    <x v="21"/>
    <s v="110295161-1"/>
    <s v="BIO"/>
  </r>
  <r>
    <x v="22"/>
    <s v="110457677-0"/>
    <s v="BIO"/>
  </r>
  <r>
    <x v="23"/>
    <s v="110495641-0"/>
    <s v="BIO"/>
  </r>
  <r>
    <x v="24"/>
    <s v="171933177-7"/>
    <s v="BIO"/>
  </r>
  <r>
    <x v="25"/>
    <s v="235026425-1"/>
    <s v="BIO"/>
  </r>
  <r>
    <x v="26"/>
    <s v="070421950-0"/>
    <s v="BIO"/>
  </r>
  <r>
    <x v="27"/>
    <s v="172485077-9"/>
    <s v="BIO"/>
  </r>
  <r>
    <x v="28"/>
    <s v="070362264-7"/>
    <s v="BIO"/>
  </r>
  <r>
    <x v="29"/>
    <s v="110468487-1"/>
    <s v="BIO"/>
  </r>
  <r>
    <x v="30"/>
    <s v="110599059-0"/>
    <s v="BIO"/>
  </r>
  <r>
    <x v="31"/>
    <s v="115040949-6"/>
    <s v="BIO"/>
  </r>
  <r>
    <x v="32"/>
    <s v="110323737-4"/>
    <s v="BIO"/>
  </r>
  <r>
    <x v="33"/>
    <s v="070339013-8"/>
    <s v="PSM"/>
  </r>
  <r>
    <x v="34"/>
    <s v="195013467-4"/>
    <s v="BIO"/>
  </r>
  <r>
    <x v="35"/>
    <s v="230078109-9"/>
    <s v="BIO"/>
  </r>
  <r>
    <x v="36"/>
    <s v="085082270-1"/>
    <s v="BIO"/>
  </r>
  <r>
    <x v="37"/>
    <s v="094237190-7"/>
    <s v="BIO"/>
  </r>
  <r>
    <x v="38"/>
    <s v="235022240-8"/>
    <s v="BIO"/>
  </r>
  <r>
    <x v="39"/>
    <s v="110495242-7"/>
    <s v="BIO"/>
  </r>
  <r>
    <x v="40"/>
    <s v="075010317-8"/>
    <s v="PSM"/>
  </r>
  <r>
    <x v="41"/>
    <s v="110480020-4"/>
    <s v="PSM"/>
  </r>
  <r>
    <x v="42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22">
  <r>
    <n v="1"/>
    <x v="0"/>
    <d v="2018-01-17T00:00:00"/>
    <n v="2"/>
    <x v="0"/>
    <x v="0"/>
    <x v="0"/>
    <x v="0"/>
    <s v="BIO"/>
    <s v="13 ; 19        "/>
    <n v="1"/>
    <d v="1899-12-30T19:30:00"/>
  </r>
  <r>
    <n v="1"/>
    <x v="1"/>
    <d v="2018-01-31T00:00:00"/>
    <n v="3"/>
    <x v="0"/>
    <x v="0"/>
    <x v="0"/>
    <x v="1"/>
    <s v="BIO"/>
    <s v="40 ; 36        "/>
    <n v="1"/>
    <d v="1899-12-30T19:00:00"/>
  </r>
  <r>
    <n v="1"/>
    <x v="1"/>
    <d v="2018-01-31T00:00:00"/>
    <n v="3"/>
    <x v="1"/>
    <x v="1"/>
    <x v="1"/>
    <x v="1"/>
    <s v="PSM"/>
    <s v="40 ; 36        "/>
    <n v="1"/>
    <d v="1899-12-30T19:00:00"/>
  </r>
  <r>
    <n v="1"/>
    <x v="1"/>
    <d v="2018-01-31T00:00:00"/>
    <n v="3"/>
    <x v="2"/>
    <x v="2"/>
    <x v="2"/>
    <x v="1"/>
    <s v="PSM"/>
    <s v="40 ; 36        "/>
    <n v="1"/>
    <d v="1899-12-30T19:00:00"/>
  </r>
  <r>
    <n v="1"/>
    <x v="1"/>
    <d v="2018-01-31T00:00:00"/>
    <n v="3"/>
    <x v="3"/>
    <x v="3"/>
    <x v="2"/>
    <x v="1"/>
    <s v="PSM"/>
    <s v="40 ; 36        "/>
    <n v="1"/>
    <d v="1899-12-30T19:00:00"/>
  </r>
  <r>
    <n v="1"/>
    <x v="1"/>
    <d v="2018-01-31T00:00:00"/>
    <n v="3"/>
    <x v="4"/>
    <x v="4"/>
    <x v="3"/>
    <x v="1"/>
    <s v="BIO"/>
    <s v="40 ; 36        "/>
    <n v="1"/>
    <d v="1899-12-30T19:00:00"/>
  </r>
  <r>
    <n v="1"/>
    <x v="1"/>
    <d v="2018-01-31T00:00:00"/>
    <n v="3"/>
    <x v="5"/>
    <x v="5"/>
    <x v="4"/>
    <x v="1"/>
    <s v="PSM"/>
    <s v="40 ; 36        "/>
    <n v="1"/>
    <d v="1899-12-30T19:00:00"/>
  </r>
  <r>
    <n v="1"/>
    <x v="1"/>
    <d v="2018-01-31T00:00:00"/>
    <n v="3"/>
    <x v="6"/>
    <x v="6"/>
    <x v="5"/>
    <x v="1"/>
    <s v="PSM"/>
    <s v="40 ; 36        "/>
    <n v="1"/>
    <d v="1899-12-30T19:00:00"/>
  </r>
  <r>
    <n v="1"/>
    <x v="1"/>
    <d v="2018-01-31T00:00:00"/>
    <n v="3"/>
    <x v="7"/>
    <x v="7"/>
    <x v="5"/>
    <x v="1"/>
    <s v="PSM"/>
    <s v="40 ; 36        "/>
    <n v="1"/>
    <d v="1899-12-30T19:00:00"/>
  </r>
  <r>
    <n v="1"/>
    <x v="1"/>
    <d v="2018-01-31T00:00:00"/>
    <n v="3"/>
    <x v="8"/>
    <x v="8"/>
    <x v="5"/>
    <x v="1"/>
    <s v="BIO"/>
    <s v="40 ; 36        "/>
    <n v="1"/>
    <d v="1899-12-30T19:00:00"/>
  </r>
  <r>
    <n v="1"/>
    <x v="1"/>
    <d v="2018-01-31T00:00:00"/>
    <n v="3"/>
    <x v="9"/>
    <x v="9"/>
    <x v="5"/>
    <x v="1"/>
    <s v="BIO"/>
    <s v="40 ; 36        "/>
    <n v="1"/>
    <d v="1899-12-30T19:00:00"/>
  </r>
  <r>
    <n v="1"/>
    <x v="1"/>
    <d v="2018-01-31T00:00:00"/>
    <n v="3"/>
    <x v="10"/>
    <x v="10"/>
    <x v="5"/>
    <x v="1"/>
    <s v="BIO"/>
    <s v="40 ; 36        "/>
    <n v="1"/>
    <d v="1899-12-30T19:00:00"/>
  </r>
  <r>
    <n v="1"/>
    <x v="1"/>
    <d v="2018-01-31T00:00:00"/>
    <n v="3"/>
    <x v="11"/>
    <x v="11"/>
    <x v="5"/>
    <x v="1"/>
    <s v="PSM"/>
    <s v="40 ; 36        "/>
    <n v="1"/>
    <d v="1899-12-30T19:00:00"/>
  </r>
  <r>
    <n v="1"/>
    <x v="1"/>
    <d v="2018-01-31T00:00:00"/>
    <n v="3"/>
    <x v="12"/>
    <x v="12"/>
    <x v="5"/>
    <x v="1"/>
    <s v="BIO"/>
    <s v="40 ; 36        "/>
    <n v="1"/>
    <d v="1899-12-30T19:00:00"/>
  </r>
  <r>
    <n v="1"/>
    <x v="1"/>
    <d v="2018-01-31T00:00:00"/>
    <n v="3"/>
    <x v="13"/>
    <x v="13"/>
    <x v="6"/>
    <x v="1"/>
    <s v="BIO"/>
    <s v="40 ; 36        "/>
    <n v="1"/>
    <d v="1899-12-30T19:00:00"/>
  </r>
  <r>
    <n v="1"/>
    <x v="1"/>
    <d v="2018-01-31T00:00:00"/>
    <n v="3"/>
    <x v="14"/>
    <x v="14"/>
    <x v="0"/>
    <x v="2"/>
    <s v="PSM"/>
    <s v="40 ; 36        "/>
    <n v="1"/>
    <d v="1899-12-30T19:00:00"/>
  </r>
  <r>
    <n v="1"/>
    <x v="1"/>
    <d v="2018-01-31T00:00:00"/>
    <n v="3"/>
    <x v="15"/>
    <x v="15"/>
    <x v="1"/>
    <x v="2"/>
    <s v="BIO"/>
    <s v="40 ; 36        "/>
    <n v="1"/>
    <d v="1899-12-30T19:00:00"/>
  </r>
  <r>
    <n v="1"/>
    <x v="1"/>
    <d v="2018-01-31T00:00:00"/>
    <n v="3"/>
    <x v="16"/>
    <x v="16"/>
    <x v="2"/>
    <x v="2"/>
    <s v="BIO"/>
    <s v="40 ; 36        "/>
    <n v="1"/>
    <d v="1899-12-30T19:00:00"/>
  </r>
  <r>
    <n v="1"/>
    <x v="1"/>
    <d v="2018-01-31T00:00:00"/>
    <n v="3"/>
    <x v="17"/>
    <x v="17"/>
    <x v="2"/>
    <x v="2"/>
    <s v="PSM"/>
    <s v="40 ; 36        "/>
    <n v="1"/>
    <d v="1899-12-30T19:00:00"/>
  </r>
  <r>
    <n v="1"/>
    <x v="1"/>
    <d v="2018-01-31T00:00:00"/>
    <n v="3"/>
    <x v="18"/>
    <x v="18"/>
    <x v="3"/>
    <x v="2"/>
    <s v="BIO"/>
    <s v="40 ; 36        "/>
    <n v="1"/>
    <d v="1899-12-30T19:00:00"/>
  </r>
  <r>
    <n v="1"/>
    <x v="1"/>
    <d v="2018-01-31T00:00:00"/>
    <n v="3"/>
    <x v="19"/>
    <x v="19"/>
    <x v="4"/>
    <x v="2"/>
    <s v="BIO"/>
    <s v="40 ; 36        "/>
    <n v="1"/>
    <d v="1899-12-30T19:00:00"/>
  </r>
  <r>
    <n v="1"/>
    <x v="1"/>
    <d v="2018-01-31T00:00:00"/>
    <n v="3"/>
    <x v="20"/>
    <x v="20"/>
    <x v="5"/>
    <x v="2"/>
    <s v="BIO"/>
    <s v="40 ; 36        "/>
    <n v="1"/>
    <d v="1899-12-30T19:00:00"/>
  </r>
  <r>
    <n v="1"/>
    <x v="1"/>
    <d v="2018-01-31T00:00:00"/>
    <n v="3"/>
    <x v="21"/>
    <x v="21"/>
    <x v="5"/>
    <x v="2"/>
    <s v="PSM"/>
    <s v="40 ; 36        "/>
    <n v="1"/>
    <d v="1899-12-30T19:00:00"/>
  </r>
  <r>
    <n v="1"/>
    <x v="1"/>
    <d v="2018-01-31T00:00:00"/>
    <n v="3"/>
    <x v="22"/>
    <x v="22"/>
    <x v="5"/>
    <x v="2"/>
    <s v="BIO"/>
    <s v="40 ; 36        "/>
    <n v="1"/>
    <d v="1899-12-30T19:00:00"/>
  </r>
  <r>
    <n v="1"/>
    <x v="1"/>
    <d v="2018-01-31T00:00:00"/>
    <n v="3"/>
    <x v="23"/>
    <x v="23"/>
    <x v="5"/>
    <x v="2"/>
    <s v="BIO"/>
    <s v="40 ; 36        "/>
    <n v="1"/>
    <d v="1899-12-30T19:00:00"/>
  </r>
  <r>
    <n v="1"/>
    <x v="1"/>
    <d v="2018-01-31T00:00:00"/>
    <n v="3"/>
    <x v="24"/>
    <x v="24"/>
    <x v="5"/>
    <x v="2"/>
    <s v="PSM"/>
    <s v="40 ; 36        "/>
    <n v="1"/>
    <d v="1899-12-30T19:00:00"/>
  </r>
  <r>
    <n v="1"/>
    <x v="1"/>
    <d v="2018-01-31T00:00:00"/>
    <n v="3"/>
    <x v="25"/>
    <x v="25"/>
    <x v="5"/>
    <x v="2"/>
    <s v="PSM"/>
    <s v="40 ; 36        "/>
    <n v="1"/>
    <d v="1899-12-30T19:00:00"/>
  </r>
  <r>
    <n v="1"/>
    <x v="1"/>
    <d v="2018-01-31T00:00:00"/>
    <n v="3"/>
    <x v="26"/>
    <x v="26"/>
    <x v="5"/>
    <x v="2"/>
    <s v="PSM"/>
    <s v="40 ; 36        "/>
    <n v="1"/>
    <d v="1899-12-30T19:00:00"/>
  </r>
  <r>
    <n v="1"/>
    <x v="1"/>
    <d v="2018-01-31T00:00:00"/>
    <n v="3"/>
    <x v="27"/>
    <x v="27"/>
    <x v="6"/>
    <x v="2"/>
    <s v="PSM"/>
    <s v="40 ; 36        "/>
    <n v="1"/>
    <d v="1899-12-30T19:00:00"/>
  </r>
  <r>
    <n v="1"/>
    <x v="2"/>
    <d v="2018-01-30T00:00:00"/>
    <n v="3"/>
    <x v="0"/>
    <x v="0"/>
    <x v="0"/>
    <x v="3"/>
    <s v="BIO"/>
    <s v="33 ; 20        "/>
    <n v="1"/>
    <s v="18.30"/>
  </r>
  <r>
    <n v="1"/>
    <x v="2"/>
    <d v="2018-01-30T00:00:00"/>
    <n v="3"/>
    <x v="1"/>
    <x v="1"/>
    <x v="1"/>
    <x v="3"/>
    <s v="PSM"/>
    <s v="33 ; 20        "/>
    <n v="1"/>
    <s v="18.30"/>
  </r>
  <r>
    <n v="1"/>
    <x v="2"/>
    <d v="2018-01-30T00:00:00"/>
    <n v="3"/>
    <x v="2"/>
    <x v="2"/>
    <x v="2"/>
    <x v="3"/>
    <s v="PSM"/>
    <s v="33 ; 20        "/>
    <n v="1"/>
    <s v="18.30"/>
  </r>
  <r>
    <n v="1"/>
    <x v="2"/>
    <d v="2018-01-30T00:00:00"/>
    <n v="3"/>
    <x v="3"/>
    <x v="3"/>
    <x v="2"/>
    <x v="3"/>
    <s v="PSM"/>
    <s v="33 ; 20        "/>
    <n v="1"/>
    <s v="18.30"/>
  </r>
  <r>
    <n v="1"/>
    <x v="2"/>
    <d v="2018-01-30T00:00:00"/>
    <n v="3"/>
    <x v="4"/>
    <x v="4"/>
    <x v="3"/>
    <x v="3"/>
    <s v="BIO"/>
    <s v="33 ; 20        "/>
    <n v="1"/>
    <s v="18.30"/>
  </r>
  <r>
    <n v="1"/>
    <x v="2"/>
    <d v="2018-01-30T00:00:00"/>
    <n v="3"/>
    <x v="5"/>
    <x v="5"/>
    <x v="4"/>
    <x v="3"/>
    <s v="PSM"/>
    <s v="33 ; 20        "/>
    <n v="1"/>
    <s v="18.30"/>
  </r>
  <r>
    <n v="1"/>
    <x v="2"/>
    <d v="2018-01-30T00:00:00"/>
    <n v="3"/>
    <x v="6"/>
    <x v="6"/>
    <x v="5"/>
    <x v="3"/>
    <s v="PSM"/>
    <s v="33 ; 20        "/>
    <n v="1"/>
    <s v="18.30"/>
  </r>
  <r>
    <n v="1"/>
    <x v="2"/>
    <d v="2018-01-30T00:00:00"/>
    <n v="3"/>
    <x v="7"/>
    <x v="7"/>
    <x v="5"/>
    <x v="3"/>
    <s v="PSM"/>
    <s v="33 ; 20        "/>
    <n v="1"/>
    <s v="18.30"/>
  </r>
  <r>
    <n v="1"/>
    <x v="2"/>
    <d v="2018-01-30T00:00:00"/>
    <n v="3"/>
    <x v="8"/>
    <x v="28"/>
    <x v="5"/>
    <x v="3"/>
    <s v="PSM"/>
    <s v="33 ; 20        "/>
    <n v="1"/>
    <s v="18.30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1"/>
    <x v="0"/>
    <d v="2018-01-17T00:00:00"/>
    <n v="2"/>
    <x v="1"/>
    <x v="1"/>
    <x v="1"/>
    <x v="0"/>
    <s v="PSM"/>
    <s v="13 ; 19        "/>
    <n v="1"/>
    <d v="1899-12-30T19:30:00"/>
  </r>
  <r>
    <n v="1"/>
    <x v="0"/>
    <d v="2018-01-17T00:00:00"/>
    <n v="2"/>
    <x v="2"/>
    <x v="2"/>
    <x v="2"/>
    <x v="0"/>
    <s v="PSM"/>
    <s v="13 ; 19        "/>
    <n v="1"/>
    <d v="1899-12-30T19:30:00"/>
  </r>
  <r>
    <n v="1"/>
    <x v="0"/>
    <d v="2018-01-17T00:00:00"/>
    <n v="2"/>
    <x v="3"/>
    <x v="3"/>
    <x v="2"/>
    <x v="0"/>
    <s v="PSM"/>
    <s v="13 ; 19        "/>
    <n v="1"/>
    <d v="1899-12-30T19:30:00"/>
  </r>
  <r>
    <n v="1"/>
    <x v="0"/>
    <d v="2018-01-17T00:00:00"/>
    <n v="2"/>
    <x v="4"/>
    <x v="30"/>
    <x v="3"/>
    <x v="0"/>
    <s v="PSM"/>
    <s v="13 ; 19        "/>
    <n v="1"/>
    <d v="1899-12-30T19:30:00"/>
  </r>
  <r>
    <n v="1"/>
    <x v="0"/>
    <d v="2018-01-17T00:00:00"/>
    <n v="2"/>
    <x v="5"/>
    <x v="12"/>
    <x v="4"/>
    <x v="0"/>
    <s v="BIO"/>
    <s v="13 ; 19        "/>
    <n v="1"/>
    <d v="1899-12-30T19:30:00"/>
  </r>
  <r>
    <n v="1"/>
    <x v="0"/>
    <d v="2018-01-17T00:00:00"/>
    <n v="2"/>
    <x v="6"/>
    <x v="6"/>
    <x v="5"/>
    <x v="0"/>
    <s v="PSM"/>
    <s v="13 ; 19        "/>
    <n v="1"/>
    <d v="1899-12-30T19:30:00"/>
  </r>
  <r>
    <n v="1"/>
    <x v="0"/>
    <d v="2018-01-17T00:00:00"/>
    <n v="2"/>
    <x v="7"/>
    <x v="7"/>
    <x v="5"/>
    <x v="0"/>
    <s v="PSM"/>
    <s v="13 ; 19        "/>
    <n v="1"/>
    <d v="1899-12-30T19:30:00"/>
  </r>
  <r>
    <n v="1"/>
    <x v="0"/>
    <d v="2018-01-17T00:00:00"/>
    <n v="2"/>
    <x v="8"/>
    <x v="28"/>
    <x v="5"/>
    <x v="0"/>
    <s v="PSM"/>
    <s v="13 ; 19        "/>
    <n v="1"/>
    <d v="1899-12-30T19:30:00"/>
  </r>
  <r>
    <n v="1"/>
    <x v="0"/>
    <d v="2018-01-17T00:00:00"/>
    <n v="2"/>
    <x v="9"/>
    <x v="5"/>
    <x v="5"/>
    <x v="0"/>
    <s v="PSM"/>
    <s v="13 ; 19        "/>
    <n v="1"/>
    <d v="1899-12-30T19:30:00"/>
  </r>
  <r>
    <n v="1"/>
    <x v="0"/>
    <d v="2018-01-17T00:00:00"/>
    <n v="2"/>
    <x v="10"/>
    <x v="8"/>
    <x v="5"/>
    <x v="0"/>
    <s v="BIO"/>
    <s v="13 ; 19        "/>
    <n v="1"/>
    <d v="1899-12-30T19:30:00"/>
  </r>
  <r>
    <n v="1"/>
    <x v="0"/>
    <d v="2018-01-17T00:00:00"/>
    <n v="2"/>
    <x v="11"/>
    <x v="9"/>
    <x v="5"/>
    <x v="0"/>
    <s v="BIO"/>
    <s v="13 ; 19        "/>
    <n v="1"/>
    <d v="1899-12-30T19:30:00"/>
  </r>
  <r>
    <n v="1"/>
    <x v="0"/>
    <d v="2018-01-17T00:00:00"/>
    <n v="2"/>
    <x v="12"/>
    <x v="10"/>
    <x v="5"/>
    <x v="0"/>
    <s v="BIO"/>
    <s v="13 ; 19        "/>
    <n v="1"/>
    <d v="1899-12-30T19:30:00"/>
  </r>
  <r>
    <n v="1"/>
    <x v="0"/>
    <d v="2018-01-17T00:00:00"/>
    <n v="2"/>
    <x v="13"/>
    <x v="13"/>
    <x v="6"/>
    <x v="0"/>
    <s v="BIO"/>
    <s v="13 ; 19        "/>
    <n v="1"/>
    <d v="1899-12-30T19:30:00"/>
  </r>
  <r>
    <n v="1"/>
    <x v="0"/>
    <d v="2018-01-17T00:00:00"/>
    <n v="2"/>
    <x v="14"/>
    <x v="14"/>
    <x v="0"/>
    <x v="5"/>
    <s v="PSM"/>
    <s v="13 ; 19        "/>
    <n v="1"/>
    <d v="1899-12-30T19:30:00"/>
  </r>
  <r>
    <n v="1"/>
    <x v="0"/>
    <d v="2018-01-17T00:00:00"/>
    <n v="2"/>
    <x v="15"/>
    <x v="15"/>
    <x v="1"/>
    <x v="5"/>
    <s v="BIO"/>
    <s v="13 ; 19        "/>
    <n v="1"/>
    <d v="1899-12-30T19:30:00"/>
  </r>
  <r>
    <n v="1"/>
    <x v="0"/>
    <d v="2018-01-17T00:00:00"/>
    <n v="2"/>
    <x v="16"/>
    <x v="31"/>
    <x v="2"/>
    <x v="5"/>
    <s v="PSM"/>
    <s v="13 ; 19        "/>
    <n v="1"/>
    <d v="1899-12-30T19:30:00"/>
  </r>
  <r>
    <n v="1"/>
    <x v="0"/>
    <d v="2018-01-17T00:00:00"/>
    <n v="2"/>
    <x v="17"/>
    <x v="17"/>
    <x v="2"/>
    <x v="5"/>
    <s v="PSM"/>
    <s v="13 ; 19        "/>
    <n v="1"/>
    <d v="1899-12-30T19:30:00"/>
  </r>
  <r>
    <n v="1"/>
    <x v="0"/>
    <d v="2018-01-17T00:00:00"/>
    <n v="2"/>
    <x v="18"/>
    <x v="18"/>
    <x v="3"/>
    <x v="5"/>
    <s v="BIO"/>
    <s v="13 ; 19        "/>
    <n v="1"/>
    <d v="1899-12-30T19:30:00"/>
  </r>
  <r>
    <n v="1"/>
    <x v="0"/>
    <d v="2018-01-17T00:00:00"/>
    <n v="2"/>
    <x v="19"/>
    <x v="24"/>
    <x v="4"/>
    <x v="5"/>
    <s v="PSM"/>
    <s v="13 ; 19        "/>
    <n v="1"/>
    <d v="1899-12-30T19:30:00"/>
  </r>
  <r>
    <n v="1"/>
    <x v="0"/>
    <d v="2018-01-17T00:00:00"/>
    <n v="2"/>
    <x v="20"/>
    <x v="16"/>
    <x v="5"/>
    <x v="5"/>
    <s v="BIO"/>
    <s v="13 ; 19        "/>
    <n v="1"/>
    <d v="1899-12-30T19:30:00"/>
  </r>
  <r>
    <n v="1"/>
    <x v="0"/>
    <d v="2018-01-17T00:00:00"/>
    <n v="2"/>
    <x v="21"/>
    <x v="19"/>
    <x v="5"/>
    <x v="5"/>
    <s v="BIO"/>
    <s v="13 ; 19        "/>
    <n v="1"/>
    <d v="1899-12-30T19:30:00"/>
  </r>
  <r>
    <n v="1"/>
    <x v="0"/>
    <d v="2018-01-17T00:00:00"/>
    <n v="2"/>
    <x v="22"/>
    <x v="26"/>
    <x v="5"/>
    <x v="5"/>
    <s v="PSM"/>
    <s v="13 ; 19        "/>
    <n v="1"/>
    <d v="1899-12-30T19:30:00"/>
  </r>
  <r>
    <n v="1"/>
    <x v="0"/>
    <d v="2018-01-17T00:00:00"/>
    <n v="2"/>
    <x v="23"/>
    <x v="20"/>
    <x v="5"/>
    <x v="5"/>
    <s v="BIO"/>
    <s v="13 ; 19        "/>
    <n v="1"/>
    <d v="1899-12-30T19:30:00"/>
  </r>
  <r>
    <n v="1"/>
    <x v="0"/>
    <d v="2018-01-17T00:00:00"/>
    <n v="2"/>
    <x v="24"/>
    <x v="21"/>
    <x v="5"/>
    <x v="5"/>
    <s v="PSM"/>
    <s v="13 ; 19        "/>
    <n v="1"/>
    <d v="1899-12-30T19:30:00"/>
  </r>
  <r>
    <n v="1"/>
    <x v="0"/>
    <d v="2018-01-17T00:00:00"/>
    <n v="2"/>
    <x v="25"/>
    <x v="22"/>
    <x v="5"/>
    <x v="5"/>
    <s v="BIO"/>
    <s v="13 ; 19        "/>
    <n v="1"/>
    <d v="1899-12-30T19:30:00"/>
  </r>
  <r>
    <n v="1"/>
    <x v="0"/>
    <d v="2018-01-17T00:00:00"/>
    <n v="2"/>
    <x v="26"/>
    <x v="32"/>
    <x v="5"/>
    <x v="5"/>
    <s v="BIO"/>
    <s v="13 ; 19        "/>
    <n v="1"/>
    <d v="1899-12-30T19:30:00"/>
  </r>
  <r>
    <n v="1"/>
    <x v="0"/>
    <d v="2018-01-17T00:00:00"/>
    <n v="2"/>
    <x v="27"/>
    <x v="27"/>
    <x v="6"/>
    <x v="5"/>
    <s v="PSM"/>
    <s v="13 ; 19        "/>
    <n v="1"/>
    <d v="1899-12-30T19:30:00"/>
  </r>
  <r>
    <n v="1"/>
    <x v="2"/>
    <d v="2018-01-30T00:00:00"/>
    <n v="3"/>
    <x v="9"/>
    <x v="8"/>
    <x v="5"/>
    <x v="3"/>
    <s v="BIO"/>
    <s v="33 ; 20        "/>
    <n v="1"/>
    <s v="18.30"/>
  </r>
  <r>
    <n v="1"/>
    <x v="2"/>
    <d v="2018-01-30T00:00:00"/>
    <n v="3"/>
    <x v="10"/>
    <x v="9"/>
    <x v="5"/>
    <x v="3"/>
    <s v="BIO"/>
    <s v="33 ; 20        "/>
    <n v="1"/>
    <s v="18.30"/>
  </r>
  <r>
    <n v="1"/>
    <x v="2"/>
    <d v="2018-01-30T00:00:00"/>
    <n v="3"/>
    <x v="11"/>
    <x v="10"/>
    <x v="5"/>
    <x v="3"/>
    <s v="BIO"/>
    <s v="33 ; 20        "/>
    <n v="1"/>
    <s v="18.30"/>
  </r>
  <r>
    <n v="1"/>
    <x v="2"/>
    <d v="2018-01-30T00:00:00"/>
    <n v="3"/>
    <x v="12"/>
    <x v="11"/>
    <x v="5"/>
    <x v="3"/>
    <s v="PSM"/>
    <s v="33 ; 20        "/>
    <n v="1"/>
    <s v="18.30"/>
  </r>
  <r>
    <n v="1"/>
    <x v="2"/>
    <d v="2018-01-30T00:00:00"/>
    <n v="3"/>
    <x v="13"/>
    <x v="13"/>
    <x v="6"/>
    <x v="3"/>
    <s v="BIO"/>
    <s v="33 ; 20        "/>
    <n v="1"/>
    <s v="18.30"/>
  </r>
  <r>
    <n v="1"/>
    <x v="2"/>
    <d v="2018-01-30T00:00:00"/>
    <n v="3"/>
    <x v="14"/>
    <x v="14"/>
    <x v="0"/>
    <x v="6"/>
    <s v="PSM"/>
    <s v="33 ; 20        "/>
    <n v="1"/>
    <s v="18.30"/>
  </r>
  <r>
    <n v="1"/>
    <x v="2"/>
    <d v="2018-01-30T00:00:00"/>
    <n v="3"/>
    <x v="15"/>
    <x v="15"/>
    <x v="1"/>
    <x v="6"/>
    <s v="BIO"/>
    <s v="33 ; 20        "/>
    <n v="1"/>
    <s v="18.30"/>
  </r>
  <r>
    <n v="1"/>
    <x v="2"/>
    <d v="2018-01-30T00:00:00"/>
    <n v="3"/>
    <x v="16"/>
    <x v="16"/>
    <x v="2"/>
    <x v="6"/>
    <s v="BIO"/>
    <s v="33 ; 20        "/>
    <n v="1"/>
    <s v="18.30"/>
  </r>
  <r>
    <n v="1"/>
    <x v="2"/>
    <d v="2018-01-30T00:00:00"/>
    <n v="3"/>
    <x v="17"/>
    <x v="17"/>
    <x v="2"/>
    <x v="6"/>
    <s v="PSM"/>
    <s v="33 ; 20        "/>
    <n v="1"/>
    <s v="18.30"/>
  </r>
  <r>
    <n v="1"/>
    <x v="2"/>
    <d v="2018-01-30T00:00:00"/>
    <n v="3"/>
    <x v="18"/>
    <x v="18"/>
    <x v="3"/>
    <x v="6"/>
    <s v="BIO"/>
    <s v="33 ; 20        "/>
    <n v="1"/>
    <s v="18.30"/>
  </r>
  <r>
    <n v="1"/>
    <x v="2"/>
    <d v="2018-01-30T00:00:00"/>
    <n v="3"/>
    <x v="19"/>
    <x v="19"/>
    <x v="4"/>
    <x v="6"/>
    <s v="BIO"/>
    <s v="33 ; 20        "/>
    <n v="1"/>
    <s v="18.30"/>
  </r>
  <r>
    <n v="1"/>
    <x v="2"/>
    <d v="2018-01-30T00:00:00"/>
    <n v="3"/>
    <x v="20"/>
    <x v="20"/>
    <x v="5"/>
    <x v="6"/>
    <s v="BIO"/>
    <s v="33 ; 20        "/>
    <n v="1"/>
    <s v="18.30"/>
  </r>
  <r>
    <n v="1"/>
    <x v="2"/>
    <d v="2018-01-30T00:00:00"/>
    <n v="3"/>
    <x v="21"/>
    <x v="21"/>
    <x v="5"/>
    <x v="6"/>
    <s v="PSM"/>
    <s v="33 ; 20        "/>
    <n v="1"/>
    <s v="18.30"/>
  </r>
  <r>
    <n v="1"/>
    <x v="2"/>
    <d v="2018-01-30T00:00:00"/>
    <n v="3"/>
    <x v="22"/>
    <x v="22"/>
    <x v="5"/>
    <x v="6"/>
    <s v="BIO"/>
    <s v="33 ; 20        "/>
    <n v="1"/>
    <s v="18.30"/>
  </r>
  <r>
    <n v="1"/>
    <x v="2"/>
    <d v="2018-01-30T00:00:00"/>
    <n v="3"/>
    <x v="23"/>
    <x v="32"/>
    <x v="5"/>
    <x v="6"/>
    <s v="BIO"/>
    <s v="33 ; 20        "/>
    <n v="1"/>
    <s v="18.30"/>
  </r>
  <r>
    <n v="1"/>
    <x v="2"/>
    <d v="2018-01-30T00:00:00"/>
    <n v="3"/>
    <x v="24"/>
    <x v="23"/>
    <x v="5"/>
    <x v="6"/>
    <s v="BIO"/>
    <s v="33 ; 20        "/>
    <n v="1"/>
    <s v="18.30"/>
  </r>
  <r>
    <n v="1"/>
    <x v="2"/>
    <d v="2018-01-30T00:00:00"/>
    <n v="3"/>
    <x v="25"/>
    <x v="24"/>
    <x v="5"/>
    <x v="6"/>
    <s v="PSM"/>
    <s v="33 ; 20        "/>
    <n v="1"/>
    <s v="18.30"/>
  </r>
  <r>
    <n v="1"/>
    <x v="2"/>
    <d v="2018-01-30T00:00:00"/>
    <n v="3"/>
    <x v="26"/>
    <x v="25"/>
    <x v="5"/>
    <x v="6"/>
    <s v="PSM"/>
    <s v="33 ; 20        "/>
    <n v="1"/>
    <s v="18.30"/>
  </r>
  <r>
    <n v="1"/>
    <x v="2"/>
    <d v="2018-01-30T00:00:00"/>
    <n v="3"/>
    <x v="27"/>
    <x v="27"/>
    <x v="6"/>
    <x v="6"/>
    <s v="PSM"/>
    <s v="33 ; 20        "/>
    <n v="1"/>
    <s v="18.30"/>
  </r>
  <r>
    <n v="1"/>
    <x v="4"/>
    <d v="2018-01-29T00:00:00"/>
    <n v="3"/>
    <x v="0"/>
    <x v="0"/>
    <x v="0"/>
    <x v="7"/>
    <s v="BIO"/>
    <s v="32 ; 10        "/>
    <n v="1"/>
    <d v="1899-12-30T18:00:00"/>
  </r>
  <r>
    <n v="1"/>
    <x v="4"/>
    <d v="2018-01-29T00:00:00"/>
    <n v="3"/>
    <x v="1"/>
    <x v="1"/>
    <x v="1"/>
    <x v="7"/>
    <s v="PSM"/>
    <s v="32 ; 10        "/>
    <n v="1"/>
    <d v="1899-12-30T18:00:00"/>
  </r>
  <r>
    <n v="1"/>
    <x v="4"/>
    <d v="2018-01-29T00:00:00"/>
    <n v="3"/>
    <x v="2"/>
    <x v="2"/>
    <x v="2"/>
    <x v="7"/>
    <s v="PSM"/>
    <s v="32 ; 10        "/>
    <n v="1"/>
    <d v="1899-12-30T18:00:00"/>
  </r>
  <r>
    <n v="1"/>
    <x v="4"/>
    <d v="2018-01-29T00:00:00"/>
    <n v="3"/>
    <x v="3"/>
    <x v="3"/>
    <x v="2"/>
    <x v="7"/>
    <s v="PSM"/>
    <s v="32 ; 10        "/>
    <n v="1"/>
    <d v="1899-12-30T18:00:00"/>
  </r>
  <r>
    <n v="1"/>
    <x v="4"/>
    <d v="2018-01-29T00:00:00"/>
    <n v="3"/>
    <x v="4"/>
    <x v="4"/>
    <x v="3"/>
    <x v="7"/>
    <s v="BIO"/>
    <s v="32 ; 10        "/>
    <n v="1"/>
    <d v="1899-12-30T18:00:00"/>
  </r>
  <r>
    <n v="1"/>
    <x v="4"/>
    <d v="2018-01-29T00:00:00"/>
    <n v="3"/>
    <x v="5"/>
    <x v="5"/>
    <x v="4"/>
    <x v="7"/>
    <s v="PSM"/>
    <s v="32 ; 10        "/>
    <n v="1"/>
    <d v="1899-12-30T18:00:00"/>
  </r>
  <r>
    <n v="1"/>
    <x v="4"/>
    <d v="2018-01-29T00:00:00"/>
    <n v="3"/>
    <x v="6"/>
    <x v="6"/>
    <x v="5"/>
    <x v="7"/>
    <s v="PSM"/>
    <s v="32 ; 10        "/>
    <n v="1"/>
    <d v="1899-12-30T18:00:00"/>
  </r>
  <r>
    <n v="1"/>
    <x v="4"/>
    <d v="2018-01-29T00:00:00"/>
    <n v="3"/>
    <x v="7"/>
    <x v="7"/>
    <x v="5"/>
    <x v="7"/>
    <s v="PSM"/>
    <s v="32 ; 10        "/>
    <n v="1"/>
    <d v="1899-12-30T18:00:00"/>
  </r>
  <r>
    <n v="1"/>
    <x v="4"/>
    <d v="2018-01-29T00:00:00"/>
    <n v="3"/>
    <x v="8"/>
    <x v="28"/>
    <x v="5"/>
    <x v="7"/>
    <s v="PSM"/>
    <s v="32 ; 10        "/>
    <n v="1"/>
    <d v="1899-12-30T18:00:00"/>
  </r>
  <r>
    <n v="1"/>
    <x v="5"/>
    <d v="2018-01-16T00:00:00"/>
    <n v="2"/>
    <x v="0"/>
    <x v="0"/>
    <x v="0"/>
    <x v="8"/>
    <s v="BIO"/>
    <s v="34 ; 15        "/>
    <n v="1"/>
    <d v="1899-12-30T19:00:00"/>
  </r>
  <r>
    <n v="1"/>
    <x v="5"/>
    <d v="2018-01-16T00:00:00"/>
    <n v="2"/>
    <x v="1"/>
    <x v="1"/>
    <x v="1"/>
    <x v="8"/>
    <s v="PSM"/>
    <s v="34 ; 15        "/>
    <n v="1"/>
    <d v="1899-12-30T19:00:00"/>
  </r>
  <r>
    <n v="1"/>
    <x v="5"/>
    <d v="2018-01-16T00:00:00"/>
    <n v="2"/>
    <x v="2"/>
    <x v="2"/>
    <x v="2"/>
    <x v="8"/>
    <s v="PSM"/>
    <s v="34 ; 15        "/>
    <n v="1"/>
    <d v="1899-12-30T19:00:00"/>
  </r>
  <r>
    <n v="1"/>
    <x v="5"/>
    <d v="2018-01-16T00:00:00"/>
    <n v="2"/>
    <x v="3"/>
    <x v="3"/>
    <x v="2"/>
    <x v="8"/>
    <s v="PSM"/>
    <s v="34 ; 15        "/>
    <n v="1"/>
    <d v="1899-12-30T19:00:00"/>
  </r>
  <r>
    <n v="1"/>
    <x v="5"/>
    <d v="2018-01-16T00:00:00"/>
    <n v="2"/>
    <x v="4"/>
    <x v="30"/>
    <x v="3"/>
    <x v="8"/>
    <s v="PSM"/>
    <s v="34 ; 15        "/>
    <n v="1"/>
    <d v="1899-12-30T19:00:00"/>
  </r>
  <r>
    <n v="1"/>
    <x v="5"/>
    <d v="2018-01-16T00:00:00"/>
    <n v="2"/>
    <x v="5"/>
    <x v="12"/>
    <x v="4"/>
    <x v="8"/>
    <s v="BIO"/>
    <s v="34 ; 15        "/>
    <n v="1"/>
    <d v="1899-12-30T19:00:00"/>
  </r>
  <r>
    <n v="1"/>
    <x v="5"/>
    <d v="2018-01-16T00:00:00"/>
    <n v="2"/>
    <x v="6"/>
    <x v="6"/>
    <x v="5"/>
    <x v="8"/>
    <s v="PSM"/>
    <s v="34 ; 15        "/>
    <n v="1"/>
    <d v="1899-12-30T19:00:00"/>
  </r>
  <r>
    <n v="1"/>
    <x v="5"/>
    <d v="2018-01-16T00:00:00"/>
    <n v="2"/>
    <x v="7"/>
    <x v="7"/>
    <x v="5"/>
    <x v="8"/>
    <s v="PSM"/>
    <s v="34 ; 15        "/>
    <n v="1"/>
    <d v="1899-12-30T19:00:00"/>
  </r>
  <r>
    <n v="1"/>
    <x v="5"/>
    <d v="2018-01-16T00:00:00"/>
    <n v="2"/>
    <x v="8"/>
    <x v="28"/>
    <x v="5"/>
    <x v="8"/>
    <s v="PSM"/>
    <s v="34 ; 15        "/>
    <n v="1"/>
    <d v="1899-12-30T19:00:00"/>
  </r>
  <r>
    <n v="1"/>
    <x v="5"/>
    <d v="2018-01-16T00:00:00"/>
    <n v="2"/>
    <x v="9"/>
    <x v="5"/>
    <x v="5"/>
    <x v="8"/>
    <s v="PSM"/>
    <s v="34 ; 15        "/>
    <n v="1"/>
    <d v="1899-12-30T19:00:00"/>
  </r>
  <r>
    <n v="1"/>
    <x v="5"/>
    <d v="2018-01-16T00:00:00"/>
    <n v="2"/>
    <x v="10"/>
    <x v="8"/>
    <x v="5"/>
    <x v="8"/>
    <s v="BIO"/>
    <s v="34 ; 15        "/>
    <n v="1"/>
    <d v="1899-12-30T19:00:00"/>
  </r>
  <r>
    <n v="1"/>
    <x v="5"/>
    <d v="2018-01-16T00:00:00"/>
    <n v="2"/>
    <x v="11"/>
    <x v="9"/>
    <x v="5"/>
    <x v="8"/>
    <s v="BIO"/>
    <s v="34 ; 15        "/>
    <n v="1"/>
    <d v="1899-12-30T19:00:00"/>
  </r>
  <r>
    <n v="1"/>
    <x v="5"/>
    <d v="2018-01-16T00:00:00"/>
    <n v="2"/>
    <x v="12"/>
    <x v="10"/>
    <x v="5"/>
    <x v="8"/>
    <s v="BIO"/>
    <s v="34 ; 15        "/>
    <n v="1"/>
    <d v="1899-12-30T19:00:00"/>
  </r>
  <r>
    <n v="1"/>
    <x v="5"/>
    <d v="2018-01-16T00:00:00"/>
    <n v="2"/>
    <x v="13"/>
    <x v="13"/>
    <x v="6"/>
    <x v="8"/>
    <s v="BIO"/>
    <s v="34 ; 15        "/>
    <n v="1"/>
    <d v="1899-12-30T19:00:00"/>
  </r>
  <r>
    <n v="1"/>
    <x v="5"/>
    <d v="2018-01-16T00:00:00"/>
    <n v="2"/>
    <x v="14"/>
    <x v="14"/>
    <x v="0"/>
    <x v="9"/>
    <s v="PSM"/>
    <s v="34 ; 15        "/>
    <n v="1"/>
    <d v="1899-12-30T19:00:00"/>
  </r>
  <r>
    <n v="1"/>
    <x v="5"/>
    <d v="2018-01-16T00:00:00"/>
    <n v="2"/>
    <x v="15"/>
    <x v="15"/>
    <x v="1"/>
    <x v="9"/>
    <s v="BIO"/>
    <s v="34 ; 15        "/>
    <n v="1"/>
    <d v="1899-12-30T19:00:00"/>
  </r>
  <r>
    <n v="1"/>
    <x v="5"/>
    <d v="2018-01-16T00:00:00"/>
    <n v="2"/>
    <x v="16"/>
    <x v="31"/>
    <x v="2"/>
    <x v="9"/>
    <s v="PSM"/>
    <s v="34 ; 15        "/>
    <n v="1"/>
    <d v="1899-12-30T19:00:00"/>
  </r>
  <r>
    <n v="1"/>
    <x v="5"/>
    <d v="2018-01-16T00:00:00"/>
    <n v="2"/>
    <x v="17"/>
    <x v="17"/>
    <x v="2"/>
    <x v="9"/>
    <s v="PSM"/>
    <s v="34 ; 15        "/>
    <n v="1"/>
    <d v="1899-12-30T19:00:00"/>
  </r>
  <r>
    <n v="1"/>
    <x v="5"/>
    <d v="2018-01-16T00:00:00"/>
    <n v="2"/>
    <x v="18"/>
    <x v="18"/>
    <x v="3"/>
    <x v="9"/>
    <s v="BIO"/>
    <s v="34 ; 15        "/>
    <n v="1"/>
    <d v="1899-12-30T19:00:00"/>
  </r>
  <r>
    <n v="1"/>
    <x v="5"/>
    <d v="2018-01-16T00:00:00"/>
    <n v="2"/>
    <x v="19"/>
    <x v="24"/>
    <x v="4"/>
    <x v="9"/>
    <s v="PSM"/>
    <s v="34 ; 15        "/>
    <n v="1"/>
    <d v="1899-12-30T19:00:00"/>
  </r>
  <r>
    <n v="1"/>
    <x v="5"/>
    <d v="2018-01-16T00:00:00"/>
    <n v="2"/>
    <x v="20"/>
    <x v="16"/>
    <x v="5"/>
    <x v="9"/>
    <s v="BIO"/>
    <s v="34 ; 15        "/>
    <n v="1"/>
    <d v="1899-12-30T19:00:00"/>
  </r>
  <r>
    <n v="1"/>
    <x v="5"/>
    <d v="2018-01-16T00:00:00"/>
    <n v="2"/>
    <x v="21"/>
    <x v="19"/>
    <x v="5"/>
    <x v="9"/>
    <s v="BIO"/>
    <s v="34 ; 15        "/>
    <n v="1"/>
    <d v="1899-12-30T19:00:00"/>
  </r>
  <r>
    <n v="1"/>
    <x v="5"/>
    <d v="2018-01-16T00:00:00"/>
    <n v="2"/>
    <x v="22"/>
    <x v="26"/>
    <x v="5"/>
    <x v="9"/>
    <s v="PSM"/>
    <s v="34 ; 15        "/>
    <n v="1"/>
    <d v="1899-12-30T19:00:00"/>
  </r>
  <r>
    <n v="1"/>
    <x v="5"/>
    <d v="2018-01-16T00:00:00"/>
    <n v="2"/>
    <x v="23"/>
    <x v="20"/>
    <x v="5"/>
    <x v="9"/>
    <s v="BIO"/>
    <s v="34 ; 15        "/>
    <n v="1"/>
    <d v="1899-12-30T19:00:00"/>
  </r>
  <r>
    <n v="1"/>
    <x v="5"/>
    <d v="2018-01-16T00:00:00"/>
    <n v="2"/>
    <x v="24"/>
    <x v="21"/>
    <x v="5"/>
    <x v="9"/>
    <s v="PSM"/>
    <s v="34 ; 15        "/>
    <n v="1"/>
    <d v="1899-12-30T19:00:00"/>
  </r>
  <r>
    <n v="1"/>
    <x v="5"/>
    <d v="2018-01-16T00:00:00"/>
    <n v="2"/>
    <x v="25"/>
    <x v="22"/>
    <x v="5"/>
    <x v="9"/>
    <s v="BIO"/>
    <s v="34 ; 15        "/>
    <n v="1"/>
    <d v="1899-12-30T19:00:00"/>
  </r>
  <r>
    <n v="1"/>
    <x v="5"/>
    <d v="2018-01-16T00:00:00"/>
    <n v="2"/>
    <x v="26"/>
    <x v="32"/>
    <x v="5"/>
    <x v="9"/>
    <s v="BIO"/>
    <s v="34 ; 15        "/>
    <n v="1"/>
    <d v="1899-12-30T19:00:00"/>
  </r>
  <r>
    <n v="1"/>
    <x v="5"/>
    <d v="2018-01-16T00:00:00"/>
    <n v="2"/>
    <x v="27"/>
    <x v="27"/>
    <x v="6"/>
    <x v="9"/>
    <s v="PSM"/>
    <s v="34 ; 15        "/>
    <n v="1"/>
    <d v="1899-12-30T19:00:00"/>
  </r>
  <r>
    <n v="1"/>
    <x v="4"/>
    <d v="2018-01-29T00:00:00"/>
    <n v="3"/>
    <x v="9"/>
    <x v="8"/>
    <x v="5"/>
    <x v="7"/>
    <s v="BIO"/>
    <s v="32 ; 10        "/>
    <n v="1"/>
    <d v="1899-12-30T18:00:00"/>
  </r>
  <r>
    <n v="1"/>
    <x v="4"/>
    <d v="2018-01-29T00:00:00"/>
    <n v="3"/>
    <x v="10"/>
    <x v="9"/>
    <x v="5"/>
    <x v="7"/>
    <s v="BIO"/>
    <s v="32 ; 10        "/>
    <n v="1"/>
    <d v="1899-12-30T18:00:00"/>
  </r>
  <r>
    <n v="1"/>
    <x v="4"/>
    <d v="2018-01-29T00:00:00"/>
    <n v="3"/>
    <x v="11"/>
    <x v="10"/>
    <x v="5"/>
    <x v="7"/>
    <s v="BIO"/>
    <s v="32 ; 10        "/>
    <n v="1"/>
    <d v="1899-12-30T18:00:00"/>
  </r>
  <r>
    <n v="1"/>
    <x v="4"/>
    <d v="2018-01-29T00:00:00"/>
    <n v="3"/>
    <x v="12"/>
    <x v="30"/>
    <x v="5"/>
    <x v="7"/>
    <s v="PSM"/>
    <s v="32 ; 10        "/>
    <n v="1"/>
    <d v="1899-12-30T18:00:00"/>
  </r>
  <r>
    <n v="1"/>
    <x v="4"/>
    <d v="2018-01-29T00:00:00"/>
    <n v="3"/>
    <x v="13"/>
    <x v="13"/>
    <x v="6"/>
    <x v="7"/>
    <s v="BIO"/>
    <s v="32 ; 10        "/>
    <n v="1"/>
    <d v="1899-12-30T18:00:00"/>
  </r>
  <r>
    <n v="1"/>
    <x v="4"/>
    <d v="2018-01-29T00:00:00"/>
    <n v="3"/>
    <x v="14"/>
    <x v="14"/>
    <x v="0"/>
    <x v="10"/>
    <s v="PSM"/>
    <s v="32 ; 10        "/>
    <n v="1"/>
    <d v="1899-12-30T18:00:00"/>
  </r>
  <r>
    <n v="1"/>
    <x v="4"/>
    <d v="2018-01-29T00:00:00"/>
    <n v="3"/>
    <x v="15"/>
    <x v="15"/>
    <x v="1"/>
    <x v="10"/>
    <s v="BIO"/>
    <s v="32 ; 10        "/>
    <n v="1"/>
    <d v="1899-12-30T18:00:00"/>
  </r>
  <r>
    <n v="1"/>
    <x v="4"/>
    <d v="2018-01-29T00:00:00"/>
    <n v="3"/>
    <x v="16"/>
    <x v="16"/>
    <x v="2"/>
    <x v="10"/>
    <s v="BIO"/>
    <s v="32 ; 10        "/>
    <n v="1"/>
    <d v="1899-12-30T18:00:00"/>
  </r>
  <r>
    <n v="1"/>
    <x v="4"/>
    <d v="2018-01-29T00:00:00"/>
    <n v="3"/>
    <x v="17"/>
    <x v="17"/>
    <x v="2"/>
    <x v="10"/>
    <s v="PSM"/>
    <s v="32 ; 10        "/>
    <n v="1"/>
    <d v="1899-12-30T18:00:00"/>
  </r>
  <r>
    <n v="1"/>
    <x v="4"/>
    <d v="2018-01-29T00:00:00"/>
    <n v="3"/>
    <x v="18"/>
    <x v="18"/>
    <x v="3"/>
    <x v="10"/>
    <s v="BIO"/>
    <s v="32 ; 10        "/>
    <n v="1"/>
    <d v="1899-12-30T18:00:00"/>
  </r>
  <r>
    <n v="1"/>
    <x v="4"/>
    <d v="2018-01-29T00:00:00"/>
    <n v="3"/>
    <x v="19"/>
    <x v="19"/>
    <x v="4"/>
    <x v="10"/>
    <s v="BIO"/>
    <s v="32 ; 10        "/>
    <n v="1"/>
    <d v="1899-12-30T18:00:00"/>
  </r>
  <r>
    <n v="1"/>
    <x v="4"/>
    <d v="2018-01-29T00:00:00"/>
    <n v="3"/>
    <x v="20"/>
    <x v="20"/>
    <x v="5"/>
    <x v="10"/>
    <s v="BIO"/>
    <s v="32 ; 10        "/>
    <n v="1"/>
    <d v="1899-12-30T18:00:00"/>
  </r>
  <r>
    <n v="1"/>
    <x v="4"/>
    <d v="2018-01-29T00:00:00"/>
    <n v="3"/>
    <x v="21"/>
    <x v="21"/>
    <x v="5"/>
    <x v="10"/>
    <s v="PSM"/>
    <s v="32 ; 10        "/>
    <n v="1"/>
    <d v="1899-12-30T18:00:00"/>
  </r>
  <r>
    <n v="1"/>
    <x v="4"/>
    <d v="2018-01-29T00:00:00"/>
    <n v="3"/>
    <x v="22"/>
    <x v="22"/>
    <x v="5"/>
    <x v="10"/>
    <s v="BIO"/>
    <s v="32 ; 10        "/>
    <n v="1"/>
    <d v="1899-12-30T18:00:00"/>
  </r>
  <r>
    <n v="1"/>
    <x v="4"/>
    <d v="2018-01-29T00:00:00"/>
    <n v="3"/>
    <x v="23"/>
    <x v="32"/>
    <x v="5"/>
    <x v="10"/>
    <s v="BIO"/>
    <s v="32 ; 10        "/>
    <n v="1"/>
    <d v="1899-12-30T18:00:00"/>
  </r>
  <r>
    <n v="1"/>
    <x v="4"/>
    <d v="2018-01-29T00:00:00"/>
    <n v="3"/>
    <x v="24"/>
    <x v="33"/>
    <x v="5"/>
    <x v="10"/>
    <s v="BIO"/>
    <s v="32 ; 10        "/>
    <n v="1"/>
    <d v="1899-12-30T18:00:00"/>
  </r>
  <r>
    <n v="1"/>
    <x v="4"/>
    <d v="2018-01-29T00:00:00"/>
    <n v="3"/>
    <x v="25"/>
    <x v="23"/>
    <x v="5"/>
    <x v="10"/>
    <s v="BIO"/>
    <s v="32 ; 10        "/>
    <n v="1"/>
    <d v="1899-12-30T18:00:00"/>
  </r>
  <r>
    <n v="1"/>
    <x v="4"/>
    <d v="2018-01-29T00:00:00"/>
    <n v="3"/>
    <x v="26"/>
    <x v="24"/>
    <x v="5"/>
    <x v="10"/>
    <s v="PSM"/>
    <s v="32 ; 10        "/>
    <n v="1"/>
    <d v="1899-12-30T18:00:00"/>
  </r>
  <r>
    <n v="1"/>
    <x v="4"/>
    <d v="2018-01-29T00:00:00"/>
    <n v="3"/>
    <x v="27"/>
    <x v="27"/>
    <x v="6"/>
    <x v="10"/>
    <s v="PSM"/>
    <s v="32 ; 10        "/>
    <n v="1"/>
    <d v="1899-12-30T18:00:00"/>
  </r>
  <r>
    <n v="0"/>
    <x v="3"/>
    <s v=" "/>
    <s v=" "/>
    <x v="28"/>
    <x v="29"/>
    <x v="7"/>
    <x v="4"/>
    <s v=" 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3"/>
    <s v=" "/>
    <s v=" "/>
    <x v="28"/>
    <x v="29"/>
    <x v="7"/>
    <x v="4"/>
    <n v="0"/>
    <n v="0"/>
    <n v="0"/>
    <s v=" "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m/>
    <m/>
    <m/>
    <m/>
  </r>
  <r>
    <n v="0"/>
    <x v="6"/>
    <m/>
    <m/>
    <x v="29"/>
    <x v="34"/>
    <x v="8"/>
    <x v="11"/>
    <n v="0"/>
    <n v="0"/>
    <n v="0"/>
    <m/>
  </r>
  <r>
    <n v="0"/>
    <x v="6"/>
    <m/>
    <m/>
    <x v="29"/>
    <x v="34"/>
    <x v="8"/>
    <x v="11"/>
    <n v="0"/>
    <n v="0"/>
    <n v="0"/>
    <m/>
  </r>
  <r>
    <m/>
    <x v="6"/>
    <m/>
    <m/>
    <x v="29"/>
    <x v="34"/>
    <x v="8"/>
    <x v="11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23">
  <r>
    <n v="1"/>
    <s v="3/3"/>
    <d v="2018-01-17T00:00:00"/>
    <n v="2"/>
    <n v="1"/>
    <x v="0"/>
    <x v="0"/>
    <n v="13"/>
    <x v="0"/>
    <s v="13 ; 19        "/>
    <n v="1"/>
    <d v="1899-12-30T19:30:00"/>
  </r>
  <r>
    <n v="1"/>
    <s v="3/4"/>
    <d v="2018-01-31T00:00:00"/>
    <n v="3"/>
    <n v="1"/>
    <x v="0"/>
    <x v="0"/>
    <n v="40"/>
    <x v="0"/>
    <s v="40 ; 36        "/>
    <n v="1"/>
    <d v="1899-12-30T19:00:00"/>
  </r>
  <r>
    <n v="1"/>
    <s v="3/4"/>
    <d v="2018-01-31T00:00:00"/>
    <n v="3"/>
    <n v="2"/>
    <x v="1"/>
    <x v="1"/>
    <n v="40"/>
    <x v="1"/>
    <s v="40 ; 36        "/>
    <n v="1"/>
    <d v="1899-12-30T19:00:00"/>
  </r>
  <r>
    <n v="1"/>
    <s v="3/4"/>
    <d v="2018-01-31T00:00:00"/>
    <n v="3"/>
    <n v="3"/>
    <x v="2"/>
    <x v="2"/>
    <n v="40"/>
    <x v="1"/>
    <s v="40 ; 36        "/>
    <n v="1"/>
    <d v="1899-12-30T19:00:00"/>
  </r>
  <r>
    <n v="1"/>
    <s v="3/4"/>
    <d v="2018-01-31T00:00:00"/>
    <n v="3"/>
    <n v="4"/>
    <x v="3"/>
    <x v="2"/>
    <n v="40"/>
    <x v="1"/>
    <s v="40 ; 36        "/>
    <n v="1"/>
    <d v="1899-12-30T19:00:00"/>
  </r>
  <r>
    <n v="1"/>
    <s v="3/4"/>
    <d v="2018-01-31T00:00:00"/>
    <n v="3"/>
    <n v="5"/>
    <x v="4"/>
    <x v="3"/>
    <n v="40"/>
    <x v="0"/>
    <s v="40 ; 36        "/>
    <n v="1"/>
    <d v="1899-12-30T19:00:00"/>
  </r>
  <r>
    <n v="1"/>
    <s v="3/4"/>
    <d v="2018-01-31T00:00:00"/>
    <n v="3"/>
    <n v="6"/>
    <x v="5"/>
    <x v="4"/>
    <n v="40"/>
    <x v="1"/>
    <s v="40 ; 36        "/>
    <n v="1"/>
    <d v="1899-12-30T19:00:00"/>
  </r>
  <r>
    <n v="1"/>
    <s v="3/4"/>
    <d v="2018-01-31T00:00:00"/>
    <n v="3"/>
    <n v="7"/>
    <x v="6"/>
    <x v="5"/>
    <n v="40"/>
    <x v="1"/>
    <s v="40 ; 36        "/>
    <n v="1"/>
    <d v="1899-12-30T19:00:00"/>
  </r>
  <r>
    <n v="1"/>
    <s v="3/4"/>
    <d v="2018-01-31T00:00:00"/>
    <n v="3"/>
    <n v="8"/>
    <x v="7"/>
    <x v="5"/>
    <n v="40"/>
    <x v="1"/>
    <s v="40 ; 36        "/>
    <n v="1"/>
    <d v="1899-12-30T19:00:00"/>
  </r>
  <r>
    <n v="1"/>
    <s v="3/4"/>
    <d v="2018-01-31T00:00:00"/>
    <n v="3"/>
    <n v="9"/>
    <x v="8"/>
    <x v="5"/>
    <n v="40"/>
    <x v="0"/>
    <s v="40 ; 36        "/>
    <n v="1"/>
    <d v="1899-12-30T19:00:00"/>
  </r>
  <r>
    <n v="1"/>
    <s v="3/4"/>
    <d v="2018-01-31T00:00:00"/>
    <n v="3"/>
    <n v="10"/>
    <x v="9"/>
    <x v="5"/>
    <n v="40"/>
    <x v="0"/>
    <s v="40 ; 36        "/>
    <n v="1"/>
    <d v="1899-12-30T19:00:00"/>
  </r>
  <r>
    <n v="1"/>
    <s v="3/4"/>
    <d v="2018-01-31T00:00:00"/>
    <n v="3"/>
    <n v="11"/>
    <x v="10"/>
    <x v="5"/>
    <n v="40"/>
    <x v="0"/>
    <s v="40 ; 36        "/>
    <n v="1"/>
    <d v="1899-12-30T19:00:00"/>
  </r>
  <r>
    <n v="1"/>
    <s v="3/4"/>
    <d v="2018-01-31T00:00:00"/>
    <n v="3"/>
    <n v="12"/>
    <x v="11"/>
    <x v="5"/>
    <n v="40"/>
    <x v="1"/>
    <s v="40 ; 36        "/>
    <n v="1"/>
    <d v="1899-12-30T19:00:00"/>
  </r>
  <r>
    <n v="1"/>
    <s v="3/4"/>
    <d v="2018-01-31T00:00:00"/>
    <n v="3"/>
    <n v="13"/>
    <x v="12"/>
    <x v="5"/>
    <n v="40"/>
    <x v="0"/>
    <s v="40 ; 36        "/>
    <n v="1"/>
    <d v="1899-12-30T19:00:00"/>
  </r>
  <r>
    <n v="1"/>
    <s v="3/4"/>
    <d v="2018-01-31T00:00:00"/>
    <n v="3"/>
    <n v="14"/>
    <x v="13"/>
    <x v="6"/>
    <n v="40"/>
    <x v="0"/>
    <s v="40 ; 36        "/>
    <n v="1"/>
    <d v="1899-12-30T19:00:00"/>
  </r>
  <r>
    <n v="1"/>
    <s v="3/4"/>
    <d v="2018-01-31T00:00:00"/>
    <n v="3"/>
    <n v="15"/>
    <x v="14"/>
    <x v="0"/>
    <n v="36"/>
    <x v="1"/>
    <s v="40 ; 36        "/>
    <n v="1"/>
    <d v="1899-12-30T19:00:00"/>
  </r>
  <r>
    <n v="1"/>
    <s v="3/4"/>
    <d v="2018-01-31T00:00:00"/>
    <n v="3"/>
    <n v="16"/>
    <x v="15"/>
    <x v="1"/>
    <n v="36"/>
    <x v="0"/>
    <s v="40 ; 36        "/>
    <n v="1"/>
    <d v="1899-12-30T19:00:00"/>
  </r>
  <r>
    <n v="1"/>
    <s v="3/4"/>
    <d v="2018-01-31T00:00:00"/>
    <n v="3"/>
    <n v="17"/>
    <x v="16"/>
    <x v="2"/>
    <n v="36"/>
    <x v="0"/>
    <s v="40 ; 36        "/>
    <n v="1"/>
    <d v="1899-12-30T19:00:00"/>
  </r>
  <r>
    <n v="1"/>
    <s v="3/4"/>
    <d v="2018-01-31T00:00:00"/>
    <n v="3"/>
    <n v="18"/>
    <x v="17"/>
    <x v="2"/>
    <n v="36"/>
    <x v="1"/>
    <s v="40 ; 36        "/>
    <n v="1"/>
    <d v="1899-12-30T19:00:00"/>
  </r>
  <r>
    <n v="1"/>
    <s v="3/4"/>
    <d v="2018-01-31T00:00:00"/>
    <n v="3"/>
    <n v="19"/>
    <x v="18"/>
    <x v="3"/>
    <n v="36"/>
    <x v="0"/>
    <s v="40 ; 36        "/>
    <n v="1"/>
    <d v="1899-12-30T19:00:00"/>
  </r>
  <r>
    <n v="1"/>
    <s v="3/4"/>
    <d v="2018-01-31T00:00:00"/>
    <n v="3"/>
    <n v="20"/>
    <x v="19"/>
    <x v="4"/>
    <n v="36"/>
    <x v="0"/>
    <s v="40 ; 36        "/>
    <n v="1"/>
    <d v="1899-12-30T19:00:00"/>
  </r>
  <r>
    <n v="1"/>
    <s v="3/4"/>
    <d v="2018-01-31T00:00:00"/>
    <n v="3"/>
    <n v="21"/>
    <x v="20"/>
    <x v="5"/>
    <n v="36"/>
    <x v="0"/>
    <s v="40 ; 36        "/>
    <n v="1"/>
    <d v="1899-12-30T19:00:00"/>
  </r>
  <r>
    <n v="1"/>
    <s v="3/4"/>
    <d v="2018-01-31T00:00:00"/>
    <n v="3"/>
    <n v="22"/>
    <x v="21"/>
    <x v="5"/>
    <n v="36"/>
    <x v="1"/>
    <s v="40 ; 36        "/>
    <n v="1"/>
    <d v="1899-12-30T19:00:00"/>
  </r>
  <r>
    <n v="1"/>
    <s v="3/4"/>
    <d v="2018-01-31T00:00:00"/>
    <n v="3"/>
    <n v="23"/>
    <x v="22"/>
    <x v="5"/>
    <n v="36"/>
    <x v="0"/>
    <s v="40 ; 36        "/>
    <n v="1"/>
    <d v="1899-12-30T19:00:00"/>
  </r>
  <r>
    <n v="1"/>
    <s v="3/4"/>
    <d v="2018-01-31T00:00:00"/>
    <n v="3"/>
    <n v="24"/>
    <x v="23"/>
    <x v="5"/>
    <n v="36"/>
    <x v="0"/>
    <s v="40 ; 36        "/>
    <n v="1"/>
    <d v="1899-12-30T19:00:00"/>
  </r>
  <r>
    <n v="1"/>
    <s v="3/4"/>
    <d v="2018-01-31T00:00:00"/>
    <n v="3"/>
    <n v="25"/>
    <x v="24"/>
    <x v="5"/>
    <n v="36"/>
    <x v="1"/>
    <s v="40 ; 36        "/>
    <n v="1"/>
    <d v="1899-12-30T19:00:00"/>
  </r>
  <r>
    <n v="1"/>
    <s v="3/4"/>
    <d v="2018-01-31T00:00:00"/>
    <n v="3"/>
    <n v="26"/>
    <x v="25"/>
    <x v="5"/>
    <n v="36"/>
    <x v="1"/>
    <s v="40 ; 36        "/>
    <n v="1"/>
    <d v="1899-12-30T19:00:00"/>
  </r>
  <r>
    <n v="1"/>
    <s v="3/4"/>
    <d v="2018-01-31T00:00:00"/>
    <n v="3"/>
    <n v="27"/>
    <x v="26"/>
    <x v="5"/>
    <n v="36"/>
    <x v="1"/>
    <s v="40 ; 36        "/>
    <n v="1"/>
    <d v="1899-12-30T19:00:00"/>
  </r>
  <r>
    <n v="1"/>
    <s v="3/4"/>
    <d v="2018-01-31T00:00:00"/>
    <n v="3"/>
    <n v="28"/>
    <x v="27"/>
    <x v="6"/>
    <n v="36"/>
    <x v="1"/>
    <s v="40 ; 36        "/>
    <n v="1"/>
    <d v="1899-12-30T19:00:00"/>
  </r>
  <r>
    <n v="1"/>
    <s v="2/4"/>
    <d v="2018-01-30T00:00:00"/>
    <n v="3"/>
    <n v="1"/>
    <x v="0"/>
    <x v="0"/>
    <n v="33"/>
    <x v="0"/>
    <s v="33 ; 20        "/>
    <n v="1"/>
    <s v="18.30"/>
  </r>
  <r>
    <n v="1"/>
    <s v="2/4"/>
    <d v="2018-01-30T00:00:00"/>
    <n v="3"/>
    <n v="2"/>
    <x v="1"/>
    <x v="1"/>
    <n v="33"/>
    <x v="1"/>
    <s v="33 ; 20        "/>
    <n v="1"/>
    <s v="18.30"/>
  </r>
  <r>
    <n v="1"/>
    <s v="2/4"/>
    <d v="2018-01-30T00:00:00"/>
    <n v="3"/>
    <n v="3"/>
    <x v="2"/>
    <x v="2"/>
    <n v="33"/>
    <x v="1"/>
    <s v="33 ; 20        "/>
    <n v="1"/>
    <s v="18.30"/>
  </r>
  <r>
    <n v="1"/>
    <s v="2/4"/>
    <d v="2018-01-30T00:00:00"/>
    <n v="3"/>
    <n v="4"/>
    <x v="3"/>
    <x v="2"/>
    <n v="33"/>
    <x v="1"/>
    <s v="33 ; 20        "/>
    <n v="1"/>
    <s v="18.30"/>
  </r>
  <r>
    <n v="1"/>
    <s v="2/4"/>
    <d v="2018-01-30T00:00:00"/>
    <n v="3"/>
    <n v="5"/>
    <x v="4"/>
    <x v="3"/>
    <n v="33"/>
    <x v="0"/>
    <s v="33 ; 20        "/>
    <n v="1"/>
    <s v="18.30"/>
  </r>
  <r>
    <n v="1"/>
    <s v="2/4"/>
    <d v="2018-01-30T00:00:00"/>
    <n v="3"/>
    <n v="6"/>
    <x v="5"/>
    <x v="4"/>
    <n v="33"/>
    <x v="1"/>
    <s v="33 ; 20        "/>
    <n v="1"/>
    <s v="18.30"/>
  </r>
  <r>
    <n v="1"/>
    <s v="2/4"/>
    <d v="2018-01-30T00:00:00"/>
    <n v="3"/>
    <n v="7"/>
    <x v="6"/>
    <x v="5"/>
    <n v="33"/>
    <x v="1"/>
    <s v="33 ; 20        "/>
    <n v="1"/>
    <s v="18.30"/>
  </r>
  <r>
    <n v="1"/>
    <s v="2/4"/>
    <d v="2018-01-30T00:00:00"/>
    <n v="3"/>
    <n v="8"/>
    <x v="7"/>
    <x v="5"/>
    <n v="33"/>
    <x v="1"/>
    <s v="33 ; 20        "/>
    <n v="1"/>
    <s v="18.30"/>
  </r>
  <r>
    <n v="1"/>
    <s v="2/4"/>
    <d v="2018-01-30T00:00:00"/>
    <n v="3"/>
    <n v="9"/>
    <x v="28"/>
    <x v="5"/>
    <n v="33"/>
    <x v="1"/>
    <s v="33 ; 20        "/>
    <n v="1"/>
    <s v="18.30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1"/>
    <s v="3/3"/>
    <d v="2018-01-17T00:00:00"/>
    <n v="2"/>
    <n v="2"/>
    <x v="1"/>
    <x v="1"/>
    <n v="13"/>
    <x v="1"/>
    <s v="13 ; 19        "/>
    <n v="1"/>
    <d v="1899-12-30T19:30:00"/>
  </r>
  <r>
    <n v="1"/>
    <s v="3/3"/>
    <d v="2018-01-17T00:00:00"/>
    <n v="2"/>
    <n v="3"/>
    <x v="2"/>
    <x v="2"/>
    <n v="13"/>
    <x v="1"/>
    <s v="13 ; 19        "/>
    <n v="1"/>
    <d v="1899-12-30T19:30:00"/>
  </r>
  <r>
    <n v="1"/>
    <s v="3/3"/>
    <d v="2018-01-17T00:00:00"/>
    <n v="2"/>
    <n v="4"/>
    <x v="3"/>
    <x v="2"/>
    <n v="13"/>
    <x v="1"/>
    <s v="13 ; 19        "/>
    <n v="1"/>
    <d v="1899-12-30T19:30:00"/>
  </r>
  <r>
    <n v="1"/>
    <s v="3/3"/>
    <d v="2018-01-17T00:00:00"/>
    <n v="2"/>
    <n v="5"/>
    <x v="30"/>
    <x v="3"/>
    <n v="13"/>
    <x v="1"/>
    <s v="13 ; 19        "/>
    <n v="1"/>
    <d v="1899-12-30T19:30:00"/>
  </r>
  <r>
    <n v="1"/>
    <s v="3/3"/>
    <d v="2018-01-17T00:00:00"/>
    <n v="2"/>
    <n v="6"/>
    <x v="12"/>
    <x v="4"/>
    <n v="13"/>
    <x v="0"/>
    <s v="13 ; 19        "/>
    <n v="1"/>
    <d v="1899-12-30T19:30:00"/>
  </r>
  <r>
    <n v="1"/>
    <s v="3/3"/>
    <d v="2018-01-17T00:00:00"/>
    <n v="2"/>
    <n v="7"/>
    <x v="6"/>
    <x v="5"/>
    <n v="13"/>
    <x v="1"/>
    <s v="13 ; 19        "/>
    <n v="1"/>
    <d v="1899-12-30T19:30:00"/>
  </r>
  <r>
    <n v="1"/>
    <s v="3/3"/>
    <d v="2018-01-17T00:00:00"/>
    <n v="2"/>
    <n v="8"/>
    <x v="7"/>
    <x v="5"/>
    <n v="13"/>
    <x v="1"/>
    <s v="13 ; 19        "/>
    <n v="1"/>
    <d v="1899-12-30T19:30:00"/>
  </r>
  <r>
    <n v="1"/>
    <s v="3/3"/>
    <d v="2018-01-17T00:00:00"/>
    <n v="2"/>
    <n v="9"/>
    <x v="28"/>
    <x v="5"/>
    <n v="13"/>
    <x v="1"/>
    <s v="13 ; 19        "/>
    <n v="1"/>
    <d v="1899-12-30T19:30:00"/>
  </r>
  <r>
    <n v="1"/>
    <s v="3/3"/>
    <d v="2018-01-17T00:00:00"/>
    <n v="2"/>
    <n v="10"/>
    <x v="5"/>
    <x v="5"/>
    <n v="13"/>
    <x v="1"/>
    <s v="13 ; 19        "/>
    <n v="1"/>
    <d v="1899-12-30T19:30:00"/>
  </r>
  <r>
    <n v="1"/>
    <s v="3/3"/>
    <d v="2018-01-17T00:00:00"/>
    <n v="2"/>
    <n v="11"/>
    <x v="8"/>
    <x v="5"/>
    <n v="13"/>
    <x v="0"/>
    <s v="13 ; 19        "/>
    <n v="1"/>
    <d v="1899-12-30T19:30:00"/>
  </r>
  <r>
    <n v="1"/>
    <s v="3/3"/>
    <d v="2018-01-17T00:00:00"/>
    <n v="2"/>
    <n v="12"/>
    <x v="9"/>
    <x v="5"/>
    <n v="13"/>
    <x v="0"/>
    <s v="13 ; 19        "/>
    <n v="1"/>
    <d v="1899-12-30T19:30:00"/>
  </r>
  <r>
    <n v="1"/>
    <s v="3/3"/>
    <d v="2018-01-17T00:00:00"/>
    <n v="2"/>
    <n v="13"/>
    <x v="10"/>
    <x v="5"/>
    <n v="13"/>
    <x v="0"/>
    <s v="13 ; 19        "/>
    <n v="1"/>
    <d v="1899-12-30T19:30:00"/>
  </r>
  <r>
    <n v="1"/>
    <s v="3/3"/>
    <d v="2018-01-17T00:00:00"/>
    <n v="2"/>
    <n v="14"/>
    <x v="13"/>
    <x v="6"/>
    <n v="13"/>
    <x v="0"/>
    <s v="13 ; 19        "/>
    <n v="1"/>
    <d v="1899-12-30T19:30:00"/>
  </r>
  <r>
    <n v="1"/>
    <s v="3/3"/>
    <d v="2018-01-17T00:00:00"/>
    <n v="2"/>
    <n v="15"/>
    <x v="14"/>
    <x v="0"/>
    <n v="19"/>
    <x v="1"/>
    <s v="13 ; 19        "/>
    <n v="1"/>
    <d v="1899-12-30T19:30:00"/>
  </r>
  <r>
    <n v="1"/>
    <s v="3/3"/>
    <d v="2018-01-17T00:00:00"/>
    <n v="2"/>
    <n v="16"/>
    <x v="15"/>
    <x v="1"/>
    <n v="19"/>
    <x v="0"/>
    <s v="13 ; 19        "/>
    <n v="1"/>
    <d v="1899-12-30T19:30:00"/>
  </r>
  <r>
    <n v="1"/>
    <s v="3/3"/>
    <d v="2018-01-17T00:00:00"/>
    <n v="2"/>
    <n v="17"/>
    <x v="31"/>
    <x v="2"/>
    <n v="19"/>
    <x v="1"/>
    <s v="13 ; 19        "/>
    <n v="1"/>
    <d v="1899-12-30T19:30:00"/>
  </r>
  <r>
    <n v="1"/>
    <s v="3/3"/>
    <d v="2018-01-17T00:00:00"/>
    <n v="2"/>
    <n v="18"/>
    <x v="17"/>
    <x v="2"/>
    <n v="19"/>
    <x v="1"/>
    <s v="13 ; 19        "/>
    <n v="1"/>
    <d v="1899-12-30T19:30:00"/>
  </r>
  <r>
    <n v="1"/>
    <s v="3/3"/>
    <d v="2018-01-17T00:00:00"/>
    <n v="2"/>
    <n v="19"/>
    <x v="18"/>
    <x v="3"/>
    <n v="19"/>
    <x v="0"/>
    <s v="13 ; 19        "/>
    <n v="1"/>
    <d v="1899-12-30T19:30:00"/>
  </r>
  <r>
    <n v="1"/>
    <s v="3/3"/>
    <d v="2018-01-17T00:00:00"/>
    <n v="2"/>
    <n v="20"/>
    <x v="24"/>
    <x v="4"/>
    <n v="19"/>
    <x v="1"/>
    <s v="13 ; 19        "/>
    <n v="1"/>
    <d v="1899-12-30T19:30:00"/>
  </r>
  <r>
    <n v="1"/>
    <s v="3/3"/>
    <d v="2018-01-17T00:00:00"/>
    <n v="2"/>
    <n v="21"/>
    <x v="16"/>
    <x v="5"/>
    <n v="19"/>
    <x v="0"/>
    <s v="13 ; 19        "/>
    <n v="1"/>
    <d v="1899-12-30T19:30:00"/>
  </r>
  <r>
    <n v="1"/>
    <s v="3/3"/>
    <d v="2018-01-17T00:00:00"/>
    <n v="2"/>
    <n v="22"/>
    <x v="19"/>
    <x v="5"/>
    <n v="19"/>
    <x v="0"/>
    <s v="13 ; 19        "/>
    <n v="1"/>
    <d v="1899-12-30T19:30:00"/>
  </r>
  <r>
    <n v="1"/>
    <s v="3/3"/>
    <d v="2018-01-17T00:00:00"/>
    <n v="2"/>
    <n v="23"/>
    <x v="26"/>
    <x v="5"/>
    <n v="19"/>
    <x v="1"/>
    <s v="13 ; 19        "/>
    <n v="1"/>
    <d v="1899-12-30T19:30:00"/>
  </r>
  <r>
    <n v="1"/>
    <s v="3/3"/>
    <d v="2018-01-17T00:00:00"/>
    <n v="2"/>
    <n v="24"/>
    <x v="20"/>
    <x v="5"/>
    <n v="19"/>
    <x v="0"/>
    <s v="13 ; 19        "/>
    <n v="1"/>
    <d v="1899-12-30T19:30:00"/>
  </r>
  <r>
    <n v="1"/>
    <s v="3/3"/>
    <d v="2018-01-17T00:00:00"/>
    <n v="2"/>
    <n v="25"/>
    <x v="21"/>
    <x v="5"/>
    <n v="19"/>
    <x v="1"/>
    <s v="13 ; 19        "/>
    <n v="1"/>
    <d v="1899-12-30T19:30:00"/>
  </r>
  <r>
    <n v="1"/>
    <s v="3/3"/>
    <d v="2018-01-17T00:00:00"/>
    <n v="2"/>
    <n v="26"/>
    <x v="22"/>
    <x v="5"/>
    <n v="19"/>
    <x v="0"/>
    <s v="13 ; 19        "/>
    <n v="1"/>
    <d v="1899-12-30T19:30:00"/>
  </r>
  <r>
    <n v="1"/>
    <s v="3/3"/>
    <d v="2018-01-17T00:00:00"/>
    <n v="2"/>
    <n v="27"/>
    <x v="32"/>
    <x v="5"/>
    <n v="19"/>
    <x v="0"/>
    <s v="13 ; 19        "/>
    <n v="1"/>
    <d v="1899-12-30T19:30:00"/>
  </r>
  <r>
    <n v="1"/>
    <s v="3/3"/>
    <d v="2018-01-17T00:00:00"/>
    <n v="2"/>
    <n v="28"/>
    <x v="27"/>
    <x v="6"/>
    <n v="19"/>
    <x v="1"/>
    <s v="13 ; 19        "/>
    <n v="1"/>
    <d v="1899-12-30T19:30:00"/>
  </r>
  <r>
    <n v="1"/>
    <s v="2/4"/>
    <d v="2018-01-30T00:00:00"/>
    <n v="3"/>
    <n v="10"/>
    <x v="8"/>
    <x v="5"/>
    <n v="33"/>
    <x v="0"/>
    <s v="33 ; 20        "/>
    <n v="1"/>
    <s v="18.30"/>
  </r>
  <r>
    <n v="1"/>
    <s v="2/4"/>
    <d v="2018-01-30T00:00:00"/>
    <n v="3"/>
    <n v="11"/>
    <x v="9"/>
    <x v="5"/>
    <n v="33"/>
    <x v="0"/>
    <s v="33 ; 20        "/>
    <n v="1"/>
    <s v="18.30"/>
  </r>
  <r>
    <n v="1"/>
    <s v="2/4"/>
    <d v="2018-01-30T00:00:00"/>
    <n v="3"/>
    <n v="12"/>
    <x v="10"/>
    <x v="5"/>
    <n v="33"/>
    <x v="0"/>
    <s v="33 ; 20        "/>
    <n v="1"/>
    <s v="18.30"/>
  </r>
  <r>
    <n v="1"/>
    <s v="2/4"/>
    <d v="2018-01-30T00:00:00"/>
    <n v="3"/>
    <n v="13"/>
    <x v="11"/>
    <x v="5"/>
    <n v="33"/>
    <x v="1"/>
    <s v="33 ; 20        "/>
    <n v="1"/>
    <s v="18.30"/>
  </r>
  <r>
    <n v="1"/>
    <s v="2/4"/>
    <d v="2018-01-30T00:00:00"/>
    <n v="3"/>
    <n v="14"/>
    <x v="13"/>
    <x v="6"/>
    <n v="33"/>
    <x v="0"/>
    <s v="33 ; 20        "/>
    <n v="1"/>
    <s v="18.30"/>
  </r>
  <r>
    <n v="1"/>
    <s v="2/4"/>
    <d v="2018-01-30T00:00:00"/>
    <n v="3"/>
    <n v="15"/>
    <x v="14"/>
    <x v="0"/>
    <n v="20"/>
    <x v="1"/>
    <s v="33 ; 20        "/>
    <n v="1"/>
    <s v="18.30"/>
  </r>
  <r>
    <n v="1"/>
    <s v="2/4"/>
    <d v="2018-01-30T00:00:00"/>
    <n v="3"/>
    <n v="16"/>
    <x v="15"/>
    <x v="1"/>
    <n v="20"/>
    <x v="0"/>
    <s v="33 ; 20        "/>
    <n v="1"/>
    <s v="18.30"/>
  </r>
  <r>
    <n v="1"/>
    <s v="2/4"/>
    <d v="2018-01-30T00:00:00"/>
    <n v="3"/>
    <n v="17"/>
    <x v="16"/>
    <x v="2"/>
    <n v="20"/>
    <x v="0"/>
    <s v="33 ; 20        "/>
    <n v="1"/>
    <s v="18.30"/>
  </r>
  <r>
    <n v="1"/>
    <s v="2/4"/>
    <d v="2018-01-30T00:00:00"/>
    <n v="3"/>
    <n v="18"/>
    <x v="17"/>
    <x v="2"/>
    <n v="20"/>
    <x v="1"/>
    <s v="33 ; 20        "/>
    <n v="1"/>
    <s v="18.30"/>
  </r>
  <r>
    <n v="1"/>
    <s v="2/4"/>
    <d v="2018-01-30T00:00:00"/>
    <n v="3"/>
    <n v="19"/>
    <x v="18"/>
    <x v="3"/>
    <n v="20"/>
    <x v="0"/>
    <s v="33 ; 20        "/>
    <n v="1"/>
    <s v="18.30"/>
  </r>
  <r>
    <n v="1"/>
    <s v="2/4"/>
    <d v="2018-01-30T00:00:00"/>
    <n v="3"/>
    <n v="20"/>
    <x v="19"/>
    <x v="4"/>
    <n v="20"/>
    <x v="0"/>
    <s v="33 ; 20        "/>
    <n v="1"/>
    <s v="18.30"/>
  </r>
  <r>
    <n v="1"/>
    <s v="2/4"/>
    <d v="2018-01-30T00:00:00"/>
    <n v="3"/>
    <n v="21"/>
    <x v="20"/>
    <x v="5"/>
    <n v="20"/>
    <x v="0"/>
    <s v="33 ; 20        "/>
    <n v="1"/>
    <s v="18.30"/>
  </r>
  <r>
    <n v="1"/>
    <s v="2/4"/>
    <d v="2018-01-30T00:00:00"/>
    <n v="3"/>
    <n v="22"/>
    <x v="21"/>
    <x v="5"/>
    <n v="20"/>
    <x v="1"/>
    <s v="33 ; 20        "/>
    <n v="1"/>
    <s v="18.30"/>
  </r>
  <r>
    <n v="1"/>
    <s v="2/4"/>
    <d v="2018-01-30T00:00:00"/>
    <n v="3"/>
    <n v="23"/>
    <x v="22"/>
    <x v="5"/>
    <n v="20"/>
    <x v="0"/>
    <s v="33 ; 20        "/>
    <n v="1"/>
    <s v="18.30"/>
  </r>
  <r>
    <n v="1"/>
    <s v="2/4"/>
    <d v="2018-01-30T00:00:00"/>
    <n v="3"/>
    <n v="24"/>
    <x v="32"/>
    <x v="5"/>
    <n v="20"/>
    <x v="0"/>
    <s v="33 ; 20        "/>
    <n v="1"/>
    <s v="18.30"/>
  </r>
  <r>
    <n v="1"/>
    <s v="2/4"/>
    <d v="2018-01-30T00:00:00"/>
    <n v="3"/>
    <n v="25"/>
    <x v="23"/>
    <x v="5"/>
    <n v="20"/>
    <x v="0"/>
    <s v="33 ; 20        "/>
    <n v="1"/>
    <s v="18.30"/>
  </r>
  <r>
    <n v="1"/>
    <s v="2/4"/>
    <d v="2018-01-30T00:00:00"/>
    <n v="3"/>
    <n v="26"/>
    <x v="24"/>
    <x v="5"/>
    <n v="20"/>
    <x v="1"/>
    <s v="33 ; 20        "/>
    <n v="1"/>
    <s v="18.30"/>
  </r>
  <r>
    <n v="1"/>
    <s v="2/4"/>
    <d v="2018-01-30T00:00:00"/>
    <n v="3"/>
    <n v="27"/>
    <x v="25"/>
    <x v="5"/>
    <n v="20"/>
    <x v="1"/>
    <s v="33 ; 20        "/>
    <n v="1"/>
    <s v="18.30"/>
  </r>
  <r>
    <n v="1"/>
    <s v="2/4"/>
    <d v="2018-01-30T00:00:00"/>
    <n v="3"/>
    <n v="28"/>
    <x v="27"/>
    <x v="6"/>
    <n v="20"/>
    <x v="1"/>
    <s v="33 ; 20        "/>
    <n v="1"/>
    <s v="18.30"/>
  </r>
  <r>
    <n v="1"/>
    <s v="1/4"/>
    <d v="2018-01-29T00:00:00"/>
    <n v="3"/>
    <n v="1"/>
    <x v="0"/>
    <x v="0"/>
    <n v="32"/>
    <x v="0"/>
    <s v="32 ; 10        "/>
    <n v="1"/>
    <d v="1899-12-30T18:00:00"/>
  </r>
  <r>
    <n v="1"/>
    <s v="1/4"/>
    <d v="2018-01-29T00:00:00"/>
    <n v="3"/>
    <n v="2"/>
    <x v="1"/>
    <x v="1"/>
    <n v="32"/>
    <x v="1"/>
    <s v="32 ; 10        "/>
    <n v="1"/>
    <d v="1899-12-30T18:00:00"/>
  </r>
  <r>
    <n v="1"/>
    <s v="1/4"/>
    <d v="2018-01-29T00:00:00"/>
    <n v="3"/>
    <n v="3"/>
    <x v="2"/>
    <x v="2"/>
    <n v="32"/>
    <x v="1"/>
    <s v="32 ; 10        "/>
    <n v="1"/>
    <d v="1899-12-30T18:00:00"/>
  </r>
  <r>
    <n v="1"/>
    <s v="1/4"/>
    <d v="2018-01-29T00:00:00"/>
    <n v="3"/>
    <n v="4"/>
    <x v="3"/>
    <x v="2"/>
    <n v="32"/>
    <x v="1"/>
    <s v="32 ; 10        "/>
    <n v="1"/>
    <d v="1899-12-30T18:00:00"/>
  </r>
  <r>
    <n v="1"/>
    <s v="1/4"/>
    <d v="2018-01-29T00:00:00"/>
    <n v="3"/>
    <n v="5"/>
    <x v="4"/>
    <x v="3"/>
    <n v="32"/>
    <x v="0"/>
    <s v="32 ; 10        "/>
    <n v="1"/>
    <d v="1899-12-30T18:00:00"/>
  </r>
  <r>
    <n v="1"/>
    <s v="1/4"/>
    <d v="2018-01-29T00:00:00"/>
    <n v="3"/>
    <n v="6"/>
    <x v="5"/>
    <x v="4"/>
    <n v="32"/>
    <x v="1"/>
    <s v="32 ; 10        "/>
    <n v="1"/>
    <d v="1899-12-30T18:00:00"/>
  </r>
  <r>
    <n v="1"/>
    <s v="1/4"/>
    <d v="2018-01-29T00:00:00"/>
    <n v="3"/>
    <n v="7"/>
    <x v="6"/>
    <x v="5"/>
    <n v="32"/>
    <x v="1"/>
    <s v="32 ; 10        "/>
    <n v="1"/>
    <d v="1899-12-30T18:00:00"/>
  </r>
  <r>
    <n v="1"/>
    <s v="1/4"/>
    <d v="2018-01-29T00:00:00"/>
    <n v="3"/>
    <n v="8"/>
    <x v="7"/>
    <x v="5"/>
    <n v="32"/>
    <x v="1"/>
    <s v="32 ; 10        "/>
    <n v="1"/>
    <d v="1899-12-30T18:00:00"/>
  </r>
  <r>
    <n v="1"/>
    <s v="1/4"/>
    <d v="2018-01-29T00:00:00"/>
    <n v="3"/>
    <n v="9"/>
    <x v="28"/>
    <x v="5"/>
    <n v="32"/>
    <x v="1"/>
    <s v="32 ; 10        "/>
    <n v="1"/>
    <d v="1899-12-30T18:00:00"/>
  </r>
  <r>
    <n v="1"/>
    <s v="2/3"/>
    <d v="2018-01-16T00:00:00"/>
    <n v="2"/>
    <n v="1"/>
    <x v="0"/>
    <x v="0"/>
    <n v="34"/>
    <x v="0"/>
    <s v="34 ; 15        "/>
    <n v="1"/>
    <d v="1899-12-30T19:00:00"/>
  </r>
  <r>
    <n v="1"/>
    <s v="2/3"/>
    <d v="2018-01-16T00:00:00"/>
    <n v="2"/>
    <n v="2"/>
    <x v="1"/>
    <x v="1"/>
    <n v="34"/>
    <x v="1"/>
    <s v="34 ; 15        "/>
    <n v="1"/>
    <d v="1899-12-30T19:00:00"/>
  </r>
  <r>
    <n v="1"/>
    <s v="2/3"/>
    <d v="2018-01-16T00:00:00"/>
    <n v="2"/>
    <n v="3"/>
    <x v="2"/>
    <x v="2"/>
    <n v="34"/>
    <x v="1"/>
    <s v="34 ; 15        "/>
    <n v="1"/>
    <d v="1899-12-30T19:00:00"/>
  </r>
  <r>
    <n v="1"/>
    <s v="2/3"/>
    <d v="2018-01-16T00:00:00"/>
    <n v="2"/>
    <n v="4"/>
    <x v="3"/>
    <x v="2"/>
    <n v="34"/>
    <x v="1"/>
    <s v="34 ; 15        "/>
    <n v="1"/>
    <d v="1899-12-30T19:00:00"/>
  </r>
  <r>
    <n v="1"/>
    <s v="2/3"/>
    <d v="2018-01-16T00:00:00"/>
    <n v="2"/>
    <n v="5"/>
    <x v="30"/>
    <x v="3"/>
    <n v="34"/>
    <x v="1"/>
    <s v="34 ; 15        "/>
    <n v="1"/>
    <d v="1899-12-30T19:00:00"/>
  </r>
  <r>
    <n v="1"/>
    <s v="2/3"/>
    <d v="2018-01-16T00:00:00"/>
    <n v="2"/>
    <n v="6"/>
    <x v="12"/>
    <x v="4"/>
    <n v="34"/>
    <x v="0"/>
    <s v="34 ; 15        "/>
    <n v="1"/>
    <d v="1899-12-30T19:00:00"/>
  </r>
  <r>
    <n v="1"/>
    <s v="2/3"/>
    <d v="2018-01-16T00:00:00"/>
    <n v="2"/>
    <n v="7"/>
    <x v="6"/>
    <x v="5"/>
    <n v="34"/>
    <x v="1"/>
    <s v="34 ; 15        "/>
    <n v="1"/>
    <d v="1899-12-30T19:00:00"/>
  </r>
  <r>
    <n v="1"/>
    <s v="2/3"/>
    <d v="2018-01-16T00:00:00"/>
    <n v="2"/>
    <n v="8"/>
    <x v="7"/>
    <x v="5"/>
    <n v="34"/>
    <x v="1"/>
    <s v="34 ; 15        "/>
    <n v="1"/>
    <d v="1899-12-30T19:00:00"/>
  </r>
  <r>
    <n v="1"/>
    <s v="2/3"/>
    <d v="2018-01-16T00:00:00"/>
    <n v="2"/>
    <n v="9"/>
    <x v="28"/>
    <x v="5"/>
    <n v="34"/>
    <x v="1"/>
    <s v="34 ; 15        "/>
    <n v="1"/>
    <d v="1899-12-30T19:00:00"/>
  </r>
  <r>
    <n v="1"/>
    <s v="2/3"/>
    <d v="2018-01-16T00:00:00"/>
    <n v="2"/>
    <n v="10"/>
    <x v="5"/>
    <x v="5"/>
    <n v="34"/>
    <x v="1"/>
    <s v="34 ; 15        "/>
    <n v="1"/>
    <d v="1899-12-30T19:00:00"/>
  </r>
  <r>
    <n v="1"/>
    <s v="2/3"/>
    <d v="2018-01-16T00:00:00"/>
    <n v="2"/>
    <n v="11"/>
    <x v="8"/>
    <x v="5"/>
    <n v="34"/>
    <x v="0"/>
    <s v="34 ; 15        "/>
    <n v="1"/>
    <d v="1899-12-30T19:00:00"/>
  </r>
  <r>
    <n v="1"/>
    <s v="2/3"/>
    <d v="2018-01-16T00:00:00"/>
    <n v="2"/>
    <n v="12"/>
    <x v="9"/>
    <x v="5"/>
    <n v="34"/>
    <x v="0"/>
    <s v="34 ; 15        "/>
    <n v="1"/>
    <d v="1899-12-30T19:00:00"/>
  </r>
  <r>
    <n v="1"/>
    <s v="2/3"/>
    <d v="2018-01-16T00:00:00"/>
    <n v="2"/>
    <n v="13"/>
    <x v="10"/>
    <x v="5"/>
    <n v="34"/>
    <x v="0"/>
    <s v="34 ; 15        "/>
    <n v="1"/>
    <d v="1899-12-30T19:00:00"/>
  </r>
  <r>
    <n v="1"/>
    <s v="2/3"/>
    <d v="2018-01-16T00:00:00"/>
    <n v="2"/>
    <n v="14"/>
    <x v="13"/>
    <x v="6"/>
    <n v="34"/>
    <x v="0"/>
    <s v="34 ; 15        "/>
    <n v="1"/>
    <d v="1899-12-30T19:00:00"/>
  </r>
  <r>
    <n v="1"/>
    <s v="2/3"/>
    <d v="2018-01-16T00:00:00"/>
    <n v="2"/>
    <n v="15"/>
    <x v="14"/>
    <x v="0"/>
    <n v="15"/>
    <x v="1"/>
    <s v="34 ; 15        "/>
    <n v="1"/>
    <d v="1899-12-30T19:00:00"/>
  </r>
  <r>
    <n v="1"/>
    <s v="2/3"/>
    <d v="2018-01-16T00:00:00"/>
    <n v="2"/>
    <n v="16"/>
    <x v="15"/>
    <x v="1"/>
    <n v="15"/>
    <x v="0"/>
    <s v="34 ; 15        "/>
    <n v="1"/>
    <d v="1899-12-30T19:00:00"/>
  </r>
  <r>
    <n v="1"/>
    <s v="2/3"/>
    <d v="2018-01-16T00:00:00"/>
    <n v="2"/>
    <n v="17"/>
    <x v="31"/>
    <x v="2"/>
    <n v="15"/>
    <x v="1"/>
    <s v="34 ; 15        "/>
    <n v="1"/>
    <d v="1899-12-30T19:00:00"/>
  </r>
  <r>
    <n v="1"/>
    <s v="2/3"/>
    <d v="2018-01-16T00:00:00"/>
    <n v="2"/>
    <n v="18"/>
    <x v="17"/>
    <x v="2"/>
    <n v="15"/>
    <x v="1"/>
    <s v="34 ; 15        "/>
    <n v="1"/>
    <d v="1899-12-30T19:00:00"/>
  </r>
  <r>
    <n v="1"/>
    <s v="2/3"/>
    <d v="2018-01-16T00:00:00"/>
    <n v="2"/>
    <n v="19"/>
    <x v="18"/>
    <x v="3"/>
    <n v="15"/>
    <x v="0"/>
    <s v="34 ; 15        "/>
    <n v="1"/>
    <d v="1899-12-30T19:00:00"/>
  </r>
  <r>
    <n v="1"/>
    <s v="2/3"/>
    <d v="2018-01-16T00:00:00"/>
    <n v="2"/>
    <n v="20"/>
    <x v="24"/>
    <x v="4"/>
    <n v="15"/>
    <x v="1"/>
    <s v="34 ; 15        "/>
    <n v="1"/>
    <d v="1899-12-30T19:00:00"/>
  </r>
  <r>
    <n v="1"/>
    <s v="2/3"/>
    <d v="2018-01-16T00:00:00"/>
    <n v="2"/>
    <n v="21"/>
    <x v="16"/>
    <x v="5"/>
    <n v="15"/>
    <x v="0"/>
    <s v="34 ; 15        "/>
    <n v="1"/>
    <d v="1899-12-30T19:00:00"/>
  </r>
  <r>
    <n v="1"/>
    <s v="2/3"/>
    <d v="2018-01-16T00:00:00"/>
    <n v="2"/>
    <n v="22"/>
    <x v="19"/>
    <x v="5"/>
    <n v="15"/>
    <x v="0"/>
    <s v="34 ; 15        "/>
    <n v="1"/>
    <d v="1899-12-30T19:00:00"/>
  </r>
  <r>
    <n v="1"/>
    <s v="2/3"/>
    <d v="2018-01-16T00:00:00"/>
    <n v="2"/>
    <n v="23"/>
    <x v="26"/>
    <x v="5"/>
    <n v="15"/>
    <x v="1"/>
    <s v="34 ; 15        "/>
    <n v="1"/>
    <d v="1899-12-30T19:00:00"/>
  </r>
  <r>
    <n v="1"/>
    <s v="2/3"/>
    <d v="2018-01-16T00:00:00"/>
    <n v="2"/>
    <n v="24"/>
    <x v="20"/>
    <x v="5"/>
    <n v="15"/>
    <x v="0"/>
    <s v="34 ; 15        "/>
    <n v="1"/>
    <d v="1899-12-30T19:00:00"/>
  </r>
  <r>
    <n v="1"/>
    <s v="2/3"/>
    <d v="2018-01-16T00:00:00"/>
    <n v="2"/>
    <n v="25"/>
    <x v="21"/>
    <x v="5"/>
    <n v="15"/>
    <x v="1"/>
    <s v="34 ; 15        "/>
    <n v="1"/>
    <d v="1899-12-30T19:00:00"/>
  </r>
  <r>
    <n v="1"/>
    <s v="2/3"/>
    <d v="2018-01-16T00:00:00"/>
    <n v="2"/>
    <n v="26"/>
    <x v="22"/>
    <x v="5"/>
    <n v="15"/>
    <x v="0"/>
    <s v="34 ; 15        "/>
    <n v="1"/>
    <d v="1899-12-30T19:00:00"/>
  </r>
  <r>
    <n v="1"/>
    <s v="2/3"/>
    <d v="2018-01-16T00:00:00"/>
    <n v="2"/>
    <n v="27"/>
    <x v="32"/>
    <x v="5"/>
    <n v="15"/>
    <x v="0"/>
    <s v="34 ; 15        "/>
    <n v="1"/>
    <d v="1899-12-30T19:00:00"/>
  </r>
  <r>
    <n v="1"/>
    <s v="2/3"/>
    <d v="2018-01-16T00:00:00"/>
    <n v="2"/>
    <n v="28"/>
    <x v="27"/>
    <x v="6"/>
    <n v="15"/>
    <x v="1"/>
    <s v="34 ; 15        "/>
    <n v="1"/>
    <d v="1899-12-30T19:00:00"/>
  </r>
  <r>
    <n v="1"/>
    <s v="1/4"/>
    <d v="2018-01-29T00:00:00"/>
    <n v="3"/>
    <n v="10"/>
    <x v="8"/>
    <x v="5"/>
    <n v="32"/>
    <x v="0"/>
    <s v="32 ; 10        "/>
    <n v="1"/>
    <d v="1899-12-30T18:00:00"/>
  </r>
  <r>
    <n v="1"/>
    <s v="1/4"/>
    <d v="2018-01-29T00:00:00"/>
    <n v="3"/>
    <n v="11"/>
    <x v="9"/>
    <x v="5"/>
    <n v="32"/>
    <x v="0"/>
    <s v="32 ; 10        "/>
    <n v="1"/>
    <d v="1899-12-30T18:00:00"/>
  </r>
  <r>
    <n v="1"/>
    <s v="1/4"/>
    <d v="2018-01-29T00:00:00"/>
    <n v="3"/>
    <n v="12"/>
    <x v="10"/>
    <x v="5"/>
    <n v="32"/>
    <x v="0"/>
    <s v="32 ; 10        "/>
    <n v="1"/>
    <d v="1899-12-30T18:00:00"/>
  </r>
  <r>
    <n v="1"/>
    <s v="1/4"/>
    <d v="2018-01-29T00:00:00"/>
    <n v="3"/>
    <n v="13"/>
    <x v="30"/>
    <x v="5"/>
    <n v="32"/>
    <x v="1"/>
    <s v="32 ; 10        "/>
    <n v="1"/>
    <d v="1899-12-30T18:00:00"/>
  </r>
  <r>
    <n v="1"/>
    <s v="1/4"/>
    <d v="2018-01-29T00:00:00"/>
    <n v="3"/>
    <n v="14"/>
    <x v="13"/>
    <x v="6"/>
    <n v="32"/>
    <x v="0"/>
    <s v="32 ; 10        "/>
    <n v="1"/>
    <d v="1899-12-30T18:00:00"/>
  </r>
  <r>
    <n v="1"/>
    <s v="1/4"/>
    <d v="2018-01-29T00:00:00"/>
    <n v="3"/>
    <n v="15"/>
    <x v="14"/>
    <x v="0"/>
    <n v="10"/>
    <x v="1"/>
    <s v="32 ; 10        "/>
    <n v="1"/>
    <d v="1899-12-30T18:00:00"/>
  </r>
  <r>
    <n v="1"/>
    <s v="1/4"/>
    <d v="2018-01-29T00:00:00"/>
    <n v="3"/>
    <n v="16"/>
    <x v="15"/>
    <x v="1"/>
    <n v="10"/>
    <x v="0"/>
    <s v="32 ; 10        "/>
    <n v="1"/>
    <d v="1899-12-30T18:00:00"/>
  </r>
  <r>
    <n v="1"/>
    <s v="1/4"/>
    <d v="2018-01-29T00:00:00"/>
    <n v="3"/>
    <n v="17"/>
    <x v="16"/>
    <x v="2"/>
    <n v="10"/>
    <x v="0"/>
    <s v="32 ; 10        "/>
    <n v="1"/>
    <d v="1899-12-30T18:00:00"/>
  </r>
  <r>
    <n v="1"/>
    <s v="1/4"/>
    <d v="2018-01-29T00:00:00"/>
    <n v="3"/>
    <n v="18"/>
    <x v="17"/>
    <x v="2"/>
    <n v="10"/>
    <x v="1"/>
    <s v="32 ; 10        "/>
    <n v="1"/>
    <d v="1899-12-30T18:00:00"/>
  </r>
  <r>
    <n v="1"/>
    <s v="1/4"/>
    <d v="2018-01-29T00:00:00"/>
    <n v="3"/>
    <n v="19"/>
    <x v="18"/>
    <x v="3"/>
    <n v="10"/>
    <x v="0"/>
    <s v="32 ; 10        "/>
    <n v="1"/>
    <d v="1899-12-30T18:00:00"/>
  </r>
  <r>
    <n v="1"/>
    <s v="1/4"/>
    <d v="2018-01-29T00:00:00"/>
    <n v="3"/>
    <n v="20"/>
    <x v="19"/>
    <x v="4"/>
    <n v="10"/>
    <x v="0"/>
    <s v="32 ; 10        "/>
    <n v="1"/>
    <d v="1899-12-30T18:00:00"/>
  </r>
  <r>
    <n v="1"/>
    <s v="1/4"/>
    <d v="2018-01-29T00:00:00"/>
    <n v="3"/>
    <n v="21"/>
    <x v="20"/>
    <x v="5"/>
    <n v="10"/>
    <x v="0"/>
    <s v="32 ; 10        "/>
    <n v="1"/>
    <d v="1899-12-30T18:00:00"/>
  </r>
  <r>
    <n v="1"/>
    <s v="1/4"/>
    <d v="2018-01-29T00:00:00"/>
    <n v="3"/>
    <n v="22"/>
    <x v="21"/>
    <x v="5"/>
    <n v="10"/>
    <x v="1"/>
    <s v="32 ; 10        "/>
    <n v="1"/>
    <d v="1899-12-30T18:00:00"/>
  </r>
  <r>
    <n v="1"/>
    <s v="1/4"/>
    <d v="2018-01-29T00:00:00"/>
    <n v="3"/>
    <n v="23"/>
    <x v="22"/>
    <x v="5"/>
    <n v="10"/>
    <x v="0"/>
    <s v="32 ; 10        "/>
    <n v="1"/>
    <d v="1899-12-30T18:00:00"/>
  </r>
  <r>
    <n v="1"/>
    <s v="1/4"/>
    <d v="2018-01-29T00:00:00"/>
    <n v="3"/>
    <n v="24"/>
    <x v="32"/>
    <x v="5"/>
    <n v="10"/>
    <x v="0"/>
    <s v="32 ; 10        "/>
    <n v="1"/>
    <d v="1899-12-30T18:00:00"/>
  </r>
  <r>
    <n v="1"/>
    <s v="1/4"/>
    <d v="2018-01-29T00:00:00"/>
    <n v="3"/>
    <n v="25"/>
    <x v="33"/>
    <x v="5"/>
    <n v="10"/>
    <x v="0"/>
    <s v="32 ; 10        "/>
    <n v="1"/>
    <d v="1899-12-30T18:00:00"/>
  </r>
  <r>
    <n v="1"/>
    <s v="1/4"/>
    <d v="2018-01-29T00:00:00"/>
    <n v="3"/>
    <n v="26"/>
    <x v="23"/>
    <x v="5"/>
    <n v="10"/>
    <x v="0"/>
    <s v="32 ; 10        "/>
    <n v="1"/>
    <d v="1899-12-30T18:00:00"/>
  </r>
  <r>
    <n v="1"/>
    <s v="1/4"/>
    <d v="2018-01-29T00:00:00"/>
    <n v="3"/>
    <n v="27"/>
    <x v="24"/>
    <x v="5"/>
    <n v="10"/>
    <x v="1"/>
    <s v="32 ; 10        "/>
    <n v="1"/>
    <d v="1899-12-30T18:00:00"/>
  </r>
  <r>
    <n v="1"/>
    <s v="1/4"/>
    <d v="2018-01-29T00:00:00"/>
    <n v="3"/>
    <n v="28"/>
    <x v="27"/>
    <x v="6"/>
    <n v="10"/>
    <x v="1"/>
    <s v="32 ; 10        "/>
    <n v="1"/>
    <d v="1899-12-30T18:00:00"/>
  </r>
  <r>
    <n v="0"/>
    <s v=" "/>
    <s v=" "/>
    <s v=" "/>
    <s v=" "/>
    <x v="29"/>
    <x v="7"/>
    <s v=" "/>
    <x v="3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s v=" "/>
    <s v=" "/>
    <s v=" "/>
    <s v=" "/>
    <x v="29"/>
    <x v="7"/>
    <s v=" "/>
    <x v="2"/>
    <n v="0"/>
    <n v="0"/>
    <s v=" "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4"/>
    <m/>
    <m/>
    <m/>
  </r>
  <r>
    <n v="0"/>
    <m/>
    <m/>
    <m/>
    <m/>
    <x v="34"/>
    <x v="8"/>
    <m/>
    <x v="2"/>
    <n v="0"/>
    <n v="0"/>
    <m/>
  </r>
  <r>
    <n v="0"/>
    <m/>
    <m/>
    <m/>
    <m/>
    <x v="34"/>
    <x v="8"/>
    <m/>
    <x v="2"/>
    <n v="0"/>
    <n v="0"/>
    <m/>
  </r>
  <r>
    <m/>
    <m/>
    <m/>
    <m/>
    <m/>
    <x v="34"/>
    <x v="8"/>
    <m/>
    <x v="4"/>
    <m/>
    <m/>
    <m/>
  </r>
  <r>
    <m/>
    <m/>
    <m/>
    <m/>
    <m/>
    <x v="34"/>
    <x v="8"/>
    <m/>
    <x v="4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1" cacheId="65" applyNumberFormats="0" applyBorderFormats="0" applyFontFormats="0" applyPatternFormats="0" applyAlignmentFormats="0" applyWidthHeightFormats="1" dataCaption="Valores" updatedVersion="5" minRefreshableVersion="3" rowGrandTotals="0" colGrandTotals="0" itemPrintTitles="1" createdVersion="5" indent="0" outline="1" outlineData="1" multipleFieldFilters="0">
  <location ref="A10:A11" firstHeaderRow="1" firstDataRow="1" firstDataCol="1"/>
  <pivotFields count="3">
    <pivotField axis="axisRow" showAll="0" defaultSubtotal="0">
      <items count="48">
        <item x="1"/>
        <item x="8"/>
        <item x="30"/>
        <item x="17"/>
        <item x="3"/>
        <item x="12"/>
        <item x="32"/>
        <item x="24"/>
        <item m="1" x="43"/>
        <item x="26"/>
        <item x="25"/>
        <item x="23"/>
        <item x="15"/>
        <item x="13"/>
        <item x="10"/>
        <item x="6"/>
        <item x="19"/>
        <item x="9"/>
        <item x="28"/>
        <item x="0"/>
        <item m="1" x="47"/>
        <item x="11"/>
        <item x="31"/>
        <item x="27"/>
        <item m="1" x="46"/>
        <item x="20"/>
        <item x="18"/>
        <item x="7"/>
        <item x="4"/>
        <item x="22"/>
        <item x="21"/>
        <item x="14"/>
        <item m="1" x="44"/>
        <item x="5"/>
        <item x="16"/>
        <item x="2"/>
        <item x="29"/>
        <item x="42"/>
        <item m="1" x="45"/>
        <item x="33"/>
        <item x="34"/>
        <item x="35"/>
        <item x="36"/>
        <item x="37"/>
        <item x="38"/>
        <item x="39"/>
        <item x="40"/>
        <item x="41"/>
      </items>
    </pivotField>
    <pivotField showAll="0" defaultSubtotal="0"/>
    <pivotField showAll="0" defaultSubtotal="0"/>
  </pivotFields>
  <rowFields count="1">
    <field x="0"/>
  </rowFields>
  <rowItems count="1">
    <i>
      <x v="10"/>
    </i>
  </rowItems>
  <colItems count="1">
    <i/>
  </colItems>
  <formats count="7">
    <format dxfId="9">
      <pivotArea dataOnly="0" labelOnly="1" fieldPosition="0">
        <references count="1">
          <reference field="0" count="15">
            <x v="2"/>
            <x v="3"/>
            <x v="4"/>
            <x v="5"/>
            <x v="6"/>
            <x v="8"/>
            <x v="11"/>
            <x v="12"/>
            <x v="17"/>
            <x v="18"/>
            <x v="19"/>
            <x v="32"/>
            <x v="34"/>
            <x v="35"/>
            <x v="36"/>
          </reference>
        </references>
      </pivotArea>
    </format>
    <format dxfId="8">
      <pivotArea dataOnly="0" labelOnly="1" grandRow="1" outline="0" fieldPosition="0"/>
    </format>
    <format dxfId="7">
      <pivotArea dataOnly="0" labelOnly="1" fieldPosition="0">
        <references count="1">
          <reference field="0" count="1">
            <x v="27"/>
          </reference>
        </references>
      </pivotArea>
    </format>
    <format dxfId="6">
      <pivotArea dataOnly="0" labelOnly="1" fieldPosition="0">
        <references count="1">
          <reference field="0" count="0"/>
        </references>
      </pivotArea>
    </format>
    <format dxfId="5">
      <pivotArea dataOnly="0" labelOnly="1" fieldPosition="0">
        <references count="1">
          <reference field="0" count="0"/>
        </references>
      </pivotArea>
    </format>
    <format dxfId="4">
      <pivotArea dataOnly="0" labelOnly="1" fieldPosition="0">
        <references count="1">
          <reference field="0" count="0"/>
        </references>
      </pivotArea>
    </format>
    <format dxfId="3">
      <pivotArea dataOnly="0" labelOnly="1" fieldPosition="0">
        <references count="1">
          <reference field="0" count="5">
            <x v="6"/>
            <x v="25"/>
            <x v="29"/>
            <x v="30"/>
            <x v="31"/>
          </reference>
        </references>
      </pivotArea>
    </format>
  </formats>
  <pivotTableStyleInfo name="PivotStyleLight16" showRowHeaders="1" showColHeaders="1" showRowStripes="0" showColStripes="0" showLastColumn="1"/>
  <filters count="1">
    <filter fld="0" type="captionContains" evalOrder="-1" id="2466" stringValue1="CHAGN">
      <autoFilter ref="A1">
        <filterColumn colId="0">
          <customFilters>
            <customFilter val="*CHAGN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 dinámica26" cacheId="101" applyNumberFormats="0" applyBorderFormats="0" applyFontFormats="0" applyPatternFormats="0" applyAlignmentFormats="0" applyWidthHeightFormats="1" dataCaption="Valores" updatedVersion="5" minRefreshableVersion="3" useAutoFormatting="1" rowGrandTotals="0" colGrandTotals="0" itemPrintTitles="1" createdVersion="5" indent="0" compact="0" compactData="0" multipleFieldFilters="0">
  <location ref="A3:C42" firstHeaderRow="1" firstDataRow="1" firstDataCol="2"/>
  <pivotFields count="1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5">
        <item x="29"/>
        <item m="1" x="40"/>
        <item x="20"/>
        <item x="25"/>
        <item m="1" x="38"/>
        <item x="9"/>
        <item x="18"/>
        <item x="14"/>
        <item x="6"/>
        <item x="28"/>
        <item x="8"/>
        <item x="0"/>
        <item m="1" x="35"/>
        <item x="22"/>
        <item x="12"/>
        <item x="4"/>
        <item x="30"/>
        <item x="7"/>
        <item x="24"/>
        <item x="17"/>
        <item x="31"/>
        <item m="1" x="37"/>
        <item x="27"/>
        <item m="1" x="43"/>
        <item x="1"/>
        <item m="1" x="41"/>
        <item x="19"/>
        <item x="16"/>
        <item x="10"/>
        <item m="1" x="42"/>
        <item x="13"/>
        <item x="21"/>
        <item x="26"/>
        <item x="33"/>
        <item m="1" x="44"/>
        <item x="2"/>
        <item x="23"/>
        <item x="15"/>
        <item m="1" x="39"/>
        <item m="1" x="36"/>
        <item x="3"/>
        <item x="5"/>
        <item x="11"/>
        <item x="32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9">
        <item x="0"/>
        <item x="1"/>
        <item x="2"/>
        <item x="3"/>
        <item x="4"/>
        <item x="5"/>
        <item x="6"/>
        <item h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6"/>
  </rowFields>
  <rowItems count="39">
    <i>
      <x v="2"/>
      <x v="5"/>
    </i>
    <i>
      <x v="3"/>
      <x v="5"/>
    </i>
    <i>
      <x v="5"/>
      <x v="5"/>
    </i>
    <i>
      <x v="6"/>
      <x v="3"/>
    </i>
    <i>
      <x v="7"/>
      <x/>
    </i>
    <i>
      <x v="8"/>
      <x v="5"/>
    </i>
    <i>
      <x v="9"/>
      <x v="5"/>
    </i>
    <i>
      <x v="10"/>
      <x v="5"/>
    </i>
    <i>
      <x v="11"/>
      <x/>
    </i>
    <i>
      <x v="13"/>
      <x v="5"/>
    </i>
    <i>
      <x v="14"/>
      <x v="4"/>
    </i>
    <i r="1">
      <x v="5"/>
    </i>
    <i>
      <x v="15"/>
      <x v="3"/>
    </i>
    <i>
      <x v="16"/>
      <x v="3"/>
    </i>
    <i r="1">
      <x v="5"/>
    </i>
    <i>
      <x v="17"/>
      <x v="5"/>
    </i>
    <i>
      <x v="18"/>
      <x v="4"/>
    </i>
    <i r="1">
      <x v="5"/>
    </i>
    <i>
      <x v="19"/>
      <x v="2"/>
    </i>
    <i>
      <x v="20"/>
      <x v="2"/>
    </i>
    <i>
      <x v="22"/>
      <x v="6"/>
    </i>
    <i>
      <x v="24"/>
      <x v="1"/>
    </i>
    <i>
      <x v="26"/>
      <x v="4"/>
    </i>
    <i r="1">
      <x v="5"/>
    </i>
    <i>
      <x v="27"/>
      <x v="2"/>
    </i>
    <i r="1">
      <x v="5"/>
    </i>
    <i>
      <x v="28"/>
      <x v="5"/>
    </i>
    <i>
      <x v="30"/>
      <x v="6"/>
    </i>
    <i>
      <x v="31"/>
      <x v="5"/>
    </i>
    <i>
      <x v="32"/>
      <x v="5"/>
    </i>
    <i>
      <x v="33"/>
      <x v="5"/>
    </i>
    <i>
      <x v="35"/>
      <x v="2"/>
    </i>
    <i>
      <x v="36"/>
      <x v="5"/>
    </i>
    <i>
      <x v="37"/>
      <x v="1"/>
    </i>
    <i>
      <x v="40"/>
      <x v="2"/>
    </i>
    <i>
      <x v="41"/>
      <x v="4"/>
    </i>
    <i r="1">
      <x v="5"/>
    </i>
    <i>
      <x v="42"/>
      <x v="5"/>
    </i>
    <i>
      <x v="43"/>
      <x v="5"/>
    </i>
  </rowItems>
  <colItems count="1">
    <i/>
  </colItems>
  <dataFields count="1">
    <dataField name="Cuenta de FUNCION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Tabla dinámica2" cacheId="10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compact="0" compactData="0" multipleFieldFilters="0">
  <location ref="E7:G27" firstHeaderRow="1" firstDataRow="1" firstDataCol="2" rowPageCount="1" colPageCount="1"/>
  <pivotFields count="1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5">
        <item x="29"/>
        <item m="1" x="40"/>
        <item x="20"/>
        <item x="25"/>
        <item m="1" x="38"/>
        <item x="9"/>
        <item x="18"/>
        <item x="14"/>
        <item x="6"/>
        <item x="28"/>
        <item x="8"/>
        <item x="0"/>
        <item m="1" x="35"/>
        <item x="22"/>
        <item x="12"/>
        <item x="4"/>
        <item x="30"/>
        <item x="7"/>
        <item x="24"/>
        <item x="17"/>
        <item x="31"/>
        <item m="1" x="37"/>
        <item x="27"/>
        <item m="1" x="43"/>
        <item x="1"/>
        <item m="1" x="41"/>
        <item x="19"/>
        <item x="16"/>
        <item x="10"/>
        <item m="1" x="42"/>
        <item x="13"/>
        <item x="21"/>
        <item x="26"/>
        <item x="33"/>
        <item m="1" x="44"/>
        <item x="2"/>
        <item x="23"/>
        <item x="15"/>
        <item m="1" x="39"/>
        <item m="1" x="36"/>
        <item x="3"/>
        <item x="5"/>
        <item x="11"/>
        <item x="32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5">
        <item x="2"/>
        <item x="4"/>
        <item x="0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6"/>
  </rowFields>
  <rowItems count="20">
    <i>
      <x v="2"/>
      <x v="5"/>
    </i>
    <i>
      <x v="5"/>
      <x v="5"/>
    </i>
    <i>
      <x v="6"/>
      <x v="3"/>
    </i>
    <i>
      <x v="10"/>
      <x v="5"/>
    </i>
    <i>
      <x v="11"/>
      <x/>
    </i>
    <i>
      <x v="13"/>
      <x v="5"/>
    </i>
    <i>
      <x v="14"/>
      <x v="4"/>
    </i>
    <i r="1">
      <x v="5"/>
    </i>
    <i>
      <x v="15"/>
      <x v="3"/>
    </i>
    <i>
      <x v="26"/>
      <x v="4"/>
    </i>
    <i r="1">
      <x v="5"/>
    </i>
    <i>
      <x v="27"/>
      <x v="2"/>
    </i>
    <i r="1">
      <x v="5"/>
    </i>
    <i>
      <x v="28"/>
      <x v="5"/>
    </i>
    <i>
      <x v="30"/>
      <x v="6"/>
    </i>
    <i>
      <x v="33"/>
      <x v="5"/>
    </i>
    <i>
      <x v="36"/>
      <x v="5"/>
    </i>
    <i>
      <x v="37"/>
      <x v="1"/>
    </i>
    <i>
      <x v="43"/>
      <x v="5"/>
    </i>
    <i t="grand">
      <x/>
    </i>
  </rowItems>
  <colItems count="1">
    <i/>
  </colItems>
  <pageFields count="1">
    <pageField fld="8" item="2" hier="-1"/>
  </pageFields>
  <dataFields count="1">
    <dataField name="NOCHES PESCA" fld="6" subtotal="count" baseField="6" baseItem="0"/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Tabla dinámica1" cacheId="101" applyNumberFormats="0" applyBorderFormats="0" applyFontFormats="0" applyPatternFormats="0" applyAlignmentFormats="0" applyWidthHeightFormats="1" dataCaption="Valores" updatedVersion="5" minRefreshableVersion="3" useAutoFormatting="1" colGrandTotals="0" itemPrintTitles="1" createdVersion="5" indent="0" compact="0" compactData="0" multipleFieldFilters="0">
  <location ref="A7:C28" firstHeaderRow="1" firstDataRow="1" firstDataCol="2" rowPageCount="1" colPageCount="1"/>
  <pivotFields count="1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5">
        <item x="29"/>
        <item m="1" x="40"/>
        <item x="20"/>
        <item x="25"/>
        <item m="1" x="38"/>
        <item x="9"/>
        <item x="18"/>
        <item x="14"/>
        <item x="6"/>
        <item x="28"/>
        <item x="8"/>
        <item x="0"/>
        <item m="1" x="35"/>
        <item x="22"/>
        <item x="12"/>
        <item x="4"/>
        <item x="30"/>
        <item x="7"/>
        <item x="24"/>
        <item x="17"/>
        <item x="31"/>
        <item m="1" x="37"/>
        <item x="27"/>
        <item m="1" x="43"/>
        <item x="1"/>
        <item m="1" x="41"/>
        <item x="19"/>
        <item x="16"/>
        <item x="10"/>
        <item m="1" x="42"/>
        <item x="13"/>
        <item x="21"/>
        <item x="26"/>
        <item x="33"/>
        <item m="1" x="44"/>
        <item x="2"/>
        <item x="23"/>
        <item x="15"/>
        <item m="1" x="39"/>
        <item m="1" x="36"/>
        <item x="3"/>
        <item x="5"/>
        <item x="11"/>
        <item x="32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5">
        <item x="2"/>
        <item x="4"/>
        <item x="0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6"/>
  </rowFields>
  <rowItems count="21">
    <i>
      <x v="3"/>
      <x v="5"/>
    </i>
    <i>
      <x v="7"/>
      <x/>
    </i>
    <i>
      <x v="8"/>
      <x v="5"/>
    </i>
    <i>
      <x v="9"/>
      <x v="5"/>
    </i>
    <i>
      <x v="16"/>
      <x v="3"/>
    </i>
    <i r="1">
      <x v="5"/>
    </i>
    <i>
      <x v="17"/>
      <x v="5"/>
    </i>
    <i>
      <x v="18"/>
      <x v="4"/>
    </i>
    <i r="1">
      <x v="5"/>
    </i>
    <i>
      <x v="19"/>
      <x v="2"/>
    </i>
    <i>
      <x v="20"/>
      <x v="2"/>
    </i>
    <i>
      <x v="22"/>
      <x v="6"/>
    </i>
    <i>
      <x v="24"/>
      <x v="1"/>
    </i>
    <i>
      <x v="31"/>
      <x v="5"/>
    </i>
    <i>
      <x v="32"/>
      <x v="5"/>
    </i>
    <i>
      <x v="35"/>
      <x v="2"/>
    </i>
    <i>
      <x v="40"/>
      <x v="2"/>
    </i>
    <i>
      <x v="41"/>
      <x v="4"/>
    </i>
    <i r="1">
      <x v="5"/>
    </i>
    <i>
      <x v="42"/>
      <x v="5"/>
    </i>
    <i t="grand">
      <x/>
    </i>
  </rowItems>
  <colItems count="1">
    <i/>
  </colItems>
  <pageFields count="1">
    <pageField fld="8" item="3" hier="-1"/>
  </pageFields>
  <dataFields count="1">
    <dataField name="NOCHES PESCA" fld="6" subtotal="count" baseField="6" baseItem="1"/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Tabla dinámica5" cacheId="84" applyNumberFormats="0" applyBorderFormats="0" applyFontFormats="0" applyPatternFormats="0" applyAlignmentFormats="0" applyWidthHeightFormats="1" dataCaption="Valores" updatedVersion="5" minRefreshableVersion="3" useAutoFormatting="1" rowGrandTotals="0" colGrandTotals="0" itemPrintTitles="1" createdVersion="5" indent="0" compact="0" compactData="0" multipleFieldFilters="0">
  <location ref="B6:E148" firstHeaderRow="1" firstDataRow="1" firstDataCol="4" rowPageCount="1" colPageCount="1"/>
  <pivotFields count="12">
    <pivotField compact="0" outline="0" showAll="0" defaultSubtotal="0"/>
    <pivotField name="NOCHE #" axis="axisPage" compact="0" outline="0" multipleItemSelectionAllowed="1" showAll="0" defaultSubtotal="0">
      <items count="12">
        <item m="1" x="8"/>
        <item m="1" x="7"/>
        <item x="6"/>
        <item x="3"/>
        <item m="1" x="10"/>
        <item m="1" x="11"/>
        <item m="1" x="9"/>
        <item x="0"/>
        <item x="5"/>
        <item x="2"/>
        <item x="4"/>
        <item x="1"/>
      </items>
    </pivotField>
    <pivotField compact="0" numFmtId="14" outline="0" showAll="0" defaultSubtotal="0"/>
    <pivotField compact="0" outline="0" showAll="0" defaultSubtotal="0"/>
    <pivotField axis="axisRow" compact="0" outline="0" showAll="0" defaultSubtota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m="1" x="30"/>
        <item x="29"/>
        <item m="1" x="31"/>
        <item x="28"/>
      </items>
    </pivotField>
    <pivotField axis="axisRow" compact="0" outline="0" showAll="0" defaultSubtotal="0">
      <items count="44">
        <item m="1" x="39"/>
        <item x="25"/>
        <item x="18"/>
        <item x="14"/>
        <item x="6"/>
        <item x="28"/>
        <item x="8"/>
        <item x="0"/>
        <item m="1" x="35"/>
        <item x="22"/>
        <item x="12"/>
        <item x="30"/>
        <item x="24"/>
        <item x="17"/>
        <item x="31"/>
        <item x="27"/>
        <item m="1" x="42"/>
        <item x="1"/>
        <item m="1" x="40"/>
        <item x="16"/>
        <item m="1" x="41"/>
        <item x="13"/>
        <item x="26"/>
        <item m="1" x="43"/>
        <item x="23"/>
        <item x="15"/>
        <item m="1" x="38"/>
        <item m="1" x="36"/>
        <item x="3"/>
        <item x="5"/>
        <item x="34"/>
        <item x="29"/>
        <item x="4"/>
        <item m="1" x="37"/>
        <item x="10"/>
        <item x="9"/>
        <item x="32"/>
        <item x="11"/>
        <item x="7"/>
        <item x="19"/>
        <item x="33"/>
        <item x="20"/>
        <item x="2"/>
        <item x="21"/>
      </items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8"/>
        <item x="7"/>
      </items>
    </pivotField>
    <pivotField axis="axisRow" compact="0" outline="0" showAll="0" defaultSubtotal="0">
      <items count="23">
        <item m="1" x="13"/>
        <item m="1" x="15"/>
        <item m="1" x="18"/>
        <item x="11"/>
        <item m="1" x="21"/>
        <item m="1" x="16"/>
        <item m="1" x="22"/>
        <item m="1" x="17"/>
        <item m="1" x="14"/>
        <item m="1" x="20"/>
        <item x="4"/>
        <item m="1" x="19"/>
        <item m="1" x="12"/>
        <item x="0"/>
        <item x="5"/>
        <item x="8"/>
        <item x="9"/>
        <item x="3"/>
        <item x="6"/>
        <item x="7"/>
        <item x="1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numFmtId="166" outline="0" showAll="0" defaultSubtotal="0"/>
  </pivotFields>
  <rowFields count="4">
    <field x="4"/>
    <field x="5"/>
    <field x="6"/>
    <field x="7"/>
  </rowFields>
  <rowItems count="142">
    <i>
      <x/>
      <x v="7"/>
      <x/>
      <x v="13"/>
    </i>
    <i r="3">
      <x v="15"/>
    </i>
    <i r="3">
      <x v="17"/>
    </i>
    <i r="3">
      <x v="19"/>
    </i>
    <i r="3">
      <x v="21"/>
    </i>
    <i>
      <x v="1"/>
      <x v="17"/>
      <x v="1"/>
      <x v="13"/>
    </i>
    <i r="3">
      <x v="15"/>
    </i>
    <i r="3">
      <x v="17"/>
    </i>
    <i r="3">
      <x v="19"/>
    </i>
    <i r="3">
      <x v="21"/>
    </i>
    <i>
      <x v="2"/>
      <x v="42"/>
      <x v="2"/>
      <x v="13"/>
    </i>
    <i r="3">
      <x v="15"/>
    </i>
    <i r="3">
      <x v="17"/>
    </i>
    <i r="3">
      <x v="19"/>
    </i>
    <i r="3">
      <x v="21"/>
    </i>
    <i>
      <x v="3"/>
      <x v="28"/>
      <x v="2"/>
      <x v="13"/>
    </i>
    <i r="3">
      <x v="15"/>
    </i>
    <i r="3">
      <x v="17"/>
    </i>
    <i r="3">
      <x v="19"/>
    </i>
    <i r="3">
      <x v="21"/>
    </i>
    <i>
      <x v="4"/>
      <x v="11"/>
      <x v="3"/>
      <x v="13"/>
    </i>
    <i r="3">
      <x v="15"/>
    </i>
    <i r="1">
      <x v="32"/>
      <x v="3"/>
      <x v="17"/>
    </i>
    <i r="3">
      <x v="19"/>
    </i>
    <i r="3">
      <x v="21"/>
    </i>
    <i>
      <x v="5"/>
      <x v="10"/>
      <x v="4"/>
      <x v="13"/>
    </i>
    <i r="3">
      <x v="15"/>
    </i>
    <i r="1">
      <x v="29"/>
      <x v="4"/>
      <x v="17"/>
    </i>
    <i r="3">
      <x v="19"/>
    </i>
    <i r="3">
      <x v="21"/>
    </i>
    <i>
      <x v="6"/>
      <x v="4"/>
      <x v="5"/>
      <x v="13"/>
    </i>
    <i r="3">
      <x v="15"/>
    </i>
    <i r="3">
      <x v="17"/>
    </i>
    <i r="3">
      <x v="19"/>
    </i>
    <i r="3">
      <x v="21"/>
    </i>
    <i>
      <x v="7"/>
      <x v="38"/>
      <x v="5"/>
      <x v="13"/>
    </i>
    <i r="3">
      <x v="15"/>
    </i>
    <i r="3">
      <x v="17"/>
    </i>
    <i r="3">
      <x v="19"/>
    </i>
    <i r="3">
      <x v="21"/>
    </i>
    <i>
      <x v="8"/>
      <x v="5"/>
      <x v="5"/>
      <x v="13"/>
    </i>
    <i r="3">
      <x v="15"/>
    </i>
    <i r="3">
      <x v="17"/>
    </i>
    <i r="3">
      <x v="19"/>
    </i>
    <i r="1">
      <x v="6"/>
      <x v="5"/>
      <x v="21"/>
    </i>
    <i>
      <x v="9"/>
      <x v="6"/>
      <x v="5"/>
      <x v="17"/>
    </i>
    <i r="3">
      <x v="19"/>
    </i>
    <i r="1">
      <x v="29"/>
      <x v="5"/>
      <x v="13"/>
    </i>
    <i r="3">
      <x v="15"/>
    </i>
    <i r="1">
      <x v="35"/>
      <x v="5"/>
      <x v="21"/>
    </i>
    <i>
      <x v="10"/>
      <x v="6"/>
      <x v="5"/>
      <x v="13"/>
    </i>
    <i r="3">
      <x v="15"/>
    </i>
    <i r="1">
      <x v="34"/>
      <x v="5"/>
      <x v="21"/>
    </i>
    <i r="1">
      <x v="35"/>
      <x v="5"/>
      <x v="17"/>
    </i>
    <i r="3">
      <x v="19"/>
    </i>
    <i>
      <x v="11"/>
      <x v="34"/>
      <x v="5"/>
      <x v="17"/>
    </i>
    <i r="3">
      <x v="19"/>
    </i>
    <i r="1">
      <x v="35"/>
      <x v="5"/>
      <x v="13"/>
    </i>
    <i r="3">
      <x v="15"/>
    </i>
    <i r="1">
      <x v="37"/>
      <x v="5"/>
      <x v="21"/>
    </i>
    <i>
      <x v="12"/>
      <x v="10"/>
      <x v="5"/>
      <x v="21"/>
    </i>
    <i r="1">
      <x v="11"/>
      <x v="5"/>
      <x v="19"/>
    </i>
    <i r="1">
      <x v="34"/>
      <x v="5"/>
      <x v="13"/>
    </i>
    <i r="3">
      <x v="15"/>
    </i>
    <i r="1">
      <x v="37"/>
      <x v="5"/>
      <x v="17"/>
    </i>
    <i>
      <x v="13"/>
      <x v="21"/>
      <x v="6"/>
      <x v="13"/>
    </i>
    <i r="3">
      <x v="15"/>
    </i>
    <i r="3">
      <x v="17"/>
    </i>
    <i r="3">
      <x v="19"/>
    </i>
    <i r="3">
      <x v="21"/>
    </i>
    <i>
      <x v="14"/>
      <x v="3"/>
      <x/>
      <x v="14"/>
    </i>
    <i r="3">
      <x v="16"/>
    </i>
    <i r="3">
      <x v="18"/>
    </i>
    <i r="3">
      <x v="20"/>
    </i>
    <i r="3">
      <x v="22"/>
    </i>
    <i>
      <x v="15"/>
      <x v="25"/>
      <x v="1"/>
      <x v="14"/>
    </i>
    <i r="3">
      <x v="16"/>
    </i>
    <i r="3">
      <x v="18"/>
    </i>
    <i r="3">
      <x v="20"/>
    </i>
    <i r="3">
      <x v="22"/>
    </i>
    <i>
      <x v="16"/>
      <x v="14"/>
      <x v="2"/>
      <x v="14"/>
    </i>
    <i r="3">
      <x v="16"/>
    </i>
    <i r="1">
      <x v="19"/>
      <x v="2"/>
      <x v="18"/>
    </i>
    <i r="3">
      <x v="20"/>
    </i>
    <i r="3">
      <x v="22"/>
    </i>
    <i>
      <x v="17"/>
      <x v="13"/>
      <x v="2"/>
      <x v="14"/>
    </i>
    <i r="3">
      <x v="16"/>
    </i>
    <i r="3">
      <x v="18"/>
    </i>
    <i r="3">
      <x v="20"/>
    </i>
    <i r="3">
      <x v="22"/>
    </i>
    <i>
      <x v="18"/>
      <x v="2"/>
      <x v="3"/>
      <x v="14"/>
    </i>
    <i r="3">
      <x v="16"/>
    </i>
    <i r="3">
      <x v="18"/>
    </i>
    <i r="3">
      <x v="20"/>
    </i>
    <i r="3">
      <x v="22"/>
    </i>
    <i>
      <x v="19"/>
      <x v="12"/>
      <x v="4"/>
      <x v="14"/>
    </i>
    <i r="3">
      <x v="16"/>
    </i>
    <i r="1">
      <x v="39"/>
      <x v="4"/>
      <x v="18"/>
    </i>
    <i r="3">
      <x v="20"/>
    </i>
    <i r="3">
      <x v="22"/>
    </i>
    <i>
      <x v="20"/>
      <x v="19"/>
      <x v="5"/>
      <x v="14"/>
    </i>
    <i r="3">
      <x v="16"/>
    </i>
    <i r="1">
      <x v="41"/>
      <x v="5"/>
      <x v="18"/>
    </i>
    <i r="3">
      <x v="20"/>
    </i>
    <i r="3">
      <x v="22"/>
    </i>
    <i>
      <x v="21"/>
      <x v="39"/>
      <x v="5"/>
      <x v="14"/>
    </i>
    <i r="3">
      <x v="16"/>
    </i>
    <i r="1">
      <x v="43"/>
      <x v="5"/>
      <x v="18"/>
    </i>
    <i r="3">
      <x v="20"/>
    </i>
    <i r="3">
      <x v="22"/>
    </i>
    <i>
      <x v="22"/>
      <x v="9"/>
      <x v="5"/>
      <x v="18"/>
    </i>
    <i r="3">
      <x v="20"/>
    </i>
    <i r="3">
      <x v="22"/>
    </i>
    <i r="1">
      <x v="22"/>
      <x v="5"/>
      <x v="14"/>
    </i>
    <i r="3">
      <x v="16"/>
    </i>
    <i>
      <x v="23"/>
      <x v="24"/>
      <x v="5"/>
      <x v="22"/>
    </i>
    <i r="1">
      <x v="36"/>
      <x v="5"/>
      <x v="18"/>
    </i>
    <i r="3">
      <x v="20"/>
    </i>
    <i r="1">
      <x v="41"/>
      <x v="5"/>
      <x v="14"/>
    </i>
    <i r="3">
      <x v="16"/>
    </i>
    <i>
      <x v="24"/>
      <x v="12"/>
      <x v="5"/>
      <x v="22"/>
    </i>
    <i r="1">
      <x v="24"/>
      <x v="5"/>
      <x v="18"/>
    </i>
    <i r="1">
      <x v="40"/>
      <x v="5"/>
      <x v="20"/>
    </i>
    <i r="1">
      <x v="43"/>
      <x v="5"/>
      <x v="14"/>
    </i>
    <i r="3">
      <x v="16"/>
    </i>
    <i>
      <x v="25"/>
      <x v="1"/>
      <x v="5"/>
      <x v="22"/>
    </i>
    <i r="1">
      <x v="9"/>
      <x v="5"/>
      <x v="14"/>
    </i>
    <i r="3">
      <x v="16"/>
    </i>
    <i r="1">
      <x v="12"/>
      <x v="5"/>
      <x v="18"/>
    </i>
    <i r="1">
      <x v="24"/>
      <x v="5"/>
      <x v="20"/>
    </i>
    <i>
      <x v="26"/>
      <x v="1"/>
      <x v="5"/>
      <x v="18"/>
    </i>
    <i r="1">
      <x v="12"/>
      <x v="5"/>
      <x v="20"/>
    </i>
    <i r="1">
      <x v="22"/>
      <x v="5"/>
      <x v="22"/>
    </i>
    <i r="1">
      <x v="36"/>
      <x v="5"/>
      <x v="14"/>
    </i>
    <i r="3">
      <x v="16"/>
    </i>
    <i>
      <x v="27"/>
      <x v="15"/>
      <x v="6"/>
      <x v="14"/>
    </i>
    <i r="3">
      <x v="16"/>
    </i>
    <i r="3">
      <x v="18"/>
    </i>
    <i r="3">
      <x v="20"/>
    </i>
    <i r="3">
      <x v="22"/>
    </i>
    <i>
      <x v="29"/>
      <x v="30"/>
      <x v="7"/>
      <x v="3"/>
    </i>
    <i>
      <x v="31"/>
      <x v="31"/>
      <x v="8"/>
      <x v="10"/>
    </i>
  </rowItems>
  <colItems count="1">
    <i/>
  </colItems>
  <pageFields count="1">
    <pageField fld="1" hier="-1"/>
  </pageFields>
  <formats count="3">
    <format dxfId="2">
      <pivotArea field="1" type="button" dataOnly="0" labelOnly="1" outline="0" axis="axisPage" fieldPosition="0"/>
    </format>
    <format dxfId="1">
      <pivotArea field="1" type="button" dataOnly="0" labelOnly="1" outline="0" axis="axisPage" fieldPosition="0"/>
    </format>
    <format dxfId="0">
      <pivotArea dataOnly="0" labelOnly="1" outline="0" fieldPosition="0">
        <references count="1">
          <reference field="7" count="0"/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3:D46"/>
  <sheetViews>
    <sheetView topLeftCell="A22" zoomScale="80" zoomScaleNormal="80" workbookViewId="0">
      <selection activeCell="B43" sqref="B43"/>
    </sheetView>
  </sheetViews>
  <sheetFormatPr baseColWidth="10" defaultRowHeight="14.4" x14ac:dyDescent="0.3"/>
  <cols>
    <col min="1" max="1" width="4.33203125" bestFit="1" customWidth="1"/>
    <col min="2" max="2" width="40.109375" bestFit="1" customWidth="1"/>
    <col min="3" max="3" width="12.6640625" bestFit="1" customWidth="1"/>
    <col min="4" max="4" width="9.88671875" bestFit="1" customWidth="1"/>
  </cols>
  <sheetData>
    <row r="3" spans="1:4" x14ac:dyDescent="0.3">
      <c r="A3" s="1" t="s">
        <v>0</v>
      </c>
      <c r="B3" s="1" t="s">
        <v>1</v>
      </c>
      <c r="C3" s="1" t="s">
        <v>2</v>
      </c>
      <c r="D3" s="1" t="s">
        <v>41</v>
      </c>
    </row>
    <row r="4" spans="1:4" x14ac:dyDescent="0.3">
      <c r="A4" s="2">
        <v>1</v>
      </c>
      <c r="B4" s="3" t="s">
        <v>22</v>
      </c>
      <c r="C4" s="4" t="s">
        <v>3</v>
      </c>
      <c r="D4" s="3" t="s">
        <v>42</v>
      </c>
    </row>
    <row r="5" spans="1:4" x14ac:dyDescent="0.3">
      <c r="A5" s="2">
        <v>2</v>
      </c>
      <c r="B5" s="3" t="s">
        <v>23</v>
      </c>
      <c r="C5" s="4" t="s">
        <v>4</v>
      </c>
      <c r="D5" s="3" t="s">
        <v>42</v>
      </c>
    </row>
    <row r="6" spans="1:4" x14ac:dyDescent="0.3">
      <c r="A6" s="2">
        <v>3</v>
      </c>
      <c r="B6" s="3" t="s">
        <v>24</v>
      </c>
      <c r="C6" s="4" t="s">
        <v>5</v>
      </c>
      <c r="D6" s="3" t="s">
        <v>42</v>
      </c>
    </row>
    <row r="7" spans="1:4" x14ac:dyDescent="0.3">
      <c r="A7" s="2">
        <v>4</v>
      </c>
      <c r="B7" s="3" t="s">
        <v>25</v>
      </c>
      <c r="C7" s="4" t="s">
        <v>6</v>
      </c>
      <c r="D7" s="3" t="s">
        <v>42</v>
      </c>
    </row>
    <row r="8" spans="1:4" x14ac:dyDescent="0.3">
      <c r="A8" s="2">
        <v>5</v>
      </c>
      <c r="B8" s="3" t="s">
        <v>26</v>
      </c>
      <c r="C8" s="4" t="s">
        <v>7</v>
      </c>
      <c r="D8" s="3" t="s">
        <v>42</v>
      </c>
    </row>
    <row r="9" spans="1:4" x14ac:dyDescent="0.3">
      <c r="A9" s="2">
        <v>6</v>
      </c>
      <c r="B9" s="3" t="s">
        <v>27</v>
      </c>
      <c r="C9" s="4" t="s">
        <v>8</v>
      </c>
      <c r="D9" s="3" t="s">
        <v>42</v>
      </c>
    </row>
    <row r="10" spans="1:4" x14ac:dyDescent="0.3">
      <c r="A10" s="2">
        <v>7</v>
      </c>
      <c r="B10" s="3" t="s">
        <v>28</v>
      </c>
      <c r="C10" s="4" t="s">
        <v>9</v>
      </c>
      <c r="D10" s="3" t="s">
        <v>42</v>
      </c>
    </row>
    <row r="11" spans="1:4" x14ac:dyDescent="0.3">
      <c r="A11" s="2">
        <v>8</v>
      </c>
      <c r="B11" s="3" t="s">
        <v>29</v>
      </c>
      <c r="C11" s="5" t="s">
        <v>10</v>
      </c>
      <c r="D11" s="3" t="s">
        <v>42</v>
      </c>
    </row>
    <row r="12" spans="1:4" x14ac:dyDescent="0.3">
      <c r="A12" s="2">
        <v>9</v>
      </c>
      <c r="B12" s="3" t="s">
        <v>30</v>
      </c>
      <c r="C12" s="5" t="s">
        <v>11</v>
      </c>
      <c r="D12" s="3" t="s">
        <v>42</v>
      </c>
    </row>
    <row r="13" spans="1:4" x14ac:dyDescent="0.3">
      <c r="A13" s="2">
        <v>10</v>
      </c>
      <c r="B13" s="3" t="s">
        <v>31</v>
      </c>
      <c r="C13" s="6" t="s">
        <v>12</v>
      </c>
      <c r="D13" s="3" t="s">
        <v>42</v>
      </c>
    </row>
    <row r="14" spans="1:4" x14ac:dyDescent="0.3">
      <c r="A14" s="2">
        <v>11</v>
      </c>
      <c r="B14" s="3" t="s">
        <v>32</v>
      </c>
      <c r="C14" s="2" t="s">
        <v>13</v>
      </c>
      <c r="D14" s="3" t="s">
        <v>42</v>
      </c>
    </row>
    <row r="15" spans="1:4" x14ac:dyDescent="0.3">
      <c r="A15" s="2">
        <v>12</v>
      </c>
      <c r="B15" s="3" t="s">
        <v>33</v>
      </c>
      <c r="C15" s="2" t="s">
        <v>14</v>
      </c>
      <c r="D15" s="3" t="s">
        <v>42</v>
      </c>
    </row>
    <row r="16" spans="1:4" x14ac:dyDescent="0.3">
      <c r="A16" s="2">
        <v>13</v>
      </c>
      <c r="B16" s="3" t="s">
        <v>34</v>
      </c>
      <c r="C16" s="2" t="s">
        <v>15</v>
      </c>
      <c r="D16" s="3" t="s">
        <v>42</v>
      </c>
    </row>
    <row r="17" spans="1:4" x14ac:dyDescent="0.3">
      <c r="A17" s="2">
        <v>14</v>
      </c>
      <c r="B17" s="3" t="s">
        <v>35</v>
      </c>
      <c r="C17" s="2" t="s">
        <v>16</v>
      </c>
      <c r="D17" s="3" t="s">
        <v>42</v>
      </c>
    </row>
    <row r="18" spans="1:4" x14ac:dyDescent="0.3">
      <c r="A18" s="2">
        <v>15</v>
      </c>
      <c r="B18" s="3" t="s">
        <v>36</v>
      </c>
      <c r="C18" s="2" t="s">
        <v>17</v>
      </c>
      <c r="D18" s="3" t="s">
        <v>42</v>
      </c>
    </row>
    <row r="19" spans="1:4" x14ac:dyDescent="0.3">
      <c r="A19" s="2">
        <v>16</v>
      </c>
      <c r="B19" s="3" t="s">
        <v>37</v>
      </c>
      <c r="C19" s="2" t="s">
        <v>18</v>
      </c>
      <c r="D19" s="3" t="s">
        <v>42</v>
      </c>
    </row>
    <row r="20" spans="1:4" x14ac:dyDescent="0.3">
      <c r="A20" s="2">
        <v>17</v>
      </c>
      <c r="B20" s="3" t="s">
        <v>38</v>
      </c>
      <c r="C20" s="2" t="s">
        <v>19</v>
      </c>
      <c r="D20" s="3" t="s">
        <v>42</v>
      </c>
    </row>
    <row r="21" spans="1:4" x14ac:dyDescent="0.3">
      <c r="A21" s="2">
        <v>18</v>
      </c>
      <c r="B21" s="3" t="s">
        <v>39</v>
      </c>
      <c r="C21" s="2" t="s">
        <v>20</v>
      </c>
      <c r="D21" s="3" t="s">
        <v>42</v>
      </c>
    </row>
    <row r="22" spans="1:4" x14ac:dyDescent="0.3">
      <c r="A22" s="2">
        <v>19</v>
      </c>
      <c r="B22" s="3" t="s">
        <v>40</v>
      </c>
      <c r="C22" s="2" t="s">
        <v>21</v>
      </c>
      <c r="D22" s="3" t="s">
        <v>42</v>
      </c>
    </row>
    <row r="23" spans="1:4" x14ac:dyDescent="0.3">
      <c r="A23" s="2">
        <v>20</v>
      </c>
      <c r="B23" s="3" t="s">
        <v>43</v>
      </c>
      <c r="C23" s="2" t="s">
        <v>44</v>
      </c>
      <c r="D23" s="3" t="s">
        <v>71</v>
      </c>
    </row>
    <row r="24" spans="1:4" x14ac:dyDescent="0.3">
      <c r="A24" s="2">
        <v>21</v>
      </c>
      <c r="B24" s="3" t="s">
        <v>45</v>
      </c>
      <c r="C24" s="2" t="s">
        <v>46</v>
      </c>
      <c r="D24" s="3" t="s">
        <v>71</v>
      </c>
    </row>
    <row r="25" spans="1:4" x14ac:dyDescent="0.3">
      <c r="A25" s="2">
        <v>22</v>
      </c>
      <c r="B25" s="3" t="s">
        <v>47</v>
      </c>
      <c r="C25" s="2" t="s">
        <v>48</v>
      </c>
      <c r="D25" s="3" t="s">
        <v>71</v>
      </c>
    </row>
    <row r="26" spans="1:4" x14ac:dyDescent="0.3">
      <c r="A26" s="2">
        <v>23</v>
      </c>
      <c r="B26" s="3" t="s">
        <v>49</v>
      </c>
      <c r="C26" s="2" t="s">
        <v>50</v>
      </c>
      <c r="D26" s="3" t="s">
        <v>71</v>
      </c>
    </row>
    <row r="27" spans="1:4" x14ac:dyDescent="0.3">
      <c r="A27" s="2">
        <v>24</v>
      </c>
      <c r="B27" s="3" t="s">
        <v>51</v>
      </c>
      <c r="C27" s="2" t="s">
        <v>52</v>
      </c>
      <c r="D27" s="3" t="s">
        <v>71</v>
      </c>
    </row>
    <row r="28" spans="1:4" x14ac:dyDescent="0.3">
      <c r="A28" s="2">
        <v>25</v>
      </c>
      <c r="B28" s="3" t="s">
        <v>53</v>
      </c>
      <c r="C28" s="2" t="s">
        <v>54</v>
      </c>
      <c r="D28" s="3" t="s">
        <v>71</v>
      </c>
    </row>
    <row r="29" spans="1:4" x14ac:dyDescent="0.3">
      <c r="A29" s="2">
        <v>26</v>
      </c>
      <c r="B29" s="3" t="s">
        <v>55</v>
      </c>
      <c r="C29" s="2" t="s">
        <v>56</v>
      </c>
      <c r="D29" s="3" t="s">
        <v>71</v>
      </c>
    </row>
    <row r="30" spans="1:4" x14ac:dyDescent="0.3">
      <c r="A30" s="2">
        <v>27</v>
      </c>
      <c r="B30" s="3" t="s">
        <v>57</v>
      </c>
      <c r="C30" s="2" t="s">
        <v>58</v>
      </c>
      <c r="D30" s="3" t="s">
        <v>71</v>
      </c>
    </row>
    <row r="31" spans="1:4" x14ac:dyDescent="0.3">
      <c r="A31" s="2">
        <v>28</v>
      </c>
      <c r="B31" s="3" t="s">
        <v>59</v>
      </c>
      <c r="C31" s="2" t="s">
        <v>60</v>
      </c>
      <c r="D31" s="3" t="s">
        <v>71</v>
      </c>
    </row>
    <row r="32" spans="1:4" x14ac:dyDescent="0.3">
      <c r="A32" s="2">
        <v>29</v>
      </c>
      <c r="B32" s="3" t="s">
        <v>61</v>
      </c>
      <c r="C32" s="2" t="s">
        <v>62</v>
      </c>
      <c r="D32" s="3" t="s">
        <v>71</v>
      </c>
    </row>
    <row r="33" spans="1:4" x14ac:dyDescent="0.3">
      <c r="A33" s="2">
        <v>30</v>
      </c>
      <c r="B33" s="3" t="s">
        <v>63</v>
      </c>
      <c r="C33" s="2" t="s">
        <v>64</v>
      </c>
      <c r="D33" s="3" t="s">
        <v>71</v>
      </c>
    </row>
    <row r="34" spans="1:4" x14ac:dyDescent="0.3">
      <c r="A34" s="2">
        <v>31</v>
      </c>
      <c r="B34" s="3" t="s">
        <v>65</v>
      </c>
      <c r="C34" s="2" t="s">
        <v>66</v>
      </c>
      <c r="D34" s="3" t="s">
        <v>71</v>
      </c>
    </row>
    <row r="35" spans="1:4" x14ac:dyDescent="0.3">
      <c r="A35" s="2">
        <v>32</v>
      </c>
      <c r="B35" s="3" t="s">
        <v>67</v>
      </c>
      <c r="C35" s="2" t="s">
        <v>68</v>
      </c>
      <c r="D35" s="3" t="s">
        <v>71</v>
      </c>
    </row>
    <row r="36" spans="1:4" x14ac:dyDescent="0.3">
      <c r="A36" s="2">
        <v>33</v>
      </c>
      <c r="B36" s="3" t="s">
        <v>69</v>
      </c>
      <c r="C36" s="2" t="s">
        <v>70</v>
      </c>
      <c r="D36" s="3" t="s">
        <v>71</v>
      </c>
    </row>
    <row r="37" spans="1:4" x14ac:dyDescent="0.3">
      <c r="A37" s="2">
        <v>34</v>
      </c>
      <c r="B37" s="3" t="s">
        <v>141</v>
      </c>
      <c r="C37" s="2" t="s">
        <v>142</v>
      </c>
      <c r="D37" s="3" t="s">
        <v>42</v>
      </c>
    </row>
    <row r="38" spans="1:4" x14ac:dyDescent="0.3">
      <c r="A38" s="2">
        <v>35</v>
      </c>
      <c r="B38" s="3" t="s">
        <v>147</v>
      </c>
      <c r="C38" s="2" t="s">
        <v>136</v>
      </c>
      <c r="D38" s="3" t="s">
        <v>71</v>
      </c>
    </row>
    <row r="39" spans="1:4" x14ac:dyDescent="0.3">
      <c r="A39" s="2">
        <v>36</v>
      </c>
      <c r="B39" s="3" t="s">
        <v>149</v>
      </c>
      <c r="C39" s="2" t="s">
        <v>137</v>
      </c>
      <c r="D39" s="3" t="s">
        <v>71</v>
      </c>
    </row>
    <row r="40" spans="1:4" x14ac:dyDescent="0.3">
      <c r="A40" s="2">
        <v>37</v>
      </c>
      <c r="B40" s="3" t="s">
        <v>148</v>
      </c>
      <c r="C40" s="2" t="s">
        <v>138</v>
      </c>
      <c r="D40" s="3" t="s">
        <v>71</v>
      </c>
    </row>
    <row r="41" spans="1:4" x14ac:dyDescent="0.3">
      <c r="A41" s="2">
        <v>38</v>
      </c>
      <c r="B41" s="3" t="s">
        <v>140</v>
      </c>
      <c r="C41" s="2" t="s">
        <v>139</v>
      </c>
      <c r="D41" s="3" t="s">
        <v>71</v>
      </c>
    </row>
    <row r="42" spans="1:4" x14ac:dyDescent="0.3">
      <c r="A42" s="2">
        <v>39</v>
      </c>
      <c r="B42" s="3" t="s">
        <v>143</v>
      </c>
      <c r="C42" s="2" t="s">
        <v>144</v>
      </c>
      <c r="D42" s="3" t="s">
        <v>71</v>
      </c>
    </row>
    <row r="43" spans="1:4" x14ac:dyDescent="0.3">
      <c r="A43" s="2">
        <v>40</v>
      </c>
      <c r="B43" s="3" t="s">
        <v>145</v>
      </c>
      <c r="C43" s="2" t="s">
        <v>146</v>
      </c>
      <c r="D43" s="3" t="s">
        <v>71</v>
      </c>
    </row>
    <row r="44" spans="1:4" x14ac:dyDescent="0.3">
      <c r="A44" s="2">
        <v>41</v>
      </c>
      <c r="B44" s="3" t="s">
        <v>150</v>
      </c>
      <c r="C44" s="2" t="s">
        <v>151</v>
      </c>
      <c r="D44" s="3" t="s">
        <v>42</v>
      </c>
    </row>
    <row r="45" spans="1:4" x14ac:dyDescent="0.3">
      <c r="A45" s="2">
        <v>42</v>
      </c>
      <c r="B45" s="3" t="s">
        <v>154</v>
      </c>
      <c r="C45" s="2" t="s">
        <v>155</v>
      </c>
      <c r="D45" s="3" t="s">
        <v>42</v>
      </c>
    </row>
    <row r="46" spans="1:4" x14ac:dyDescent="0.3">
      <c r="A46" s="2">
        <v>43</v>
      </c>
      <c r="B46" s="2"/>
      <c r="C46" s="2"/>
      <c r="D46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C11"/>
  <sheetViews>
    <sheetView workbookViewId="0">
      <selection activeCell="C7" sqref="C7"/>
    </sheetView>
  </sheetViews>
  <sheetFormatPr baseColWidth="10" defaultRowHeight="14.4" x14ac:dyDescent="0.3"/>
  <sheetData>
    <row r="2" spans="2:3" x14ac:dyDescent="0.3">
      <c r="B2" s="7" t="s">
        <v>72</v>
      </c>
      <c r="C2" s="8" t="s">
        <v>73</v>
      </c>
    </row>
    <row r="3" spans="2:3" x14ac:dyDescent="0.3">
      <c r="B3" s="9" t="s">
        <v>92</v>
      </c>
      <c r="C3" s="10"/>
    </row>
    <row r="4" spans="2:3" x14ac:dyDescent="0.3">
      <c r="B4" s="9" t="s">
        <v>85</v>
      </c>
      <c r="C4" s="10">
        <v>0</v>
      </c>
    </row>
    <row r="5" spans="2:3" x14ac:dyDescent="0.3">
      <c r="B5" s="9" t="s">
        <v>86</v>
      </c>
      <c r="C5" s="10">
        <v>0</v>
      </c>
    </row>
    <row r="6" spans="2:3" x14ac:dyDescent="0.3">
      <c r="B6" s="9" t="s">
        <v>87</v>
      </c>
      <c r="C6" s="10">
        <v>0</v>
      </c>
    </row>
    <row r="7" spans="2:3" x14ac:dyDescent="0.3">
      <c r="B7" s="11" t="s">
        <v>88</v>
      </c>
      <c r="C7" s="12">
        <v>0</v>
      </c>
    </row>
    <row r="8" spans="2:3" x14ac:dyDescent="0.3">
      <c r="B8" s="11" t="s">
        <v>89</v>
      </c>
      <c r="C8" s="12">
        <v>0</v>
      </c>
    </row>
    <row r="9" spans="2:3" x14ac:dyDescent="0.3">
      <c r="B9" s="9" t="s">
        <v>90</v>
      </c>
      <c r="C9" s="10">
        <v>0</v>
      </c>
    </row>
    <row r="10" spans="2:3" x14ac:dyDescent="0.3">
      <c r="B10" s="9" t="s">
        <v>91</v>
      </c>
      <c r="C10" s="10">
        <v>0</v>
      </c>
    </row>
    <row r="11" spans="2:3" x14ac:dyDescent="0.3">
      <c r="B11" s="9" t="s">
        <v>93</v>
      </c>
      <c r="C11" s="10">
        <v>0</v>
      </c>
    </row>
  </sheetData>
  <sortState ref="B3:C11">
    <sortCondition ref="B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U109"/>
  <sheetViews>
    <sheetView zoomScale="85" zoomScaleNormal="85" workbookViewId="0">
      <pane xSplit="8" ySplit="10" topLeftCell="I11" activePane="bottomRight" state="frozen"/>
      <selection pane="topRight" activeCell="I1" sqref="I1"/>
      <selection pane="bottomLeft" activeCell="A11" sqref="A11"/>
      <selection pane="bottomRight" activeCell="B3" sqref="B3:C3"/>
    </sheetView>
  </sheetViews>
  <sheetFormatPr baseColWidth="10" defaultRowHeight="14.4" x14ac:dyDescent="0.3"/>
  <cols>
    <col min="1" max="1" width="37.5546875" bestFit="1" customWidth="1"/>
    <col min="2" max="7" width="4.33203125" customWidth="1"/>
    <col min="8" max="8" width="10.44140625" customWidth="1"/>
    <col min="9" max="9" width="45.6640625" customWidth="1"/>
    <col min="10" max="10" width="16.109375" customWidth="1"/>
    <col min="11" max="11" width="15" customWidth="1"/>
    <col min="12" max="12" width="15.44140625" customWidth="1"/>
    <col min="13" max="15" width="24.6640625" customWidth="1"/>
    <col min="16" max="16" width="32.6640625" customWidth="1"/>
    <col min="17" max="17" width="5.6640625" customWidth="1"/>
  </cols>
  <sheetData>
    <row r="1" spans="1:21" ht="36" customHeight="1" thickBot="1" x14ac:dyDescent="0.7">
      <c r="A1" s="29" t="s">
        <v>75</v>
      </c>
      <c r="B1" s="13"/>
      <c r="C1" s="13"/>
      <c r="D1" s="13"/>
      <c r="E1" s="13"/>
      <c r="F1" s="13"/>
      <c r="G1" s="13"/>
      <c r="H1" s="13"/>
      <c r="I1" s="30" t="s">
        <v>74</v>
      </c>
      <c r="J1" s="13"/>
      <c r="K1" s="13"/>
      <c r="L1" s="13"/>
      <c r="M1" s="13"/>
      <c r="N1" s="13"/>
      <c r="O1" s="13"/>
      <c r="P1" s="13"/>
      <c r="Q1" s="13"/>
      <c r="R1" s="13"/>
      <c r="S1" s="13"/>
    </row>
    <row r="2" spans="1:21" ht="21" x14ac:dyDescent="0.4">
      <c r="A2" s="21" t="s">
        <v>95</v>
      </c>
      <c r="B2" s="105">
        <f ca="1">TODAY()</f>
        <v>43136</v>
      </c>
      <c r="C2" s="106"/>
      <c r="D2" s="106"/>
      <c r="E2" s="106"/>
      <c r="F2" s="106"/>
      <c r="G2" s="106"/>
      <c r="H2" s="107"/>
      <c r="I2" s="31" t="s">
        <v>94</v>
      </c>
      <c r="J2" s="70"/>
      <c r="K2" s="13"/>
      <c r="L2" s="13"/>
      <c r="M2" s="13"/>
      <c r="N2" s="13"/>
      <c r="O2" s="13"/>
      <c r="P2" s="13"/>
      <c r="Q2" s="13"/>
      <c r="R2" s="13"/>
      <c r="S2" s="13"/>
    </row>
    <row r="3" spans="1:21" ht="21.6" thickBot="1" x14ac:dyDescent="0.45">
      <c r="A3" s="21" t="s">
        <v>76</v>
      </c>
      <c r="B3" s="111"/>
      <c r="C3" s="112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</row>
    <row r="4" spans="1:21" ht="21" x14ac:dyDescent="0.4">
      <c r="A4" s="21" t="s">
        <v>78</v>
      </c>
      <c r="B4" s="17"/>
      <c r="C4" s="14" t="s">
        <v>83</v>
      </c>
      <c r="D4" s="22"/>
      <c r="E4" s="13"/>
      <c r="F4" s="13"/>
      <c r="G4" s="13"/>
      <c r="H4" s="13"/>
      <c r="I4" s="67" t="s">
        <v>105</v>
      </c>
      <c r="J4" s="68" t="s">
        <v>81</v>
      </c>
      <c r="K4" s="68" t="s">
        <v>82</v>
      </c>
      <c r="L4" s="69" t="s">
        <v>41</v>
      </c>
      <c r="M4" s="13"/>
      <c r="N4" s="13"/>
      <c r="O4" s="13"/>
      <c r="P4" s="13"/>
      <c r="Q4" s="13"/>
      <c r="R4" s="13"/>
      <c r="S4" s="13"/>
    </row>
    <row r="5" spans="1:21" ht="21" x14ac:dyDescent="0.4">
      <c r="A5" s="21" t="s">
        <v>77</v>
      </c>
      <c r="B5" s="73"/>
      <c r="C5" s="74"/>
      <c r="D5" s="74"/>
      <c r="E5" s="74"/>
      <c r="F5" s="74"/>
      <c r="G5" s="75"/>
      <c r="H5" s="13"/>
      <c r="I5" s="19"/>
      <c r="J5" s="20"/>
      <c r="K5" s="20">
        <v>40</v>
      </c>
      <c r="L5" s="18" t="str">
        <f>IF(I5=0," ",VLOOKUP(I5,'NOMINAS PSM&amp;BIO'!B:D,3,FALSE))</f>
        <v xml:space="preserve"> </v>
      </c>
      <c r="M5" s="13"/>
      <c r="N5" s="13"/>
      <c r="O5" s="13"/>
      <c r="P5" s="13"/>
      <c r="Q5" s="13"/>
      <c r="R5" s="13"/>
      <c r="S5" s="13"/>
      <c r="T5" s="13" t="e">
        <f>VLOOKUP(I5,P:Q,2)</f>
        <v>#N/A</v>
      </c>
      <c r="U5" t="e">
        <f>VLOOKUP(T5,H:L,2)</f>
        <v>#N/A</v>
      </c>
    </row>
    <row r="6" spans="1:21" x14ac:dyDescent="0.3">
      <c r="A6" s="13"/>
      <c r="B6" s="72" t="str">
        <f t="shared" ref="B6:G6" si="0">IF(B5=0," ",B5)</f>
        <v xml:space="preserve"> </v>
      </c>
      <c r="C6" s="72" t="str">
        <f t="shared" si="0"/>
        <v xml:space="preserve"> </v>
      </c>
      <c r="D6" s="72" t="str">
        <f t="shared" si="0"/>
        <v xml:space="preserve"> </v>
      </c>
      <c r="E6" s="72" t="str">
        <f t="shared" si="0"/>
        <v xml:space="preserve"> </v>
      </c>
      <c r="F6" s="72" t="str">
        <f t="shared" si="0"/>
        <v xml:space="preserve"> </v>
      </c>
      <c r="G6" s="72" t="str">
        <f t="shared" si="0"/>
        <v xml:space="preserve"> </v>
      </c>
      <c r="H6" s="13"/>
      <c r="I6" s="108" t="str">
        <f>IF(I5=0," ",IF(I5=U5,"OJO PERSONA YA ESTA EN LISTA, REVISA BIEN POR FAVOR"," "))</f>
        <v xml:space="preserve"> </v>
      </c>
      <c r="J6" s="13"/>
      <c r="K6" s="13"/>
      <c r="L6" s="13"/>
      <c r="M6" s="13"/>
      <c r="N6" s="13"/>
      <c r="O6" s="13"/>
      <c r="P6" s="13"/>
      <c r="Q6" s="13"/>
      <c r="R6" s="13"/>
      <c r="S6" s="13"/>
    </row>
    <row r="7" spans="1:21" x14ac:dyDescent="0.3">
      <c r="A7" s="13"/>
      <c r="B7" s="13"/>
      <c r="C7" s="13"/>
      <c r="D7" s="13"/>
      <c r="E7" s="13"/>
      <c r="F7" s="13"/>
      <c r="G7" s="13"/>
      <c r="H7" s="13"/>
      <c r="I7" s="109"/>
      <c r="J7" s="13"/>
      <c r="K7" s="13"/>
      <c r="L7" s="13"/>
      <c r="M7" s="13"/>
      <c r="N7" s="13"/>
      <c r="O7" s="13"/>
      <c r="P7" s="13"/>
      <c r="Q7" s="13"/>
      <c r="R7" s="13"/>
      <c r="S7" s="13"/>
    </row>
    <row r="8" spans="1:21" ht="15" thickBot="1" x14ac:dyDescent="0.35">
      <c r="A8" s="13"/>
      <c r="B8" s="13"/>
      <c r="C8" s="13"/>
      <c r="D8" s="13"/>
      <c r="E8" s="13"/>
      <c r="F8" s="13"/>
      <c r="G8" s="13"/>
      <c r="H8" s="13"/>
      <c r="I8" s="110"/>
      <c r="J8" s="13"/>
      <c r="K8" s="13"/>
      <c r="L8" s="13"/>
      <c r="M8" s="13"/>
      <c r="N8" s="13"/>
      <c r="O8" s="13"/>
      <c r="P8" s="13"/>
      <c r="Q8" s="13"/>
      <c r="R8" s="13"/>
      <c r="S8" s="13"/>
    </row>
    <row r="9" spans="1:21" ht="21.6" thickBot="1" x14ac:dyDescent="0.45">
      <c r="A9" s="13"/>
      <c r="B9" s="13"/>
      <c r="C9" s="13"/>
      <c r="D9" s="13"/>
      <c r="E9" s="13"/>
      <c r="F9" s="13"/>
      <c r="G9" s="13"/>
      <c r="H9" s="36" t="s">
        <v>79</v>
      </c>
      <c r="I9" s="37" t="s">
        <v>80</v>
      </c>
      <c r="J9" s="38" t="s">
        <v>81</v>
      </c>
      <c r="K9" s="38" t="s">
        <v>110</v>
      </c>
      <c r="L9" s="39" t="s">
        <v>41</v>
      </c>
      <c r="M9" s="13"/>
      <c r="N9" s="13"/>
      <c r="O9" s="13"/>
      <c r="P9" s="32" t="s">
        <v>80</v>
      </c>
      <c r="Q9" s="27" t="s">
        <v>79</v>
      </c>
      <c r="R9" s="13"/>
      <c r="S9" s="13"/>
    </row>
    <row r="10" spans="1:21" ht="0.6" customHeight="1" x14ac:dyDescent="0.3">
      <c r="A10" s="15" t="s">
        <v>84</v>
      </c>
      <c r="B10" s="16"/>
      <c r="C10" s="13"/>
      <c r="D10" s="13"/>
      <c r="E10" s="13"/>
      <c r="F10" s="13"/>
      <c r="G10" s="13"/>
      <c r="H10" s="26">
        <v>0</v>
      </c>
      <c r="I10" s="103" t="s">
        <v>53</v>
      </c>
      <c r="J10" s="104" t="s">
        <v>85</v>
      </c>
      <c r="K10" s="25">
        <v>40</v>
      </c>
      <c r="L10" s="104" t="s">
        <v>71</v>
      </c>
      <c r="M10" s="13"/>
      <c r="N10" s="13"/>
      <c r="O10" s="13"/>
      <c r="P10" s="34" t="s">
        <v>140</v>
      </c>
      <c r="Q10" s="13">
        <v>6</v>
      </c>
      <c r="R10" s="13"/>
      <c r="S10" s="13"/>
    </row>
    <row r="11" spans="1:21" x14ac:dyDescent="0.3">
      <c r="A11" s="28" t="s">
        <v>55</v>
      </c>
      <c r="B11" s="13"/>
      <c r="C11" s="13"/>
      <c r="D11" s="13"/>
      <c r="E11" s="13"/>
      <c r="F11" s="13"/>
      <c r="G11" s="13"/>
      <c r="H11" s="24">
        <v>1</v>
      </c>
      <c r="I11" s="101"/>
      <c r="J11" s="83"/>
      <c r="K11" s="81"/>
      <c r="L11" s="83"/>
      <c r="M11" s="13"/>
      <c r="N11" s="13"/>
      <c r="O11" s="13"/>
      <c r="P11" s="34"/>
      <c r="Q11" s="13"/>
      <c r="R11" s="13"/>
      <c r="S11" s="13"/>
    </row>
    <row r="12" spans="1:21" x14ac:dyDescent="0.3">
      <c r="B12" s="13"/>
      <c r="C12" s="13"/>
      <c r="D12" s="13"/>
      <c r="E12" s="13"/>
      <c r="F12" s="13"/>
      <c r="G12" s="13"/>
      <c r="H12" s="23">
        <v>2</v>
      </c>
      <c r="K12" s="40"/>
      <c r="M12" s="13"/>
      <c r="N12" s="13"/>
      <c r="O12" s="13"/>
      <c r="P12" s="34"/>
      <c r="Q12" s="13"/>
      <c r="R12" s="13"/>
      <c r="S12" s="13"/>
    </row>
    <row r="13" spans="1:21" x14ac:dyDescent="0.3">
      <c r="B13" s="13"/>
      <c r="C13" s="13"/>
      <c r="D13" s="13"/>
      <c r="E13" s="13"/>
      <c r="F13" s="13"/>
      <c r="G13" s="13"/>
      <c r="H13" s="23">
        <v>3</v>
      </c>
      <c r="K13" s="40"/>
      <c r="M13" s="13"/>
      <c r="N13" s="13"/>
      <c r="O13" s="13"/>
      <c r="P13" s="34"/>
      <c r="Q13" s="13"/>
      <c r="R13" s="13"/>
      <c r="S13" s="13"/>
    </row>
    <row r="14" spans="1:21" x14ac:dyDescent="0.3">
      <c r="B14" s="13"/>
      <c r="C14" s="13"/>
      <c r="D14" s="13"/>
      <c r="E14" s="13"/>
      <c r="F14" s="13"/>
      <c r="G14" s="13"/>
      <c r="H14" s="23">
        <v>4</v>
      </c>
      <c r="K14" s="40"/>
      <c r="M14" s="13"/>
      <c r="N14" s="13"/>
      <c r="O14" s="13"/>
      <c r="P14" s="34"/>
      <c r="Q14" s="13"/>
      <c r="R14" s="13"/>
      <c r="S14" s="13"/>
    </row>
    <row r="15" spans="1:21" x14ac:dyDescent="0.3">
      <c r="B15" s="13"/>
      <c r="C15" s="13"/>
      <c r="D15" s="13"/>
      <c r="E15" s="13"/>
      <c r="F15" s="13"/>
      <c r="G15" s="13"/>
      <c r="H15" s="23">
        <v>5</v>
      </c>
      <c r="K15" s="40"/>
      <c r="M15" s="13"/>
      <c r="N15" s="13"/>
      <c r="O15" s="13"/>
      <c r="P15" s="34"/>
      <c r="Q15" s="13"/>
      <c r="R15" s="13"/>
      <c r="S15" s="13"/>
    </row>
    <row r="16" spans="1:21" x14ac:dyDescent="0.3">
      <c r="B16" s="13"/>
      <c r="C16" s="13"/>
      <c r="D16" s="13"/>
      <c r="E16" s="13"/>
      <c r="F16" s="13"/>
      <c r="G16" s="13"/>
      <c r="H16" s="23">
        <v>6</v>
      </c>
      <c r="K16" s="40"/>
      <c r="M16" s="13"/>
      <c r="N16" s="13"/>
      <c r="O16" s="13"/>
      <c r="P16" s="34"/>
      <c r="Q16" s="13"/>
      <c r="R16" s="13"/>
      <c r="S16" s="13"/>
    </row>
    <row r="17" spans="2:19" x14ac:dyDescent="0.3">
      <c r="B17" s="13"/>
      <c r="C17" s="13"/>
      <c r="D17" s="13"/>
      <c r="E17" s="13"/>
      <c r="F17" s="13"/>
      <c r="G17" s="13"/>
      <c r="H17" s="23">
        <v>7</v>
      </c>
      <c r="K17" s="40"/>
      <c r="M17" s="13"/>
      <c r="N17" s="13"/>
      <c r="O17" s="13"/>
      <c r="P17" s="34"/>
      <c r="Q17" s="13"/>
      <c r="R17" s="13"/>
      <c r="S17" s="13"/>
    </row>
    <row r="18" spans="2:19" x14ac:dyDescent="0.3">
      <c r="B18" s="13"/>
      <c r="C18" s="13"/>
      <c r="D18" s="13"/>
      <c r="E18" s="13"/>
      <c r="F18" s="13"/>
      <c r="G18" s="13"/>
      <c r="H18" s="23">
        <v>8</v>
      </c>
      <c r="K18" s="40"/>
      <c r="M18" s="13"/>
      <c r="N18" s="13"/>
      <c r="O18" s="13"/>
      <c r="P18" s="34"/>
      <c r="Q18" s="13"/>
      <c r="R18" s="13"/>
      <c r="S18" s="13"/>
    </row>
    <row r="19" spans="2:19" x14ac:dyDescent="0.3">
      <c r="B19" s="13"/>
      <c r="C19" s="13"/>
      <c r="D19" s="13"/>
      <c r="E19" s="13"/>
      <c r="F19" s="13"/>
      <c r="G19" s="13"/>
      <c r="H19" s="23">
        <v>9</v>
      </c>
      <c r="K19" s="40"/>
      <c r="M19" s="13"/>
      <c r="N19" s="13"/>
      <c r="O19" s="13"/>
      <c r="P19" s="33"/>
      <c r="Q19" s="13"/>
      <c r="R19" s="13"/>
      <c r="S19" s="13"/>
    </row>
    <row r="20" spans="2:19" x14ac:dyDescent="0.3">
      <c r="B20" s="13"/>
      <c r="C20" s="13"/>
      <c r="D20" s="13"/>
      <c r="E20" s="13"/>
      <c r="F20" s="13"/>
      <c r="G20" s="13"/>
      <c r="H20" s="23">
        <v>10</v>
      </c>
      <c r="K20" s="40"/>
      <c r="M20" s="13"/>
      <c r="N20" s="13"/>
      <c r="O20" s="13"/>
      <c r="P20" s="34"/>
      <c r="Q20" s="13"/>
      <c r="R20" s="13"/>
      <c r="S20" s="13"/>
    </row>
    <row r="21" spans="2:19" x14ac:dyDescent="0.3">
      <c r="B21" s="13"/>
      <c r="C21" s="13"/>
      <c r="D21" s="13"/>
      <c r="E21" s="13"/>
      <c r="F21" s="13"/>
      <c r="G21" s="13"/>
      <c r="H21" s="23">
        <v>11</v>
      </c>
      <c r="K21" s="40"/>
      <c r="M21" s="13"/>
      <c r="N21" s="13"/>
      <c r="O21" s="13"/>
      <c r="P21" s="34"/>
      <c r="Q21" s="13"/>
      <c r="R21" s="13"/>
      <c r="S21" s="13"/>
    </row>
    <row r="22" spans="2:19" x14ac:dyDescent="0.3">
      <c r="B22" s="13"/>
      <c r="C22" s="13"/>
      <c r="D22" s="13"/>
      <c r="E22" s="13"/>
      <c r="F22" s="13"/>
      <c r="G22" s="13"/>
      <c r="H22" s="23">
        <v>12</v>
      </c>
      <c r="K22" s="40"/>
      <c r="M22" s="13"/>
      <c r="N22" s="13"/>
      <c r="O22" s="13"/>
      <c r="P22" s="34"/>
      <c r="Q22" s="13"/>
      <c r="R22" s="13"/>
      <c r="S22" s="13"/>
    </row>
    <row r="23" spans="2:19" ht="15.6" x14ac:dyDescent="0.3">
      <c r="B23" s="13"/>
      <c r="C23" s="13"/>
      <c r="D23" s="13"/>
      <c r="E23" s="13"/>
      <c r="F23" s="13"/>
      <c r="G23" s="13"/>
      <c r="H23" s="23">
        <v>13</v>
      </c>
      <c r="I23" s="101"/>
      <c r="J23" s="102"/>
      <c r="K23" s="81"/>
      <c r="L23" s="81"/>
      <c r="M23" s="13"/>
      <c r="N23" s="13"/>
      <c r="O23" s="13"/>
      <c r="P23" s="34"/>
      <c r="Q23" s="13"/>
      <c r="R23" s="13"/>
      <c r="S23" s="13"/>
    </row>
    <row r="24" spans="2:19" x14ac:dyDescent="0.3">
      <c r="B24" s="13"/>
      <c r="C24" s="13"/>
      <c r="D24" s="13"/>
      <c r="E24" s="13"/>
      <c r="F24" s="13"/>
      <c r="G24" s="13"/>
      <c r="H24" s="23">
        <v>14</v>
      </c>
      <c r="K24" s="40"/>
      <c r="M24" s="13"/>
      <c r="N24" s="13"/>
      <c r="O24" s="13"/>
      <c r="P24" s="34"/>
      <c r="Q24" s="13"/>
      <c r="R24" s="13"/>
      <c r="S24" s="13"/>
    </row>
    <row r="25" spans="2:19" x14ac:dyDescent="0.3">
      <c r="B25" s="13"/>
      <c r="C25" s="13"/>
      <c r="D25" s="13"/>
      <c r="E25" s="13"/>
      <c r="F25" s="13"/>
      <c r="G25" s="13"/>
      <c r="H25" s="23">
        <v>15</v>
      </c>
      <c r="I25" s="83"/>
      <c r="J25" s="83"/>
      <c r="K25" s="81"/>
      <c r="L25" s="83"/>
      <c r="M25" s="13"/>
      <c r="N25" s="13"/>
      <c r="O25" s="13"/>
      <c r="P25" s="34"/>
      <c r="Q25" s="13"/>
      <c r="R25" s="13"/>
      <c r="S25" s="13"/>
    </row>
    <row r="26" spans="2:19" x14ac:dyDescent="0.3">
      <c r="B26" s="13"/>
      <c r="C26" s="13"/>
      <c r="D26" s="13"/>
      <c r="E26" s="13"/>
      <c r="F26" s="13"/>
      <c r="G26" s="13"/>
      <c r="H26" s="23">
        <v>16</v>
      </c>
      <c r="K26" s="40"/>
      <c r="M26" s="13"/>
      <c r="N26" s="13"/>
      <c r="O26" s="13"/>
      <c r="P26" s="34"/>
      <c r="Q26" s="13"/>
      <c r="R26" s="13"/>
      <c r="S26" s="13"/>
    </row>
    <row r="27" spans="2:19" x14ac:dyDescent="0.3">
      <c r="B27" s="13"/>
      <c r="C27" s="13"/>
      <c r="D27" s="13"/>
      <c r="E27" s="13"/>
      <c r="F27" s="13"/>
      <c r="G27" s="13"/>
      <c r="H27" s="23">
        <v>17</v>
      </c>
      <c r="K27" s="40"/>
      <c r="M27" s="13"/>
      <c r="N27" s="13"/>
      <c r="O27" s="13"/>
      <c r="P27" s="34"/>
      <c r="Q27" s="13"/>
      <c r="R27" s="13"/>
      <c r="S27" s="13"/>
    </row>
    <row r="28" spans="2:19" x14ac:dyDescent="0.3">
      <c r="B28" s="13"/>
      <c r="C28" s="13"/>
      <c r="D28" s="13"/>
      <c r="E28" s="13"/>
      <c r="F28" s="13"/>
      <c r="G28" s="13"/>
      <c r="H28" s="23">
        <v>18</v>
      </c>
      <c r="K28" s="40"/>
      <c r="M28" s="13"/>
      <c r="N28" s="13"/>
      <c r="O28" s="13"/>
      <c r="P28" s="34"/>
      <c r="Q28" s="13"/>
      <c r="R28" s="13"/>
      <c r="S28" s="13"/>
    </row>
    <row r="29" spans="2:19" x14ac:dyDescent="0.3">
      <c r="B29" s="13"/>
      <c r="C29" s="13"/>
      <c r="D29" s="13"/>
      <c r="E29" s="13"/>
      <c r="F29" s="13"/>
      <c r="G29" s="13"/>
      <c r="H29" s="23">
        <v>19</v>
      </c>
      <c r="K29" s="40"/>
      <c r="M29" s="13"/>
      <c r="N29" s="13"/>
      <c r="O29" s="13"/>
      <c r="P29" s="34"/>
      <c r="Q29" s="13"/>
      <c r="R29" s="13"/>
      <c r="S29" s="13"/>
    </row>
    <row r="30" spans="2:19" x14ac:dyDescent="0.3">
      <c r="B30" s="13"/>
      <c r="C30" s="13"/>
      <c r="D30" s="13"/>
      <c r="E30" s="13"/>
      <c r="F30" s="13"/>
      <c r="G30" s="13"/>
      <c r="H30" s="23">
        <v>20</v>
      </c>
      <c r="K30" s="40"/>
      <c r="M30" s="13"/>
      <c r="N30" s="13"/>
      <c r="O30" s="13"/>
      <c r="P30" s="34"/>
      <c r="Q30" s="13"/>
      <c r="R30" s="13"/>
      <c r="S30" s="13"/>
    </row>
    <row r="31" spans="2:19" x14ac:dyDescent="0.3">
      <c r="B31" s="13"/>
      <c r="C31" s="13"/>
      <c r="D31" s="13"/>
      <c r="E31" s="13"/>
      <c r="F31" s="13"/>
      <c r="G31" s="13"/>
      <c r="H31" s="23">
        <v>21</v>
      </c>
      <c r="K31" s="40"/>
      <c r="M31" s="13"/>
      <c r="N31" s="13"/>
      <c r="O31" s="13"/>
      <c r="P31" s="34"/>
      <c r="Q31" s="13"/>
      <c r="R31" s="13"/>
      <c r="S31" s="13"/>
    </row>
    <row r="32" spans="2:19" x14ac:dyDescent="0.3">
      <c r="B32" s="13"/>
      <c r="C32" s="13"/>
      <c r="D32" s="13"/>
      <c r="E32" s="13"/>
      <c r="F32" s="13"/>
      <c r="G32" s="13"/>
      <c r="H32" s="23">
        <v>22</v>
      </c>
      <c r="K32" s="40"/>
      <c r="M32" s="13"/>
      <c r="N32" s="13"/>
      <c r="O32" s="13"/>
      <c r="P32" s="34"/>
      <c r="Q32" s="13"/>
      <c r="R32" s="13"/>
      <c r="S32" s="13"/>
    </row>
    <row r="33" spans="2:19" x14ac:dyDescent="0.3">
      <c r="B33" s="13"/>
      <c r="C33" s="13"/>
      <c r="D33" s="13"/>
      <c r="E33" s="13"/>
      <c r="F33" s="13"/>
      <c r="G33" s="13"/>
      <c r="H33" s="23">
        <v>23</v>
      </c>
      <c r="K33" s="40"/>
      <c r="M33" s="13"/>
      <c r="N33" s="13"/>
      <c r="O33" s="13"/>
      <c r="P33" s="34"/>
      <c r="Q33" s="13"/>
      <c r="R33" s="13"/>
      <c r="S33" s="13"/>
    </row>
    <row r="34" spans="2:19" x14ac:dyDescent="0.3">
      <c r="B34" s="13"/>
      <c r="C34" s="13"/>
      <c r="D34" s="13"/>
      <c r="E34" s="13"/>
      <c r="F34" s="13"/>
      <c r="G34" s="13"/>
      <c r="H34" s="23">
        <v>24</v>
      </c>
      <c r="K34" s="40"/>
      <c r="M34" s="13"/>
      <c r="N34" s="13"/>
      <c r="O34" s="13"/>
      <c r="P34" s="34"/>
      <c r="Q34" s="13"/>
      <c r="R34" s="13"/>
      <c r="S34" s="13"/>
    </row>
    <row r="35" spans="2:19" x14ac:dyDescent="0.3">
      <c r="B35" s="13"/>
      <c r="C35" s="13"/>
      <c r="D35" s="13"/>
      <c r="E35" s="13"/>
      <c r="F35" s="13"/>
      <c r="G35" s="13"/>
      <c r="H35" s="23">
        <v>25</v>
      </c>
      <c r="K35" s="40"/>
      <c r="M35" s="13"/>
      <c r="N35" s="13"/>
      <c r="O35" s="13"/>
      <c r="P35" s="34"/>
      <c r="Q35" s="13"/>
      <c r="R35" s="13"/>
      <c r="S35" s="13"/>
    </row>
    <row r="36" spans="2:19" x14ac:dyDescent="0.3">
      <c r="B36" s="13"/>
      <c r="C36" s="13"/>
      <c r="D36" s="13"/>
      <c r="E36" s="13"/>
      <c r="F36" s="13"/>
      <c r="G36" s="13"/>
      <c r="H36" s="23">
        <v>26</v>
      </c>
      <c r="K36" s="40"/>
      <c r="M36" s="13"/>
      <c r="N36" s="13"/>
      <c r="O36" s="13"/>
      <c r="P36" s="34"/>
      <c r="Q36" s="13"/>
      <c r="R36" s="13"/>
      <c r="S36" s="13"/>
    </row>
    <row r="37" spans="2:19" ht="15.6" x14ac:dyDescent="0.3">
      <c r="B37" s="13"/>
      <c r="C37" s="13"/>
      <c r="D37" s="13"/>
      <c r="E37" s="13"/>
      <c r="F37" s="13"/>
      <c r="G37" s="13"/>
      <c r="H37" s="23">
        <v>27</v>
      </c>
      <c r="I37" s="101"/>
      <c r="J37" s="102"/>
      <c r="K37" s="81"/>
      <c r="L37" s="81"/>
      <c r="M37" s="13"/>
      <c r="N37" s="13"/>
      <c r="O37" s="13"/>
      <c r="P37" s="34"/>
      <c r="Q37" s="13"/>
      <c r="R37" s="13"/>
      <c r="S37" s="13"/>
    </row>
    <row r="38" spans="2:19" x14ac:dyDescent="0.3">
      <c r="B38" s="13"/>
      <c r="C38" s="13"/>
      <c r="D38" s="13"/>
      <c r="E38" s="13"/>
      <c r="F38" s="13"/>
      <c r="G38" s="13"/>
      <c r="H38" s="23">
        <v>28</v>
      </c>
      <c r="K38" s="40"/>
      <c r="M38" s="13"/>
      <c r="N38" s="13"/>
      <c r="O38" s="13"/>
      <c r="P38" s="34"/>
      <c r="Q38" s="13"/>
      <c r="R38" s="13"/>
      <c r="S38" s="13"/>
    </row>
    <row r="39" spans="2:19" x14ac:dyDescent="0.3">
      <c r="B39" s="13"/>
      <c r="C39" s="13"/>
      <c r="D39" s="13"/>
      <c r="E39" s="13"/>
      <c r="F39" s="13"/>
      <c r="G39" s="13"/>
      <c r="H39" s="23">
        <v>29</v>
      </c>
      <c r="I39" s="114"/>
      <c r="J39" s="20"/>
      <c r="K39" s="18"/>
      <c r="L39" s="18"/>
      <c r="M39" s="13"/>
      <c r="N39" s="13"/>
      <c r="O39" s="13"/>
      <c r="P39" s="34"/>
      <c r="Q39" s="13"/>
      <c r="R39" s="13"/>
      <c r="S39" s="13"/>
    </row>
    <row r="40" spans="2:19" x14ac:dyDescent="0.3">
      <c r="B40" s="13"/>
      <c r="C40" s="13"/>
      <c r="D40" s="13"/>
      <c r="E40" s="13"/>
      <c r="F40" s="13"/>
      <c r="G40" s="13"/>
      <c r="H40" s="23">
        <v>30</v>
      </c>
      <c r="I40" s="100"/>
      <c r="J40" s="100"/>
      <c r="K40" s="18"/>
      <c r="L40" s="100"/>
      <c r="M40" s="13"/>
      <c r="N40" s="13"/>
      <c r="O40" s="13"/>
      <c r="P40" s="34"/>
      <c r="Q40" s="13"/>
      <c r="R40" s="13"/>
      <c r="S40" s="13"/>
    </row>
    <row r="41" spans="2:19" x14ac:dyDescent="0.3">
      <c r="B41" s="13"/>
      <c r="C41" s="13"/>
      <c r="D41" s="13"/>
      <c r="E41" s="13"/>
      <c r="F41" s="13"/>
      <c r="G41" s="13"/>
      <c r="H41" s="23">
        <v>31</v>
      </c>
      <c r="I41" s="100"/>
      <c r="J41" s="100"/>
      <c r="K41" s="18"/>
      <c r="L41" s="100"/>
      <c r="M41" s="13"/>
      <c r="N41" s="13"/>
      <c r="O41" s="13"/>
      <c r="P41" s="34"/>
      <c r="Q41" s="13"/>
      <c r="R41" s="13"/>
      <c r="S41" s="13"/>
    </row>
    <row r="42" spans="2:19" x14ac:dyDescent="0.3">
      <c r="B42" s="13"/>
      <c r="C42" s="13"/>
      <c r="D42" s="13"/>
      <c r="E42" s="13"/>
      <c r="F42" s="13"/>
      <c r="G42" s="13"/>
      <c r="H42" s="23">
        <v>32</v>
      </c>
      <c r="I42" s="100"/>
      <c r="J42" s="100"/>
      <c r="K42" s="18"/>
      <c r="L42" s="100"/>
      <c r="M42" s="13"/>
      <c r="N42" s="13"/>
      <c r="O42" s="13"/>
      <c r="P42" s="34"/>
      <c r="Q42" s="13"/>
      <c r="R42" s="13"/>
      <c r="S42" s="13"/>
    </row>
    <row r="43" spans="2:19" x14ac:dyDescent="0.3">
      <c r="B43" s="13"/>
      <c r="C43" s="13"/>
      <c r="D43" s="13"/>
      <c r="E43" s="13"/>
      <c r="F43" s="13"/>
      <c r="G43" s="13"/>
      <c r="H43" s="23">
        <v>33</v>
      </c>
      <c r="I43" s="100"/>
      <c r="J43" s="100"/>
      <c r="K43" s="18"/>
      <c r="L43" s="100"/>
      <c r="M43" s="13"/>
      <c r="N43" s="13"/>
      <c r="O43" s="13"/>
      <c r="P43" s="34"/>
      <c r="Q43" s="13"/>
      <c r="R43" s="13"/>
      <c r="S43" s="13"/>
    </row>
    <row r="44" spans="2:19" x14ac:dyDescent="0.3">
      <c r="B44" s="13"/>
      <c r="C44" s="13"/>
      <c r="D44" s="13"/>
      <c r="E44" s="13"/>
      <c r="F44" s="13"/>
      <c r="G44" s="13"/>
      <c r="H44" s="23">
        <v>34</v>
      </c>
      <c r="I44" s="100"/>
      <c r="J44" s="100"/>
      <c r="K44" s="18"/>
      <c r="L44" s="100"/>
      <c r="M44" s="13"/>
      <c r="N44" s="13"/>
      <c r="O44" s="13"/>
      <c r="P44" s="34"/>
      <c r="Q44" s="13"/>
      <c r="R44" s="13"/>
      <c r="S44" s="13"/>
    </row>
    <row r="45" spans="2:19" x14ac:dyDescent="0.3">
      <c r="B45" s="13"/>
      <c r="C45" s="13"/>
      <c r="D45" s="13"/>
      <c r="E45" s="13"/>
      <c r="F45" s="13"/>
      <c r="G45" s="13"/>
      <c r="H45" s="23">
        <v>35</v>
      </c>
      <c r="I45" s="35"/>
      <c r="J45" s="100"/>
      <c r="K45" s="18"/>
      <c r="L45" s="100"/>
      <c r="M45" s="13"/>
      <c r="N45" s="13"/>
      <c r="O45" s="13"/>
      <c r="P45" s="34"/>
      <c r="Q45" s="13"/>
      <c r="R45" s="13"/>
      <c r="S45" s="13"/>
    </row>
    <row r="46" spans="2:19" x14ac:dyDescent="0.3">
      <c r="B46" s="13"/>
      <c r="C46" s="13"/>
      <c r="D46" s="13"/>
      <c r="E46" s="13"/>
      <c r="F46" s="13"/>
      <c r="G46" s="13"/>
      <c r="H46" s="23">
        <v>36</v>
      </c>
      <c r="I46" s="100"/>
      <c r="J46" s="100"/>
      <c r="K46" s="18"/>
      <c r="L46" s="100"/>
      <c r="M46" s="13"/>
      <c r="N46" s="13"/>
      <c r="O46" s="13"/>
      <c r="P46" s="34"/>
      <c r="Q46" s="13"/>
      <c r="R46" s="13"/>
      <c r="S46" s="13"/>
    </row>
    <row r="47" spans="2:19" x14ac:dyDescent="0.3">
      <c r="B47" s="13"/>
      <c r="C47" s="13"/>
      <c r="D47" s="13"/>
      <c r="E47" s="13"/>
      <c r="F47" s="13"/>
      <c r="G47" s="13"/>
      <c r="H47" s="23">
        <v>37</v>
      </c>
      <c r="I47" s="100"/>
      <c r="J47" s="100"/>
      <c r="K47" s="18"/>
      <c r="L47" s="100"/>
      <c r="M47" s="13"/>
      <c r="N47" s="13"/>
      <c r="O47" s="13"/>
      <c r="P47" s="34"/>
      <c r="Q47" s="13"/>
      <c r="R47" s="13"/>
      <c r="S47" s="13"/>
    </row>
    <row r="48" spans="2:19" x14ac:dyDescent="0.3">
      <c r="B48" s="13"/>
      <c r="C48" s="13"/>
      <c r="D48" s="13"/>
      <c r="E48" s="13"/>
      <c r="F48" s="13"/>
      <c r="G48" s="13"/>
      <c r="H48" s="23">
        <v>38</v>
      </c>
      <c r="I48" s="100"/>
      <c r="J48" s="100"/>
      <c r="K48" s="18"/>
      <c r="L48" s="100"/>
      <c r="M48" s="13"/>
      <c r="N48" s="13"/>
      <c r="O48" s="13"/>
      <c r="P48" s="34"/>
      <c r="Q48" s="13"/>
      <c r="R48" s="13"/>
      <c r="S48" s="13"/>
    </row>
    <row r="49" spans="2:19" x14ac:dyDescent="0.3">
      <c r="B49" s="13"/>
      <c r="C49" s="13"/>
      <c r="D49" s="13"/>
      <c r="E49" s="13"/>
      <c r="F49" s="13"/>
      <c r="G49" s="13"/>
      <c r="H49" s="23">
        <v>39</v>
      </c>
      <c r="I49" s="100"/>
      <c r="J49" s="100"/>
      <c r="K49" s="18"/>
      <c r="L49" s="100"/>
      <c r="M49" s="13"/>
      <c r="N49" s="13"/>
      <c r="O49" s="13"/>
      <c r="P49" s="34"/>
      <c r="Q49" s="13"/>
      <c r="R49" s="13"/>
      <c r="S49" s="13"/>
    </row>
    <row r="50" spans="2:19" ht="15.6" x14ac:dyDescent="0.3">
      <c r="B50" s="13"/>
      <c r="C50" s="13"/>
      <c r="D50" s="13"/>
      <c r="E50" s="13"/>
      <c r="F50" s="13"/>
      <c r="G50" s="13"/>
      <c r="H50" s="23">
        <v>40</v>
      </c>
      <c r="I50" s="115"/>
      <c r="J50" s="100"/>
      <c r="K50" s="18"/>
      <c r="L50" s="100"/>
      <c r="M50" s="13"/>
      <c r="N50" s="13"/>
      <c r="O50" s="13"/>
      <c r="P50" s="34"/>
      <c r="Q50" s="13"/>
      <c r="R50" s="13"/>
      <c r="S50" s="13"/>
    </row>
    <row r="51" spans="2:19" x14ac:dyDescent="0.3"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</row>
    <row r="57" spans="2:19" x14ac:dyDescent="0.3">
      <c r="B57" s="44" t="str">
        <f t="shared" ref="B57:G57" si="1">IF(B5=0," ",B5)</f>
        <v xml:space="preserve"> </v>
      </c>
      <c r="C57" s="44" t="str">
        <f t="shared" si="1"/>
        <v xml:space="preserve"> </v>
      </c>
      <c r="D57" s="44" t="str">
        <f t="shared" si="1"/>
        <v xml:space="preserve"> </v>
      </c>
      <c r="E57" s="44" t="str">
        <f t="shared" si="1"/>
        <v xml:space="preserve"> </v>
      </c>
      <c r="F57" s="44" t="str">
        <f t="shared" si="1"/>
        <v xml:space="preserve"> </v>
      </c>
      <c r="G57" s="44" t="str">
        <f t="shared" si="1"/>
        <v xml:space="preserve"> </v>
      </c>
    </row>
    <row r="58" spans="2:19" x14ac:dyDescent="0.3">
      <c r="B58" s="44" t="str">
        <f>IF(B57=" "," "," ; ")</f>
        <v xml:space="preserve"> </v>
      </c>
      <c r="C58" s="44" t="str">
        <f t="shared" ref="C58:G58" si="2">IF(C57=" "," "," ; ")</f>
        <v xml:space="preserve"> </v>
      </c>
      <c r="D58" s="44" t="str">
        <f t="shared" si="2"/>
        <v xml:space="preserve"> </v>
      </c>
      <c r="E58" s="44" t="str">
        <f t="shared" si="2"/>
        <v xml:space="preserve"> </v>
      </c>
      <c r="F58" s="44" t="str">
        <f t="shared" si="2"/>
        <v xml:space="preserve"> </v>
      </c>
      <c r="G58" s="44" t="str">
        <f t="shared" si="2"/>
        <v xml:space="preserve"> </v>
      </c>
    </row>
    <row r="59" spans="2:19" ht="27.75" customHeight="1" x14ac:dyDescent="0.35">
      <c r="H59" s="66" t="str">
        <f>A1</f>
        <v>PSM &amp; BIO</v>
      </c>
      <c r="I59" s="48"/>
      <c r="J59" s="48"/>
      <c r="K59" s="48"/>
    </row>
    <row r="60" spans="2:19" ht="24" customHeight="1" x14ac:dyDescent="0.35">
      <c r="H60" s="48"/>
      <c r="I60" s="65" t="str">
        <f>I1</f>
        <v>LISTADO DE PERSONAL PARA PESCA</v>
      </c>
      <c r="J60" s="49"/>
      <c r="K60" s="50" t="str">
        <f>CONCATENATE(A4," ",B4,C4,D4)</f>
        <v>NOCHE # /</v>
      </c>
    </row>
    <row r="61" spans="2:19" ht="15.6" x14ac:dyDescent="0.35">
      <c r="H61" s="48"/>
      <c r="I61" s="48"/>
      <c r="J61" s="48"/>
      <c r="K61" s="48"/>
    </row>
    <row r="62" spans="2:19" ht="17.399999999999999" x14ac:dyDescent="0.4">
      <c r="H62" s="51" t="s">
        <v>101</v>
      </c>
      <c r="I62" s="52">
        <f ca="1">B2</f>
        <v>43136</v>
      </c>
      <c r="J62" s="51" t="s">
        <v>102</v>
      </c>
      <c r="K62" s="53">
        <f>B3</f>
        <v>0</v>
      </c>
    </row>
    <row r="63" spans="2:19" ht="28.5" customHeight="1" x14ac:dyDescent="0.4">
      <c r="H63" s="94" t="s">
        <v>115</v>
      </c>
      <c r="I63" s="48"/>
      <c r="J63" s="51" t="s">
        <v>103</v>
      </c>
      <c r="K63" s="53" t="str">
        <f>CONCATENATE($B$57,$C$58,$C$57,$D$58,$D$57,$E$58,$E$57,$F$58,$F$57,$G$58,$G$57)</f>
        <v xml:space="preserve">           </v>
      </c>
    </row>
    <row r="64" spans="2:19" ht="7.5" customHeight="1" thickBot="1" x14ac:dyDescent="0.4">
      <c r="H64" s="48"/>
      <c r="I64" s="48"/>
      <c r="J64" s="48"/>
      <c r="K64" s="48"/>
    </row>
    <row r="65" spans="5:15" ht="20.399999999999999" thickBot="1" x14ac:dyDescent="0.5">
      <c r="E65" t="s">
        <v>99</v>
      </c>
      <c r="F65" t="s">
        <v>95</v>
      </c>
      <c r="G65" t="s">
        <v>100</v>
      </c>
      <c r="H65" s="54" t="s">
        <v>79</v>
      </c>
      <c r="I65" s="55" t="s">
        <v>80</v>
      </c>
      <c r="J65" s="55" t="s">
        <v>81</v>
      </c>
      <c r="K65" s="56" t="s">
        <v>82</v>
      </c>
      <c r="L65" s="46" t="s">
        <v>41</v>
      </c>
      <c r="M65" s="39" t="s">
        <v>77</v>
      </c>
      <c r="N65" s="43" t="s">
        <v>96</v>
      </c>
      <c r="O65" s="39" t="s">
        <v>98</v>
      </c>
    </row>
    <row r="66" spans="5:15" ht="15.6" x14ac:dyDescent="0.35">
      <c r="E66" s="40" t="str">
        <f t="shared" ref="E66:E105" si="3">IF(I66=" "," ",CONCATENATE($B$4,$C$4,$D$4))</f>
        <v xml:space="preserve"> </v>
      </c>
      <c r="F66" s="41" t="str">
        <f>IF(I66=" "," ",$B$2)</f>
        <v xml:space="preserve"> </v>
      </c>
      <c r="G66" s="40" t="str">
        <f>IF(I66=" "," ",$B$3)</f>
        <v xml:space="preserve"> </v>
      </c>
      <c r="H66" s="57" t="str">
        <f>IF(I11=0," ",H11)</f>
        <v xml:space="preserve"> </v>
      </c>
      <c r="I66" s="58" t="str">
        <f>IF(I11=0," ",I11)</f>
        <v xml:space="preserve"> </v>
      </c>
      <c r="J66" s="58" t="str">
        <f>IF(J11=0," ",J11)</f>
        <v xml:space="preserve"> </v>
      </c>
      <c r="K66" s="57" t="str">
        <f>IF(K11=0," ",K11)</f>
        <v xml:space="preserve"> </v>
      </c>
      <c r="L66" s="40">
        <f>L11</f>
        <v>0</v>
      </c>
      <c r="M66" s="40">
        <f t="shared" ref="M66:M105" si="4">IF(I66=" ",0,CONCATENATE($B$57,$C$58,$C$57,$D$58,$D$57,$E$58,$E$57,$F$58,$F$57,$G$58,$G$57))</f>
        <v>0</v>
      </c>
      <c r="N66">
        <f t="shared" ref="N66:N105" si="5">IF(I11=0,0,1)</f>
        <v>0</v>
      </c>
      <c r="O66" s="42" t="str">
        <f t="shared" ref="O66:O105" si="6">IF(I66=" "," ",$J$2)</f>
        <v xml:space="preserve"> </v>
      </c>
    </row>
    <row r="67" spans="5:15" ht="15.6" x14ac:dyDescent="0.35">
      <c r="E67" s="40" t="str">
        <f t="shared" si="3"/>
        <v xml:space="preserve"> </v>
      </c>
      <c r="F67" s="41" t="str">
        <f t="shared" ref="F67:F105" si="7">IF(I67=" "," ",$B$2)</f>
        <v xml:space="preserve"> </v>
      </c>
      <c r="G67" s="40" t="str">
        <f t="shared" ref="G67:G105" si="8">IF(I67=" "," ",$B$3)</f>
        <v xml:space="preserve"> </v>
      </c>
      <c r="H67" s="59" t="str">
        <f>IF(I12=0," ",H12)</f>
        <v xml:space="preserve"> </v>
      </c>
      <c r="I67" s="60" t="str">
        <f t="shared" ref="I67:K105" si="9">IF(I12=0," ",I12)</f>
        <v xml:space="preserve"> </v>
      </c>
      <c r="J67" s="60" t="str">
        <f t="shared" si="9"/>
        <v xml:space="preserve"> </v>
      </c>
      <c r="K67" s="59" t="str">
        <f t="shared" si="9"/>
        <v xml:space="preserve"> </v>
      </c>
      <c r="L67" s="40">
        <f t="shared" ref="L67:L105" si="10">L12</f>
        <v>0</v>
      </c>
      <c r="M67" s="40">
        <f t="shared" si="4"/>
        <v>0</v>
      </c>
      <c r="N67">
        <f t="shared" si="5"/>
        <v>0</v>
      </c>
      <c r="O67" s="42" t="str">
        <f t="shared" si="6"/>
        <v xml:space="preserve"> </v>
      </c>
    </row>
    <row r="68" spans="5:15" ht="15.6" x14ac:dyDescent="0.35">
      <c r="E68" s="40" t="str">
        <f t="shared" si="3"/>
        <v xml:space="preserve"> </v>
      </c>
      <c r="F68" s="41" t="str">
        <f t="shared" si="7"/>
        <v xml:space="preserve"> </v>
      </c>
      <c r="G68" s="40" t="str">
        <f t="shared" si="8"/>
        <v xml:space="preserve"> </v>
      </c>
      <c r="H68" s="59" t="str">
        <f t="shared" ref="H68:H105" si="11">IF(I13=0," ",H13)</f>
        <v xml:space="preserve"> </v>
      </c>
      <c r="I68" s="60" t="str">
        <f t="shared" si="9"/>
        <v xml:space="preserve"> </v>
      </c>
      <c r="J68" s="60" t="str">
        <f t="shared" si="9"/>
        <v xml:space="preserve"> </v>
      </c>
      <c r="K68" s="59" t="str">
        <f t="shared" si="9"/>
        <v xml:space="preserve"> </v>
      </c>
      <c r="L68" s="40">
        <f t="shared" si="10"/>
        <v>0</v>
      </c>
      <c r="M68" s="40">
        <f t="shared" si="4"/>
        <v>0</v>
      </c>
      <c r="N68">
        <f t="shared" si="5"/>
        <v>0</v>
      </c>
      <c r="O68" s="42" t="str">
        <f t="shared" si="6"/>
        <v xml:space="preserve"> </v>
      </c>
    </row>
    <row r="69" spans="5:15" ht="15.6" x14ac:dyDescent="0.35">
      <c r="E69" s="40" t="str">
        <f t="shared" si="3"/>
        <v xml:space="preserve"> </v>
      </c>
      <c r="F69" s="41" t="str">
        <f t="shared" si="7"/>
        <v xml:space="preserve"> </v>
      </c>
      <c r="G69" s="40" t="str">
        <f t="shared" si="8"/>
        <v xml:space="preserve"> </v>
      </c>
      <c r="H69" s="59" t="str">
        <f t="shared" si="11"/>
        <v xml:space="preserve"> </v>
      </c>
      <c r="I69" s="60" t="str">
        <f t="shared" si="9"/>
        <v xml:space="preserve"> </v>
      </c>
      <c r="J69" s="60" t="str">
        <f t="shared" si="9"/>
        <v xml:space="preserve"> </v>
      </c>
      <c r="K69" s="59" t="str">
        <f t="shared" si="9"/>
        <v xml:space="preserve"> </v>
      </c>
      <c r="L69" s="40">
        <f t="shared" si="10"/>
        <v>0</v>
      </c>
      <c r="M69" s="40">
        <f t="shared" si="4"/>
        <v>0</v>
      </c>
      <c r="N69">
        <f t="shared" si="5"/>
        <v>0</v>
      </c>
      <c r="O69" s="42" t="str">
        <f t="shared" si="6"/>
        <v xml:space="preserve"> </v>
      </c>
    </row>
    <row r="70" spans="5:15" ht="15.6" x14ac:dyDescent="0.35">
      <c r="E70" s="40" t="str">
        <f t="shared" si="3"/>
        <v xml:space="preserve"> </v>
      </c>
      <c r="F70" s="41" t="str">
        <f t="shared" si="7"/>
        <v xml:space="preserve"> </v>
      </c>
      <c r="G70" s="40" t="str">
        <f t="shared" si="8"/>
        <v xml:space="preserve"> </v>
      </c>
      <c r="H70" s="59" t="str">
        <f t="shared" si="11"/>
        <v xml:space="preserve"> </v>
      </c>
      <c r="I70" s="60" t="str">
        <f t="shared" si="9"/>
        <v xml:space="preserve"> </v>
      </c>
      <c r="J70" s="60" t="str">
        <f t="shared" si="9"/>
        <v xml:space="preserve"> </v>
      </c>
      <c r="K70" s="59" t="str">
        <f t="shared" si="9"/>
        <v xml:space="preserve"> </v>
      </c>
      <c r="L70" s="40">
        <f t="shared" si="10"/>
        <v>0</v>
      </c>
      <c r="M70" s="40">
        <f t="shared" si="4"/>
        <v>0</v>
      </c>
      <c r="N70">
        <f t="shared" si="5"/>
        <v>0</v>
      </c>
      <c r="O70" s="42" t="str">
        <f t="shared" si="6"/>
        <v xml:space="preserve"> </v>
      </c>
    </row>
    <row r="71" spans="5:15" ht="15.6" x14ac:dyDescent="0.35">
      <c r="E71" s="40" t="str">
        <f t="shared" si="3"/>
        <v xml:space="preserve"> </v>
      </c>
      <c r="F71" s="41" t="str">
        <f t="shared" si="7"/>
        <v xml:space="preserve"> </v>
      </c>
      <c r="G71" s="40" t="str">
        <f t="shared" si="8"/>
        <v xml:space="preserve"> </v>
      </c>
      <c r="H71" s="59" t="str">
        <f t="shared" si="11"/>
        <v xml:space="preserve"> </v>
      </c>
      <c r="I71" s="60" t="str">
        <f t="shared" si="9"/>
        <v xml:space="preserve"> </v>
      </c>
      <c r="J71" s="60" t="str">
        <f t="shared" si="9"/>
        <v xml:space="preserve"> </v>
      </c>
      <c r="K71" s="59" t="str">
        <f t="shared" si="9"/>
        <v xml:space="preserve"> </v>
      </c>
      <c r="L71" s="40">
        <f t="shared" si="10"/>
        <v>0</v>
      </c>
      <c r="M71" s="40">
        <f t="shared" si="4"/>
        <v>0</v>
      </c>
      <c r="N71">
        <f t="shared" si="5"/>
        <v>0</v>
      </c>
      <c r="O71" s="42" t="str">
        <f t="shared" si="6"/>
        <v xml:space="preserve"> </v>
      </c>
    </row>
    <row r="72" spans="5:15" ht="15.6" x14ac:dyDescent="0.35">
      <c r="E72" s="40" t="str">
        <f t="shared" si="3"/>
        <v xml:space="preserve"> </v>
      </c>
      <c r="F72" s="41" t="str">
        <f t="shared" si="7"/>
        <v xml:space="preserve"> </v>
      </c>
      <c r="G72" s="40" t="str">
        <f t="shared" si="8"/>
        <v xml:space="preserve"> </v>
      </c>
      <c r="H72" s="59" t="str">
        <f t="shared" si="11"/>
        <v xml:space="preserve"> </v>
      </c>
      <c r="I72" s="60" t="str">
        <f t="shared" si="9"/>
        <v xml:space="preserve"> </v>
      </c>
      <c r="J72" s="60" t="str">
        <f t="shared" si="9"/>
        <v xml:space="preserve"> </v>
      </c>
      <c r="K72" s="59" t="str">
        <f t="shared" si="9"/>
        <v xml:space="preserve"> </v>
      </c>
      <c r="L72" s="40">
        <f t="shared" si="10"/>
        <v>0</v>
      </c>
      <c r="M72" s="40">
        <f t="shared" si="4"/>
        <v>0</v>
      </c>
      <c r="N72">
        <f t="shared" si="5"/>
        <v>0</v>
      </c>
      <c r="O72" s="42" t="str">
        <f t="shared" si="6"/>
        <v xml:space="preserve"> </v>
      </c>
    </row>
    <row r="73" spans="5:15" ht="15.6" x14ac:dyDescent="0.35">
      <c r="E73" s="40" t="str">
        <f t="shared" si="3"/>
        <v xml:space="preserve"> </v>
      </c>
      <c r="F73" s="41" t="str">
        <f t="shared" si="7"/>
        <v xml:space="preserve"> </v>
      </c>
      <c r="G73" s="40" t="str">
        <f t="shared" si="8"/>
        <v xml:space="preserve"> </v>
      </c>
      <c r="H73" s="59" t="str">
        <f t="shared" si="11"/>
        <v xml:space="preserve"> </v>
      </c>
      <c r="I73" s="60" t="str">
        <f t="shared" si="9"/>
        <v xml:space="preserve"> </v>
      </c>
      <c r="J73" s="60" t="str">
        <f t="shared" si="9"/>
        <v xml:space="preserve"> </v>
      </c>
      <c r="K73" s="59" t="str">
        <f t="shared" si="9"/>
        <v xml:space="preserve"> </v>
      </c>
      <c r="L73" s="40">
        <f t="shared" si="10"/>
        <v>0</v>
      </c>
      <c r="M73" s="40">
        <f t="shared" si="4"/>
        <v>0</v>
      </c>
      <c r="N73">
        <f t="shared" si="5"/>
        <v>0</v>
      </c>
      <c r="O73" s="42" t="str">
        <f t="shared" si="6"/>
        <v xml:space="preserve"> </v>
      </c>
    </row>
    <row r="74" spans="5:15" ht="15.6" x14ac:dyDescent="0.35">
      <c r="E74" s="40" t="str">
        <f t="shared" si="3"/>
        <v xml:space="preserve"> </v>
      </c>
      <c r="F74" s="41" t="str">
        <f t="shared" si="7"/>
        <v xml:space="preserve"> </v>
      </c>
      <c r="G74" s="40" t="str">
        <f t="shared" si="8"/>
        <v xml:space="preserve"> </v>
      </c>
      <c r="H74" s="59" t="str">
        <f t="shared" si="11"/>
        <v xml:space="preserve"> </v>
      </c>
      <c r="I74" s="60" t="str">
        <f t="shared" si="9"/>
        <v xml:space="preserve"> </v>
      </c>
      <c r="J74" s="60" t="str">
        <f t="shared" si="9"/>
        <v xml:space="preserve"> </v>
      </c>
      <c r="K74" s="59" t="str">
        <f t="shared" si="9"/>
        <v xml:space="preserve"> </v>
      </c>
      <c r="L74" s="40">
        <f t="shared" si="10"/>
        <v>0</v>
      </c>
      <c r="M74" s="40">
        <f t="shared" si="4"/>
        <v>0</v>
      </c>
      <c r="N74">
        <f t="shared" si="5"/>
        <v>0</v>
      </c>
      <c r="O74" s="42" t="str">
        <f t="shared" si="6"/>
        <v xml:space="preserve"> </v>
      </c>
    </row>
    <row r="75" spans="5:15" ht="15.6" x14ac:dyDescent="0.35">
      <c r="E75" s="40" t="str">
        <f t="shared" si="3"/>
        <v xml:space="preserve"> </v>
      </c>
      <c r="F75" s="41" t="str">
        <f t="shared" si="7"/>
        <v xml:space="preserve"> </v>
      </c>
      <c r="G75" s="40" t="str">
        <f t="shared" si="8"/>
        <v xml:space="preserve"> </v>
      </c>
      <c r="H75" s="59" t="str">
        <f t="shared" si="11"/>
        <v xml:space="preserve"> </v>
      </c>
      <c r="I75" s="60" t="str">
        <f t="shared" si="9"/>
        <v xml:space="preserve"> </v>
      </c>
      <c r="J75" s="60" t="str">
        <f t="shared" si="9"/>
        <v xml:space="preserve"> </v>
      </c>
      <c r="K75" s="59" t="str">
        <f t="shared" si="9"/>
        <v xml:space="preserve"> </v>
      </c>
      <c r="L75" s="40">
        <f t="shared" si="10"/>
        <v>0</v>
      </c>
      <c r="M75" s="40">
        <f t="shared" si="4"/>
        <v>0</v>
      </c>
      <c r="N75">
        <f t="shared" si="5"/>
        <v>0</v>
      </c>
      <c r="O75" s="42" t="str">
        <f t="shared" si="6"/>
        <v xml:space="preserve"> </v>
      </c>
    </row>
    <row r="76" spans="5:15" ht="15.6" x14ac:dyDescent="0.35">
      <c r="E76" s="40" t="str">
        <f t="shared" si="3"/>
        <v xml:space="preserve"> </v>
      </c>
      <c r="F76" s="41" t="str">
        <f t="shared" si="7"/>
        <v xml:space="preserve"> </v>
      </c>
      <c r="G76" s="40" t="str">
        <f t="shared" si="8"/>
        <v xml:space="preserve"> </v>
      </c>
      <c r="H76" s="59" t="str">
        <f t="shared" si="11"/>
        <v xml:space="preserve"> </v>
      </c>
      <c r="I76" s="60" t="str">
        <f t="shared" si="9"/>
        <v xml:space="preserve"> </v>
      </c>
      <c r="J76" s="60" t="str">
        <f t="shared" si="9"/>
        <v xml:space="preserve"> </v>
      </c>
      <c r="K76" s="59" t="str">
        <f t="shared" si="9"/>
        <v xml:space="preserve"> </v>
      </c>
      <c r="L76" s="40">
        <f t="shared" si="10"/>
        <v>0</v>
      </c>
      <c r="M76" s="40">
        <f t="shared" si="4"/>
        <v>0</v>
      </c>
      <c r="N76">
        <f t="shared" si="5"/>
        <v>0</v>
      </c>
      <c r="O76" s="42" t="str">
        <f t="shared" si="6"/>
        <v xml:space="preserve"> </v>
      </c>
    </row>
    <row r="77" spans="5:15" ht="15.6" x14ac:dyDescent="0.35">
      <c r="E77" s="40" t="str">
        <f t="shared" si="3"/>
        <v xml:space="preserve"> </v>
      </c>
      <c r="F77" s="41" t="str">
        <f t="shared" si="7"/>
        <v xml:space="preserve"> </v>
      </c>
      <c r="G77" s="40" t="str">
        <f t="shared" si="8"/>
        <v xml:space="preserve"> </v>
      </c>
      <c r="H77" s="59" t="str">
        <f t="shared" si="11"/>
        <v xml:space="preserve"> </v>
      </c>
      <c r="I77" s="60" t="str">
        <f t="shared" si="9"/>
        <v xml:space="preserve"> </v>
      </c>
      <c r="J77" s="60" t="str">
        <f t="shared" si="9"/>
        <v xml:space="preserve"> </v>
      </c>
      <c r="K77" s="59" t="str">
        <f t="shared" si="9"/>
        <v xml:space="preserve"> </v>
      </c>
      <c r="L77" s="40">
        <f t="shared" si="10"/>
        <v>0</v>
      </c>
      <c r="M77" s="40">
        <f t="shared" si="4"/>
        <v>0</v>
      </c>
      <c r="N77">
        <f t="shared" si="5"/>
        <v>0</v>
      </c>
      <c r="O77" s="42" t="str">
        <f t="shared" si="6"/>
        <v xml:space="preserve"> </v>
      </c>
    </row>
    <row r="78" spans="5:15" ht="15.6" x14ac:dyDescent="0.35">
      <c r="E78" s="40" t="str">
        <f t="shared" si="3"/>
        <v xml:space="preserve"> </v>
      </c>
      <c r="F78" s="41" t="str">
        <f t="shared" si="7"/>
        <v xml:space="preserve"> </v>
      </c>
      <c r="G78" s="40" t="str">
        <f t="shared" si="8"/>
        <v xml:space="preserve"> </v>
      </c>
      <c r="H78" s="59" t="str">
        <f t="shared" si="11"/>
        <v xml:space="preserve"> </v>
      </c>
      <c r="I78" s="60" t="str">
        <f t="shared" si="9"/>
        <v xml:space="preserve"> </v>
      </c>
      <c r="J78" s="60" t="str">
        <f t="shared" si="9"/>
        <v xml:space="preserve"> </v>
      </c>
      <c r="K78" s="59" t="str">
        <f t="shared" si="9"/>
        <v xml:space="preserve"> </v>
      </c>
      <c r="L78" s="40">
        <f t="shared" si="10"/>
        <v>0</v>
      </c>
      <c r="M78" s="40">
        <f t="shared" si="4"/>
        <v>0</v>
      </c>
      <c r="N78">
        <f t="shared" si="5"/>
        <v>0</v>
      </c>
      <c r="O78" s="42" t="str">
        <f t="shared" si="6"/>
        <v xml:space="preserve"> </v>
      </c>
    </row>
    <row r="79" spans="5:15" ht="15.6" x14ac:dyDescent="0.35">
      <c r="E79" s="40" t="str">
        <f t="shared" si="3"/>
        <v xml:space="preserve"> </v>
      </c>
      <c r="F79" s="41" t="str">
        <f t="shared" si="7"/>
        <v xml:space="preserve"> </v>
      </c>
      <c r="G79" s="40" t="str">
        <f t="shared" si="8"/>
        <v xml:space="preserve"> </v>
      </c>
      <c r="H79" s="59" t="str">
        <f t="shared" si="11"/>
        <v xml:space="preserve"> </v>
      </c>
      <c r="I79" s="60" t="str">
        <f t="shared" si="9"/>
        <v xml:space="preserve"> </v>
      </c>
      <c r="J79" s="60" t="str">
        <f t="shared" si="9"/>
        <v xml:space="preserve"> </v>
      </c>
      <c r="K79" s="59" t="str">
        <f t="shared" si="9"/>
        <v xml:space="preserve"> </v>
      </c>
      <c r="L79" s="40">
        <f t="shared" si="10"/>
        <v>0</v>
      </c>
      <c r="M79" s="40">
        <f t="shared" si="4"/>
        <v>0</v>
      </c>
      <c r="N79">
        <f t="shared" si="5"/>
        <v>0</v>
      </c>
      <c r="O79" s="42" t="str">
        <f t="shared" si="6"/>
        <v xml:space="preserve"> </v>
      </c>
    </row>
    <row r="80" spans="5:15" ht="15.6" x14ac:dyDescent="0.35">
      <c r="E80" s="40" t="str">
        <f t="shared" si="3"/>
        <v xml:space="preserve"> </v>
      </c>
      <c r="F80" s="41" t="str">
        <f t="shared" si="7"/>
        <v xml:space="preserve"> </v>
      </c>
      <c r="G80" s="40" t="str">
        <f t="shared" si="8"/>
        <v xml:space="preserve"> </v>
      </c>
      <c r="H80" s="59" t="str">
        <f t="shared" si="11"/>
        <v xml:space="preserve"> </v>
      </c>
      <c r="I80" s="60" t="str">
        <f t="shared" si="9"/>
        <v xml:space="preserve"> </v>
      </c>
      <c r="J80" s="60" t="str">
        <f t="shared" si="9"/>
        <v xml:space="preserve"> </v>
      </c>
      <c r="K80" s="59" t="str">
        <f t="shared" si="9"/>
        <v xml:space="preserve"> </v>
      </c>
      <c r="L80" s="40">
        <f t="shared" si="10"/>
        <v>0</v>
      </c>
      <c r="M80" s="40">
        <f t="shared" si="4"/>
        <v>0</v>
      </c>
      <c r="N80">
        <f t="shared" si="5"/>
        <v>0</v>
      </c>
      <c r="O80" s="42" t="str">
        <f t="shared" si="6"/>
        <v xml:space="preserve"> </v>
      </c>
    </row>
    <row r="81" spans="5:15" ht="15.6" x14ac:dyDescent="0.35">
      <c r="E81" s="40" t="str">
        <f t="shared" si="3"/>
        <v xml:space="preserve"> </v>
      </c>
      <c r="F81" s="41" t="str">
        <f t="shared" si="7"/>
        <v xml:space="preserve"> </v>
      </c>
      <c r="G81" s="40" t="str">
        <f t="shared" si="8"/>
        <v xml:space="preserve"> </v>
      </c>
      <c r="H81" s="59" t="str">
        <f t="shared" si="11"/>
        <v xml:space="preserve"> </v>
      </c>
      <c r="I81" s="60" t="str">
        <f t="shared" si="9"/>
        <v xml:space="preserve"> </v>
      </c>
      <c r="J81" s="60" t="str">
        <f t="shared" si="9"/>
        <v xml:space="preserve"> </v>
      </c>
      <c r="K81" s="59" t="str">
        <f t="shared" si="9"/>
        <v xml:space="preserve"> </v>
      </c>
      <c r="L81" s="40">
        <f t="shared" si="10"/>
        <v>0</v>
      </c>
      <c r="M81" s="40">
        <f t="shared" si="4"/>
        <v>0</v>
      </c>
      <c r="N81">
        <f t="shared" si="5"/>
        <v>0</v>
      </c>
      <c r="O81" s="42" t="str">
        <f t="shared" si="6"/>
        <v xml:space="preserve"> </v>
      </c>
    </row>
    <row r="82" spans="5:15" ht="15.6" x14ac:dyDescent="0.35">
      <c r="E82" s="40" t="str">
        <f t="shared" si="3"/>
        <v xml:space="preserve"> </v>
      </c>
      <c r="F82" s="41" t="str">
        <f t="shared" si="7"/>
        <v xml:space="preserve"> </v>
      </c>
      <c r="G82" s="40" t="str">
        <f t="shared" si="8"/>
        <v xml:space="preserve"> </v>
      </c>
      <c r="H82" s="59" t="str">
        <f t="shared" si="11"/>
        <v xml:space="preserve"> </v>
      </c>
      <c r="I82" s="60" t="str">
        <f t="shared" si="9"/>
        <v xml:space="preserve"> </v>
      </c>
      <c r="J82" s="60" t="str">
        <f t="shared" si="9"/>
        <v xml:space="preserve"> </v>
      </c>
      <c r="K82" s="59" t="str">
        <f t="shared" si="9"/>
        <v xml:space="preserve"> </v>
      </c>
      <c r="L82" s="40">
        <f t="shared" si="10"/>
        <v>0</v>
      </c>
      <c r="M82" s="40">
        <f t="shared" si="4"/>
        <v>0</v>
      </c>
      <c r="N82">
        <f t="shared" si="5"/>
        <v>0</v>
      </c>
      <c r="O82" s="42" t="str">
        <f t="shared" si="6"/>
        <v xml:space="preserve"> </v>
      </c>
    </row>
    <row r="83" spans="5:15" ht="15.6" x14ac:dyDescent="0.35">
      <c r="E83" s="40" t="str">
        <f t="shared" si="3"/>
        <v xml:space="preserve"> </v>
      </c>
      <c r="F83" s="41" t="str">
        <f t="shared" si="7"/>
        <v xml:space="preserve"> </v>
      </c>
      <c r="G83" s="40" t="str">
        <f t="shared" si="8"/>
        <v xml:space="preserve"> </v>
      </c>
      <c r="H83" s="59" t="str">
        <f t="shared" si="11"/>
        <v xml:space="preserve"> </v>
      </c>
      <c r="I83" s="60" t="str">
        <f t="shared" si="9"/>
        <v xml:space="preserve"> </v>
      </c>
      <c r="J83" s="60" t="str">
        <f t="shared" si="9"/>
        <v xml:space="preserve"> </v>
      </c>
      <c r="K83" s="59" t="str">
        <f t="shared" si="9"/>
        <v xml:space="preserve"> </v>
      </c>
      <c r="L83" s="40">
        <f t="shared" si="10"/>
        <v>0</v>
      </c>
      <c r="M83" s="40">
        <f t="shared" si="4"/>
        <v>0</v>
      </c>
      <c r="N83">
        <f t="shared" si="5"/>
        <v>0</v>
      </c>
      <c r="O83" s="42" t="str">
        <f t="shared" si="6"/>
        <v xml:space="preserve"> </v>
      </c>
    </row>
    <row r="84" spans="5:15" ht="15.6" x14ac:dyDescent="0.35">
      <c r="E84" s="40" t="str">
        <f t="shared" si="3"/>
        <v xml:space="preserve"> </v>
      </c>
      <c r="F84" s="41" t="str">
        <f t="shared" si="7"/>
        <v xml:space="preserve"> </v>
      </c>
      <c r="G84" s="40" t="str">
        <f t="shared" si="8"/>
        <v xml:space="preserve"> </v>
      </c>
      <c r="H84" s="59" t="str">
        <f t="shared" si="11"/>
        <v xml:space="preserve"> </v>
      </c>
      <c r="I84" s="60" t="str">
        <f t="shared" si="9"/>
        <v xml:space="preserve"> </v>
      </c>
      <c r="J84" s="60" t="str">
        <f t="shared" si="9"/>
        <v xml:space="preserve"> </v>
      </c>
      <c r="K84" s="59" t="str">
        <f t="shared" si="9"/>
        <v xml:space="preserve"> </v>
      </c>
      <c r="L84" s="40">
        <f t="shared" si="10"/>
        <v>0</v>
      </c>
      <c r="M84" s="40">
        <f t="shared" si="4"/>
        <v>0</v>
      </c>
      <c r="N84">
        <f t="shared" si="5"/>
        <v>0</v>
      </c>
      <c r="O84" s="42" t="str">
        <f t="shared" si="6"/>
        <v xml:space="preserve"> </v>
      </c>
    </row>
    <row r="85" spans="5:15" ht="15.6" x14ac:dyDescent="0.35">
      <c r="E85" s="40" t="str">
        <f t="shared" si="3"/>
        <v xml:space="preserve"> </v>
      </c>
      <c r="F85" s="41" t="str">
        <f t="shared" si="7"/>
        <v xml:space="preserve"> </v>
      </c>
      <c r="G85" s="40" t="str">
        <f t="shared" si="8"/>
        <v xml:space="preserve"> </v>
      </c>
      <c r="H85" s="59" t="str">
        <f t="shared" si="11"/>
        <v xml:space="preserve"> </v>
      </c>
      <c r="I85" s="60" t="str">
        <f t="shared" si="9"/>
        <v xml:space="preserve"> </v>
      </c>
      <c r="J85" s="60" t="str">
        <f t="shared" si="9"/>
        <v xml:space="preserve"> </v>
      </c>
      <c r="K85" s="59" t="str">
        <f t="shared" si="9"/>
        <v xml:space="preserve"> </v>
      </c>
      <c r="L85" s="40">
        <f t="shared" si="10"/>
        <v>0</v>
      </c>
      <c r="M85" s="40">
        <f t="shared" si="4"/>
        <v>0</v>
      </c>
      <c r="N85">
        <f t="shared" si="5"/>
        <v>0</v>
      </c>
      <c r="O85" s="42" t="str">
        <f t="shared" si="6"/>
        <v xml:space="preserve"> </v>
      </c>
    </row>
    <row r="86" spans="5:15" ht="15.6" x14ac:dyDescent="0.35">
      <c r="E86" s="40" t="str">
        <f t="shared" si="3"/>
        <v xml:space="preserve"> </v>
      </c>
      <c r="F86" s="41" t="str">
        <f t="shared" si="7"/>
        <v xml:space="preserve"> </v>
      </c>
      <c r="G86" s="40" t="str">
        <f t="shared" si="8"/>
        <v xml:space="preserve"> </v>
      </c>
      <c r="H86" s="59" t="str">
        <f t="shared" si="11"/>
        <v xml:space="preserve"> </v>
      </c>
      <c r="I86" s="60" t="str">
        <f t="shared" si="9"/>
        <v xml:space="preserve"> </v>
      </c>
      <c r="J86" s="60" t="str">
        <f t="shared" si="9"/>
        <v xml:space="preserve"> </v>
      </c>
      <c r="K86" s="59" t="str">
        <f t="shared" si="9"/>
        <v xml:space="preserve"> </v>
      </c>
      <c r="L86" s="40">
        <f t="shared" si="10"/>
        <v>0</v>
      </c>
      <c r="M86" s="40">
        <f t="shared" si="4"/>
        <v>0</v>
      </c>
      <c r="N86">
        <f t="shared" si="5"/>
        <v>0</v>
      </c>
      <c r="O86" s="42" t="str">
        <f t="shared" si="6"/>
        <v xml:space="preserve"> </v>
      </c>
    </row>
    <row r="87" spans="5:15" ht="15.6" x14ac:dyDescent="0.35">
      <c r="E87" s="40" t="str">
        <f t="shared" si="3"/>
        <v xml:space="preserve"> </v>
      </c>
      <c r="F87" s="41" t="str">
        <f t="shared" si="7"/>
        <v xml:space="preserve"> </v>
      </c>
      <c r="G87" s="40" t="str">
        <f t="shared" si="8"/>
        <v xml:space="preserve"> </v>
      </c>
      <c r="H87" s="59" t="str">
        <f t="shared" si="11"/>
        <v xml:space="preserve"> </v>
      </c>
      <c r="I87" s="60" t="str">
        <f t="shared" si="9"/>
        <v xml:space="preserve"> </v>
      </c>
      <c r="J87" s="60" t="str">
        <f t="shared" si="9"/>
        <v xml:space="preserve"> </v>
      </c>
      <c r="K87" s="59" t="str">
        <f t="shared" si="9"/>
        <v xml:space="preserve"> </v>
      </c>
      <c r="L87" s="40">
        <f t="shared" si="10"/>
        <v>0</v>
      </c>
      <c r="M87" s="40">
        <f t="shared" si="4"/>
        <v>0</v>
      </c>
      <c r="N87">
        <f t="shared" si="5"/>
        <v>0</v>
      </c>
      <c r="O87" s="42" t="str">
        <f t="shared" si="6"/>
        <v xml:space="preserve"> </v>
      </c>
    </row>
    <row r="88" spans="5:15" ht="15.6" x14ac:dyDescent="0.35">
      <c r="E88" s="40" t="str">
        <f t="shared" si="3"/>
        <v xml:space="preserve"> </v>
      </c>
      <c r="F88" s="41" t="str">
        <f t="shared" si="7"/>
        <v xml:space="preserve"> </v>
      </c>
      <c r="G88" s="40" t="str">
        <f t="shared" si="8"/>
        <v xml:space="preserve"> </v>
      </c>
      <c r="H88" s="59" t="str">
        <f t="shared" si="11"/>
        <v xml:space="preserve"> </v>
      </c>
      <c r="I88" s="60" t="str">
        <f t="shared" si="9"/>
        <v xml:space="preserve"> </v>
      </c>
      <c r="J88" s="60" t="str">
        <f t="shared" si="9"/>
        <v xml:space="preserve"> </v>
      </c>
      <c r="K88" s="59" t="str">
        <f t="shared" si="9"/>
        <v xml:space="preserve"> </v>
      </c>
      <c r="L88" s="40">
        <f t="shared" si="10"/>
        <v>0</v>
      </c>
      <c r="M88" s="40">
        <f t="shared" si="4"/>
        <v>0</v>
      </c>
      <c r="N88">
        <f t="shared" si="5"/>
        <v>0</v>
      </c>
      <c r="O88" s="42" t="str">
        <f t="shared" si="6"/>
        <v xml:space="preserve"> </v>
      </c>
    </row>
    <row r="89" spans="5:15" ht="15.6" x14ac:dyDescent="0.35">
      <c r="E89" s="40" t="str">
        <f t="shared" si="3"/>
        <v xml:space="preserve"> </v>
      </c>
      <c r="F89" s="41" t="str">
        <f t="shared" si="7"/>
        <v xml:space="preserve"> </v>
      </c>
      <c r="G89" s="40" t="str">
        <f t="shared" si="8"/>
        <v xml:space="preserve"> </v>
      </c>
      <c r="H89" s="59" t="str">
        <f t="shared" si="11"/>
        <v xml:space="preserve"> </v>
      </c>
      <c r="I89" s="60" t="str">
        <f t="shared" si="9"/>
        <v xml:space="preserve"> </v>
      </c>
      <c r="J89" s="60" t="str">
        <f t="shared" si="9"/>
        <v xml:space="preserve"> </v>
      </c>
      <c r="K89" s="59" t="str">
        <f t="shared" si="9"/>
        <v xml:space="preserve"> </v>
      </c>
      <c r="L89" s="40">
        <f t="shared" si="10"/>
        <v>0</v>
      </c>
      <c r="M89" s="40">
        <f t="shared" si="4"/>
        <v>0</v>
      </c>
      <c r="N89">
        <f t="shared" si="5"/>
        <v>0</v>
      </c>
      <c r="O89" s="42" t="str">
        <f t="shared" si="6"/>
        <v xml:space="preserve"> </v>
      </c>
    </row>
    <row r="90" spans="5:15" ht="15.6" x14ac:dyDescent="0.35">
      <c r="E90" s="40" t="str">
        <f t="shared" si="3"/>
        <v xml:space="preserve"> </v>
      </c>
      <c r="F90" s="41" t="str">
        <f t="shared" si="7"/>
        <v xml:space="preserve"> </v>
      </c>
      <c r="G90" s="40" t="str">
        <f t="shared" si="8"/>
        <v xml:space="preserve"> </v>
      </c>
      <c r="H90" s="59" t="str">
        <f t="shared" si="11"/>
        <v xml:space="preserve"> </v>
      </c>
      <c r="I90" s="60" t="str">
        <f t="shared" si="9"/>
        <v xml:space="preserve"> </v>
      </c>
      <c r="J90" s="60" t="str">
        <f t="shared" si="9"/>
        <v xml:space="preserve"> </v>
      </c>
      <c r="K90" s="59" t="str">
        <f t="shared" si="9"/>
        <v xml:space="preserve"> </v>
      </c>
      <c r="L90" s="40">
        <f t="shared" si="10"/>
        <v>0</v>
      </c>
      <c r="M90" s="40">
        <f t="shared" si="4"/>
        <v>0</v>
      </c>
      <c r="N90">
        <f t="shared" si="5"/>
        <v>0</v>
      </c>
      <c r="O90" s="42" t="str">
        <f t="shared" si="6"/>
        <v xml:space="preserve"> </v>
      </c>
    </row>
    <row r="91" spans="5:15" ht="15.6" x14ac:dyDescent="0.35">
      <c r="E91" s="40" t="str">
        <f t="shared" si="3"/>
        <v xml:space="preserve"> </v>
      </c>
      <c r="F91" s="41" t="str">
        <f t="shared" si="7"/>
        <v xml:space="preserve"> </v>
      </c>
      <c r="G91" s="40" t="str">
        <f t="shared" si="8"/>
        <v xml:space="preserve"> </v>
      </c>
      <c r="H91" s="59" t="str">
        <f t="shared" si="11"/>
        <v xml:space="preserve"> </v>
      </c>
      <c r="I91" s="60" t="str">
        <f t="shared" si="9"/>
        <v xml:space="preserve"> </v>
      </c>
      <c r="J91" s="60" t="str">
        <f t="shared" si="9"/>
        <v xml:space="preserve"> </v>
      </c>
      <c r="K91" s="59" t="str">
        <f t="shared" si="9"/>
        <v xml:space="preserve"> </v>
      </c>
      <c r="L91" s="40">
        <f t="shared" si="10"/>
        <v>0</v>
      </c>
      <c r="M91" s="40">
        <f t="shared" si="4"/>
        <v>0</v>
      </c>
      <c r="N91">
        <f t="shared" si="5"/>
        <v>0</v>
      </c>
      <c r="O91" s="42" t="str">
        <f t="shared" si="6"/>
        <v xml:space="preserve"> </v>
      </c>
    </row>
    <row r="92" spans="5:15" ht="15.6" x14ac:dyDescent="0.35">
      <c r="E92" s="40" t="str">
        <f t="shared" si="3"/>
        <v xml:space="preserve"> </v>
      </c>
      <c r="F92" s="41" t="str">
        <f t="shared" si="7"/>
        <v xml:space="preserve"> </v>
      </c>
      <c r="G92" s="40" t="str">
        <f t="shared" si="8"/>
        <v xml:space="preserve"> </v>
      </c>
      <c r="H92" s="59" t="str">
        <f t="shared" si="11"/>
        <v xml:space="preserve"> </v>
      </c>
      <c r="I92" s="60" t="str">
        <f t="shared" si="9"/>
        <v xml:space="preserve"> </v>
      </c>
      <c r="J92" s="60" t="str">
        <f t="shared" si="9"/>
        <v xml:space="preserve"> </v>
      </c>
      <c r="K92" s="59" t="str">
        <f t="shared" si="9"/>
        <v xml:space="preserve"> </v>
      </c>
      <c r="L92" s="40">
        <f t="shared" si="10"/>
        <v>0</v>
      </c>
      <c r="M92" s="40">
        <f t="shared" si="4"/>
        <v>0</v>
      </c>
      <c r="N92">
        <f t="shared" si="5"/>
        <v>0</v>
      </c>
      <c r="O92" s="42" t="str">
        <f t="shared" si="6"/>
        <v xml:space="preserve"> </v>
      </c>
    </row>
    <row r="93" spans="5:15" ht="15.6" x14ac:dyDescent="0.35">
      <c r="E93" s="40" t="str">
        <f t="shared" si="3"/>
        <v xml:space="preserve"> </v>
      </c>
      <c r="F93" s="41" t="str">
        <f t="shared" si="7"/>
        <v xml:space="preserve"> </v>
      </c>
      <c r="G93" s="40" t="str">
        <f t="shared" si="8"/>
        <v xml:space="preserve"> </v>
      </c>
      <c r="H93" s="59" t="str">
        <f t="shared" si="11"/>
        <v xml:space="preserve"> </v>
      </c>
      <c r="I93" s="60" t="str">
        <f t="shared" si="9"/>
        <v xml:space="preserve"> </v>
      </c>
      <c r="J93" s="60" t="str">
        <f t="shared" si="9"/>
        <v xml:space="preserve"> </v>
      </c>
      <c r="K93" s="59" t="str">
        <f t="shared" si="9"/>
        <v xml:space="preserve"> </v>
      </c>
      <c r="L93" s="40">
        <f t="shared" si="10"/>
        <v>0</v>
      </c>
      <c r="M93" s="40">
        <f t="shared" si="4"/>
        <v>0</v>
      </c>
      <c r="N93">
        <f t="shared" si="5"/>
        <v>0</v>
      </c>
      <c r="O93" s="42" t="str">
        <f t="shared" si="6"/>
        <v xml:space="preserve"> </v>
      </c>
    </row>
    <row r="94" spans="5:15" ht="15.6" x14ac:dyDescent="0.35">
      <c r="E94" s="40" t="str">
        <f t="shared" si="3"/>
        <v xml:space="preserve"> </v>
      </c>
      <c r="F94" s="41" t="str">
        <f t="shared" si="7"/>
        <v xml:space="preserve"> </v>
      </c>
      <c r="G94" s="40" t="str">
        <f t="shared" si="8"/>
        <v xml:space="preserve"> </v>
      </c>
      <c r="H94" s="59" t="str">
        <f t="shared" si="11"/>
        <v xml:space="preserve"> </v>
      </c>
      <c r="I94" s="60" t="str">
        <f t="shared" si="9"/>
        <v xml:space="preserve"> </v>
      </c>
      <c r="J94" s="60" t="str">
        <f t="shared" si="9"/>
        <v xml:space="preserve"> </v>
      </c>
      <c r="K94" s="59" t="str">
        <f t="shared" si="9"/>
        <v xml:space="preserve"> </v>
      </c>
      <c r="L94" s="40">
        <f t="shared" si="10"/>
        <v>0</v>
      </c>
      <c r="M94" s="40">
        <f t="shared" si="4"/>
        <v>0</v>
      </c>
      <c r="N94">
        <f t="shared" si="5"/>
        <v>0</v>
      </c>
      <c r="O94" s="42" t="str">
        <f t="shared" si="6"/>
        <v xml:space="preserve"> </v>
      </c>
    </row>
    <row r="95" spans="5:15" ht="15.6" x14ac:dyDescent="0.35">
      <c r="E95" s="40" t="str">
        <f t="shared" si="3"/>
        <v xml:space="preserve"> </v>
      </c>
      <c r="F95" s="41" t="str">
        <f t="shared" si="7"/>
        <v xml:space="preserve"> </v>
      </c>
      <c r="G95" s="40" t="str">
        <f t="shared" si="8"/>
        <v xml:space="preserve"> </v>
      </c>
      <c r="H95" s="59" t="str">
        <f t="shared" si="11"/>
        <v xml:space="preserve"> </v>
      </c>
      <c r="I95" s="60" t="str">
        <f t="shared" si="9"/>
        <v xml:space="preserve"> </v>
      </c>
      <c r="J95" s="60" t="str">
        <f t="shared" si="9"/>
        <v xml:space="preserve"> </v>
      </c>
      <c r="K95" s="59" t="str">
        <f t="shared" si="9"/>
        <v xml:space="preserve"> </v>
      </c>
      <c r="L95" s="40">
        <f t="shared" si="10"/>
        <v>0</v>
      </c>
      <c r="M95" s="40">
        <f t="shared" si="4"/>
        <v>0</v>
      </c>
      <c r="N95">
        <f t="shared" si="5"/>
        <v>0</v>
      </c>
      <c r="O95" s="42" t="str">
        <f t="shared" si="6"/>
        <v xml:space="preserve"> </v>
      </c>
    </row>
    <row r="96" spans="5:15" ht="15.6" x14ac:dyDescent="0.35">
      <c r="E96" s="40" t="str">
        <f t="shared" si="3"/>
        <v xml:space="preserve"> </v>
      </c>
      <c r="F96" s="41" t="str">
        <f t="shared" si="7"/>
        <v xml:space="preserve"> </v>
      </c>
      <c r="G96" s="40" t="str">
        <f t="shared" si="8"/>
        <v xml:space="preserve"> </v>
      </c>
      <c r="H96" s="59" t="str">
        <f t="shared" si="11"/>
        <v xml:space="preserve"> </v>
      </c>
      <c r="I96" s="60" t="str">
        <f t="shared" si="9"/>
        <v xml:space="preserve"> </v>
      </c>
      <c r="J96" s="60" t="str">
        <f t="shared" si="9"/>
        <v xml:space="preserve"> </v>
      </c>
      <c r="K96" s="59" t="str">
        <f t="shared" si="9"/>
        <v xml:space="preserve"> </v>
      </c>
      <c r="L96" s="40">
        <f t="shared" si="10"/>
        <v>0</v>
      </c>
      <c r="M96" s="40">
        <f t="shared" si="4"/>
        <v>0</v>
      </c>
      <c r="N96">
        <f t="shared" si="5"/>
        <v>0</v>
      </c>
      <c r="O96" s="42" t="str">
        <f t="shared" si="6"/>
        <v xml:space="preserve"> </v>
      </c>
    </row>
    <row r="97" spans="5:15" ht="15.6" x14ac:dyDescent="0.35">
      <c r="E97" s="40" t="str">
        <f t="shared" si="3"/>
        <v xml:space="preserve"> </v>
      </c>
      <c r="F97" s="41" t="str">
        <f t="shared" si="7"/>
        <v xml:space="preserve"> </v>
      </c>
      <c r="G97" s="40" t="str">
        <f t="shared" si="8"/>
        <v xml:space="preserve"> </v>
      </c>
      <c r="H97" s="59" t="str">
        <f t="shared" si="11"/>
        <v xml:space="preserve"> </v>
      </c>
      <c r="I97" s="60" t="str">
        <f t="shared" si="9"/>
        <v xml:space="preserve"> </v>
      </c>
      <c r="J97" s="60" t="str">
        <f t="shared" si="9"/>
        <v xml:space="preserve"> </v>
      </c>
      <c r="K97" s="59" t="str">
        <f t="shared" si="9"/>
        <v xml:space="preserve"> </v>
      </c>
      <c r="L97" s="40">
        <f t="shared" si="10"/>
        <v>0</v>
      </c>
      <c r="M97" s="40">
        <f t="shared" si="4"/>
        <v>0</v>
      </c>
      <c r="N97">
        <f t="shared" si="5"/>
        <v>0</v>
      </c>
      <c r="O97" s="42" t="str">
        <f t="shared" si="6"/>
        <v xml:space="preserve"> </v>
      </c>
    </row>
    <row r="98" spans="5:15" ht="15.6" x14ac:dyDescent="0.35">
      <c r="E98" s="40" t="str">
        <f t="shared" si="3"/>
        <v xml:space="preserve"> </v>
      </c>
      <c r="F98" s="41" t="str">
        <f t="shared" si="7"/>
        <v xml:space="preserve"> </v>
      </c>
      <c r="G98" s="40" t="str">
        <f t="shared" si="8"/>
        <v xml:space="preserve"> </v>
      </c>
      <c r="H98" s="59" t="str">
        <f t="shared" si="11"/>
        <v xml:space="preserve"> </v>
      </c>
      <c r="I98" s="60" t="str">
        <f t="shared" si="9"/>
        <v xml:space="preserve"> </v>
      </c>
      <c r="J98" s="60" t="str">
        <f t="shared" si="9"/>
        <v xml:space="preserve"> </v>
      </c>
      <c r="K98" s="59" t="str">
        <f t="shared" si="9"/>
        <v xml:space="preserve"> </v>
      </c>
      <c r="L98" s="40">
        <f t="shared" si="10"/>
        <v>0</v>
      </c>
      <c r="M98" s="40">
        <f t="shared" si="4"/>
        <v>0</v>
      </c>
      <c r="N98">
        <f t="shared" si="5"/>
        <v>0</v>
      </c>
      <c r="O98" s="42" t="str">
        <f t="shared" si="6"/>
        <v xml:space="preserve"> </v>
      </c>
    </row>
    <row r="99" spans="5:15" ht="15.6" x14ac:dyDescent="0.35">
      <c r="E99" s="40" t="str">
        <f t="shared" si="3"/>
        <v xml:space="preserve"> </v>
      </c>
      <c r="F99" s="41" t="str">
        <f t="shared" si="7"/>
        <v xml:space="preserve"> </v>
      </c>
      <c r="G99" s="40" t="str">
        <f t="shared" si="8"/>
        <v xml:space="preserve"> </v>
      </c>
      <c r="H99" s="59" t="str">
        <f t="shared" si="11"/>
        <v xml:space="preserve"> </v>
      </c>
      <c r="I99" s="60" t="str">
        <f t="shared" si="9"/>
        <v xml:space="preserve"> </v>
      </c>
      <c r="J99" s="60" t="str">
        <f t="shared" si="9"/>
        <v xml:space="preserve"> </v>
      </c>
      <c r="K99" s="59" t="str">
        <f t="shared" si="9"/>
        <v xml:space="preserve"> </v>
      </c>
      <c r="L99" s="40">
        <f t="shared" si="10"/>
        <v>0</v>
      </c>
      <c r="M99" s="40">
        <f t="shared" si="4"/>
        <v>0</v>
      </c>
      <c r="N99">
        <f t="shared" si="5"/>
        <v>0</v>
      </c>
      <c r="O99" s="42" t="str">
        <f t="shared" si="6"/>
        <v xml:space="preserve"> </v>
      </c>
    </row>
    <row r="100" spans="5:15" ht="15.6" x14ac:dyDescent="0.35">
      <c r="E100" s="40" t="str">
        <f t="shared" si="3"/>
        <v xml:space="preserve"> </v>
      </c>
      <c r="F100" s="41" t="str">
        <f t="shared" si="7"/>
        <v xml:space="preserve"> </v>
      </c>
      <c r="G100" s="40" t="str">
        <f t="shared" si="8"/>
        <v xml:space="preserve"> </v>
      </c>
      <c r="H100" s="59" t="str">
        <f t="shared" si="11"/>
        <v xml:space="preserve"> </v>
      </c>
      <c r="I100" s="60" t="str">
        <f t="shared" si="9"/>
        <v xml:space="preserve"> </v>
      </c>
      <c r="J100" s="60" t="str">
        <f t="shared" si="9"/>
        <v xml:space="preserve"> </v>
      </c>
      <c r="K100" s="59" t="str">
        <f t="shared" si="9"/>
        <v xml:space="preserve"> </v>
      </c>
      <c r="L100" s="40">
        <f t="shared" si="10"/>
        <v>0</v>
      </c>
      <c r="M100" s="40">
        <f t="shared" si="4"/>
        <v>0</v>
      </c>
      <c r="N100">
        <f t="shared" si="5"/>
        <v>0</v>
      </c>
      <c r="O100" s="42" t="str">
        <f t="shared" si="6"/>
        <v xml:space="preserve"> </v>
      </c>
    </row>
    <row r="101" spans="5:15" ht="15.6" x14ac:dyDescent="0.35">
      <c r="E101" s="40" t="str">
        <f t="shared" si="3"/>
        <v xml:space="preserve"> </v>
      </c>
      <c r="F101" s="41" t="str">
        <f t="shared" si="7"/>
        <v xml:space="preserve"> </v>
      </c>
      <c r="G101" s="40" t="str">
        <f t="shared" si="8"/>
        <v xml:space="preserve"> </v>
      </c>
      <c r="H101" s="59" t="str">
        <f t="shared" si="11"/>
        <v xml:space="preserve"> </v>
      </c>
      <c r="I101" s="60" t="str">
        <f t="shared" si="9"/>
        <v xml:space="preserve"> </v>
      </c>
      <c r="J101" s="60" t="str">
        <f t="shared" si="9"/>
        <v xml:space="preserve"> </v>
      </c>
      <c r="K101" s="59" t="str">
        <f t="shared" si="9"/>
        <v xml:space="preserve"> </v>
      </c>
      <c r="L101" s="40">
        <f t="shared" si="10"/>
        <v>0</v>
      </c>
      <c r="M101" s="40">
        <f t="shared" si="4"/>
        <v>0</v>
      </c>
      <c r="N101">
        <f t="shared" si="5"/>
        <v>0</v>
      </c>
      <c r="O101" s="42" t="str">
        <f t="shared" si="6"/>
        <v xml:space="preserve"> </v>
      </c>
    </row>
    <row r="102" spans="5:15" ht="15.6" x14ac:dyDescent="0.35">
      <c r="E102" s="40" t="str">
        <f t="shared" si="3"/>
        <v xml:space="preserve"> </v>
      </c>
      <c r="F102" s="41" t="str">
        <f t="shared" si="7"/>
        <v xml:space="preserve"> </v>
      </c>
      <c r="G102" s="40" t="str">
        <f t="shared" si="8"/>
        <v xml:space="preserve"> </v>
      </c>
      <c r="H102" s="59" t="str">
        <f t="shared" si="11"/>
        <v xml:space="preserve"> </v>
      </c>
      <c r="I102" s="60" t="str">
        <f t="shared" si="9"/>
        <v xml:space="preserve"> </v>
      </c>
      <c r="J102" s="60" t="str">
        <f t="shared" si="9"/>
        <v xml:space="preserve"> </v>
      </c>
      <c r="K102" s="59" t="str">
        <f t="shared" si="9"/>
        <v xml:space="preserve"> </v>
      </c>
      <c r="L102" s="40">
        <f t="shared" si="10"/>
        <v>0</v>
      </c>
      <c r="M102" s="40">
        <f t="shared" si="4"/>
        <v>0</v>
      </c>
      <c r="N102">
        <f t="shared" si="5"/>
        <v>0</v>
      </c>
      <c r="O102" s="42" t="str">
        <f t="shared" si="6"/>
        <v xml:space="preserve"> </v>
      </c>
    </row>
    <row r="103" spans="5:15" ht="15.6" x14ac:dyDescent="0.35">
      <c r="E103" s="40" t="str">
        <f t="shared" si="3"/>
        <v xml:space="preserve"> </v>
      </c>
      <c r="F103" s="41" t="str">
        <f t="shared" si="7"/>
        <v xml:space="preserve"> </v>
      </c>
      <c r="G103" s="40" t="str">
        <f t="shared" si="8"/>
        <v xml:space="preserve"> </v>
      </c>
      <c r="H103" s="59" t="str">
        <f t="shared" si="11"/>
        <v xml:space="preserve"> </v>
      </c>
      <c r="I103" s="60" t="str">
        <f t="shared" si="9"/>
        <v xml:space="preserve"> </v>
      </c>
      <c r="J103" s="60" t="str">
        <f t="shared" si="9"/>
        <v xml:space="preserve"> </v>
      </c>
      <c r="K103" s="59" t="str">
        <f t="shared" si="9"/>
        <v xml:space="preserve"> </v>
      </c>
      <c r="L103" s="40">
        <f t="shared" si="10"/>
        <v>0</v>
      </c>
      <c r="M103" s="40">
        <f t="shared" si="4"/>
        <v>0</v>
      </c>
      <c r="N103">
        <f t="shared" si="5"/>
        <v>0</v>
      </c>
      <c r="O103" s="42" t="str">
        <f t="shared" si="6"/>
        <v xml:space="preserve"> </v>
      </c>
    </row>
    <row r="104" spans="5:15" ht="15.6" x14ac:dyDescent="0.35">
      <c r="E104" s="40" t="str">
        <f t="shared" si="3"/>
        <v xml:space="preserve"> </v>
      </c>
      <c r="F104" s="41" t="str">
        <f t="shared" si="7"/>
        <v xml:space="preserve"> </v>
      </c>
      <c r="G104" s="40" t="str">
        <f t="shared" si="8"/>
        <v xml:space="preserve"> </v>
      </c>
      <c r="H104" s="59" t="str">
        <f t="shared" si="11"/>
        <v xml:space="preserve"> </v>
      </c>
      <c r="I104" s="60" t="str">
        <f t="shared" si="9"/>
        <v xml:space="preserve"> </v>
      </c>
      <c r="J104" s="60" t="str">
        <f t="shared" si="9"/>
        <v xml:space="preserve"> </v>
      </c>
      <c r="K104" s="59" t="str">
        <f t="shared" si="9"/>
        <v xml:space="preserve"> </v>
      </c>
      <c r="L104" s="40">
        <f t="shared" si="10"/>
        <v>0</v>
      </c>
      <c r="M104" s="40">
        <f t="shared" si="4"/>
        <v>0</v>
      </c>
      <c r="N104">
        <f t="shared" si="5"/>
        <v>0</v>
      </c>
      <c r="O104" s="42" t="str">
        <f t="shared" si="6"/>
        <v xml:space="preserve"> </v>
      </c>
    </row>
    <row r="105" spans="5:15" ht="15.6" x14ac:dyDescent="0.35">
      <c r="E105" s="40" t="str">
        <f t="shared" si="3"/>
        <v xml:space="preserve"> </v>
      </c>
      <c r="F105" s="41" t="str">
        <f t="shared" si="7"/>
        <v xml:space="preserve"> </v>
      </c>
      <c r="G105" s="40" t="str">
        <f t="shared" si="8"/>
        <v xml:space="preserve"> </v>
      </c>
      <c r="H105" s="61" t="str">
        <f t="shared" si="11"/>
        <v xml:space="preserve"> </v>
      </c>
      <c r="I105" s="62" t="str">
        <f t="shared" si="9"/>
        <v xml:space="preserve"> </v>
      </c>
      <c r="J105" s="62" t="str">
        <f t="shared" si="9"/>
        <v xml:space="preserve"> </v>
      </c>
      <c r="K105" s="61" t="str">
        <f t="shared" si="9"/>
        <v xml:space="preserve"> </v>
      </c>
      <c r="L105" s="40">
        <f t="shared" si="10"/>
        <v>0</v>
      </c>
      <c r="M105" s="40">
        <f t="shared" si="4"/>
        <v>0</v>
      </c>
      <c r="N105">
        <f t="shared" si="5"/>
        <v>0</v>
      </c>
      <c r="O105" s="42" t="str">
        <f t="shared" si="6"/>
        <v xml:space="preserve"> </v>
      </c>
    </row>
    <row r="106" spans="5:15" ht="16.2" thickBot="1" x14ac:dyDescent="0.4">
      <c r="H106" s="48"/>
      <c r="I106" s="48"/>
      <c r="J106" s="48"/>
      <c r="K106" s="48"/>
    </row>
    <row r="107" spans="5:15" ht="19.8" x14ac:dyDescent="0.45">
      <c r="H107" s="48"/>
      <c r="I107" s="63" t="s">
        <v>97</v>
      </c>
      <c r="J107" s="64">
        <f>J2</f>
        <v>0</v>
      </c>
      <c r="K107" s="48"/>
    </row>
    <row r="108" spans="5:15" ht="15.6" customHeight="1" x14ac:dyDescent="0.3">
      <c r="H108" s="113" t="s">
        <v>152</v>
      </c>
      <c r="I108" s="113"/>
      <c r="J108" s="113"/>
      <c r="K108" s="113"/>
    </row>
    <row r="109" spans="5:15" ht="15.6" customHeight="1" x14ac:dyDescent="0.3">
      <c r="H109" s="113"/>
      <c r="I109" s="113"/>
      <c r="J109" s="113"/>
      <c r="K109" s="113"/>
    </row>
  </sheetData>
  <sortState ref="I11:L50">
    <sortCondition ref="I11"/>
  </sortState>
  <mergeCells count="4">
    <mergeCell ref="B2:H2"/>
    <mergeCell ref="I6:I8"/>
    <mergeCell ref="B3:C3"/>
    <mergeCell ref="H108:K109"/>
  </mergeCells>
  <pageMargins left="1.4960629921259843" right="0.51181102362204722" top="0.15748031496062992" bottom="0.15748031496062992" header="0.31496062992125984" footer="0.31496062992125984"/>
  <pageSetup scale="90" orientation="portrait" r:id="rId2"/>
  <headerFooter>
    <oddFooter>&amp;L&amp;"-,Negrita"&amp;12ELABORADO POR: __________&amp;C&amp;"-,Negrita"&amp;12REVISADO POR: __________&amp;R&amp;"-,Negrita"&amp;12VISTO BUENO POR: __________</oddFooter>
  </headerFooter>
  <drawing r:id="rId3"/>
  <legacyDrawing r:id="rId4"/>
  <controls>
    <mc:AlternateContent xmlns:mc="http://schemas.openxmlformats.org/markup-compatibility/2006">
      <mc:Choice Requires="x14">
        <control shapeId="1025" r:id="rId5" name="TextBox1">
          <controlPr defaultSize="0" autoLine="0" r:id="rId6">
            <anchor moveWithCells="1">
              <from>
                <xdr:col>0</xdr:col>
                <xdr:colOff>0</xdr:colOff>
                <xdr:row>7</xdr:row>
                <xdr:rowOff>83820</xdr:rowOff>
              </from>
              <to>
                <xdr:col>1</xdr:col>
                <xdr:colOff>289560</xdr:colOff>
                <xdr:row>8</xdr:row>
                <xdr:rowOff>251460</xdr:rowOff>
              </to>
            </anchor>
          </controlPr>
        </control>
      </mc:Choice>
      <mc:Fallback>
        <control shapeId="1025" r:id="rId5" name="TextBox1"/>
      </mc:Fallback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Agregar_List_Pesc">
            <anchor moveWithCells="1" sizeWithCells="1">
              <from>
                <xdr:col>9</xdr:col>
                <xdr:colOff>76200</xdr:colOff>
                <xdr:row>5</xdr:row>
                <xdr:rowOff>99060</xdr:rowOff>
              </from>
              <to>
                <xdr:col>9</xdr:col>
                <xdr:colOff>1226820</xdr:colOff>
                <xdr:row>7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8" name="Button 13">
          <controlPr defaultSize="0" print="0" autoFill="0" autoPict="0" macro="[0]!Reg_Pers_Pesc">
            <anchor moveWithCells="1" sizeWithCells="1">
              <from>
                <xdr:col>12</xdr:col>
                <xdr:colOff>152400</xdr:colOff>
                <xdr:row>5</xdr:row>
                <xdr:rowOff>76200</xdr:rowOff>
              </from>
              <to>
                <xdr:col>12</xdr:col>
                <xdr:colOff>1203960</xdr:colOff>
                <xdr:row>8</xdr:row>
                <xdr:rowOff>114300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FUNCIONES!$B$3:$B$11</xm:f>
          </x14:formula1>
          <xm:sqref>J5 J39:J42 J44:J50</xm:sqref>
        </x14:dataValidation>
        <x14:dataValidation type="list" allowBlank="1" showInputMessage="1" showErrorMessage="1">
          <x14:formula1>
            <xm:f>[1]FUNCIONES!#REF!</xm:f>
          </x14:formula1>
          <xm:sqref>J43 J11:J38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/>
  <dimension ref="A2:L364"/>
  <sheetViews>
    <sheetView zoomScale="90" zoomScaleNormal="90" workbookViewId="0">
      <selection activeCell="I46" sqref="I46"/>
    </sheetView>
  </sheetViews>
  <sheetFormatPr baseColWidth="10" defaultRowHeight="14.4" x14ac:dyDescent="0.3"/>
  <cols>
    <col min="1" max="1" width="12.33203125" bestFit="1" customWidth="1"/>
    <col min="2" max="2" width="7.33203125" bestFit="1" customWidth="1"/>
    <col min="4" max="4" width="8.109375" bestFit="1" customWidth="1"/>
    <col min="5" max="5" width="3.33203125" bestFit="1" customWidth="1"/>
    <col min="6" max="6" width="37.5546875" bestFit="1" customWidth="1"/>
    <col min="7" max="7" width="15.109375" bestFit="1" customWidth="1"/>
    <col min="8" max="8" width="4.33203125" bestFit="1" customWidth="1"/>
    <col min="9" max="9" width="9.44140625" bestFit="1" customWidth="1"/>
    <col min="10" max="10" width="9.6640625" bestFit="1" customWidth="1"/>
    <col min="11" max="11" width="6" bestFit="1" customWidth="1"/>
  </cols>
  <sheetData>
    <row r="2" spans="1:12" x14ac:dyDescent="0.3">
      <c r="A2" s="98" t="s">
        <v>106</v>
      </c>
      <c r="B2" s="98" t="s">
        <v>99</v>
      </c>
      <c r="C2" s="98" t="s">
        <v>95</v>
      </c>
      <c r="D2" s="98" t="s">
        <v>100</v>
      </c>
      <c r="E2" s="98" t="s">
        <v>79</v>
      </c>
      <c r="F2" s="98" t="s">
        <v>80</v>
      </c>
      <c r="G2" s="98" t="s">
        <v>81</v>
      </c>
      <c r="H2" s="98" t="s">
        <v>109</v>
      </c>
      <c r="I2" s="98" t="s">
        <v>41</v>
      </c>
      <c r="J2" s="98" t="s">
        <v>108</v>
      </c>
      <c r="K2" s="98" t="s">
        <v>107</v>
      </c>
      <c r="L2" s="98" t="s">
        <v>98</v>
      </c>
    </row>
    <row r="3" spans="1:12" x14ac:dyDescent="0.3">
      <c r="A3" s="47">
        <f t="shared" ref="A3:A106" si="0">K3</f>
        <v>1</v>
      </c>
      <c r="B3" s="40" t="s">
        <v>158</v>
      </c>
      <c r="C3" s="71">
        <v>43117</v>
      </c>
      <c r="D3" s="40">
        <v>2</v>
      </c>
      <c r="E3">
        <v>1</v>
      </c>
      <c r="F3" t="s">
        <v>53</v>
      </c>
      <c r="G3" t="s">
        <v>85</v>
      </c>
      <c r="H3" s="40">
        <v>13</v>
      </c>
      <c r="I3" t="s">
        <v>71</v>
      </c>
      <c r="J3" s="40" t="s">
        <v>159</v>
      </c>
      <c r="K3" s="47">
        <v>1</v>
      </c>
      <c r="L3" s="42">
        <v>0.8125</v>
      </c>
    </row>
    <row r="4" spans="1:12" hidden="1" x14ac:dyDescent="0.3">
      <c r="A4" s="47">
        <f>K4</f>
        <v>1</v>
      </c>
      <c r="B4" s="40" t="s">
        <v>165</v>
      </c>
      <c r="C4" s="71">
        <v>43131</v>
      </c>
      <c r="D4" s="40">
        <v>3</v>
      </c>
      <c r="E4">
        <v>1</v>
      </c>
      <c r="F4" t="s">
        <v>53</v>
      </c>
      <c r="G4" t="s">
        <v>85</v>
      </c>
      <c r="H4" s="40">
        <v>40</v>
      </c>
      <c r="I4" t="s">
        <v>71</v>
      </c>
      <c r="J4" s="40" t="s">
        <v>166</v>
      </c>
      <c r="K4" s="47">
        <v>1</v>
      </c>
      <c r="L4" s="42">
        <v>0.79166666666666663</v>
      </c>
    </row>
    <row r="5" spans="1:12" hidden="1" x14ac:dyDescent="0.3">
      <c r="A5" s="47">
        <f>K5</f>
        <v>1</v>
      </c>
      <c r="B5" s="40" t="s">
        <v>165</v>
      </c>
      <c r="C5" s="71">
        <v>43131</v>
      </c>
      <c r="D5" s="40">
        <v>3</v>
      </c>
      <c r="E5">
        <v>2</v>
      </c>
      <c r="F5" t="s">
        <v>33</v>
      </c>
      <c r="G5" t="s">
        <v>86</v>
      </c>
      <c r="H5" s="40">
        <v>40</v>
      </c>
      <c r="I5" t="s">
        <v>42</v>
      </c>
      <c r="J5" s="40" t="s">
        <v>166</v>
      </c>
      <c r="K5" s="47">
        <v>1</v>
      </c>
      <c r="L5" s="42">
        <v>0.79166666666666663</v>
      </c>
    </row>
    <row r="6" spans="1:12" hidden="1" x14ac:dyDescent="0.3">
      <c r="A6" s="47">
        <f>K6</f>
        <v>1</v>
      </c>
      <c r="B6" s="40" t="s">
        <v>165</v>
      </c>
      <c r="C6" s="71">
        <v>43131</v>
      </c>
      <c r="D6" s="40">
        <v>3</v>
      </c>
      <c r="E6">
        <v>3</v>
      </c>
      <c r="F6" t="s">
        <v>26</v>
      </c>
      <c r="G6" t="s">
        <v>87</v>
      </c>
      <c r="H6" s="40">
        <v>40</v>
      </c>
      <c r="I6" t="s">
        <v>42</v>
      </c>
      <c r="J6" s="40" t="s">
        <v>166</v>
      </c>
      <c r="K6" s="47">
        <v>1</v>
      </c>
      <c r="L6" s="42">
        <v>0.79166666666666663</v>
      </c>
    </row>
    <row r="7" spans="1:12" hidden="1" x14ac:dyDescent="0.3">
      <c r="A7" s="47">
        <f>K7</f>
        <v>1</v>
      </c>
      <c r="B7" s="40" t="s">
        <v>165</v>
      </c>
      <c r="C7" s="71">
        <v>43131</v>
      </c>
      <c r="D7" s="40">
        <v>3</v>
      </c>
      <c r="E7">
        <v>4</v>
      </c>
      <c r="F7" t="s">
        <v>27</v>
      </c>
      <c r="G7" t="s">
        <v>87</v>
      </c>
      <c r="H7" s="40">
        <v>40</v>
      </c>
      <c r="I7" t="s">
        <v>42</v>
      </c>
      <c r="J7" s="40" t="s">
        <v>166</v>
      </c>
      <c r="K7" s="47">
        <v>1</v>
      </c>
      <c r="L7" s="42">
        <v>0.79166666666666663</v>
      </c>
    </row>
    <row r="8" spans="1:12" hidden="1" x14ac:dyDescent="0.3">
      <c r="A8" s="47">
        <f>K8</f>
        <v>1</v>
      </c>
      <c r="B8" s="40" t="s">
        <v>165</v>
      </c>
      <c r="C8" s="71">
        <v>43131</v>
      </c>
      <c r="D8" s="40">
        <v>3</v>
      </c>
      <c r="E8">
        <v>5</v>
      </c>
      <c r="F8" t="s">
        <v>51</v>
      </c>
      <c r="G8" t="s">
        <v>88</v>
      </c>
      <c r="H8" s="40">
        <v>40</v>
      </c>
      <c r="I8" t="s">
        <v>71</v>
      </c>
      <c r="J8" s="40" t="s">
        <v>166</v>
      </c>
      <c r="K8" s="47">
        <v>1</v>
      </c>
      <c r="L8" s="42">
        <v>0.79166666666666663</v>
      </c>
    </row>
    <row r="9" spans="1:12" hidden="1" x14ac:dyDescent="0.3">
      <c r="A9" s="47">
        <f>K9</f>
        <v>1</v>
      </c>
      <c r="B9" s="40" t="s">
        <v>165</v>
      </c>
      <c r="C9" s="71">
        <v>43131</v>
      </c>
      <c r="D9" s="40">
        <v>3</v>
      </c>
      <c r="E9">
        <v>6</v>
      </c>
      <c r="F9" t="s">
        <v>38</v>
      </c>
      <c r="G9" t="s">
        <v>89</v>
      </c>
      <c r="H9" s="40">
        <v>40</v>
      </c>
      <c r="I9" t="s">
        <v>42</v>
      </c>
      <c r="J9" s="40" t="s">
        <v>166</v>
      </c>
      <c r="K9" s="47">
        <v>1</v>
      </c>
      <c r="L9" s="42">
        <v>0.79166666666666663</v>
      </c>
    </row>
    <row r="10" spans="1:12" hidden="1" x14ac:dyDescent="0.3">
      <c r="A10" s="47">
        <f>K10</f>
        <v>1</v>
      </c>
      <c r="B10" s="40" t="s">
        <v>165</v>
      </c>
      <c r="C10" s="71">
        <v>43131</v>
      </c>
      <c r="D10" s="40">
        <v>3</v>
      </c>
      <c r="E10">
        <v>7</v>
      </c>
      <c r="F10" t="s">
        <v>25</v>
      </c>
      <c r="G10" t="s">
        <v>90</v>
      </c>
      <c r="H10" s="40">
        <v>40</v>
      </c>
      <c r="I10" t="s">
        <v>42</v>
      </c>
      <c r="J10" s="40" t="s">
        <v>166</v>
      </c>
      <c r="K10" s="47">
        <v>1</v>
      </c>
      <c r="L10" s="42">
        <v>0.79166666666666663</v>
      </c>
    </row>
    <row r="11" spans="1:12" hidden="1" x14ac:dyDescent="0.3">
      <c r="A11" s="47">
        <f>K11</f>
        <v>1</v>
      </c>
      <c r="B11" s="40" t="s">
        <v>165</v>
      </c>
      <c r="C11" s="71">
        <v>43131</v>
      </c>
      <c r="D11" s="40">
        <v>3</v>
      </c>
      <c r="E11">
        <v>8</v>
      </c>
      <c r="F11" t="s">
        <v>35</v>
      </c>
      <c r="G11" t="s">
        <v>90</v>
      </c>
      <c r="H11" s="40">
        <v>40</v>
      </c>
      <c r="I11" t="s">
        <v>42</v>
      </c>
      <c r="J11" s="40" t="s">
        <v>166</v>
      </c>
      <c r="K11" s="47">
        <v>1</v>
      </c>
      <c r="L11" s="42">
        <v>0.79166666666666663</v>
      </c>
    </row>
    <row r="12" spans="1:12" hidden="1" x14ac:dyDescent="0.3">
      <c r="A12" s="47">
        <f>K12</f>
        <v>1</v>
      </c>
      <c r="B12" s="40" t="s">
        <v>165</v>
      </c>
      <c r="C12" s="71">
        <v>43131</v>
      </c>
      <c r="D12" s="40">
        <v>3</v>
      </c>
      <c r="E12">
        <v>9</v>
      </c>
      <c r="F12" t="s">
        <v>69</v>
      </c>
      <c r="G12" t="s">
        <v>90</v>
      </c>
      <c r="H12" s="40">
        <v>40</v>
      </c>
      <c r="I12" t="s">
        <v>71</v>
      </c>
      <c r="J12" s="40" t="s">
        <v>166</v>
      </c>
      <c r="K12" s="47">
        <v>1</v>
      </c>
      <c r="L12" s="42">
        <v>0.79166666666666663</v>
      </c>
    </row>
    <row r="13" spans="1:12" hidden="1" x14ac:dyDescent="0.3">
      <c r="A13" s="47">
        <f>K13</f>
        <v>1</v>
      </c>
      <c r="B13" s="40" t="s">
        <v>165</v>
      </c>
      <c r="C13" s="71">
        <v>43131</v>
      </c>
      <c r="D13" s="40">
        <v>3</v>
      </c>
      <c r="E13">
        <v>10</v>
      </c>
      <c r="F13" t="s">
        <v>148</v>
      </c>
      <c r="G13" t="s">
        <v>90</v>
      </c>
      <c r="H13" s="40">
        <v>40</v>
      </c>
      <c r="I13" t="s">
        <v>71</v>
      </c>
      <c r="J13" s="40" t="s">
        <v>166</v>
      </c>
      <c r="K13" s="47">
        <v>1</v>
      </c>
      <c r="L13" s="42">
        <v>0.79166666666666663</v>
      </c>
    </row>
    <row r="14" spans="1:12" hidden="1" x14ac:dyDescent="0.3">
      <c r="A14" s="47">
        <f>K14</f>
        <v>1</v>
      </c>
      <c r="B14" s="40" t="s">
        <v>165</v>
      </c>
      <c r="C14" s="71">
        <v>43131</v>
      </c>
      <c r="D14" s="40">
        <v>3</v>
      </c>
      <c r="E14">
        <v>11</v>
      </c>
      <c r="F14" t="s">
        <v>149</v>
      </c>
      <c r="G14" t="s">
        <v>90</v>
      </c>
      <c r="H14" s="40">
        <v>40</v>
      </c>
      <c r="I14" t="s">
        <v>71</v>
      </c>
      <c r="J14" s="40" t="s">
        <v>166</v>
      </c>
      <c r="K14" s="47">
        <v>1</v>
      </c>
      <c r="L14" s="42">
        <v>0.79166666666666663</v>
      </c>
    </row>
    <row r="15" spans="1:12" hidden="1" x14ac:dyDescent="0.3">
      <c r="A15" s="47">
        <f>K15</f>
        <v>1</v>
      </c>
      <c r="B15" s="40" t="s">
        <v>165</v>
      </c>
      <c r="C15" s="71">
        <v>43131</v>
      </c>
      <c r="D15" s="40">
        <v>3</v>
      </c>
      <c r="E15">
        <v>12</v>
      </c>
      <c r="F15" t="s">
        <v>24</v>
      </c>
      <c r="G15" t="s">
        <v>90</v>
      </c>
      <c r="H15" s="40">
        <v>40</v>
      </c>
      <c r="I15" t="s">
        <v>42</v>
      </c>
      <c r="J15" s="40" t="s">
        <v>166</v>
      </c>
      <c r="K15" s="47">
        <v>1</v>
      </c>
      <c r="L15" s="42">
        <v>0.79166666666666663</v>
      </c>
    </row>
    <row r="16" spans="1:12" hidden="1" x14ac:dyDescent="0.3">
      <c r="A16" s="47">
        <f>K16</f>
        <v>1</v>
      </c>
      <c r="B16" s="40" t="s">
        <v>165</v>
      </c>
      <c r="C16" s="71">
        <v>43131</v>
      </c>
      <c r="D16" s="40">
        <v>3</v>
      </c>
      <c r="E16">
        <v>13</v>
      </c>
      <c r="F16" t="s">
        <v>55</v>
      </c>
      <c r="G16" t="s">
        <v>90</v>
      </c>
      <c r="H16" s="40">
        <v>40</v>
      </c>
      <c r="I16" t="s">
        <v>71</v>
      </c>
      <c r="J16" s="40" t="s">
        <v>166</v>
      </c>
      <c r="K16" s="47">
        <v>1</v>
      </c>
      <c r="L16" s="42">
        <v>0.79166666666666663</v>
      </c>
    </row>
    <row r="17" spans="1:12" hidden="1" x14ac:dyDescent="0.3">
      <c r="A17" s="47">
        <f>K17</f>
        <v>1</v>
      </c>
      <c r="B17" s="40" t="s">
        <v>165</v>
      </c>
      <c r="C17" s="71">
        <v>43131</v>
      </c>
      <c r="D17" s="40">
        <v>3</v>
      </c>
      <c r="E17">
        <v>14</v>
      </c>
      <c r="F17" t="s">
        <v>45</v>
      </c>
      <c r="G17" t="s">
        <v>91</v>
      </c>
      <c r="H17" s="40">
        <v>40</v>
      </c>
      <c r="I17" t="s">
        <v>71</v>
      </c>
      <c r="J17" s="40" t="s">
        <v>166</v>
      </c>
      <c r="K17" s="47">
        <v>1</v>
      </c>
      <c r="L17" s="42">
        <v>0.79166666666666663</v>
      </c>
    </row>
    <row r="18" spans="1:12" hidden="1" x14ac:dyDescent="0.3">
      <c r="A18" s="47">
        <f>K18</f>
        <v>1</v>
      </c>
      <c r="B18" s="40" t="s">
        <v>165</v>
      </c>
      <c r="C18" s="71">
        <v>43131</v>
      </c>
      <c r="D18" s="40">
        <v>3</v>
      </c>
      <c r="E18">
        <v>15</v>
      </c>
      <c r="F18" t="s">
        <v>39</v>
      </c>
      <c r="G18" t="s">
        <v>85</v>
      </c>
      <c r="H18" s="40">
        <v>36</v>
      </c>
      <c r="I18" t="s">
        <v>42</v>
      </c>
      <c r="J18" s="40" t="s">
        <v>166</v>
      </c>
      <c r="K18" s="47">
        <v>1</v>
      </c>
      <c r="L18" s="42">
        <v>0.79166666666666663</v>
      </c>
    </row>
    <row r="19" spans="1:12" hidden="1" x14ac:dyDescent="0.3">
      <c r="A19" s="47">
        <f>K19</f>
        <v>1</v>
      </c>
      <c r="B19" s="40" t="s">
        <v>165</v>
      </c>
      <c r="C19" s="71">
        <v>43131</v>
      </c>
      <c r="D19" s="40">
        <v>3</v>
      </c>
      <c r="E19">
        <v>16</v>
      </c>
      <c r="F19" t="s">
        <v>47</v>
      </c>
      <c r="G19" t="s">
        <v>86</v>
      </c>
      <c r="H19" s="40">
        <v>36</v>
      </c>
      <c r="I19" t="s">
        <v>71</v>
      </c>
      <c r="J19" s="40" t="s">
        <v>166</v>
      </c>
      <c r="K19" s="47">
        <v>1</v>
      </c>
      <c r="L19" s="42">
        <v>0.79166666666666663</v>
      </c>
    </row>
    <row r="20" spans="1:12" hidden="1" x14ac:dyDescent="0.3">
      <c r="A20" s="47">
        <f>K20</f>
        <v>1</v>
      </c>
      <c r="B20" s="40" t="s">
        <v>165</v>
      </c>
      <c r="C20" s="71">
        <v>43131</v>
      </c>
      <c r="D20" s="40">
        <v>3</v>
      </c>
      <c r="E20">
        <v>17</v>
      </c>
      <c r="F20" t="s">
        <v>59</v>
      </c>
      <c r="G20" t="s">
        <v>87</v>
      </c>
      <c r="H20" s="40">
        <v>36</v>
      </c>
      <c r="I20" t="s">
        <v>71</v>
      </c>
      <c r="J20" s="40" t="s">
        <v>166</v>
      </c>
      <c r="K20" s="47">
        <v>1</v>
      </c>
      <c r="L20" s="42">
        <v>0.79166666666666663</v>
      </c>
    </row>
    <row r="21" spans="1:12" hidden="1" x14ac:dyDescent="0.3">
      <c r="A21" s="47">
        <f>K21</f>
        <v>1</v>
      </c>
      <c r="B21" s="40" t="s">
        <v>165</v>
      </c>
      <c r="C21" s="71">
        <v>43131</v>
      </c>
      <c r="D21" s="40">
        <v>3</v>
      </c>
      <c r="E21">
        <v>18</v>
      </c>
      <c r="F21" t="s">
        <v>28</v>
      </c>
      <c r="G21" t="s">
        <v>87</v>
      </c>
      <c r="H21" s="40">
        <v>36</v>
      </c>
      <c r="I21" t="s">
        <v>42</v>
      </c>
      <c r="J21" s="40" t="s">
        <v>166</v>
      </c>
      <c r="K21" s="47">
        <v>1</v>
      </c>
      <c r="L21" s="42">
        <v>0.79166666666666663</v>
      </c>
    </row>
    <row r="22" spans="1:12" hidden="1" x14ac:dyDescent="0.3">
      <c r="A22" s="47">
        <f>K22</f>
        <v>1</v>
      </c>
      <c r="B22" s="40" t="s">
        <v>165</v>
      </c>
      <c r="C22" s="71">
        <v>43131</v>
      </c>
      <c r="D22" s="40">
        <v>3</v>
      </c>
      <c r="E22">
        <v>19</v>
      </c>
      <c r="F22" t="s">
        <v>65</v>
      </c>
      <c r="G22" t="s">
        <v>88</v>
      </c>
      <c r="H22" s="40">
        <v>36</v>
      </c>
      <c r="I22" t="s">
        <v>71</v>
      </c>
      <c r="J22" s="40" t="s">
        <v>166</v>
      </c>
      <c r="K22" s="47">
        <v>1</v>
      </c>
      <c r="L22" s="42">
        <v>0.79166666666666663</v>
      </c>
    </row>
    <row r="23" spans="1:12" hidden="1" x14ac:dyDescent="0.3">
      <c r="A23" s="47">
        <f>K23</f>
        <v>1</v>
      </c>
      <c r="B23" s="40" t="s">
        <v>165</v>
      </c>
      <c r="C23" s="71">
        <v>43131</v>
      </c>
      <c r="D23" s="40">
        <v>3</v>
      </c>
      <c r="E23">
        <v>20</v>
      </c>
      <c r="F23" t="s">
        <v>147</v>
      </c>
      <c r="G23" t="s">
        <v>89</v>
      </c>
      <c r="H23" s="40">
        <v>36</v>
      </c>
      <c r="I23" t="s">
        <v>71</v>
      </c>
      <c r="J23" s="40" t="s">
        <v>166</v>
      </c>
      <c r="K23" s="47">
        <v>1</v>
      </c>
      <c r="L23" s="42">
        <v>0.79166666666666663</v>
      </c>
    </row>
    <row r="24" spans="1:12" hidden="1" x14ac:dyDescent="0.3">
      <c r="A24" s="47">
        <f>K24</f>
        <v>1</v>
      </c>
      <c r="B24" s="40" t="s">
        <v>165</v>
      </c>
      <c r="C24" s="71">
        <v>43131</v>
      </c>
      <c r="D24" s="40">
        <v>3</v>
      </c>
      <c r="E24">
        <v>21</v>
      </c>
      <c r="F24" t="s">
        <v>140</v>
      </c>
      <c r="G24" t="s">
        <v>90</v>
      </c>
      <c r="H24" s="40">
        <v>36</v>
      </c>
      <c r="I24" t="s">
        <v>71</v>
      </c>
      <c r="J24" s="40" t="s">
        <v>166</v>
      </c>
      <c r="K24" s="47">
        <v>1</v>
      </c>
      <c r="L24" s="42">
        <v>0.79166666666666663</v>
      </c>
    </row>
    <row r="25" spans="1:12" hidden="1" x14ac:dyDescent="0.3">
      <c r="A25" s="47">
        <f>K25</f>
        <v>1</v>
      </c>
      <c r="B25" s="40" t="s">
        <v>165</v>
      </c>
      <c r="C25" s="71">
        <v>43131</v>
      </c>
      <c r="D25" s="40">
        <v>3</v>
      </c>
      <c r="E25">
        <v>22</v>
      </c>
      <c r="F25" t="s">
        <v>154</v>
      </c>
      <c r="G25" t="s">
        <v>90</v>
      </c>
      <c r="H25" s="40">
        <v>36</v>
      </c>
      <c r="I25" t="s">
        <v>42</v>
      </c>
      <c r="J25" s="40" t="s">
        <v>166</v>
      </c>
      <c r="K25" s="47">
        <v>1</v>
      </c>
      <c r="L25" s="42">
        <v>0.79166666666666663</v>
      </c>
    </row>
    <row r="26" spans="1:12" hidden="1" x14ac:dyDescent="0.3">
      <c r="A26" s="47">
        <f>K26</f>
        <v>1</v>
      </c>
      <c r="B26" s="40" t="s">
        <v>165</v>
      </c>
      <c r="C26" s="71">
        <v>43131</v>
      </c>
      <c r="D26" s="40">
        <v>3</v>
      </c>
      <c r="E26">
        <v>23</v>
      </c>
      <c r="F26" t="s">
        <v>57</v>
      </c>
      <c r="G26" t="s">
        <v>90</v>
      </c>
      <c r="H26" s="40">
        <v>36</v>
      </c>
      <c r="I26" t="s">
        <v>71</v>
      </c>
      <c r="J26" s="40" t="s">
        <v>166</v>
      </c>
      <c r="K26" s="47">
        <v>1</v>
      </c>
      <c r="L26" s="42">
        <v>0.79166666666666663</v>
      </c>
    </row>
    <row r="27" spans="1:12" hidden="1" x14ac:dyDescent="0.3">
      <c r="A27" s="47">
        <f>K27</f>
        <v>1</v>
      </c>
      <c r="B27" s="40" t="s">
        <v>165</v>
      </c>
      <c r="C27" s="71">
        <v>43131</v>
      </c>
      <c r="D27" s="40">
        <v>3</v>
      </c>
      <c r="E27">
        <v>24</v>
      </c>
      <c r="F27" t="s">
        <v>49</v>
      </c>
      <c r="G27" t="s">
        <v>90</v>
      </c>
      <c r="H27" s="40">
        <v>36</v>
      </c>
      <c r="I27" t="s">
        <v>71</v>
      </c>
      <c r="J27" s="40" t="s">
        <v>166</v>
      </c>
      <c r="K27" s="47">
        <v>1</v>
      </c>
      <c r="L27" s="42">
        <v>0.79166666666666663</v>
      </c>
    </row>
    <row r="28" spans="1:12" hidden="1" x14ac:dyDescent="0.3">
      <c r="A28" s="47">
        <f>K28</f>
        <v>1</v>
      </c>
      <c r="B28" s="40" t="s">
        <v>165</v>
      </c>
      <c r="C28" s="71">
        <v>43131</v>
      </c>
      <c r="D28" s="40">
        <v>3</v>
      </c>
      <c r="E28">
        <v>25</v>
      </c>
      <c r="F28" t="s">
        <v>32</v>
      </c>
      <c r="G28" t="s">
        <v>90</v>
      </c>
      <c r="H28" s="40">
        <v>36</v>
      </c>
      <c r="I28" t="s">
        <v>42</v>
      </c>
      <c r="J28" s="40" t="s">
        <v>166</v>
      </c>
      <c r="K28" s="47">
        <v>1</v>
      </c>
      <c r="L28" s="42">
        <v>0.79166666666666663</v>
      </c>
    </row>
    <row r="29" spans="1:12" hidden="1" x14ac:dyDescent="0.3">
      <c r="A29" s="47">
        <f>K29</f>
        <v>1</v>
      </c>
      <c r="B29" s="40" t="s">
        <v>165</v>
      </c>
      <c r="C29" s="71">
        <v>43131</v>
      </c>
      <c r="D29" s="40">
        <v>3</v>
      </c>
      <c r="E29">
        <v>26</v>
      </c>
      <c r="F29" t="s">
        <v>30</v>
      </c>
      <c r="G29" t="s">
        <v>90</v>
      </c>
      <c r="H29" s="40">
        <v>36</v>
      </c>
      <c r="I29" t="s">
        <v>42</v>
      </c>
      <c r="J29" s="40" t="s">
        <v>166</v>
      </c>
      <c r="K29" s="47">
        <v>1</v>
      </c>
      <c r="L29" s="42">
        <v>0.79166666666666663</v>
      </c>
    </row>
    <row r="30" spans="1:12" hidden="1" x14ac:dyDescent="0.3">
      <c r="A30" s="47">
        <f>K30</f>
        <v>1</v>
      </c>
      <c r="B30" s="40" t="s">
        <v>165</v>
      </c>
      <c r="C30" s="71">
        <v>43131</v>
      </c>
      <c r="D30" s="40">
        <v>3</v>
      </c>
      <c r="E30">
        <v>27</v>
      </c>
      <c r="F30" t="s">
        <v>40</v>
      </c>
      <c r="G30" t="s">
        <v>90</v>
      </c>
      <c r="H30" s="40">
        <v>36</v>
      </c>
      <c r="I30" t="s">
        <v>42</v>
      </c>
      <c r="J30" s="40" t="s">
        <v>166</v>
      </c>
      <c r="K30" s="47">
        <v>1</v>
      </c>
      <c r="L30" s="42">
        <v>0.79166666666666663</v>
      </c>
    </row>
    <row r="31" spans="1:12" hidden="1" x14ac:dyDescent="0.3">
      <c r="A31" s="47">
        <f>K31</f>
        <v>1</v>
      </c>
      <c r="B31" s="40" t="s">
        <v>165</v>
      </c>
      <c r="C31" s="71">
        <v>43131</v>
      </c>
      <c r="D31" s="40">
        <v>3</v>
      </c>
      <c r="E31">
        <v>28</v>
      </c>
      <c r="F31" t="s">
        <v>22</v>
      </c>
      <c r="G31" t="s">
        <v>91</v>
      </c>
      <c r="H31" s="40">
        <v>36</v>
      </c>
      <c r="I31" t="s">
        <v>42</v>
      </c>
      <c r="J31" s="40" t="s">
        <v>166</v>
      </c>
      <c r="K31" s="47">
        <v>1</v>
      </c>
      <c r="L31" s="42">
        <v>0.79166666666666663</v>
      </c>
    </row>
    <row r="32" spans="1:12" hidden="1" x14ac:dyDescent="0.3">
      <c r="A32" s="47">
        <f>K32</f>
        <v>1</v>
      </c>
      <c r="B32" s="40" t="s">
        <v>163</v>
      </c>
      <c r="C32" s="71">
        <v>43130</v>
      </c>
      <c r="D32" s="40">
        <v>3</v>
      </c>
      <c r="E32">
        <v>1</v>
      </c>
      <c r="F32" t="s">
        <v>53</v>
      </c>
      <c r="G32" t="s">
        <v>85</v>
      </c>
      <c r="H32" s="40">
        <v>33</v>
      </c>
      <c r="I32" t="s">
        <v>71</v>
      </c>
      <c r="J32" s="40" t="s">
        <v>164</v>
      </c>
      <c r="K32" s="47">
        <v>1</v>
      </c>
      <c r="L32" s="42" t="s">
        <v>162</v>
      </c>
    </row>
    <row r="33" spans="1:12" hidden="1" x14ac:dyDescent="0.3">
      <c r="A33" s="47">
        <f>K33</f>
        <v>1</v>
      </c>
      <c r="B33" s="40" t="s">
        <v>163</v>
      </c>
      <c r="C33" s="71">
        <v>43130</v>
      </c>
      <c r="D33" s="40">
        <v>3</v>
      </c>
      <c r="E33">
        <v>2</v>
      </c>
      <c r="F33" t="s">
        <v>33</v>
      </c>
      <c r="G33" t="s">
        <v>86</v>
      </c>
      <c r="H33" s="40">
        <v>33</v>
      </c>
      <c r="I33" t="s">
        <v>42</v>
      </c>
      <c r="J33" s="40" t="s">
        <v>164</v>
      </c>
      <c r="K33" s="47">
        <v>1</v>
      </c>
      <c r="L33" s="42" t="s">
        <v>162</v>
      </c>
    </row>
    <row r="34" spans="1:12" hidden="1" x14ac:dyDescent="0.3">
      <c r="A34" s="47">
        <f>K34</f>
        <v>1</v>
      </c>
      <c r="B34" s="40" t="s">
        <v>163</v>
      </c>
      <c r="C34" s="71">
        <v>43130</v>
      </c>
      <c r="D34" s="40">
        <v>3</v>
      </c>
      <c r="E34">
        <v>3</v>
      </c>
      <c r="F34" t="s">
        <v>26</v>
      </c>
      <c r="G34" t="s">
        <v>87</v>
      </c>
      <c r="H34" s="40">
        <v>33</v>
      </c>
      <c r="I34" t="s">
        <v>42</v>
      </c>
      <c r="J34" s="40" t="s">
        <v>164</v>
      </c>
      <c r="K34" s="47">
        <v>1</v>
      </c>
      <c r="L34" s="42" t="s">
        <v>162</v>
      </c>
    </row>
    <row r="35" spans="1:12" hidden="1" x14ac:dyDescent="0.3">
      <c r="A35" s="47">
        <f>K35</f>
        <v>1</v>
      </c>
      <c r="B35" s="40" t="s">
        <v>163</v>
      </c>
      <c r="C35" s="71">
        <v>43130</v>
      </c>
      <c r="D35" s="40">
        <v>3</v>
      </c>
      <c r="E35">
        <v>4</v>
      </c>
      <c r="F35" t="s">
        <v>27</v>
      </c>
      <c r="G35" t="s">
        <v>87</v>
      </c>
      <c r="H35" s="40">
        <v>33</v>
      </c>
      <c r="I35" t="s">
        <v>42</v>
      </c>
      <c r="J35" s="40" t="s">
        <v>164</v>
      </c>
      <c r="K35" s="47">
        <v>1</v>
      </c>
      <c r="L35" s="42" t="s">
        <v>162</v>
      </c>
    </row>
    <row r="36" spans="1:12" hidden="1" x14ac:dyDescent="0.3">
      <c r="A36" s="47">
        <f>K36</f>
        <v>1</v>
      </c>
      <c r="B36" s="40" t="s">
        <v>163</v>
      </c>
      <c r="C36" s="71">
        <v>43130</v>
      </c>
      <c r="D36" s="40">
        <v>3</v>
      </c>
      <c r="E36">
        <v>5</v>
      </c>
      <c r="F36" t="s">
        <v>51</v>
      </c>
      <c r="G36" t="s">
        <v>88</v>
      </c>
      <c r="H36" s="40">
        <v>33</v>
      </c>
      <c r="I36" t="s">
        <v>71</v>
      </c>
      <c r="J36" s="40" t="s">
        <v>164</v>
      </c>
      <c r="K36" s="47">
        <v>1</v>
      </c>
      <c r="L36" s="42" t="s">
        <v>162</v>
      </c>
    </row>
    <row r="37" spans="1:12" hidden="1" x14ac:dyDescent="0.3">
      <c r="A37" s="47">
        <f>K37</f>
        <v>1</v>
      </c>
      <c r="B37" s="40" t="s">
        <v>163</v>
      </c>
      <c r="C37" s="71">
        <v>43130</v>
      </c>
      <c r="D37" s="40">
        <v>3</v>
      </c>
      <c r="E37">
        <v>6</v>
      </c>
      <c r="F37" t="s">
        <v>38</v>
      </c>
      <c r="G37" t="s">
        <v>89</v>
      </c>
      <c r="H37" s="40">
        <v>33</v>
      </c>
      <c r="I37" t="s">
        <v>42</v>
      </c>
      <c r="J37" s="40" t="s">
        <v>164</v>
      </c>
      <c r="K37" s="47">
        <v>1</v>
      </c>
      <c r="L37" s="42" t="s">
        <v>162</v>
      </c>
    </row>
    <row r="38" spans="1:12" hidden="1" x14ac:dyDescent="0.3">
      <c r="A38" s="47">
        <f>K38</f>
        <v>1</v>
      </c>
      <c r="B38" s="40" t="s">
        <v>163</v>
      </c>
      <c r="C38" s="71">
        <v>43130</v>
      </c>
      <c r="D38" s="40">
        <v>3</v>
      </c>
      <c r="E38">
        <v>7</v>
      </c>
      <c r="F38" t="s">
        <v>25</v>
      </c>
      <c r="G38" t="s">
        <v>90</v>
      </c>
      <c r="H38" s="40">
        <v>33</v>
      </c>
      <c r="I38" t="s">
        <v>42</v>
      </c>
      <c r="J38" s="40" t="s">
        <v>164</v>
      </c>
      <c r="K38" s="47">
        <v>1</v>
      </c>
      <c r="L38" s="42" t="s">
        <v>162</v>
      </c>
    </row>
    <row r="39" spans="1:12" hidden="1" x14ac:dyDescent="0.3">
      <c r="A39" s="47">
        <f>K39</f>
        <v>1</v>
      </c>
      <c r="B39" s="40" t="s">
        <v>163</v>
      </c>
      <c r="C39" s="71">
        <v>43130</v>
      </c>
      <c r="D39" s="40">
        <v>3</v>
      </c>
      <c r="E39">
        <v>8</v>
      </c>
      <c r="F39" t="s">
        <v>35</v>
      </c>
      <c r="G39" t="s">
        <v>90</v>
      </c>
      <c r="H39" s="40">
        <v>33</v>
      </c>
      <c r="I39" t="s">
        <v>42</v>
      </c>
      <c r="J39" s="40" t="s">
        <v>164</v>
      </c>
      <c r="K39" s="47">
        <v>1</v>
      </c>
      <c r="L39" s="42" t="s">
        <v>162</v>
      </c>
    </row>
    <row r="40" spans="1:12" hidden="1" x14ac:dyDescent="0.3">
      <c r="A40" s="47">
        <f>K40</f>
        <v>1</v>
      </c>
      <c r="B40" s="40" t="s">
        <v>163</v>
      </c>
      <c r="C40" s="71">
        <v>43130</v>
      </c>
      <c r="D40" s="40">
        <v>3</v>
      </c>
      <c r="E40">
        <v>9</v>
      </c>
      <c r="F40" t="s">
        <v>34</v>
      </c>
      <c r="G40" t="s">
        <v>90</v>
      </c>
      <c r="H40" s="40">
        <v>33</v>
      </c>
      <c r="I40" t="s">
        <v>42</v>
      </c>
      <c r="J40" s="40" t="s">
        <v>164</v>
      </c>
      <c r="K40" s="47">
        <v>1</v>
      </c>
      <c r="L40" s="42" t="s">
        <v>162</v>
      </c>
    </row>
    <row r="41" spans="1:12" hidden="1" x14ac:dyDescent="0.3">
      <c r="A41" s="47">
        <f>K41</f>
        <v>0</v>
      </c>
      <c r="B41" s="40" t="s">
        <v>153</v>
      </c>
      <c r="C41" s="71" t="s">
        <v>153</v>
      </c>
      <c r="D41" s="40" t="s">
        <v>153</v>
      </c>
      <c r="E41" t="s">
        <v>153</v>
      </c>
      <c r="F41" t="s">
        <v>153</v>
      </c>
      <c r="G41" t="s">
        <v>153</v>
      </c>
      <c r="H41" s="40" t="s">
        <v>153</v>
      </c>
      <c r="I41">
        <v>0</v>
      </c>
      <c r="J41" s="40">
        <v>0</v>
      </c>
      <c r="K41" s="47">
        <v>0</v>
      </c>
      <c r="L41" s="42" t="s">
        <v>153</v>
      </c>
    </row>
    <row r="42" spans="1:12" hidden="1" x14ac:dyDescent="0.3">
      <c r="A42" s="47">
        <f>K42</f>
        <v>0</v>
      </c>
      <c r="B42" s="40" t="s">
        <v>153</v>
      </c>
      <c r="C42" s="71" t="s">
        <v>153</v>
      </c>
      <c r="D42" s="40" t="s">
        <v>153</v>
      </c>
      <c r="E42" t="s">
        <v>153</v>
      </c>
      <c r="F42" t="s">
        <v>153</v>
      </c>
      <c r="G42" t="s">
        <v>153</v>
      </c>
      <c r="H42" s="40" t="s">
        <v>153</v>
      </c>
      <c r="I42">
        <v>0</v>
      </c>
      <c r="J42" s="40">
        <v>0</v>
      </c>
      <c r="K42" s="47">
        <v>0</v>
      </c>
      <c r="L42" s="42" t="s">
        <v>153</v>
      </c>
    </row>
    <row r="43" spans="1:12" hidden="1" x14ac:dyDescent="0.3">
      <c r="A43" s="47">
        <f>K43</f>
        <v>0</v>
      </c>
      <c r="B43" s="40" t="s">
        <v>153</v>
      </c>
      <c r="C43" s="71" t="s">
        <v>153</v>
      </c>
      <c r="D43" s="40" t="s">
        <v>153</v>
      </c>
      <c r="E43" t="s">
        <v>153</v>
      </c>
      <c r="F43" t="s">
        <v>153</v>
      </c>
      <c r="G43" t="s">
        <v>153</v>
      </c>
      <c r="H43" s="40" t="s">
        <v>153</v>
      </c>
      <c r="I43">
        <v>0</v>
      </c>
      <c r="J43" s="40">
        <v>0</v>
      </c>
      <c r="K43" s="47">
        <v>0</v>
      </c>
      <c r="L43" s="42" t="s">
        <v>153</v>
      </c>
    </row>
    <row r="44" spans="1:12" x14ac:dyDescent="0.3">
      <c r="A44" s="47">
        <f>K44</f>
        <v>1</v>
      </c>
      <c r="B44" s="40" t="s">
        <v>158</v>
      </c>
      <c r="C44" s="71">
        <v>43117</v>
      </c>
      <c r="D44" s="40">
        <v>2</v>
      </c>
      <c r="E44">
        <v>2</v>
      </c>
      <c r="F44" t="s">
        <v>33</v>
      </c>
      <c r="G44" t="s">
        <v>86</v>
      </c>
      <c r="H44" s="40">
        <v>13</v>
      </c>
      <c r="I44" t="s">
        <v>42</v>
      </c>
      <c r="J44" s="40" t="s">
        <v>159</v>
      </c>
      <c r="K44" s="47">
        <v>1</v>
      </c>
      <c r="L44" s="42">
        <v>0.8125</v>
      </c>
    </row>
    <row r="45" spans="1:12" x14ac:dyDescent="0.3">
      <c r="A45" s="47">
        <f>K45</f>
        <v>1</v>
      </c>
      <c r="B45" s="40" t="s">
        <v>158</v>
      </c>
      <c r="C45" s="71">
        <v>43117</v>
      </c>
      <c r="D45" s="40">
        <v>2</v>
      </c>
      <c r="E45">
        <v>3</v>
      </c>
      <c r="F45" t="s">
        <v>26</v>
      </c>
      <c r="G45" t="s">
        <v>87</v>
      </c>
      <c r="H45" s="40">
        <v>13</v>
      </c>
      <c r="I45" t="s">
        <v>42</v>
      </c>
      <c r="J45" s="40" t="s">
        <v>159</v>
      </c>
      <c r="K45" s="47">
        <v>1</v>
      </c>
      <c r="L45" s="42">
        <v>0.8125</v>
      </c>
    </row>
    <row r="46" spans="1:12" x14ac:dyDescent="0.3">
      <c r="A46" s="47">
        <f>K46</f>
        <v>1</v>
      </c>
      <c r="B46" s="40" t="s">
        <v>158</v>
      </c>
      <c r="C46" s="71">
        <v>43117</v>
      </c>
      <c r="D46" s="40">
        <v>2</v>
      </c>
      <c r="E46">
        <v>4</v>
      </c>
      <c r="F46" t="s">
        <v>27</v>
      </c>
      <c r="G46" t="s">
        <v>87</v>
      </c>
      <c r="H46" s="40">
        <v>13</v>
      </c>
      <c r="I46" t="s">
        <v>42</v>
      </c>
      <c r="J46" s="40" t="s">
        <v>159</v>
      </c>
      <c r="K46" s="47">
        <v>1</v>
      </c>
      <c r="L46" s="42">
        <v>0.8125</v>
      </c>
    </row>
    <row r="47" spans="1:12" x14ac:dyDescent="0.3">
      <c r="A47" s="47">
        <f>K47</f>
        <v>1</v>
      </c>
      <c r="B47" s="40" t="s">
        <v>158</v>
      </c>
      <c r="C47" s="71">
        <v>43117</v>
      </c>
      <c r="D47" s="40">
        <v>2</v>
      </c>
      <c r="E47">
        <v>5</v>
      </c>
      <c r="F47" t="s">
        <v>37</v>
      </c>
      <c r="G47" t="s">
        <v>88</v>
      </c>
      <c r="H47" s="40">
        <v>13</v>
      </c>
      <c r="I47" t="s">
        <v>42</v>
      </c>
      <c r="J47" s="40" t="s">
        <v>159</v>
      </c>
      <c r="K47" s="47">
        <v>1</v>
      </c>
      <c r="L47" s="42">
        <v>0.8125</v>
      </c>
    </row>
    <row r="48" spans="1:12" x14ac:dyDescent="0.3">
      <c r="A48" s="47">
        <f>K48</f>
        <v>1</v>
      </c>
      <c r="B48" s="40" t="s">
        <v>158</v>
      </c>
      <c r="C48" s="71">
        <v>43117</v>
      </c>
      <c r="D48" s="40">
        <v>2</v>
      </c>
      <c r="E48">
        <v>6</v>
      </c>
      <c r="F48" t="s">
        <v>55</v>
      </c>
      <c r="G48" t="s">
        <v>89</v>
      </c>
      <c r="H48" s="40">
        <v>13</v>
      </c>
      <c r="I48" t="s">
        <v>71</v>
      </c>
      <c r="J48" s="40" t="s">
        <v>159</v>
      </c>
      <c r="K48" s="47">
        <v>1</v>
      </c>
      <c r="L48" s="42">
        <v>0.8125</v>
      </c>
    </row>
    <row r="49" spans="1:12" x14ac:dyDescent="0.3">
      <c r="A49" s="47">
        <f>K49</f>
        <v>1</v>
      </c>
      <c r="B49" s="40" t="s">
        <v>158</v>
      </c>
      <c r="C49" s="71">
        <v>43117</v>
      </c>
      <c r="D49" s="40">
        <v>2</v>
      </c>
      <c r="E49">
        <v>7</v>
      </c>
      <c r="F49" t="s">
        <v>25</v>
      </c>
      <c r="G49" t="s">
        <v>90</v>
      </c>
      <c r="H49" s="40">
        <v>13</v>
      </c>
      <c r="I49" t="s">
        <v>42</v>
      </c>
      <c r="J49" s="40" t="s">
        <v>159</v>
      </c>
      <c r="K49" s="47">
        <v>1</v>
      </c>
      <c r="L49" s="42">
        <v>0.8125</v>
      </c>
    </row>
    <row r="50" spans="1:12" x14ac:dyDescent="0.3">
      <c r="A50" s="47">
        <f>K50</f>
        <v>1</v>
      </c>
      <c r="B50" s="40" t="s">
        <v>158</v>
      </c>
      <c r="C50" s="71">
        <v>43117</v>
      </c>
      <c r="D50" s="40">
        <v>2</v>
      </c>
      <c r="E50">
        <v>8</v>
      </c>
      <c r="F50" t="s">
        <v>35</v>
      </c>
      <c r="G50" t="s">
        <v>90</v>
      </c>
      <c r="H50" s="40">
        <v>13</v>
      </c>
      <c r="I50" t="s">
        <v>42</v>
      </c>
      <c r="J50" s="40" t="s">
        <v>159</v>
      </c>
      <c r="K50" s="47">
        <v>1</v>
      </c>
      <c r="L50" s="42">
        <v>0.8125</v>
      </c>
    </row>
    <row r="51" spans="1:12" x14ac:dyDescent="0.3">
      <c r="A51" s="47">
        <f>K51</f>
        <v>1</v>
      </c>
      <c r="B51" s="40" t="s">
        <v>158</v>
      </c>
      <c r="C51" s="71">
        <v>43117</v>
      </c>
      <c r="D51" s="40">
        <v>2</v>
      </c>
      <c r="E51">
        <v>9</v>
      </c>
      <c r="F51" t="s">
        <v>34</v>
      </c>
      <c r="G51" t="s">
        <v>90</v>
      </c>
      <c r="H51" s="40">
        <v>13</v>
      </c>
      <c r="I51" t="s">
        <v>42</v>
      </c>
      <c r="J51" s="40" t="s">
        <v>159</v>
      </c>
      <c r="K51" s="47">
        <v>1</v>
      </c>
      <c r="L51" s="42">
        <v>0.8125</v>
      </c>
    </row>
    <row r="52" spans="1:12" x14ac:dyDescent="0.3">
      <c r="A52" s="47">
        <f>K52</f>
        <v>1</v>
      </c>
      <c r="B52" s="40" t="s">
        <v>158</v>
      </c>
      <c r="C52" s="71">
        <v>43117</v>
      </c>
      <c r="D52" s="40">
        <v>2</v>
      </c>
      <c r="E52">
        <v>10</v>
      </c>
      <c r="F52" t="s">
        <v>38</v>
      </c>
      <c r="G52" t="s">
        <v>90</v>
      </c>
      <c r="H52" s="40">
        <v>13</v>
      </c>
      <c r="I52" t="s">
        <v>42</v>
      </c>
      <c r="J52" s="40" t="s">
        <v>159</v>
      </c>
      <c r="K52" s="47">
        <v>1</v>
      </c>
      <c r="L52" s="42">
        <v>0.8125</v>
      </c>
    </row>
    <row r="53" spans="1:12" x14ac:dyDescent="0.3">
      <c r="A53" s="47">
        <f>K53</f>
        <v>1</v>
      </c>
      <c r="B53" s="40" t="s">
        <v>158</v>
      </c>
      <c r="C53" s="71">
        <v>43117</v>
      </c>
      <c r="D53" s="40">
        <v>2</v>
      </c>
      <c r="E53">
        <v>11</v>
      </c>
      <c r="F53" t="s">
        <v>69</v>
      </c>
      <c r="G53" t="s">
        <v>90</v>
      </c>
      <c r="H53" s="40">
        <v>13</v>
      </c>
      <c r="I53" t="s">
        <v>71</v>
      </c>
      <c r="J53" s="40" t="s">
        <v>159</v>
      </c>
      <c r="K53" s="47">
        <v>1</v>
      </c>
      <c r="L53" s="42">
        <v>0.8125</v>
      </c>
    </row>
    <row r="54" spans="1:12" x14ac:dyDescent="0.3">
      <c r="A54" s="47">
        <f>K54</f>
        <v>1</v>
      </c>
      <c r="B54" s="40" t="s">
        <v>158</v>
      </c>
      <c r="C54" s="71">
        <v>43117</v>
      </c>
      <c r="D54" s="40">
        <v>2</v>
      </c>
      <c r="E54">
        <v>12</v>
      </c>
      <c r="F54" t="s">
        <v>148</v>
      </c>
      <c r="G54" t="s">
        <v>90</v>
      </c>
      <c r="H54" s="40">
        <v>13</v>
      </c>
      <c r="I54" t="s">
        <v>71</v>
      </c>
      <c r="J54" s="40" t="s">
        <v>159</v>
      </c>
      <c r="K54" s="47">
        <v>1</v>
      </c>
      <c r="L54" s="42">
        <v>0.8125</v>
      </c>
    </row>
    <row r="55" spans="1:12" x14ac:dyDescent="0.3">
      <c r="A55" s="47">
        <f>K55</f>
        <v>1</v>
      </c>
      <c r="B55" s="40" t="s">
        <v>158</v>
      </c>
      <c r="C55" s="71">
        <v>43117</v>
      </c>
      <c r="D55" s="40">
        <v>2</v>
      </c>
      <c r="E55">
        <v>13</v>
      </c>
      <c r="F55" t="s">
        <v>149</v>
      </c>
      <c r="G55" t="s">
        <v>90</v>
      </c>
      <c r="H55" s="40">
        <v>13</v>
      </c>
      <c r="I55" t="s">
        <v>71</v>
      </c>
      <c r="J55" s="40" t="s">
        <v>159</v>
      </c>
      <c r="K55" s="47">
        <v>1</v>
      </c>
      <c r="L55" s="42">
        <v>0.8125</v>
      </c>
    </row>
    <row r="56" spans="1:12" x14ac:dyDescent="0.3">
      <c r="A56" s="47">
        <f>K56</f>
        <v>1</v>
      </c>
      <c r="B56" s="40" t="s">
        <v>158</v>
      </c>
      <c r="C56" s="71">
        <v>43117</v>
      </c>
      <c r="D56" s="40">
        <v>2</v>
      </c>
      <c r="E56">
        <v>14</v>
      </c>
      <c r="F56" t="s">
        <v>45</v>
      </c>
      <c r="G56" t="s">
        <v>91</v>
      </c>
      <c r="H56" s="40">
        <v>13</v>
      </c>
      <c r="I56" t="s">
        <v>71</v>
      </c>
      <c r="J56" s="40" t="s">
        <v>159</v>
      </c>
      <c r="K56" s="47">
        <v>1</v>
      </c>
      <c r="L56" s="42">
        <v>0.8125</v>
      </c>
    </row>
    <row r="57" spans="1:12" x14ac:dyDescent="0.3">
      <c r="A57" s="47">
        <f>K57</f>
        <v>1</v>
      </c>
      <c r="B57" s="40" t="s">
        <v>158</v>
      </c>
      <c r="C57" s="71">
        <v>43117</v>
      </c>
      <c r="D57" s="40">
        <v>2</v>
      </c>
      <c r="E57">
        <v>15</v>
      </c>
      <c r="F57" t="s">
        <v>39</v>
      </c>
      <c r="G57" t="s">
        <v>85</v>
      </c>
      <c r="H57" s="40">
        <v>19</v>
      </c>
      <c r="I57" t="s">
        <v>42</v>
      </c>
      <c r="J57" s="40" t="s">
        <v>159</v>
      </c>
      <c r="K57" s="47">
        <v>1</v>
      </c>
      <c r="L57" s="42">
        <v>0.8125</v>
      </c>
    </row>
    <row r="58" spans="1:12" x14ac:dyDescent="0.3">
      <c r="A58" s="47">
        <f>K58</f>
        <v>1</v>
      </c>
      <c r="B58" s="40" t="s">
        <v>158</v>
      </c>
      <c r="C58" s="71">
        <v>43117</v>
      </c>
      <c r="D58" s="40">
        <v>2</v>
      </c>
      <c r="E58">
        <v>16</v>
      </c>
      <c r="F58" t="s">
        <v>47</v>
      </c>
      <c r="G58" t="s">
        <v>86</v>
      </c>
      <c r="H58" s="40">
        <v>19</v>
      </c>
      <c r="I58" t="s">
        <v>71</v>
      </c>
      <c r="J58" s="40" t="s">
        <v>159</v>
      </c>
      <c r="K58" s="47">
        <v>1</v>
      </c>
      <c r="L58" s="42">
        <v>0.8125</v>
      </c>
    </row>
    <row r="59" spans="1:12" x14ac:dyDescent="0.3">
      <c r="A59" s="47">
        <f>K59</f>
        <v>1</v>
      </c>
      <c r="B59" s="40" t="s">
        <v>158</v>
      </c>
      <c r="C59" s="71">
        <v>43117</v>
      </c>
      <c r="D59" s="40">
        <v>2</v>
      </c>
      <c r="E59">
        <v>17</v>
      </c>
      <c r="F59" t="s">
        <v>31</v>
      </c>
      <c r="G59" t="s">
        <v>87</v>
      </c>
      <c r="H59" s="40">
        <v>19</v>
      </c>
      <c r="I59" t="s">
        <v>42</v>
      </c>
      <c r="J59" s="40" t="s">
        <v>159</v>
      </c>
      <c r="K59" s="47">
        <v>1</v>
      </c>
      <c r="L59" s="42">
        <v>0.8125</v>
      </c>
    </row>
    <row r="60" spans="1:12" x14ac:dyDescent="0.3">
      <c r="A60" s="47">
        <f>K60</f>
        <v>1</v>
      </c>
      <c r="B60" s="40" t="s">
        <v>158</v>
      </c>
      <c r="C60" s="71">
        <v>43117</v>
      </c>
      <c r="D60" s="40">
        <v>2</v>
      </c>
      <c r="E60">
        <v>18</v>
      </c>
      <c r="F60" t="s">
        <v>28</v>
      </c>
      <c r="G60" t="s">
        <v>87</v>
      </c>
      <c r="H60" s="40">
        <v>19</v>
      </c>
      <c r="I60" t="s">
        <v>42</v>
      </c>
      <c r="J60" s="40" t="s">
        <v>159</v>
      </c>
      <c r="K60" s="47">
        <v>1</v>
      </c>
      <c r="L60" s="42">
        <v>0.8125</v>
      </c>
    </row>
    <row r="61" spans="1:12" x14ac:dyDescent="0.3">
      <c r="A61" s="47">
        <f>K61</f>
        <v>1</v>
      </c>
      <c r="B61" s="40" t="s">
        <v>158</v>
      </c>
      <c r="C61" s="71">
        <v>43117</v>
      </c>
      <c r="D61" s="40">
        <v>2</v>
      </c>
      <c r="E61">
        <v>19</v>
      </c>
      <c r="F61" t="s">
        <v>65</v>
      </c>
      <c r="G61" t="s">
        <v>88</v>
      </c>
      <c r="H61" s="40">
        <v>19</v>
      </c>
      <c r="I61" t="s">
        <v>71</v>
      </c>
      <c r="J61" s="40" t="s">
        <v>159</v>
      </c>
      <c r="K61" s="47">
        <v>1</v>
      </c>
      <c r="L61" s="42">
        <v>0.8125</v>
      </c>
    </row>
    <row r="62" spans="1:12" x14ac:dyDescent="0.3">
      <c r="A62" s="47">
        <f>K62</f>
        <v>1</v>
      </c>
      <c r="B62" s="40" t="s">
        <v>158</v>
      </c>
      <c r="C62" s="71">
        <v>43117</v>
      </c>
      <c r="D62" s="40">
        <v>2</v>
      </c>
      <c r="E62">
        <v>20</v>
      </c>
      <c r="F62" t="s">
        <v>32</v>
      </c>
      <c r="G62" t="s">
        <v>89</v>
      </c>
      <c r="H62" s="40">
        <v>19</v>
      </c>
      <c r="I62" t="s">
        <v>42</v>
      </c>
      <c r="J62" s="40" t="s">
        <v>159</v>
      </c>
      <c r="K62" s="47">
        <v>1</v>
      </c>
      <c r="L62" s="42">
        <v>0.8125</v>
      </c>
    </row>
    <row r="63" spans="1:12" x14ac:dyDescent="0.3">
      <c r="A63" s="47">
        <f>K63</f>
        <v>1</v>
      </c>
      <c r="B63" s="40" t="s">
        <v>158</v>
      </c>
      <c r="C63" s="71">
        <v>43117</v>
      </c>
      <c r="D63" s="40">
        <v>2</v>
      </c>
      <c r="E63">
        <v>21</v>
      </c>
      <c r="F63" t="s">
        <v>59</v>
      </c>
      <c r="G63" t="s">
        <v>90</v>
      </c>
      <c r="H63" s="40">
        <v>19</v>
      </c>
      <c r="I63" t="s">
        <v>71</v>
      </c>
      <c r="J63" s="40" t="s">
        <v>159</v>
      </c>
      <c r="K63" s="47">
        <v>1</v>
      </c>
      <c r="L63" s="42">
        <v>0.8125</v>
      </c>
    </row>
    <row r="64" spans="1:12" x14ac:dyDescent="0.3">
      <c r="A64" s="47">
        <f>K64</f>
        <v>1</v>
      </c>
      <c r="B64" s="40" t="s">
        <v>158</v>
      </c>
      <c r="C64" s="71">
        <v>43117</v>
      </c>
      <c r="D64" s="40">
        <v>2</v>
      </c>
      <c r="E64">
        <v>22</v>
      </c>
      <c r="F64" t="s">
        <v>147</v>
      </c>
      <c r="G64" t="s">
        <v>90</v>
      </c>
      <c r="H64" s="40">
        <v>19</v>
      </c>
      <c r="I64" t="s">
        <v>71</v>
      </c>
      <c r="J64" s="40" t="s">
        <v>159</v>
      </c>
      <c r="K64" s="47">
        <v>1</v>
      </c>
      <c r="L64" s="42">
        <v>0.8125</v>
      </c>
    </row>
    <row r="65" spans="1:12" x14ac:dyDescent="0.3">
      <c r="A65" s="47">
        <f>K65</f>
        <v>1</v>
      </c>
      <c r="B65" s="40" t="s">
        <v>158</v>
      </c>
      <c r="C65" s="71">
        <v>43117</v>
      </c>
      <c r="D65" s="40">
        <v>2</v>
      </c>
      <c r="E65">
        <v>23</v>
      </c>
      <c r="F65" t="s">
        <v>40</v>
      </c>
      <c r="G65" t="s">
        <v>90</v>
      </c>
      <c r="H65" s="40">
        <v>19</v>
      </c>
      <c r="I65" t="s">
        <v>42</v>
      </c>
      <c r="J65" s="40" t="s">
        <v>159</v>
      </c>
      <c r="K65" s="47">
        <v>1</v>
      </c>
      <c r="L65" s="42">
        <v>0.8125</v>
      </c>
    </row>
    <row r="66" spans="1:12" x14ac:dyDescent="0.3">
      <c r="A66" s="47">
        <f>K66</f>
        <v>1</v>
      </c>
      <c r="B66" s="40" t="s">
        <v>158</v>
      </c>
      <c r="C66" s="71">
        <v>43117</v>
      </c>
      <c r="D66" s="40">
        <v>2</v>
      </c>
      <c r="E66">
        <v>24</v>
      </c>
      <c r="F66" t="s">
        <v>140</v>
      </c>
      <c r="G66" t="s">
        <v>90</v>
      </c>
      <c r="H66" s="40">
        <v>19</v>
      </c>
      <c r="I66" t="s">
        <v>71</v>
      </c>
      <c r="J66" s="40" t="s">
        <v>159</v>
      </c>
      <c r="K66" s="47">
        <v>1</v>
      </c>
      <c r="L66" s="42">
        <v>0.8125</v>
      </c>
    </row>
    <row r="67" spans="1:12" x14ac:dyDescent="0.3">
      <c r="A67" s="47">
        <f>K67</f>
        <v>1</v>
      </c>
      <c r="B67" s="40" t="s">
        <v>158</v>
      </c>
      <c r="C67" s="71">
        <v>43117</v>
      </c>
      <c r="D67" s="40">
        <v>2</v>
      </c>
      <c r="E67">
        <v>25</v>
      </c>
      <c r="F67" t="s">
        <v>154</v>
      </c>
      <c r="G67" t="s">
        <v>90</v>
      </c>
      <c r="H67" s="40">
        <v>19</v>
      </c>
      <c r="I67" t="s">
        <v>42</v>
      </c>
      <c r="J67" s="40" t="s">
        <v>159</v>
      </c>
      <c r="K67" s="47">
        <v>1</v>
      </c>
      <c r="L67" s="42">
        <v>0.8125</v>
      </c>
    </row>
    <row r="68" spans="1:12" x14ac:dyDescent="0.3">
      <c r="A68" s="47">
        <f>K68</f>
        <v>1</v>
      </c>
      <c r="B68" s="40" t="s">
        <v>158</v>
      </c>
      <c r="C68" s="71">
        <v>43117</v>
      </c>
      <c r="D68" s="40">
        <v>2</v>
      </c>
      <c r="E68">
        <v>26</v>
      </c>
      <c r="F68" t="s">
        <v>57</v>
      </c>
      <c r="G68" t="s">
        <v>90</v>
      </c>
      <c r="H68" s="40">
        <v>19</v>
      </c>
      <c r="I68" t="s">
        <v>71</v>
      </c>
      <c r="J68" s="40" t="s">
        <v>159</v>
      </c>
      <c r="K68" s="47">
        <v>1</v>
      </c>
      <c r="L68" s="42">
        <v>0.8125</v>
      </c>
    </row>
    <row r="69" spans="1:12" x14ac:dyDescent="0.3">
      <c r="A69" s="47">
        <f>K69</f>
        <v>1</v>
      </c>
      <c r="B69" s="40" t="s">
        <v>158</v>
      </c>
      <c r="C69" s="71">
        <v>43117</v>
      </c>
      <c r="D69" s="40">
        <v>2</v>
      </c>
      <c r="E69">
        <v>27</v>
      </c>
      <c r="F69" t="s">
        <v>145</v>
      </c>
      <c r="G69" t="s">
        <v>90</v>
      </c>
      <c r="H69" s="40">
        <v>19</v>
      </c>
      <c r="I69" t="s">
        <v>71</v>
      </c>
      <c r="J69" s="40" t="s">
        <v>159</v>
      </c>
      <c r="K69" s="47">
        <v>1</v>
      </c>
      <c r="L69" s="42">
        <v>0.8125</v>
      </c>
    </row>
    <row r="70" spans="1:12" x14ac:dyDescent="0.3">
      <c r="A70" s="47">
        <f>K70</f>
        <v>1</v>
      </c>
      <c r="B70" s="40" t="s">
        <v>158</v>
      </c>
      <c r="C70" s="71">
        <v>43117</v>
      </c>
      <c r="D70" s="40">
        <v>2</v>
      </c>
      <c r="E70">
        <v>28</v>
      </c>
      <c r="F70" t="s">
        <v>22</v>
      </c>
      <c r="G70" t="s">
        <v>91</v>
      </c>
      <c r="H70" s="40">
        <v>19</v>
      </c>
      <c r="I70" t="s">
        <v>42</v>
      </c>
      <c r="J70" s="40" t="s">
        <v>159</v>
      </c>
      <c r="K70" s="47">
        <v>1</v>
      </c>
      <c r="L70" s="42">
        <v>0.8125</v>
      </c>
    </row>
    <row r="71" spans="1:12" hidden="1" x14ac:dyDescent="0.3">
      <c r="A71" s="47">
        <f>K71</f>
        <v>1</v>
      </c>
      <c r="B71" s="40" t="s">
        <v>163</v>
      </c>
      <c r="C71" s="71">
        <v>43130</v>
      </c>
      <c r="D71" s="40">
        <v>3</v>
      </c>
      <c r="E71">
        <v>10</v>
      </c>
      <c r="F71" t="s">
        <v>69</v>
      </c>
      <c r="G71" t="s">
        <v>90</v>
      </c>
      <c r="H71" s="40">
        <v>33</v>
      </c>
      <c r="I71" t="s">
        <v>71</v>
      </c>
      <c r="J71" s="40" t="s">
        <v>164</v>
      </c>
      <c r="K71" s="47">
        <v>1</v>
      </c>
      <c r="L71" s="42" t="s">
        <v>162</v>
      </c>
    </row>
    <row r="72" spans="1:12" hidden="1" x14ac:dyDescent="0.3">
      <c r="A72" s="47">
        <f>K72</f>
        <v>1</v>
      </c>
      <c r="B72" s="40" t="s">
        <v>163</v>
      </c>
      <c r="C72" s="71">
        <v>43130</v>
      </c>
      <c r="D72" s="40">
        <v>3</v>
      </c>
      <c r="E72">
        <v>11</v>
      </c>
      <c r="F72" t="s">
        <v>148</v>
      </c>
      <c r="G72" t="s">
        <v>90</v>
      </c>
      <c r="H72" s="40">
        <v>33</v>
      </c>
      <c r="I72" t="s">
        <v>71</v>
      </c>
      <c r="J72" s="40" t="s">
        <v>164</v>
      </c>
      <c r="K72" s="47">
        <v>1</v>
      </c>
      <c r="L72" s="42" t="s">
        <v>162</v>
      </c>
    </row>
    <row r="73" spans="1:12" hidden="1" x14ac:dyDescent="0.3">
      <c r="A73" s="47">
        <f>K73</f>
        <v>1</v>
      </c>
      <c r="B73" s="40" t="s">
        <v>163</v>
      </c>
      <c r="C73" s="71">
        <v>43130</v>
      </c>
      <c r="D73" s="40">
        <v>3</v>
      </c>
      <c r="E73">
        <v>12</v>
      </c>
      <c r="F73" t="s">
        <v>149</v>
      </c>
      <c r="G73" t="s">
        <v>90</v>
      </c>
      <c r="H73" s="40">
        <v>33</v>
      </c>
      <c r="I73" t="s">
        <v>71</v>
      </c>
      <c r="J73" s="40" t="s">
        <v>164</v>
      </c>
      <c r="K73" s="47">
        <v>1</v>
      </c>
      <c r="L73" s="42" t="s">
        <v>162</v>
      </c>
    </row>
    <row r="74" spans="1:12" hidden="1" x14ac:dyDescent="0.3">
      <c r="A74" s="47">
        <f>K74</f>
        <v>1</v>
      </c>
      <c r="B74" s="40" t="s">
        <v>163</v>
      </c>
      <c r="C74" s="71">
        <v>43130</v>
      </c>
      <c r="D74" s="40">
        <v>3</v>
      </c>
      <c r="E74">
        <v>13</v>
      </c>
      <c r="F74" t="s">
        <v>24</v>
      </c>
      <c r="G74" t="s">
        <v>90</v>
      </c>
      <c r="H74" s="40">
        <v>33</v>
      </c>
      <c r="I74" t="s">
        <v>42</v>
      </c>
      <c r="J74" s="40" t="s">
        <v>164</v>
      </c>
      <c r="K74" s="47">
        <v>1</v>
      </c>
      <c r="L74" s="42" t="s">
        <v>162</v>
      </c>
    </row>
    <row r="75" spans="1:12" hidden="1" x14ac:dyDescent="0.3">
      <c r="A75" s="47">
        <f>K75</f>
        <v>1</v>
      </c>
      <c r="B75" s="40" t="s">
        <v>163</v>
      </c>
      <c r="C75" s="71">
        <v>43130</v>
      </c>
      <c r="D75" s="40">
        <v>3</v>
      </c>
      <c r="E75">
        <v>14</v>
      </c>
      <c r="F75" t="s">
        <v>45</v>
      </c>
      <c r="G75" t="s">
        <v>91</v>
      </c>
      <c r="H75" s="40">
        <v>33</v>
      </c>
      <c r="I75" t="s">
        <v>71</v>
      </c>
      <c r="J75" s="40" t="s">
        <v>164</v>
      </c>
      <c r="K75" s="47">
        <v>1</v>
      </c>
      <c r="L75" s="42" t="s">
        <v>162</v>
      </c>
    </row>
    <row r="76" spans="1:12" hidden="1" x14ac:dyDescent="0.3">
      <c r="A76" s="47">
        <f>K76</f>
        <v>1</v>
      </c>
      <c r="B76" s="40" t="s">
        <v>163</v>
      </c>
      <c r="C76" s="71">
        <v>43130</v>
      </c>
      <c r="D76" s="40">
        <v>3</v>
      </c>
      <c r="E76">
        <v>15</v>
      </c>
      <c r="F76" t="s">
        <v>39</v>
      </c>
      <c r="G76" t="s">
        <v>85</v>
      </c>
      <c r="H76" s="40">
        <v>20</v>
      </c>
      <c r="I76" t="s">
        <v>42</v>
      </c>
      <c r="J76" s="40" t="s">
        <v>164</v>
      </c>
      <c r="K76" s="47">
        <v>1</v>
      </c>
      <c r="L76" s="42" t="s">
        <v>162</v>
      </c>
    </row>
    <row r="77" spans="1:12" hidden="1" x14ac:dyDescent="0.3">
      <c r="A77" s="47">
        <f>K77</f>
        <v>1</v>
      </c>
      <c r="B77" s="40" t="s">
        <v>163</v>
      </c>
      <c r="C77" s="71">
        <v>43130</v>
      </c>
      <c r="D77" s="40">
        <v>3</v>
      </c>
      <c r="E77">
        <v>16</v>
      </c>
      <c r="F77" t="s">
        <v>47</v>
      </c>
      <c r="G77" t="s">
        <v>86</v>
      </c>
      <c r="H77" s="40">
        <v>20</v>
      </c>
      <c r="I77" t="s">
        <v>71</v>
      </c>
      <c r="J77" s="40" t="s">
        <v>164</v>
      </c>
      <c r="K77" s="47">
        <v>1</v>
      </c>
      <c r="L77" s="42" t="s">
        <v>162</v>
      </c>
    </row>
    <row r="78" spans="1:12" hidden="1" x14ac:dyDescent="0.3">
      <c r="A78" s="47">
        <f>K78</f>
        <v>1</v>
      </c>
      <c r="B78" s="40" t="s">
        <v>163</v>
      </c>
      <c r="C78" s="71">
        <v>43130</v>
      </c>
      <c r="D78" s="40">
        <v>3</v>
      </c>
      <c r="E78">
        <v>17</v>
      </c>
      <c r="F78" t="s">
        <v>59</v>
      </c>
      <c r="G78" t="s">
        <v>87</v>
      </c>
      <c r="H78" s="40">
        <v>20</v>
      </c>
      <c r="I78" t="s">
        <v>71</v>
      </c>
      <c r="J78" s="40" t="s">
        <v>164</v>
      </c>
      <c r="K78" s="47">
        <v>1</v>
      </c>
      <c r="L78" s="42" t="s">
        <v>162</v>
      </c>
    </row>
    <row r="79" spans="1:12" hidden="1" x14ac:dyDescent="0.3">
      <c r="A79" s="47">
        <f>K79</f>
        <v>1</v>
      </c>
      <c r="B79" s="40" t="s">
        <v>163</v>
      </c>
      <c r="C79" s="71">
        <v>43130</v>
      </c>
      <c r="D79" s="40">
        <v>3</v>
      </c>
      <c r="E79">
        <v>18</v>
      </c>
      <c r="F79" t="s">
        <v>28</v>
      </c>
      <c r="G79" t="s">
        <v>87</v>
      </c>
      <c r="H79" s="40">
        <v>20</v>
      </c>
      <c r="I79" t="s">
        <v>42</v>
      </c>
      <c r="J79" s="40" t="s">
        <v>164</v>
      </c>
      <c r="K79" s="47">
        <v>1</v>
      </c>
      <c r="L79" s="42" t="s">
        <v>162</v>
      </c>
    </row>
    <row r="80" spans="1:12" hidden="1" x14ac:dyDescent="0.3">
      <c r="A80" s="47">
        <f>K80</f>
        <v>1</v>
      </c>
      <c r="B80" s="40" t="s">
        <v>163</v>
      </c>
      <c r="C80" s="71">
        <v>43130</v>
      </c>
      <c r="D80" s="40">
        <v>3</v>
      </c>
      <c r="E80">
        <v>19</v>
      </c>
      <c r="F80" t="s">
        <v>65</v>
      </c>
      <c r="G80" t="s">
        <v>88</v>
      </c>
      <c r="H80" s="40">
        <v>20</v>
      </c>
      <c r="I80" t="s">
        <v>71</v>
      </c>
      <c r="J80" s="40" t="s">
        <v>164</v>
      </c>
      <c r="K80" s="47">
        <v>1</v>
      </c>
      <c r="L80" s="42" t="s">
        <v>162</v>
      </c>
    </row>
    <row r="81" spans="1:12" hidden="1" x14ac:dyDescent="0.3">
      <c r="A81" s="47">
        <f>K81</f>
        <v>1</v>
      </c>
      <c r="B81" s="40" t="s">
        <v>163</v>
      </c>
      <c r="C81" s="71">
        <v>43130</v>
      </c>
      <c r="D81" s="40">
        <v>3</v>
      </c>
      <c r="E81">
        <v>20</v>
      </c>
      <c r="F81" t="s">
        <v>147</v>
      </c>
      <c r="G81" t="s">
        <v>89</v>
      </c>
      <c r="H81" s="40">
        <v>20</v>
      </c>
      <c r="I81" t="s">
        <v>71</v>
      </c>
      <c r="J81" s="40" t="s">
        <v>164</v>
      </c>
      <c r="K81" s="47">
        <v>1</v>
      </c>
      <c r="L81" s="42" t="s">
        <v>162</v>
      </c>
    </row>
    <row r="82" spans="1:12" hidden="1" x14ac:dyDescent="0.3">
      <c r="A82" s="47">
        <f>K82</f>
        <v>1</v>
      </c>
      <c r="B82" s="40" t="s">
        <v>163</v>
      </c>
      <c r="C82" s="71">
        <v>43130</v>
      </c>
      <c r="D82" s="40">
        <v>3</v>
      </c>
      <c r="E82">
        <v>21</v>
      </c>
      <c r="F82" t="s">
        <v>140</v>
      </c>
      <c r="G82" t="s">
        <v>90</v>
      </c>
      <c r="H82" s="40">
        <v>20</v>
      </c>
      <c r="I82" t="s">
        <v>71</v>
      </c>
      <c r="J82" s="40" t="s">
        <v>164</v>
      </c>
      <c r="K82" s="47">
        <v>1</v>
      </c>
      <c r="L82" s="42" t="s">
        <v>162</v>
      </c>
    </row>
    <row r="83" spans="1:12" hidden="1" x14ac:dyDescent="0.3">
      <c r="A83" s="47">
        <f>K83</f>
        <v>1</v>
      </c>
      <c r="B83" s="40" t="s">
        <v>163</v>
      </c>
      <c r="C83" s="71">
        <v>43130</v>
      </c>
      <c r="D83" s="40">
        <v>3</v>
      </c>
      <c r="E83">
        <v>22</v>
      </c>
      <c r="F83" t="s">
        <v>154</v>
      </c>
      <c r="G83" t="s">
        <v>90</v>
      </c>
      <c r="H83" s="40">
        <v>20</v>
      </c>
      <c r="I83" t="s">
        <v>42</v>
      </c>
      <c r="J83" s="40" t="s">
        <v>164</v>
      </c>
      <c r="K83" s="47">
        <v>1</v>
      </c>
      <c r="L83" s="42" t="s">
        <v>162</v>
      </c>
    </row>
    <row r="84" spans="1:12" hidden="1" x14ac:dyDescent="0.3">
      <c r="A84" s="47">
        <f>K84</f>
        <v>1</v>
      </c>
      <c r="B84" s="40" t="s">
        <v>163</v>
      </c>
      <c r="C84" s="71">
        <v>43130</v>
      </c>
      <c r="D84" s="40">
        <v>3</v>
      </c>
      <c r="E84">
        <v>23</v>
      </c>
      <c r="F84" t="s">
        <v>57</v>
      </c>
      <c r="G84" t="s">
        <v>90</v>
      </c>
      <c r="H84" s="40">
        <v>20</v>
      </c>
      <c r="I84" t="s">
        <v>71</v>
      </c>
      <c r="J84" s="40" t="s">
        <v>164</v>
      </c>
      <c r="K84" s="47">
        <v>1</v>
      </c>
      <c r="L84" s="42" t="s">
        <v>162</v>
      </c>
    </row>
    <row r="85" spans="1:12" hidden="1" x14ac:dyDescent="0.3">
      <c r="A85" s="47">
        <f>K85</f>
        <v>1</v>
      </c>
      <c r="B85" s="40" t="s">
        <v>163</v>
      </c>
      <c r="C85" s="71">
        <v>43130</v>
      </c>
      <c r="D85" s="40">
        <v>3</v>
      </c>
      <c r="E85">
        <v>24</v>
      </c>
      <c r="F85" t="s">
        <v>145</v>
      </c>
      <c r="G85" t="s">
        <v>90</v>
      </c>
      <c r="H85" s="40">
        <v>20</v>
      </c>
      <c r="I85" t="s">
        <v>71</v>
      </c>
      <c r="J85" s="40" t="s">
        <v>164</v>
      </c>
      <c r="K85" s="47">
        <v>1</v>
      </c>
      <c r="L85" s="42" t="s">
        <v>162</v>
      </c>
    </row>
    <row r="86" spans="1:12" hidden="1" x14ac:dyDescent="0.3">
      <c r="A86" s="47">
        <f>K86</f>
        <v>1</v>
      </c>
      <c r="B86" s="40" t="s">
        <v>163</v>
      </c>
      <c r="C86" s="71">
        <v>43130</v>
      </c>
      <c r="D86" s="40">
        <v>3</v>
      </c>
      <c r="E86">
        <v>25</v>
      </c>
      <c r="F86" t="s">
        <v>49</v>
      </c>
      <c r="G86" t="s">
        <v>90</v>
      </c>
      <c r="H86" s="40">
        <v>20</v>
      </c>
      <c r="I86" t="s">
        <v>71</v>
      </c>
      <c r="J86" s="40" t="s">
        <v>164</v>
      </c>
      <c r="K86" s="47">
        <v>1</v>
      </c>
      <c r="L86" s="42" t="s">
        <v>162</v>
      </c>
    </row>
    <row r="87" spans="1:12" hidden="1" x14ac:dyDescent="0.3">
      <c r="A87" s="47">
        <f>K87</f>
        <v>1</v>
      </c>
      <c r="B87" s="40" t="s">
        <v>163</v>
      </c>
      <c r="C87" s="71">
        <v>43130</v>
      </c>
      <c r="D87" s="40">
        <v>3</v>
      </c>
      <c r="E87">
        <v>26</v>
      </c>
      <c r="F87" t="s">
        <v>32</v>
      </c>
      <c r="G87" t="s">
        <v>90</v>
      </c>
      <c r="H87" s="40">
        <v>20</v>
      </c>
      <c r="I87" t="s">
        <v>42</v>
      </c>
      <c r="J87" s="40" t="s">
        <v>164</v>
      </c>
      <c r="K87" s="47">
        <v>1</v>
      </c>
      <c r="L87" s="42" t="s">
        <v>162</v>
      </c>
    </row>
    <row r="88" spans="1:12" hidden="1" x14ac:dyDescent="0.3">
      <c r="A88" s="47">
        <f>K88</f>
        <v>1</v>
      </c>
      <c r="B88" s="40" t="s">
        <v>163</v>
      </c>
      <c r="C88" s="71">
        <v>43130</v>
      </c>
      <c r="D88" s="40">
        <v>3</v>
      </c>
      <c r="E88">
        <v>27</v>
      </c>
      <c r="F88" t="s">
        <v>30</v>
      </c>
      <c r="G88" t="s">
        <v>90</v>
      </c>
      <c r="H88" s="40">
        <v>20</v>
      </c>
      <c r="I88" t="s">
        <v>42</v>
      </c>
      <c r="J88" s="40" t="s">
        <v>164</v>
      </c>
      <c r="K88" s="47">
        <v>1</v>
      </c>
      <c r="L88" s="42" t="s">
        <v>162</v>
      </c>
    </row>
    <row r="89" spans="1:12" hidden="1" x14ac:dyDescent="0.3">
      <c r="A89" s="47">
        <f>K89</f>
        <v>1</v>
      </c>
      <c r="B89" s="40" t="s">
        <v>163</v>
      </c>
      <c r="C89" s="71">
        <v>43130</v>
      </c>
      <c r="D89" s="40">
        <v>3</v>
      </c>
      <c r="E89">
        <v>28</v>
      </c>
      <c r="F89" t="s">
        <v>22</v>
      </c>
      <c r="G89" t="s">
        <v>91</v>
      </c>
      <c r="H89" s="40">
        <v>20</v>
      </c>
      <c r="I89" t="s">
        <v>42</v>
      </c>
      <c r="J89" s="40" t="s">
        <v>164</v>
      </c>
      <c r="K89" s="47">
        <v>1</v>
      </c>
      <c r="L89" s="42" t="s">
        <v>162</v>
      </c>
    </row>
    <row r="90" spans="1:12" hidden="1" x14ac:dyDescent="0.3">
      <c r="A90" s="47">
        <f>K90</f>
        <v>1</v>
      </c>
      <c r="B90" s="40" t="s">
        <v>160</v>
      </c>
      <c r="C90" s="71">
        <v>43129</v>
      </c>
      <c r="D90" s="40">
        <v>3</v>
      </c>
      <c r="E90">
        <v>1</v>
      </c>
      <c r="F90" t="s">
        <v>53</v>
      </c>
      <c r="G90" t="s">
        <v>85</v>
      </c>
      <c r="H90" s="40">
        <v>32</v>
      </c>
      <c r="I90" t="s">
        <v>71</v>
      </c>
      <c r="J90" s="40" t="s">
        <v>161</v>
      </c>
      <c r="K90" s="47">
        <v>1</v>
      </c>
      <c r="L90" s="42">
        <v>0.75</v>
      </c>
    </row>
    <row r="91" spans="1:12" hidden="1" x14ac:dyDescent="0.3">
      <c r="A91" s="47">
        <f>K91</f>
        <v>1</v>
      </c>
      <c r="B91" s="40" t="s">
        <v>160</v>
      </c>
      <c r="C91" s="71">
        <v>43129</v>
      </c>
      <c r="D91" s="40">
        <v>3</v>
      </c>
      <c r="E91">
        <v>2</v>
      </c>
      <c r="F91" t="s">
        <v>33</v>
      </c>
      <c r="G91" t="s">
        <v>86</v>
      </c>
      <c r="H91" s="40">
        <v>32</v>
      </c>
      <c r="I91" t="s">
        <v>42</v>
      </c>
      <c r="J91" s="40" t="s">
        <v>161</v>
      </c>
      <c r="K91" s="47">
        <v>1</v>
      </c>
      <c r="L91" s="42">
        <v>0.75</v>
      </c>
    </row>
    <row r="92" spans="1:12" hidden="1" x14ac:dyDescent="0.3">
      <c r="A92" s="47">
        <f>K92</f>
        <v>1</v>
      </c>
      <c r="B92" s="40" t="s">
        <v>160</v>
      </c>
      <c r="C92" s="71">
        <v>43129</v>
      </c>
      <c r="D92" s="40">
        <v>3</v>
      </c>
      <c r="E92">
        <v>3</v>
      </c>
      <c r="F92" t="s">
        <v>26</v>
      </c>
      <c r="G92" t="s">
        <v>87</v>
      </c>
      <c r="H92" s="40">
        <v>32</v>
      </c>
      <c r="I92" t="s">
        <v>42</v>
      </c>
      <c r="J92" s="40" t="s">
        <v>161</v>
      </c>
      <c r="K92" s="47">
        <v>1</v>
      </c>
      <c r="L92" s="42">
        <v>0.75</v>
      </c>
    </row>
    <row r="93" spans="1:12" hidden="1" x14ac:dyDescent="0.3">
      <c r="A93" s="47">
        <f>K93</f>
        <v>1</v>
      </c>
      <c r="B93" s="40" t="s">
        <v>160</v>
      </c>
      <c r="C93" s="71">
        <v>43129</v>
      </c>
      <c r="D93" s="40">
        <v>3</v>
      </c>
      <c r="E93">
        <v>4</v>
      </c>
      <c r="F93" t="s">
        <v>27</v>
      </c>
      <c r="G93" t="s">
        <v>87</v>
      </c>
      <c r="H93" s="40">
        <v>32</v>
      </c>
      <c r="I93" t="s">
        <v>42</v>
      </c>
      <c r="J93" s="40" t="s">
        <v>161</v>
      </c>
      <c r="K93" s="47">
        <v>1</v>
      </c>
      <c r="L93" s="42">
        <v>0.75</v>
      </c>
    </row>
    <row r="94" spans="1:12" hidden="1" x14ac:dyDescent="0.3">
      <c r="A94" s="47">
        <f>K94</f>
        <v>1</v>
      </c>
      <c r="B94" s="40" t="s">
        <v>160</v>
      </c>
      <c r="C94" s="71">
        <v>43129</v>
      </c>
      <c r="D94" s="40">
        <v>3</v>
      </c>
      <c r="E94">
        <v>5</v>
      </c>
      <c r="F94" t="s">
        <v>51</v>
      </c>
      <c r="G94" t="s">
        <v>88</v>
      </c>
      <c r="H94" s="40">
        <v>32</v>
      </c>
      <c r="I94" t="s">
        <v>71</v>
      </c>
      <c r="J94" s="40" t="s">
        <v>161</v>
      </c>
      <c r="K94" s="47">
        <v>1</v>
      </c>
      <c r="L94" s="42">
        <v>0.75</v>
      </c>
    </row>
    <row r="95" spans="1:12" hidden="1" x14ac:dyDescent="0.3">
      <c r="A95" s="47">
        <f>K95</f>
        <v>1</v>
      </c>
      <c r="B95" s="40" t="s">
        <v>160</v>
      </c>
      <c r="C95" s="71">
        <v>43129</v>
      </c>
      <c r="D95" s="40">
        <v>3</v>
      </c>
      <c r="E95">
        <v>6</v>
      </c>
      <c r="F95" t="s">
        <v>38</v>
      </c>
      <c r="G95" t="s">
        <v>89</v>
      </c>
      <c r="H95" s="40">
        <v>32</v>
      </c>
      <c r="I95" t="s">
        <v>42</v>
      </c>
      <c r="J95" s="40" t="s">
        <v>161</v>
      </c>
      <c r="K95" s="47">
        <v>1</v>
      </c>
      <c r="L95" s="42">
        <v>0.75</v>
      </c>
    </row>
    <row r="96" spans="1:12" hidden="1" x14ac:dyDescent="0.3">
      <c r="A96" s="47">
        <f>K96</f>
        <v>1</v>
      </c>
      <c r="B96" s="40" t="s">
        <v>160</v>
      </c>
      <c r="C96" s="71">
        <v>43129</v>
      </c>
      <c r="D96" s="40">
        <v>3</v>
      </c>
      <c r="E96">
        <v>7</v>
      </c>
      <c r="F96" t="s">
        <v>25</v>
      </c>
      <c r="G96" t="s">
        <v>90</v>
      </c>
      <c r="H96" s="40">
        <v>32</v>
      </c>
      <c r="I96" t="s">
        <v>42</v>
      </c>
      <c r="J96" s="40" t="s">
        <v>161</v>
      </c>
      <c r="K96" s="47">
        <v>1</v>
      </c>
      <c r="L96" s="42">
        <v>0.75</v>
      </c>
    </row>
    <row r="97" spans="1:12" hidden="1" x14ac:dyDescent="0.3">
      <c r="A97" s="47">
        <f>K97</f>
        <v>1</v>
      </c>
      <c r="B97" s="40" t="s">
        <v>160</v>
      </c>
      <c r="C97" s="71">
        <v>43129</v>
      </c>
      <c r="D97" s="40">
        <v>3</v>
      </c>
      <c r="E97">
        <v>8</v>
      </c>
      <c r="F97" t="s">
        <v>35</v>
      </c>
      <c r="G97" t="s">
        <v>90</v>
      </c>
      <c r="H97" s="40">
        <v>32</v>
      </c>
      <c r="I97" t="s">
        <v>42</v>
      </c>
      <c r="J97" s="40" t="s">
        <v>161</v>
      </c>
      <c r="K97" s="47">
        <v>1</v>
      </c>
      <c r="L97" s="42">
        <v>0.75</v>
      </c>
    </row>
    <row r="98" spans="1:12" hidden="1" x14ac:dyDescent="0.3">
      <c r="A98" s="47">
        <f>K98</f>
        <v>1</v>
      </c>
      <c r="B98" s="40" t="s">
        <v>160</v>
      </c>
      <c r="C98" s="71">
        <v>43129</v>
      </c>
      <c r="D98" s="40">
        <v>3</v>
      </c>
      <c r="E98">
        <v>9</v>
      </c>
      <c r="F98" t="s">
        <v>34</v>
      </c>
      <c r="G98" t="s">
        <v>90</v>
      </c>
      <c r="H98" s="40">
        <v>32</v>
      </c>
      <c r="I98" t="s">
        <v>42</v>
      </c>
      <c r="J98" s="40" t="s">
        <v>161</v>
      </c>
      <c r="K98" s="47">
        <v>1</v>
      </c>
      <c r="L98" s="42">
        <v>0.75</v>
      </c>
    </row>
    <row r="99" spans="1:12" x14ac:dyDescent="0.3">
      <c r="A99" s="47">
        <f>K99</f>
        <v>1</v>
      </c>
      <c r="B99" s="40" t="s">
        <v>156</v>
      </c>
      <c r="C99" s="71">
        <v>43116</v>
      </c>
      <c r="D99" s="40">
        <v>2</v>
      </c>
      <c r="E99">
        <v>1</v>
      </c>
      <c r="F99" t="s">
        <v>53</v>
      </c>
      <c r="G99" t="s">
        <v>85</v>
      </c>
      <c r="H99" s="40">
        <v>34</v>
      </c>
      <c r="I99" t="s">
        <v>71</v>
      </c>
      <c r="J99" s="40" t="s">
        <v>157</v>
      </c>
      <c r="K99" s="47">
        <v>1</v>
      </c>
      <c r="L99" s="42">
        <v>0.79166666666666663</v>
      </c>
    </row>
    <row r="100" spans="1:12" x14ac:dyDescent="0.3">
      <c r="A100" s="47">
        <f>K100</f>
        <v>1</v>
      </c>
      <c r="B100" s="40" t="s">
        <v>156</v>
      </c>
      <c r="C100" s="71">
        <v>43116</v>
      </c>
      <c r="D100" s="40">
        <v>2</v>
      </c>
      <c r="E100">
        <v>2</v>
      </c>
      <c r="F100" t="s">
        <v>33</v>
      </c>
      <c r="G100" t="s">
        <v>86</v>
      </c>
      <c r="H100" s="40">
        <v>34</v>
      </c>
      <c r="I100" t="s">
        <v>42</v>
      </c>
      <c r="J100" s="40" t="s">
        <v>157</v>
      </c>
      <c r="K100" s="47">
        <v>1</v>
      </c>
      <c r="L100" s="42">
        <v>0.79166666666666663</v>
      </c>
    </row>
    <row r="101" spans="1:12" x14ac:dyDescent="0.3">
      <c r="A101" s="47">
        <f>K101</f>
        <v>1</v>
      </c>
      <c r="B101" s="40" t="s">
        <v>156</v>
      </c>
      <c r="C101" s="71">
        <v>43116</v>
      </c>
      <c r="D101" s="40">
        <v>2</v>
      </c>
      <c r="E101">
        <v>3</v>
      </c>
      <c r="F101" t="s">
        <v>26</v>
      </c>
      <c r="G101" t="s">
        <v>87</v>
      </c>
      <c r="H101" s="40">
        <v>34</v>
      </c>
      <c r="I101" t="s">
        <v>42</v>
      </c>
      <c r="J101" s="40" t="s">
        <v>157</v>
      </c>
      <c r="K101" s="47">
        <v>1</v>
      </c>
      <c r="L101" s="42">
        <v>0.79166666666666663</v>
      </c>
    </row>
    <row r="102" spans="1:12" x14ac:dyDescent="0.3">
      <c r="A102" s="47">
        <f>K102</f>
        <v>1</v>
      </c>
      <c r="B102" s="40" t="s">
        <v>156</v>
      </c>
      <c r="C102" s="71">
        <v>43116</v>
      </c>
      <c r="D102" s="40">
        <v>2</v>
      </c>
      <c r="E102">
        <v>4</v>
      </c>
      <c r="F102" t="s">
        <v>27</v>
      </c>
      <c r="G102" t="s">
        <v>87</v>
      </c>
      <c r="H102" s="40">
        <v>34</v>
      </c>
      <c r="I102" t="s">
        <v>42</v>
      </c>
      <c r="J102" s="40" t="s">
        <v>157</v>
      </c>
      <c r="K102" s="47">
        <v>1</v>
      </c>
      <c r="L102" s="42">
        <v>0.79166666666666663</v>
      </c>
    </row>
    <row r="103" spans="1:12" x14ac:dyDescent="0.3">
      <c r="A103" s="47">
        <f>K103</f>
        <v>1</v>
      </c>
      <c r="B103" s="40" t="s">
        <v>156</v>
      </c>
      <c r="C103" s="71">
        <v>43116</v>
      </c>
      <c r="D103" s="40">
        <v>2</v>
      </c>
      <c r="E103">
        <v>5</v>
      </c>
      <c r="F103" t="s">
        <v>37</v>
      </c>
      <c r="G103" t="s">
        <v>88</v>
      </c>
      <c r="H103" s="40">
        <v>34</v>
      </c>
      <c r="I103" t="s">
        <v>42</v>
      </c>
      <c r="J103" s="40" t="s">
        <v>157</v>
      </c>
      <c r="K103" s="47">
        <v>1</v>
      </c>
      <c r="L103" s="42">
        <v>0.79166666666666663</v>
      </c>
    </row>
    <row r="104" spans="1:12" x14ac:dyDescent="0.3">
      <c r="A104" s="47">
        <f>K104</f>
        <v>1</v>
      </c>
      <c r="B104" s="40" t="s">
        <v>156</v>
      </c>
      <c r="C104" s="71">
        <v>43116</v>
      </c>
      <c r="D104" s="40">
        <v>2</v>
      </c>
      <c r="E104">
        <v>6</v>
      </c>
      <c r="F104" t="s">
        <v>55</v>
      </c>
      <c r="G104" t="s">
        <v>89</v>
      </c>
      <c r="H104" s="40">
        <v>34</v>
      </c>
      <c r="I104" t="s">
        <v>71</v>
      </c>
      <c r="J104" s="40" t="s">
        <v>157</v>
      </c>
      <c r="K104" s="47">
        <v>1</v>
      </c>
      <c r="L104" s="42">
        <v>0.79166666666666663</v>
      </c>
    </row>
    <row r="105" spans="1:12" x14ac:dyDescent="0.3">
      <c r="A105" s="47">
        <f>K105</f>
        <v>1</v>
      </c>
      <c r="B105" s="40" t="s">
        <v>156</v>
      </c>
      <c r="C105" s="71">
        <v>43116</v>
      </c>
      <c r="D105" s="40">
        <v>2</v>
      </c>
      <c r="E105">
        <v>7</v>
      </c>
      <c r="F105" t="s">
        <v>25</v>
      </c>
      <c r="G105" t="s">
        <v>90</v>
      </c>
      <c r="H105" s="40">
        <v>34</v>
      </c>
      <c r="I105" t="s">
        <v>42</v>
      </c>
      <c r="J105" s="40" t="s">
        <v>157</v>
      </c>
      <c r="K105" s="47">
        <v>1</v>
      </c>
      <c r="L105" s="42">
        <v>0.79166666666666663</v>
      </c>
    </row>
    <row r="106" spans="1:12" x14ac:dyDescent="0.3">
      <c r="A106" s="47">
        <f>K106</f>
        <v>1</v>
      </c>
      <c r="B106" s="40" t="s">
        <v>156</v>
      </c>
      <c r="C106" s="71">
        <v>43116</v>
      </c>
      <c r="D106" s="40">
        <v>2</v>
      </c>
      <c r="E106">
        <v>8</v>
      </c>
      <c r="F106" t="s">
        <v>35</v>
      </c>
      <c r="G106" t="s">
        <v>90</v>
      </c>
      <c r="H106" s="40">
        <v>34</v>
      </c>
      <c r="I106" t="s">
        <v>42</v>
      </c>
      <c r="J106" s="40" t="s">
        <v>157</v>
      </c>
      <c r="K106" s="47">
        <v>1</v>
      </c>
      <c r="L106" s="42">
        <v>0.79166666666666663</v>
      </c>
    </row>
    <row r="107" spans="1:12" x14ac:dyDescent="0.3">
      <c r="A107" s="47">
        <f>K107</f>
        <v>1</v>
      </c>
      <c r="B107" s="40" t="s">
        <v>156</v>
      </c>
      <c r="C107" s="71">
        <v>43116</v>
      </c>
      <c r="D107" s="40">
        <v>2</v>
      </c>
      <c r="E107">
        <v>9</v>
      </c>
      <c r="F107" t="s">
        <v>34</v>
      </c>
      <c r="G107" t="s">
        <v>90</v>
      </c>
      <c r="H107" s="40">
        <v>34</v>
      </c>
      <c r="I107" t="s">
        <v>42</v>
      </c>
      <c r="J107" s="40" t="s">
        <v>157</v>
      </c>
      <c r="K107" s="47">
        <v>1</v>
      </c>
      <c r="L107" s="42">
        <v>0.79166666666666663</v>
      </c>
    </row>
    <row r="108" spans="1:12" x14ac:dyDescent="0.3">
      <c r="A108" s="47">
        <f>K108</f>
        <v>1</v>
      </c>
      <c r="B108" s="40" t="s">
        <v>156</v>
      </c>
      <c r="C108" s="71">
        <v>43116</v>
      </c>
      <c r="D108" s="40">
        <v>2</v>
      </c>
      <c r="E108">
        <v>10</v>
      </c>
      <c r="F108" t="s">
        <v>38</v>
      </c>
      <c r="G108" t="s">
        <v>90</v>
      </c>
      <c r="H108" s="40">
        <v>34</v>
      </c>
      <c r="I108" t="s">
        <v>42</v>
      </c>
      <c r="J108" s="40" t="s">
        <v>157</v>
      </c>
      <c r="K108" s="47">
        <v>1</v>
      </c>
      <c r="L108" s="42">
        <v>0.79166666666666663</v>
      </c>
    </row>
    <row r="109" spans="1:12" x14ac:dyDescent="0.3">
      <c r="A109" s="47">
        <f>K109</f>
        <v>1</v>
      </c>
      <c r="B109" s="40" t="s">
        <v>156</v>
      </c>
      <c r="C109" s="71">
        <v>43116</v>
      </c>
      <c r="D109" s="40">
        <v>2</v>
      </c>
      <c r="E109">
        <v>11</v>
      </c>
      <c r="F109" t="s">
        <v>69</v>
      </c>
      <c r="G109" t="s">
        <v>90</v>
      </c>
      <c r="H109" s="40">
        <v>34</v>
      </c>
      <c r="I109" t="s">
        <v>71</v>
      </c>
      <c r="J109" s="40" t="s">
        <v>157</v>
      </c>
      <c r="K109" s="47">
        <v>1</v>
      </c>
      <c r="L109" s="42">
        <v>0.79166666666666663</v>
      </c>
    </row>
    <row r="110" spans="1:12" x14ac:dyDescent="0.3">
      <c r="A110" s="47">
        <f>K110</f>
        <v>1</v>
      </c>
      <c r="B110" s="40" t="s">
        <v>156</v>
      </c>
      <c r="C110" s="71">
        <v>43116</v>
      </c>
      <c r="D110" s="40">
        <v>2</v>
      </c>
      <c r="E110">
        <v>12</v>
      </c>
      <c r="F110" t="s">
        <v>148</v>
      </c>
      <c r="G110" t="s">
        <v>90</v>
      </c>
      <c r="H110" s="40">
        <v>34</v>
      </c>
      <c r="I110" t="s">
        <v>71</v>
      </c>
      <c r="J110" s="40" t="s">
        <v>157</v>
      </c>
      <c r="K110" s="47">
        <v>1</v>
      </c>
      <c r="L110" s="42">
        <v>0.79166666666666663</v>
      </c>
    </row>
    <row r="111" spans="1:12" x14ac:dyDescent="0.3">
      <c r="A111" s="47">
        <f>K111</f>
        <v>1</v>
      </c>
      <c r="B111" s="40" t="s">
        <v>156</v>
      </c>
      <c r="C111" s="71">
        <v>43116</v>
      </c>
      <c r="D111" s="40">
        <v>2</v>
      </c>
      <c r="E111">
        <v>13</v>
      </c>
      <c r="F111" t="s">
        <v>149</v>
      </c>
      <c r="G111" t="s">
        <v>90</v>
      </c>
      <c r="H111" s="40">
        <v>34</v>
      </c>
      <c r="I111" t="s">
        <v>71</v>
      </c>
      <c r="J111" s="40" t="s">
        <v>157</v>
      </c>
      <c r="K111" s="47">
        <v>1</v>
      </c>
      <c r="L111" s="42">
        <v>0.79166666666666663</v>
      </c>
    </row>
    <row r="112" spans="1:12" x14ac:dyDescent="0.3">
      <c r="A112" s="47">
        <f>K112</f>
        <v>1</v>
      </c>
      <c r="B112" s="40" t="s">
        <v>156</v>
      </c>
      <c r="C112" s="71">
        <v>43116</v>
      </c>
      <c r="D112" s="40">
        <v>2</v>
      </c>
      <c r="E112">
        <v>14</v>
      </c>
      <c r="F112" t="s">
        <v>45</v>
      </c>
      <c r="G112" t="s">
        <v>91</v>
      </c>
      <c r="H112" s="40">
        <v>34</v>
      </c>
      <c r="I112" t="s">
        <v>71</v>
      </c>
      <c r="J112" s="40" t="s">
        <v>157</v>
      </c>
      <c r="K112" s="47">
        <v>1</v>
      </c>
      <c r="L112" s="42">
        <v>0.79166666666666663</v>
      </c>
    </row>
    <row r="113" spans="1:12" x14ac:dyDescent="0.3">
      <c r="A113" s="47">
        <f>K113</f>
        <v>1</v>
      </c>
      <c r="B113" s="40" t="s">
        <v>156</v>
      </c>
      <c r="C113" s="71">
        <v>43116</v>
      </c>
      <c r="D113" s="40">
        <v>2</v>
      </c>
      <c r="E113">
        <v>15</v>
      </c>
      <c r="F113" t="s">
        <v>39</v>
      </c>
      <c r="G113" t="s">
        <v>85</v>
      </c>
      <c r="H113" s="40">
        <v>15</v>
      </c>
      <c r="I113" t="s">
        <v>42</v>
      </c>
      <c r="J113" s="40" t="s">
        <v>157</v>
      </c>
      <c r="K113" s="47">
        <v>1</v>
      </c>
      <c r="L113" s="42">
        <v>0.79166666666666663</v>
      </c>
    </row>
    <row r="114" spans="1:12" x14ac:dyDescent="0.3">
      <c r="A114" s="47">
        <f>K114</f>
        <v>1</v>
      </c>
      <c r="B114" s="40" t="s">
        <v>156</v>
      </c>
      <c r="C114" s="71">
        <v>43116</v>
      </c>
      <c r="D114" s="40">
        <v>2</v>
      </c>
      <c r="E114">
        <v>16</v>
      </c>
      <c r="F114" t="s">
        <v>47</v>
      </c>
      <c r="G114" t="s">
        <v>86</v>
      </c>
      <c r="H114" s="40">
        <v>15</v>
      </c>
      <c r="I114" t="s">
        <v>71</v>
      </c>
      <c r="J114" s="40" t="s">
        <v>157</v>
      </c>
      <c r="K114" s="47">
        <v>1</v>
      </c>
      <c r="L114" s="42">
        <v>0.79166666666666663</v>
      </c>
    </row>
    <row r="115" spans="1:12" x14ac:dyDescent="0.3">
      <c r="A115" s="47">
        <f>K115</f>
        <v>1</v>
      </c>
      <c r="B115" s="40" t="s">
        <v>156</v>
      </c>
      <c r="C115" s="71">
        <v>43116</v>
      </c>
      <c r="D115" s="40">
        <v>2</v>
      </c>
      <c r="E115">
        <v>17</v>
      </c>
      <c r="F115" t="s">
        <v>31</v>
      </c>
      <c r="G115" t="s">
        <v>87</v>
      </c>
      <c r="H115" s="40">
        <v>15</v>
      </c>
      <c r="I115" t="s">
        <v>42</v>
      </c>
      <c r="J115" s="40" t="s">
        <v>157</v>
      </c>
      <c r="K115" s="47">
        <v>1</v>
      </c>
      <c r="L115" s="42">
        <v>0.79166666666666663</v>
      </c>
    </row>
    <row r="116" spans="1:12" x14ac:dyDescent="0.3">
      <c r="A116" s="47">
        <f>K116</f>
        <v>1</v>
      </c>
      <c r="B116" s="40" t="s">
        <v>156</v>
      </c>
      <c r="C116" s="71">
        <v>43116</v>
      </c>
      <c r="D116" s="40">
        <v>2</v>
      </c>
      <c r="E116">
        <v>18</v>
      </c>
      <c r="F116" t="s">
        <v>28</v>
      </c>
      <c r="G116" t="s">
        <v>87</v>
      </c>
      <c r="H116" s="40">
        <v>15</v>
      </c>
      <c r="I116" t="s">
        <v>42</v>
      </c>
      <c r="J116" s="40" t="s">
        <v>157</v>
      </c>
      <c r="K116" s="47">
        <v>1</v>
      </c>
      <c r="L116" s="42">
        <v>0.79166666666666663</v>
      </c>
    </row>
    <row r="117" spans="1:12" x14ac:dyDescent="0.3">
      <c r="A117" s="47">
        <f>K117</f>
        <v>1</v>
      </c>
      <c r="B117" s="40" t="s">
        <v>156</v>
      </c>
      <c r="C117" s="71">
        <v>43116</v>
      </c>
      <c r="D117" s="40">
        <v>2</v>
      </c>
      <c r="E117">
        <v>19</v>
      </c>
      <c r="F117" t="s">
        <v>65</v>
      </c>
      <c r="G117" t="s">
        <v>88</v>
      </c>
      <c r="H117" s="40">
        <v>15</v>
      </c>
      <c r="I117" t="s">
        <v>71</v>
      </c>
      <c r="J117" s="40" t="s">
        <v>157</v>
      </c>
      <c r="K117" s="47">
        <v>1</v>
      </c>
      <c r="L117" s="42">
        <v>0.79166666666666663</v>
      </c>
    </row>
    <row r="118" spans="1:12" x14ac:dyDescent="0.3">
      <c r="A118" s="47">
        <f>K118</f>
        <v>1</v>
      </c>
      <c r="B118" s="40" t="s">
        <v>156</v>
      </c>
      <c r="C118" s="71">
        <v>43116</v>
      </c>
      <c r="D118" s="40">
        <v>2</v>
      </c>
      <c r="E118">
        <v>20</v>
      </c>
      <c r="F118" t="s">
        <v>32</v>
      </c>
      <c r="G118" t="s">
        <v>89</v>
      </c>
      <c r="H118" s="40">
        <v>15</v>
      </c>
      <c r="I118" t="s">
        <v>42</v>
      </c>
      <c r="J118" s="40" t="s">
        <v>157</v>
      </c>
      <c r="K118" s="47">
        <v>1</v>
      </c>
      <c r="L118" s="42">
        <v>0.79166666666666663</v>
      </c>
    </row>
    <row r="119" spans="1:12" x14ac:dyDescent="0.3">
      <c r="A119" s="47">
        <f>K119</f>
        <v>1</v>
      </c>
      <c r="B119" s="40" t="s">
        <v>156</v>
      </c>
      <c r="C119" s="71">
        <v>43116</v>
      </c>
      <c r="D119" s="40">
        <v>2</v>
      </c>
      <c r="E119">
        <v>21</v>
      </c>
      <c r="F119" t="s">
        <v>59</v>
      </c>
      <c r="G119" t="s">
        <v>90</v>
      </c>
      <c r="H119" s="40">
        <v>15</v>
      </c>
      <c r="I119" t="s">
        <v>71</v>
      </c>
      <c r="J119" s="40" t="s">
        <v>157</v>
      </c>
      <c r="K119" s="47">
        <v>1</v>
      </c>
      <c r="L119" s="42">
        <v>0.79166666666666663</v>
      </c>
    </row>
    <row r="120" spans="1:12" x14ac:dyDescent="0.3">
      <c r="A120" s="47">
        <f>K120</f>
        <v>1</v>
      </c>
      <c r="B120" s="40" t="s">
        <v>156</v>
      </c>
      <c r="C120" s="71">
        <v>43116</v>
      </c>
      <c r="D120" s="40">
        <v>2</v>
      </c>
      <c r="E120">
        <v>22</v>
      </c>
      <c r="F120" t="s">
        <v>147</v>
      </c>
      <c r="G120" t="s">
        <v>90</v>
      </c>
      <c r="H120" s="40">
        <v>15</v>
      </c>
      <c r="I120" t="s">
        <v>71</v>
      </c>
      <c r="J120" s="40" t="s">
        <v>157</v>
      </c>
      <c r="K120" s="47">
        <v>1</v>
      </c>
      <c r="L120" s="42">
        <v>0.79166666666666663</v>
      </c>
    </row>
    <row r="121" spans="1:12" x14ac:dyDescent="0.3">
      <c r="A121" s="47">
        <f>K121</f>
        <v>1</v>
      </c>
      <c r="B121" s="40" t="s">
        <v>156</v>
      </c>
      <c r="C121" s="71">
        <v>43116</v>
      </c>
      <c r="D121" s="40">
        <v>2</v>
      </c>
      <c r="E121">
        <v>23</v>
      </c>
      <c r="F121" t="s">
        <v>40</v>
      </c>
      <c r="G121" t="s">
        <v>90</v>
      </c>
      <c r="H121" s="40">
        <v>15</v>
      </c>
      <c r="I121" t="s">
        <v>42</v>
      </c>
      <c r="J121" s="40" t="s">
        <v>157</v>
      </c>
      <c r="K121" s="47">
        <v>1</v>
      </c>
      <c r="L121" s="42">
        <v>0.79166666666666663</v>
      </c>
    </row>
    <row r="122" spans="1:12" x14ac:dyDescent="0.3">
      <c r="A122" s="47">
        <f>K122</f>
        <v>1</v>
      </c>
      <c r="B122" s="40" t="s">
        <v>156</v>
      </c>
      <c r="C122" s="71">
        <v>43116</v>
      </c>
      <c r="D122" s="40">
        <v>2</v>
      </c>
      <c r="E122">
        <v>24</v>
      </c>
      <c r="F122" t="s">
        <v>140</v>
      </c>
      <c r="G122" t="s">
        <v>90</v>
      </c>
      <c r="H122" s="40">
        <v>15</v>
      </c>
      <c r="I122" t="s">
        <v>71</v>
      </c>
      <c r="J122" s="40" t="s">
        <v>157</v>
      </c>
      <c r="K122" s="47">
        <v>1</v>
      </c>
      <c r="L122" s="42">
        <v>0.79166666666666663</v>
      </c>
    </row>
    <row r="123" spans="1:12" x14ac:dyDescent="0.3">
      <c r="A123" s="47">
        <f>K123</f>
        <v>1</v>
      </c>
      <c r="B123" s="40" t="s">
        <v>156</v>
      </c>
      <c r="C123" s="71">
        <v>43116</v>
      </c>
      <c r="D123" s="40">
        <v>2</v>
      </c>
      <c r="E123">
        <v>25</v>
      </c>
      <c r="F123" t="s">
        <v>154</v>
      </c>
      <c r="G123" t="s">
        <v>90</v>
      </c>
      <c r="H123" s="40">
        <v>15</v>
      </c>
      <c r="I123" t="s">
        <v>42</v>
      </c>
      <c r="J123" s="40" t="s">
        <v>157</v>
      </c>
      <c r="K123" s="47">
        <v>1</v>
      </c>
      <c r="L123" s="42">
        <v>0.79166666666666663</v>
      </c>
    </row>
    <row r="124" spans="1:12" x14ac:dyDescent="0.3">
      <c r="A124" s="47">
        <f>K124</f>
        <v>1</v>
      </c>
      <c r="B124" s="40" t="s">
        <v>156</v>
      </c>
      <c r="C124" s="71">
        <v>43116</v>
      </c>
      <c r="D124" s="40">
        <v>2</v>
      </c>
      <c r="E124">
        <v>26</v>
      </c>
      <c r="F124" t="s">
        <v>57</v>
      </c>
      <c r="G124" t="s">
        <v>90</v>
      </c>
      <c r="H124" s="40">
        <v>15</v>
      </c>
      <c r="I124" t="s">
        <v>71</v>
      </c>
      <c r="J124" s="40" t="s">
        <v>157</v>
      </c>
      <c r="K124" s="47">
        <v>1</v>
      </c>
      <c r="L124" s="42">
        <v>0.79166666666666663</v>
      </c>
    </row>
    <row r="125" spans="1:12" x14ac:dyDescent="0.3">
      <c r="A125" s="47">
        <f>K125</f>
        <v>1</v>
      </c>
      <c r="B125" s="40" t="s">
        <v>156</v>
      </c>
      <c r="C125" s="71">
        <v>43116</v>
      </c>
      <c r="D125" s="40">
        <v>2</v>
      </c>
      <c r="E125">
        <v>27</v>
      </c>
      <c r="F125" t="s">
        <v>145</v>
      </c>
      <c r="G125" t="s">
        <v>90</v>
      </c>
      <c r="H125" s="40">
        <v>15</v>
      </c>
      <c r="I125" t="s">
        <v>71</v>
      </c>
      <c r="J125" s="40" t="s">
        <v>157</v>
      </c>
      <c r="K125" s="47">
        <v>1</v>
      </c>
      <c r="L125" s="42">
        <v>0.79166666666666663</v>
      </c>
    </row>
    <row r="126" spans="1:12" x14ac:dyDescent="0.3">
      <c r="A126" s="47">
        <f>K126</f>
        <v>1</v>
      </c>
      <c r="B126" s="40" t="s">
        <v>156</v>
      </c>
      <c r="C126" s="71">
        <v>43116</v>
      </c>
      <c r="D126" s="40">
        <v>2</v>
      </c>
      <c r="E126">
        <v>28</v>
      </c>
      <c r="F126" t="s">
        <v>22</v>
      </c>
      <c r="G126" t="s">
        <v>91</v>
      </c>
      <c r="H126" s="40">
        <v>15</v>
      </c>
      <c r="I126" t="s">
        <v>42</v>
      </c>
      <c r="J126" s="40" t="s">
        <v>157</v>
      </c>
      <c r="K126" s="47">
        <v>1</v>
      </c>
      <c r="L126" s="42">
        <v>0.79166666666666663</v>
      </c>
    </row>
    <row r="127" spans="1:12" hidden="1" x14ac:dyDescent="0.3">
      <c r="A127" s="47">
        <f>K127</f>
        <v>1</v>
      </c>
      <c r="B127" s="40" t="s">
        <v>160</v>
      </c>
      <c r="C127" s="71">
        <v>43129</v>
      </c>
      <c r="D127" s="40">
        <v>3</v>
      </c>
      <c r="E127">
        <v>10</v>
      </c>
      <c r="F127" t="s">
        <v>69</v>
      </c>
      <c r="G127" t="s">
        <v>90</v>
      </c>
      <c r="H127" s="40">
        <v>32</v>
      </c>
      <c r="I127" t="s">
        <v>71</v>
      </c>
      <c r="J127" s="40" t="s">
        <v>161</v>
      </c>
      <c r="K127" s="47">
        <v>1</v>
      </c>
      <c r="L127" s="42">
        <v>0.75</v>
      </c>
    </row>
    <row r="128" spans="1:12" hidden="1" x14ac:dyDescent="0.3">
      <c r="A128" s="47">
        <f>K128</f>
        <v>1</v>
      </c>
      <c r="B128" s="40" t="s">
        <v>160</v>
      </c>
      <c r="C128" s="71">
        <v>43129</v>
      </c>
      <c r="D128" s="40">
        <v>3</v>
      </c>
      <c r="E128">
        <v>11</v>
      </c>
      <c r="F128" t="s">
        <v>148</v>
      </c>
      <c r="G128" t="s">
        <v>90</v>
      </c>
      <c r="H128" s="40">
        <v>32</v>
      </c>
      <c r="I128" t="s">
        <v>71</v>
      </c>
      <c r="J128" s="40" t="s">
        <v>161</v>
      </c>
      <c r="K128" s="47">
        <v>1</v>
      </c>
      <c r="L128" s="42">
        <v>0.75</v>
      </c>
    </row>
    <row r="129" spans="1:12" hidden="1" x14ac:dyDescent="0.3">
      <c r="A129" s="47">
        <f>K129</f>
        <v>1</v>
      </c>
      <c r="B129" s="40" t="s">
        <v>160</v>
      </c>
      <c r="C129" s="71">
        <v>43129</v>
      </c>
      <c r="D129" s="40">
        <v>3</v>
      </c>
      <c r="E129">
        <v>12</v>
      </c>
      <c r="F129" t="s">
        <v>149</v>
      </c>
      <c r="G129" t="s">
        <v>90</v>
      </c>
      <c r="H129" s="40">
        <v>32</v>
      </c>
      <c r="I129" t="s">
        <v>71</v>
      </c>
      <c r="J129" s="40" t="s">
        <v>161</v>
      </c>
      <c r="K129" s="47">
        <v>1</v>
      </c>
      <c r="L129" s="42">
        <v>0.75</v>
      </c>
    </row>
    <row r="130" spans="1:12" hidden="1" x14ac:dyDescent="0.3">
      <c r="A130" s="47">
        <f>K130</f>
        <v>1</v>
      </c>
      <c r="B130" s="40" t="s">
        <v>160</v>
      </c>
      <c r="C130" s="71">
        <v>43129</v>
      </c>
      <c r="D130" s="40">
        <v>3</v>
      </c>
      <c r="E130">
        <v>13</v>
      </c>
      <c r="F130" t="s">
        <v>37</v>
      </c>
      <c r="G130" t="s">
        <v>90</v>
      </c>
      <c r="H130" s="40">
        <v>32</v>
      </c>
      <c r="I130" t="s">
        <v>42</v>
      </c>
      <c r="J130" s="40" t="s">
        <v>161</v>
      </c>
      <c r="K130" s="47">
        <v>1</v>
      </c>
      <c r="L130" s="42">
        <v>0.75</v>
      </c>
    </row>
    <row r="131" spans="1:12" hidden="1" x14ac:dyDescent="0.3">
      <c r="A131" s="47">
        <f>K131</f>
        <v>1</v>
      </c>
      <c r="B131" s="40" t="s">
        <v>160</v>
      </c>
      <c r="C131" s="71">
        <v>43129</v>
      </c>
      <c r="D131" s="40">
        <v>3</v>
      </c>
      <c r="E131">
        <v>14</v>
      </c>
      <c r="F131" t="s">
        <v>45</v>
      </c>
      <c r="G131" t="s">
        <v>91</v>
      </c>
      <c r="H131" s="40">
        <v>32</v>
      </c>
      <c r="I131" t="s">
        <v>71</v>
      </c>
      <c r="J131" s="40" t="s">
        <v>161</v>
      </c>
      <c r="K131" s="47">
        <v>1</v>
      </c>
      <c r="L131" s="42">
        <v>0.75</v>
      </c>
    </row>
    <row r="132" spans="1:12" hidden="1" x14ac:dyDescent="0.3">
      <c r="A132" s="47">
        <f>K132</f>
        <v>1</v>
      </c>
      <c r="B132" s="40" t="s">
        <v>160</v>
      </c>
      <c r="C132" s="71">
        <v>43129</v>
      </c>
      <c r="D132" s="40">
        <v>3</v>
      </c>
      <c r="E132">
        <v>15</v>
      </c>
      <c r="F132" t="s">
        <v>39</v>
      </c>
      <c r="G132" t="s">
        <v>85</v>
      </c>
      <c r="H132" s="40">
        <v>10</v>
      </c>
      <c r="I132" t="s">
        <v>42</v>
      </c>
      <c r="J132" s="40" t="s">
        <v>161</v>
      </c>
      <c r="K132" s="47">
        <v>1</v>
      </c>
      <c r="L132" s="42">
        <v>0.75</v>
      </c>
    </row>
    <row r="133" spans="1:12" hidden="1" x14ac:dyDescent="0.3">
      <c r="A133" s="47">
        <f>K133</f>
        <v>1</v>
      </c>
      <c r="B133" s="40" t="s">
        <v>160</v>
      </c>
      <c r="C133" s="71">
        <v>43129</v>
      </c>
      <c r="D133" s="40">
        <v>3</v>
      </c>
      <c r="E133">
        <v>16</v>
      </c>
      <c r="F133" t="s">
        <v>47</v>
      </c>
      <c r="G133" t="s">
        <v>86</v>
      </c>
      <c r="H133" s="40">
        <v>10</v>
      </c>
      <c r="I133" t="s">
        <v>71</v>
      </c>
      <c r="J133" s="40" t="s">
        <v>161</v>
      </c>
      <c r="K133" s="47">
        <v>1</v>
      </c>
      <c r="L133" s="42">
        <v>0.75</v>
      </c>
    </row>
    <row r="134" spans="1:12" hidden="1" x14ac:dyDescent="0.3">
      <c r="A134" s="47">
        <f>K134</f>
        <v>1</v>
      </c>
      <c r="B134" s="40" t="s">
        <v>160</v>
      </c>
      <c r="C134" s="71">
        <v>43129</v>
      </c>
      <c r="D134" s="40">
        <v>3</v>
      </c>
      <c r="E134">
        <v>17</v>
      </c>
      <c r="F134" t="s">
        <v>59</v>
      </c>
      <c r="G134" t="s">
        <v>87</v>
      </c>
      <c r="H134" s="40">
        <v>10</v>
      </c>
      <c r="I134" t="s">
        <v>71</v>
      </c>
      <c r="J134" s="40" t="s">
        <v>161</v>
      </c>
      <c r="K134" s="47">
        <v>1</v>
      </c>
      <c r="L134" s="42">
        <v>0.75</v>
      </c>
    </row>
    <row r="135" spans="1:12" hidden="1" x14ac:dyDescent="0.3">
      <c r="A135" s="47">
        <f>K135</f>
        <v>1</v>
      </c>
      <c r="B135" s="40" t="s">
        <v>160</v>
      </c>
      <c r="C135" s="71">
        <v>43129</v>
      </c>
      <c r="D135" s="40">
        <v>3</v>
      </c>
      <c r="E135">
        <v>18</v>
      </c>
      <c r="F135" t="s">
        <v>28</v>
      </c>
      <c r="G135" t="s">
        <v>87</v>
      </c>
      <c r="H135" s="40">
        <v>10</v>
      </c>
      <c r="I135" t="s">
        <v>42</v>
      </c>
      <c r="J135" s="40" t="s">
        <v>161</v>
      </c>
      <c r="K135" s="47">
        <v>1</v>
      </c>
      <c r="L135" s="42">
        <v>0.75</v>
      </c>
    </row>
    <row r="136" spans="1:12" hidden="1" x14ac:dyDescent="0.3">
      <c r="A136" s="47">
        <f>K136</f>
        <v>1</v>
      </c>
      <c r="B136" s="40" t="s">
        <v>160</v>
      </c>
      <c r="C136" s="71">
        <v>43129</v>
      </c>
      <c r="D136" s="40">
        <v>3</v>
      </c>
      <c r="E136">
        <v>19</v>
      </c>
      <c r="F136" t="s">
        <v>65</v>
      </c>
      <c r="G136" t="s">
        <v>88</v>
      </c>
      <c r="H136" s="40">
        <v>10</v>
      </c>
      <c r="I136" t="s">
        <v>71</v>
      </c>
      <c r="J136" s="40" t="s">
        <v>161</v>
      </c>
      <c r="K136" s="47">
        <v>1</v>
      </c>
      <c r="L136" s="42">
        <v>0.75</v>
      </c>
    </row>
    <row r="137" spans="1:12" hidden="1" x14ac:dyDescent="0.3">
      <c r="A137" s="47">
        <f>K137</f>
        <v>1</v>
      </c>
      <c r="B137" s="40" t="s">
        <v>160</v>
      </c>
      <c r="C137" s="71">
        <v>43129</v>
      </c>
      <c r="D137" s="40">
        <v>3</v>
      </c>
      <c r="E137">
        <v>20</v>
      </c>
      <c r="F137" t="s">
        <v>147</v>
      </c>
      <c r="G137" t="s">
        <v>89</v>
      </c>
      <c r="H137" s="40">
        <v>10</v>
      </c>
      <c r="I137" t="s">
        <v>71</v>
      </c>
      <c r="J137" s="40" t="s">
        <v>161</v>
      </c>
      <c r="K137" s="47">
        <v>1</v>
      </c>
      <c r="L137" s="42">
        <v>0.75</v>
      </c>
    </row>
    <row r="138" spans="1:12" hidden="1" x14ac:dyDescent="0.3">
      <c r="A138" s="47">
        <f>K138</f>
        <v>1</v>
      </c>
      <c r="B138" s="40" t="s">
        <v>160</v>
      </c>
      <c r="C138" s="71">
        <v>43129</v>
      </c>
      <c r="D138" s="40">
        <v>3</v>
      </c>
      <c r="E138">
        <v>21</v>
      </c>
      <c r="F138" t="s">
        <v>140</v>
      </c>
      <c r="G138" t="s">
        <v>90</v>
      </c>
      <c r="H138" s="40">
        <v>10</v>
      </c>
      <c r="I138" t="s">
        <v>71</v>
      </c>
      <c r="J138" s="40" t="s">
        <v>161</v>
      </c>
      <c r="K138" s="47">
        <v>1</v>
      </c>
      <c r="L138" s="42">
        <v>0.75</v>
      </c>
    </row>
    <row r="139" spans="1:12" hidden="1" x14ac:dyDescent="0.3">
      <c r="A139" s="47">
        <f>K139</f>
        <v>1</v>
      </c>
      <c r="B139" s="40" t="s">
        <v>160</v>
      </c>
      <c r="C139" s="71">
        <v>43129</v>
      </c>
      <c r="D139" s="40">
        <v>3</v>
      </c>
      <c r="E139">
        <v>22</v>
      </c>
      <c r="F139" t="s">
        <v>154</v>
      </c>
      <c r="G139" t="s">
        <v>90</v>
      </c>
      <c r="H139" s="40">
        <v>10</v>
      </c>
      <c r="I139" t="s">
        <v>42</v>
      </c>
      <c r="J139" s="40" t="s">
        <v>161</v>
      </c>
      <c r="K139" s="47">
        <v>1</v>
      </c>
      <c r="L139" s="42">
        <v>0.75</v>
      </c>
    </row>
    <row r="140" spans="1:12" hidden="1" x14ac:dyDescent="0.3">
      <c r="A140" s="47">
        <f>K140</f>
        <v>1</v>
      </c>
      <c r="B140" s="40" t="s">
        <v>160</v>
      </c>
      <c r="C140" s="71">
        <v>43129</v>
      </c>
      <c r="D140" s="40">
        <v>3</v>
      </c>
      <c r="E140">
        <v>23</v>
      </c>
      <c r="F140" t="s">
        <v>57</v>
      </c>
      <c r="G140" t="s">
        <v>90</v>
      </c>
      <c r="H140" s="40">
        <v>10</v>
      </c>
      <c r="I140" t="s">
        <v>71</v>
      </c>
      <c r="J140" s="40" t="s">
        <v>161</v>
      </c>
      <c r="K140" s="47">
        <v>1</v>
      </c>
      <c r="L140" s="42">
        <v>0.75</v>
      </c>
    </row>
    <row r="141" spans="1:12" hidden="1" x14ac:dyDescent="0.3">
      <c r="A141" s="47">
        <f>K141</f>
        <v>1</v>
      </c>
      <c r="B141" s="40" t="s">
        <v>160</v>
      </c>
      <c r="C141" s="71">
        <v>43129</v>
      </c>
      <c r="D141" s="40">
        <v>3</v>
      </c>
      <c r="E141">
        <v>24</v>
      </c>
      <c r="F141" t="s">
        <v>145</v>
      </c>
      <c r="G141" t="s">
        <v>90</v>
      </c>
      <c r="H141" s="40">
        <v>10</v>
      </c>
      <c r="I141" t="s">
        <v>71</v>
      </c>
      <c r="J141" s="40" t="s">
        <v>161</v>
      </c>
      <c r="K141" s="47">
        <v>1</v>
      </c>
      <c r="L141" s="42">
        <v>0.75</v>
      </c>
    </row>
    <row r="142" spans="1:12" hidden="1" x14ac:dyDescent="0.3">
      <c r="A142" s="47">
        <f>K142</f>
        <v>1</v>
      </c>
      <c r="B142" s="40" t="s">
        <v>160</v>
      </c>
      <c r="C142" s="71">
        <v>43129</v>
      </c>
      <c r="D142" s="40">
        <v>3</v>
      </c>
      <c r="E142">
        <v>25</v>
      </c>
      <c r="F142" t="s">
        <v>143</v>
      </c>
      <c r="G142" t="s">
        <v>90</v>
      </c>
      <c r="H142" s="40">
        <v>10</v>
      </c>
      <c r="I142" t="s">
        <v>71</v>
      </c>
      <c r="J142" s="40" t="s">
        <v>161</v>
      </c>
      <c r="K142" s="47">
        <v>1</v>
      </c>
      <c r="L142" s="42">
        <v>0.75</v>
      </c>
    </row>
    <row r="143" spans="1:12" hidden="1" x14ac:dyDescent="0.3">
      <c r="A143" s="47">
        <f>K143</f>
        <v>1</v>
      </c>
      <c r="B143" s="40" t="s">
        <v>160</v>
      </c>
      <c r="C143" s="71">
        <v>43129</v>
      </c>
      <c r="D143" s="40">
        <v>3</v>
      </c>
      <c r="E143">
        <v>26</v>
      </c>
      <c r="F143" t="s">
        <v>49</v>
      </c>
      <c r="G143" t="s">
        <v>90</v>
      </c>
      <c r="H143" s="40">
        <v>10</v>
      </c>
      <c r="I143" t="s">
        <v>71</v>
      </c>
      <c r="J143" s="40" t="s">
        <v>161</v>
      </c>
      <c r="K143" s="47">
        <v>1</v>
      </c>
      <c r="L143" s="42">
        <v>0.75</v>
      </c>
    </row>
    <row r="144" spans="1:12" hidden="1" x14ac:dyDescent="0.3">
      <c r="A144" s="47">
        <f>K144</f>
        <v>1</v>
      </c>
      <c r="B144" s="40" t="s">
        <v>160</v>
      </c>
      <c r="C144" s="71">
        <v>43129</v>
      </c>
      <c r="D144" s="40">
        <v>3</v>
      </c>
      <c r="E144">
        <v>27</v>
      </c>
      <c r="F144" t="s">
        <v>32</v>
      </c>
      <c r="G144" t="s">
        <v>90</v>
      </c>
      <c r="H144" s="40">
        <v>10</v>
      </c>
      <c r="I144" t="s">
        <v>42</v>
      </c>
      <c r="J144" s="40" t="s">
        <v>161</v>
      </c>
      <c r="K144" s="47">
        <v>1</v>
      </c>
      <c r="L144" s="42">
        <v>0.75</v>
      </c>
    </row>
    <row r="145" spans="1:12" hidden="1" x14ac:dyDescent="0.3">
      <c r="A145" s="47">
        <f>K145</f>
        <v>1</v>
      </c>
      <c r="B145" s="40" t="s">
        <v>160</v>
      </c>
      <c r="C145" s="71">
        <v>43129</v>
      </c>
      <c r="D145" s="40">
        <v>3</v>
      </c>
      <c r="E145">
        <v>28</v>
      </c>
      <c r="F145" t="s">
        <v>22</v>
      </c>
      <c r="G145" t="s">
        <v>91</v>
      </c>
      <c r="H145" s="40">
        <v>10</v>
      </c>
      <c r="I145" t="s">
        <v>42</v>
      </c>
      <c r="J145" s="40" t="s">
        <v>161</v>
      </c>
      <c r="K145" s="47">
        <v>1</v>
      </c>
      <c r="L145" s="42">
        <v>0.75</v>
      </c>
    </row>
    <row r="146" spans="1:12" hidden="1" x14ac:dyDescent="0.3">
      <c r="A146" s="47">
        <f>K146</f>
        <v>0</v>
      </c>
      <c r="B146" s="40" t="s">
        <v>153</v>
      </c>
      <c r="C146" s="71" t="s">
        <v>153</v>
      </c>
      <c r="D146" s="40" t="s">
        <v>153</v>
      </c>
      <c r="E146" t="s">
        <v>153</v>
      </c>
      <c r="F146" t="s">
        <v>153</v>
      </c>
      <c r="G146" t="s">
        <v>153</v>
      </c>
      <c r="H146" s="40" t="s">
        <v>153</v>
      </c>
      <c r="I146" t="s">
        <v>153</v>
      </c>
      <c r="J146" s="40">
        <v>0</v>
      </c>
      <c r="K146" s="47">
        <v>0</v>
      </c>
      <c r="L146" s="42" t="s">
        <v>153</v>
      </c>
    </row>
    <row r="147" spans="1:12" hidden="1" x14ac:dyDescent="0.3">
      <c r="A147" s="47">
        <f>K147</f>
        <v>0</v>
      </c>
      <c r="B147" s="40" t="s">
        <v>153</v>
      </c>
      <c r="C147" s="71" t="s">
        <v>153</v>
      </c>
      <c r="D147" s="40" t="s">
        <v>153</v>
      </c>
      <c r="E147" t="s">
        <v>153</v>
      </c>
      <c r="F147" t="s">
        <v>153</v>
      </c>
      <c r="G147" t="s">
        <v>153</v>
      </c>
      <c r="H147" s="40" t="s">
        <v>153</v>
      </c>
      <c r="I147">
        <v>0</v>
      </c>
      <c r="J147" s="40">
        <v>0</v>
      </c>
      <c r="K147" s="47">
        <v>0</v>
      </c>
      <c r="L147" s="42" t="s">
        <v>153</v>
      </c>
    </row>
    <row r="148" spans="1:12" hidden="1" x14ac:dyDescent="0.3">
      <c r="A148" s="47">
        <f>K148</f>
        <v>0</v>
      </c>
      <c r="B148" s="40" t="s">
        <v>153</v>
      </c>
      <c r="C148" s="71" t="s">
        <v>153</v>
      </c>
      <c r="D148" s="40" t="s">
        <v>153</v>
      </c>
      <c r="E148" t="s">
        <v>153</v>
      </c>
      <c r="F148" t="s">
        <v>153</v>
      </c>
      <c r="G148" t="s">
        <v>153</v>
      </c>
      <c r="H148" s="40" t="s">
        <v>153</v>
      </c>
      <c r="I148">
        <v>0</v>
      </c>
      <c r="J148" s="40">
        <v>0</v>
      </c>
      <c r="K148" s="47">
        <v>0</v>
      </c>
      <c r="L148" s="42" t="s">
        <v>153</v>
      </c>
    </row>
    <row r="149" spans="1:12" hidden="1" x14ac:dyDescent="0.3">
      <c r="A149" s="47">
        <f>K149</f>
        <v>0</v>
      </c>
      <c r="B149" s="40" t="s">
        <v>153</v>
      </c>
      <c r="C149" s="71" t="s">
        <v>153</v>
      </c>
      <c r="D149" s="40" t="s">
        <v>153</v>
      </c>
      <c r="E149" t="s">
        <v>153</v>
      </c>
      <c r="F149" t="s">
        <v>153</v>
      </c>
      <c r="G149" t="s">
        <v>153</v>
      </c>
      <c r="H149" s="40" t="s">
        <v>153</v>
      </c>
      <c r="I149">
        <v>0</v>
      </c>
      <c r="J149" s="40">
        <v>0</v>
      </c>
      <c r="K149" s="47">
        <v>0</v>
      </c>
      <c r="L149" s="42" t="s">
        <v>153</v>
      </c>
    </row>
    <row r="150" spans="1:12" hidden="1" x14ac:dyDescent="0.3">
      <c r="A150" s="47">
        <f>K150</f>
        <v>0</v>
      </c>
      <c r="B150" s="40" t="s">
        <v>153</v>
      </c>
      <c r="C150" s="71" t="s">
        <v>153</v>
      </c>
      <c r="D150" s="40" t="s">
        <v>153</v>
      </c>
      <c r="E150" t="s">
        <v>153</v>
      </c>
      <c r="F150" t="s">
        <v>153</v>
      </c>
      <c r="G150" t="s">
        <v>153</v>
      </c>
      <c r="H150" s="40" t="s">
        <v>153</v>
      </c>
      <c r="I150">
        <v>0</v>
      </c>
      <c r="J150" s="40">
        <v>0</v>
      </c>
      <c r="K150" s="47">
        <v>0</v>
      </c>
      <c r="L150" s="42" t="s">
        <v>153</v>
      </c>
    </row>
    <row r="151" spans="1:12" hidden="1" x14ac:dyDescent="0.3">
      <c r="A151" s="47">
        <f>K151</f>
        <v>0</v>
      </c>
      <c r="B151" s="40" t="s">
        <v>153</v>
      </c>
      <c r="C151" s="71" t="s">
        <v>153</v>
      </c>
      <c r="D151" s="40" t="s">
        <v>153</v>
      </c>
      <c r="E151" t="s">
        <v>153</v>
      </c>
      <c r="F151" t="s">
        <v>153</v>
      </c>
      <c r="G151" t="s">
        <v>153</v>
      </c>
      <c r="H151" s="40" t="s">
        <v>153</v>
      </c>
      <c r="I151">
        <v>0</v>
      </c>
      <c r="J151" s="40">
        <v>0</v>
      </c>
      <c r="K151" s="47">
        <v>0</v>
      </c>
      <c r="L151" s="42" t="s">
        <v>153</v>
      </c>
    </row>
    <row r="152" spans="1:12" hidden="1" x14ac:dyDescent="0.3">
      <c r="A152" s="47">
        <f>K152</f>
        <v>0</v>
      </c>
      <c r="B152" s="40" t="s">
        <v>153</v>
      </c>
      <c r="C152" s="71" t="s">
        <v>153</v>
      </c>
      <c r="D152" s="40" t="s">
        <v>153</v>
      </c>
      <c r="E152" t="s">
        <v>153</v>
      </c>
      <c r="F152" t="s">
        <v>153</v>
      </c>
      <c r="G152" t="s">
        <v>153</v>
      </c>
      <c r="H152" s="40" t="s">
        <v>153</v>
      </c>
      <c r="I152">
        <v>0</v>
      </c>
      <c r="J152" s="40">
        <v>0</v>
      </c>
      <c r="K152" s="47">
        <v>0</v>
      </c>
      <c r="L152" s="42" t="s">
        <v>153</v>
      </c>
    </row>
    <row r="153" spans="1:12" hidden="1" x14ac:dyDescent="0.3">
      <c r="A153" s="47">
        <f>K153</f>
        <v>0</v>
      </c>
      <c r="B153" s="40" t="s">
        <v>153</v>
      </c>
      <c r="C153" s="71" t="s">
        <v>153</v>
      </c>
      <c r="D153" s="40" t="s">
        <v>153</v>
      </c>
      <c r="E153" t="s">
        <v>153</v>
      </c>
      <c r="F153" t="s">
        <v>153</v>
      </c>
      <c r="G153" t="s">
        <v>153</v>
      </c>
      <c r="H153" s="40" t="s">
        <v>153</v>
      </c>
      <c r="I153">
        <v>0</v>
      </c>
      <c r="J153" s="40">
        <v>0</v>
      </c>
      <c r="K153" s="47">
        <v>0</v>
      </c>
      <c r="L153" s="42" t="s">
        <v>153</v>
      </c>
    </row>
    <row r="154" spans="1:12" hidden="1" x14ac:dyDescent="0.3">
      <c r="A154" s="47">
        <f>K154</f>
        <v>0</v>
      </c>
      <c r="B154" s="40" t="s">
        <v>153</v>
      </c>
      <c r="C154" s="71" t="s">
        <v>153</v>
      </c>
      <c r="D154" s="40" t="s">
        <v>153</v>
      </c>
      <c r="E154" t="s">
        <v>153</v>
      </c>
      <c r="F154" t="s">
        <v>153</v>
      </c>
      <c r="G154" t="s">
        <v>153</v>
      </c>
      <c r="H154" s="40" t="s">
        <v>153</v>
      </c>
      <c r="I154">
        <v>0</v>
      </c>
      <c r="J154" s="40">
        <v>0</v>
      </c>
      <c r="K154" s="47">
        <v>0</v>
      </c>
      <c r="L154" s="42" t="s">
        <v>153</v>
      </c>
    </row>
    <row r="155" spans="1:12" hidden="1" x14ac:dyDescent="0.3">
      <c r="A155" s="47">
        <f t="shared" ref="A107:A170" si="1">K155</f>
        <v>0</v>
      </c>
      <c r="B155" s="40" t="s">
        <v>153</v>
      </c>
      <c r="C155" s="71" t="s">
        <v>153</v>
      </c>
      <c r="D155" s="40" t="s">
        <v>153</v>
      </c>
      <c r="E155" t="s">
        <v>153</v>
      </c>
      <c r="F155" t="s">
        <v>153</v>
      </c>
      <c r="G155" t="s">
        <v>153</v>
      </c>
      <c r="H155" s="40" t="s">
        <v>153</v>
      </c>
      <c r="I155">
        <v>0</v>
      </c>
      <c r="J155" s="40">
        <v>0</v>
      </c>
      <c r="K155" s="47">
        <v>0</v>
      </c>
      <c r="L155" s="42" t="s">
        <v>153</v>
      </c>
    </row>
    <row r="156" spans="1:12" hidden="1" x14ac:dyDescent="0.3">
      <c r="A156" s="47">
        <f t="shared" si="1"/>
        <v>0</v>
      </c>
      <c r="B156" s="40" t="s">
        <v>153</v>
      </c>
      <c r="C156" s="71" t="s">
        <v>153</v>
      </c>
      <c r="D156" s="40" t="s">
        <v>153</v>
      </c>
      <c r="E156" t="s">
        <v>153</v>
      </c>
      <c r="F156" t="s">
        <v>153</v>
      </c>
      <c r="G156" t="s">
        <v>153</v>
      </c>
      <c r="H156" s="40" t="s">
        <v>153</v>
      </c>
      <c r="I156">
        <v>0</v>
      </c>
      <c r="J156" s="40">
        <v>0</v>
      </c>
      <c r="K156" s="47">
        <v>0</v>
      </c>
      <c r="L156" s="42" t="s">
        <v>153</v>
      </c>
    </row>
    <row r="157" spans="1:12" hidden="1" x14ac:dyDescent="0.3">
      <c r="A157" s="47">
        <f t="shared" si="1"/>
        <v>0</v>
      </c>
      <c r="B157" s="40" t="s">
        <v>153</v>
      </c>
      <c r="C157" s="71" t="s">
        <v>153</v>
      </c>
      <c r="D157" s="40" t="s">
        <v>153</v>
      </c>
      <c r="E157" t="s">
        <v>153</v>
      </c>
      <c r="F157" t="s">
        <v>153</v>
      </c>
      <c r="G157" t="s">
        <v>153</v>
      </c>
      <c r="H157" s="40" t="s">
        <v>153</v>
      </c>
      <c r="I157">
        <v>0</v>
      </c>
      <c r="J157" s="40">
        <v>0</v>
      </c>
      <c r="K157" s="47">
        <v>0</v>
      </c>
      <c r="L157" s="42" t="s">
        <v>153</v>
      </c>
    </row>
    <row r="158" spans="1:12" hidden="1" x14ac:dyDescent="0.3">
      <c r="A158" s="47">
        <f t="shared" si="1"/>
        <v>0</v>
      </c>
      <c r="B158" s="40" t="s">
        <v>153</v>
      </c>
      <c r="C158" s="71" t="s">
        <v>153</v>
      </c>
      <c r="D158" s="40" t="s">
        <v>153</v>
      </c>
      <c r="E158" t="s">
        <v>153</v>
      </c>
      <c r="F158" t="s">
        <v>153</v>
      </c>
      <c r="G158" t="s">
        <v>153</v>
      </c>
      <c r="H158" s="40" t="s">
        <v>153</v>
      </c>
      <c r="I158">
        <v>0</v>
      </c>
      <c r="J158" s="40">
        <v>0</v>
      </c>
      <c r="K158" s="47">
        <v>0</v>
      </c>
      <c r="L158" s="42" t="s">
        <v>153</v>
      </c>
    </row>
    <row r="159" spans="1:12" hidden="1" x14ac:dyDescent="0.3">
      <c r="A159" s="47">
        <f t="shared" si="1"/>
        <v>0</v>
      </c>
      <c r="B159" s="40" t="s">
        <v>153</v>
      </c>
      <c r="C159" s="71" t="s">
        <v>153</v>
      </c>
      <c r="D159" s="40" t="s">
        <v>153</v>
      </c>
      <c r="E159" t="s">
        <v>153</v>
      </c>
      <c r="F159" t="s">
        <v>153</v>
      </c>
      <c r="G159" t="s">
        <v>153</v>
      </c>
      <c r="H159" s="40" t="s">
        <v>153</v>
      </c>
      <c r="I159">
        <v>0</v>
      </c>
      <c r="J159" s="40">
        <v>0</v>
      </c>
      <c r="K159" s="47">
        <v>0</v>
      </c>
      <c r="L159" s="42" t="s">
        <v>153</v>
      </c>
    </row>
    <row r="160" spans="1:12" hidden="1" x14ac:dyDescent="0.3">
      <c r="A160" s="47">
        <f t="shared" si="1"/>
        <v>0</v>
      </c>
      <c r="B160" s="40" t="s">
        <v>153</v>
      </c>
      <c r="C160" s="71" t="s">
        <v>153</v>
      </c>
      <c r="D160" s="40" t="s">
        <v>153</v>
      </c>
      <c r="E160" t="s">
        <v>153</v>
      </c>
      <c r="F160" t="s">
        <v>153</v>
      </c>
      <c r="G160" t="s">
        <v>153</v>
      </c>
      <c r="H160" s="40" t="s">
        <v>153</v>
      </c>
      <c r="I160">
        <v>0</v>
      </c>
      <c r="J160" s="40">
        <v>0</v>
      </c>
      <c r="K160" s="47">
        <v>0</v>
      </c>
      <c r="L160" s="42" t="s">
        <v>153</v>
      </c>
    </row>
    <row r="161" spans="1:12" hidden="1" x14ac:dyDescent="0.3">
      <c r="A161" s="47">
        <f t="shared" si="1"/>
        <v>0</v>
      </c>
      <c r="B161" s="40" t="s">
        <v>153</v>
      </c>
      <c r="C161" s="71" t="s">
        <v>153</v>
      </c>
      <c r="D161" s="40" t="s">
        <v>153</v>
      </c>
      <c r="E161" t="s">
        <v>153</v>
      </c>
      <c r="F161" t="s">
        <v>153</v>
      </c>
      <c r="G161" t="s">
        <v>153</v>
      </c>
      <c r="H161" s="40" t="s">
        <v>153</v>
      </c>
      <c r="I161">
        <v>0</v>
      </c>
      <c r="J161" s="40">
        <v>0</v>
      </c>
      <c r="K161" s="47">
        <v>0</v>
      </c>
      <c r="L161" s="42" t="s">
        <v>153</v>
      </c>
    </row>
    <row r="162" spans="1:12" hidden="1" x14ac:dyDescent="0.3">
      <c r="A162" s="47">
        <f t="shared" si="1"/>
        <v>0</v>
      </c>
      <c r="B162" s="40" t="s">
        <v>153</v>
      </c>
      <c r="C162" s="71" t="s">
        <v>153</v>
      </c>
      <c r="D162" s="40" t="s">
        <v>153</v>
      </c>
      <c r="E162" t="s">
        <v>153</v>
      </c>
      <c r="F162" t="s">
        <v>153</v>
      </c>
      <c r="G162" t="s">
        <v>153</v>
      </c>
      <c r="H162" s="40" t="s">
        <v>153</v>
      </c>
      <c r="I162">
        <v>0</v>
      </c>
      <c r="J162" s="40">
        <v>0</v>
      </c>
      <c r="K162" s="47">
        <v>0</v>
      </c>
      <c r="L162" s="42" t="s">
        <v>153</v>
      </c>
    </row>
    <row r="163" spans="1:12" hidden="1" x14ac:dyDescent="0.3">
      <c r="A163" s="47">
        <f t="shared" si="1"/>
        <v>0</v>
      </c>
      <c r="B163" s="40" t="s">
        <v>153</v>
      </c>
      <c r="C163" s="71" t="s">
        <v>153</v>
      </c>
      <c r="D163" s="40" t="s">
        <v>153</v>
      </c>
      <c r="E163" t="s">
        <v>153</v>
      </c>
      <c r="F163" t="s">
        <v>153</v>
      </c>
      <c r="G163" t="s">
        <v>153</v>
      </c>
      <c r="H163" s="40" t="s">
        <v>153</v>
      </c>
      <c r="I163">
        <v>0</v>
      </c>
      <c r="J163" s="40">
        <v>0</v>
      </c>
      <c r="K163" s="47">
        <v>0</v>
      </c>
      <c r="L163" s="42" t="s">
        <v>153</v>
      </c>
    </row>
    <row r="164" spans="1:12" hidden="1" x14ac:dyDescent="0.3">
      <c r="A164" s="47">
        <f t="shared" si="1"/>
        <v>0</v>
      </c>
      <c r="B164" s="40" t="s">
        <v>153</v>
      </c>
      <c r="C164" s="71" t="s">
        <v>153</v>
      </c>
      <c r="D164" s="40" t="s">
        <v>153</v>
      </c>
      <c r="E164" t="s">
        <v>153</v>
      </c>
      <c r="F164" t="s">
        <v>153</v>
      </c>
      <c r="G164" t="s">
        <v>153</v>
      </c>
      <c r="H164" s="40" t="s">
        <v>153</v>
      </c>
      <c r="I164">
        <v>0</v>
      </c>
      <c r="J164" s="40">
        <v>0</v>
      </c>
      <c r="K164" s="47">
        <v>0</v>
      </c>
      <c r="L164" s="42" t="s">
        <v>153</v>
      </c>
    </row>
    <row r="165" spans="1:12" hidden="1" x14ac:dyDescent="0.3">
      <c r="A165" s="47">
        <f t="shared" si="1"/>
        <v>0</v>
      </c>
      <c r="B165" s="40" t="s">
        <v>153</v>
      </c>
      <c r="C165" s="71" t="s">
        <v>153</v>
      </c>
      <c r="D165" s="40" t="s">
        <v>153</v>
      </c>
      <c r="E165" t="s">
        <v>153</v>
      </c>
      <c r="F165" t="s">
        <v>153</v>
      </c>
      <c r="G165" t="s">
        <v>153</v>
      </c>
      <c r="H165" s="40" t="s">
        <v>153</v>
      </c>
      <c r="I165">
        <v>0</v>
      </c>
      <c r="J165" s="40">
        <v>0</v>
      </c>
      <c r="K165" s="47">
        <v>0</v>
      </c>
      <c r="L165" s="42" t="s">
        <v>153</v>
      </c>
    </row>
    <row r="166" spans="1:12" hidden="1" x14ac:dyDescent="0.3">
      <c r="A166" s="47">
        <f t="shared" si="1"/>
        <v>0</v>
      </c>
      <c r="B166" s="40" t="s">
        <v>153</v>
      </c>
      <c r="C166" s="71" t="s">
        <v>153</v>
      </c>
      <c r="D166" s="40" t="s">
        <v>153</v>
      </c>
      <c r="E166" t="s">
        <v>153</v>
      </c>
      <c r="F166" t="s">
        <v>153</v>
      </c>
      <c r="G166" t="s">
        <v>153</v>
      </c>
      <c r="H166" s="40" t="s">
        <v>153</v>
      </c>
      <c r="I166">
        <v>0</v>
      </c>
      <c r="J166" s="40">
        <v>0</v>
      </c>
      <c r="K166" s="47">
        <v>0</v>
      </c>
      <c r="L166" s="42" t="s">
        <v>153</v>
      </c>
    </row>
    <row r="167" spans="1:12" hidden="1" x14ac:dyDescent="0.3">
      <c r="A167" s="47">
        <f t="shared" si="1"/>
        <v>0</v>
      </c>
      <c r="B167" s="40" t="s">
        <v>153</v>
      </c>
      <c r="C167" s="71" t="s">
        <v>153</v>
      </c>
      <c r="D167" s="40" t="s">
        <v>153</v>
      </c>
      <c r="E167" t="s">
        <v>153</v>
      </c>
      <c r="F167" t="s">
        <v>153</v>
      </c>
      <c r="G167" t="s">
        <v>153</v>
      </c>
      <c r="H167" s="40" t="s">
        <v>153</v>
      </c>
      <c r="I167">
        <v>0</v>
      </c>
      <c r="J167" s="40">
        <v>0</v>
      </c>
      <c r="K167" s="47">
        <v>0</v>
      </c>
      <c r="L167" s="42" t="s">
        <v>153</v>
      </c>
    </row>
    <row r="168" spans="1:12" hidden="1" x14ac:dyDescent="0.3">
      <c r="A168" s="47">
        <f t="shared" si="1"/>
        <v>0</v>
      </c>
      <c r="B168" s="40" t="s">
        <v>153</v>
      </c>
      <c r="C168" s="71" t="s">
        <v>153</v>
      </c>
      <c r="D168" s="40" t="s">
        <v>153</v>
      </c>
      <c r="E168" t="s">
        <v>153</v>
      </c>
      <c r="F168" t="s">
        <v>153</v>
      </c>
      <c r="G168" t="s">
        <v>153</v>
      </c>
      <c r="H168" s="40" t="s">
        <v>153</v>
      </c>
      <c r="I168">
        <v>0</v>
      </c>
      <c r="J168" s="40">
        <v>0</v>
      </c>
      <c r="K168" s="47">
        <v>0</v>
      </c>
      <c r="L168" s="42" t="s">
        <v>153</v>
      </c>
    </row>
    <row r="169" spans="1:12" hidden="1" x14ac:dyDescent="0.3">
      <c r="A169" s="47">
        <f t="shared" si="1"/>
        <v>0</v>
      </c>
      <c r="B169" s="40" t="s">
        <v>153</v>
      </c>
      <c r="C169" s="71" t="s">
        <v>153</v>
      </c>
      <c r="D169" s="40" t="s">
        <v>153</v>
      </c>
      <c r="E169" t="s">
        <v>153</v>
      </c>
      <c r="F169" t="s">
        <v>153</v>
      </c>
      <c r="G169" t="s">
        <v>153</v>
      </c>
      <c r="H169" s="40" t="s">
        <v>153</v>
      </c>
      <c r="I169">
        <v>0</v>
      </c>
      <c r="J169" s="40">
        <v>0</v>
      </c>
      <c r="K169" s="47">
        <v>0</v>
      </c>
      <c r="L169" s="42" t="s">
        <v>153</v>
      </c>
    </row>
    <row r="170" spans="1:12" hidden="1" x14ac:dyDescent="0.3">
      <c r="A170" s="47">
        <f t="shared" si="1"/>
        <v>0</v>
      </c>
      <c r="B170" s="40" t="s">
        <v>153</v>
      </c>
      <c r="C170" s="71" t="s">
        <v>153</v>
      </c>
      <c r="D170" s="40" t="s">
        <v>153</v>
      </c>
      <c r="E170" t="s">
        <v>153</v>
      </c>
      <c r="F170" t="s">
        <v>153</v>
      </c>
      <c r="G170" t="s">
        <v>153</v>
      </c>
      <c r="H170" s="40" t="s">
        <v>153</v>
      </c>
      <c r="I170">
        <v>0</v>
      </c>
      <c r="J170" s="40">
        <v>0</v>
      </c>
      <c r="K170" s="47">
        <v>0</v>
      </c>
      <c r="L170" s="42" t="s">
        <v>153</v>
      </c>
    </row>
    <row r="171" spans="1:12" hidden="1" x14ac:dyDescent="0.3">
      <c r="A171" s="47">
        <f t="shared" ref="A171:A234" si="2">K171</f>
        <v>0</v>
      </c>
      <c r="B171" s="40" t="s">
        <v>153</v>
      </c>
      <c r="C171" s="71" t="s">
        <v>153</v>
      </c>
      <c r="D171" s="40" t="s">
        <v>153</v>
      </c>
      <c r="E171" t="s">
        <v>153</v>
      </c>
      <c r="F171" t="s">
        <v>153</v>
      </c>
      <c r="G171" t="s">
        <v>153</v>
      </c>
      <c r="H171" s="40" t="s">
        <v>153</v>
      </c>
      <c r="I171">
        <v>0</v>
      </c>
      <c r="J171" s="40">
        <v>0</v>
      </c>
      <c r="K171" s="47">
        <v>0</v>
      </c>
      <c r="L171" s="42" t="s">
        <v>153</v>
      </c>
    </row>
    <row r="172" spans="1:12" hidden="1" x14ac:dyDescent="0.3">
      <c r="A172" s="47">
        <f t="shared" si="2"/>
        <v>0</v>
      </c>
      <c r="B172" s="40" t="s">
        <v>153</v>
      </c>
      <c r="C172" s="71" t="s">
        <v>153</v>
      </c>
      <c r="D172" s="40" t="s">
        <v>153</v>
      </c>
      <c r="E172" t="s">
        <v>153</v>
      </c>
      <c r="F172" t="s">
        <v>153</v>
      </c>
      <c r="G172" t="s">
        <v>153</v>
      </c>
      <c r="H172" s="40" t="s">
        <v>153</v>
      </c>
      <c r="I172">
        <v>0</v>
      </c>
      <c r="J172" s="40">
        <v>0</v>
      </c>
      <c r="K172" s="47">
        <v>0</v>
      </c>
      <c r="L172" s="42" t="s">
        <v>153</v>
      </c>
    </row>
    <row r="173" spans="1:12" hidden="1" x14ac:dyDescent="0.3">
      <c r="A173" s="47">
        <f t="shared" si="2"/>
        <v>0</v>
      </c>
      <c r="B173" s="40" t="s">
        <v>153</v>
      </c>
      <c r="C173" s="71" t="s">
        <v>153</v>
      </c>
      <c r="D173" s="40" t="s">
        <v>153</v>
      </c>
      <c r="E173" t="s">
        <v>153</v>
      </c>
      <c r="F173" t="s">
        <v>153</v>
      </c>
      <c r="G173" t="s">
        <v>153</v>
      </c>
      <c r="H173" s="40" t="s">
        <v>153</v>
      </c>
      <c r="I173">
        <v>0</v>
      </c>
      <c r="J173" s="40">
        <v>0</v>
      </c>
      <c r="K173" s="47">
        <v>0</v>
      </c>
      <c r="L173" s="42" t="s">
        <v>153</v>
      </c>
    </row>
    <row r="174" spans="1:12" hidden="1" x14ac:dyDescent="0.3">
      <c r="A174" s="47">
        <f t="shared" si="2"/>
        <v>0</v>
      </c>
      <c r="B174" s="40" t="s">
        <v>153</v>
      </c>
      <c r="C174" s="71" t="s">
        <v>153</v>
      </c>
      <c r="D174" s="40" t="s">
        <v>153</v>
      </c>
      <c r="E174" t="s">
        <v>153</v>
      </c>
      <c r="F174" t="s">
        <v>153</v>
      </c>
      <c r="G174" t="s">
        <v>153</v>
      </c>
      <c r="H174" s="40" t="s">
        <v>153</v>
      </c>
      <c r="I174">
        <v>0</v>
      </c>
      <c r="J174" s="40">
        <v>0</v>
      </c>
      <c r="K174" s="47">
        <v>0</v>
      </c>
      <c r="L174" s="42" t="s">
        <v>153</v>
      </c>
    </row>
    <row r="175" spans="1:12" hidden="1" x14ac:dyDescent="0.3">
      <c r="A175" s="47">
        <f t="shared" si="2"/>
        <v>0</v>
      </c>
      <c r="B175" s="40" t="s">
        <v>153</v>
      </c>
      <c r="C175" s="71" t="s">
        <v>153</v>
      </c>
      <c r="D175" s="40" t="s">
        <v>153</v>
      </c>
      <c r="E175" t="s">
        <v>153</v>
      </c>
      <c r="F175" t="s">
        <v>153</v>
      </c>
      <c r="G175" t="s">
        <v>153</v>
      </c>
      <c r="H175" s="40" t="s">
        <v>153</v>
      </c>
      <c r="I175">
        <v>0</v>
      </c>
      <c r="J175" s="40">
        <v>0</v>
      </c>
      <c r="K175" s="47">
        <v>0</v>
      </c>
      <c r="L175" s="42" t="s">
        <v>153</v>
      </c>
    </row>
    <row r="176" spans="1:12" hidden="1" x14ac:dyDescent="0.3">
      <c r="A176" s="47">
        <f t="shared" si="2"/>
        <v>0</v>
      </c>
      <c r="B176" s="40" t="s">
        <v>153</v>
      </c>
      <c r="C176" s="71" t="s">
        <v>153</v>
      </c>
      <c r="D176" s="40" t="s">
        <v>153</v>
      </c>
      <c r="E176" t="s">
        <v>153</v>
      </c>
      <c r="F176" t="s">
        <v>153</v>
      </c>
      <c r="G176" t="s">
        <v>153</v>
      </c>
      <c r="H176" s="40" t="s">
        <v>153</v>
      </c>
      <c r="I176">
        <v>0</v>
      </c>
      <c r="J176" s="40">
        <v>0</v>
      </c>
      <c r="K176" s="47">
        <v>0</v>
      </c>
      <c r="L176" s="42" t="s">
        <v>153</v>
      </c>
    </row>
    <row r="177" spans="1:12" hidden="1" x14ac:dyDescent="0.3">
      <c r="A177" s="47">
        <f t="shared" si="2"/>
        <v>0</v>
      </c>
      <c r="B177" s="40" t="s">
        <v>153</v>
      </c>
      <c r="C177" s="71" t="s">
        <v>153</v>
      </c>
      <c r="D177" s="40" t="s">
        <v>153</v>
      </c>
      <c r="E177" t="s">
        <v>153</v>
      </c>
      <c r="F177" t="s">
        <v>153</v>
      </c>
      <c r="G177" t="s">
        <v>153</v>
      </c>
      <c r="H177" s="40" t="s">
        <v>153</v>
      </c>
      <c r="I177">
        <v>0</v>
      </c>
      <c r="J177" s="40">
        <v>0</v>
      </c>
      <c r="K177" s="47">
        <v>0</v>
      </c>
      <c r="L177" s="42" t="s">
        <v>153</v>
      </c>
    </row>
    <row r="178" spans="1:12" hidden="1" x14ac:dyDescent="0.3">
      <c r="A178" s="47">
        <f t="shared" si="2"/>
        <v>0</v>
      </c>
      <c r="B178" s="40" t="s">
        <v>153</v>
      </c>
      <c r="C178" s="71" t="s">
        <v>153</v>
      </c>
      <c r="D178" s="40" t="s">
        <v>153</v>
      </c>
      <c r="E178" t="s">
        <v>153</v>
      </c>
      <c r="F178" t="s">
        <v>153</v>
      </c>
      <c r="G178" t="s">
        <v>153</v>
      </c>
      <c r="H178" s="40" t="s">
        <v>153</v>
      </c>
      <c r="I178">
        <v>0</v>
      </c>
      <c r="J178" s="40">
        <v>0</v>
      </c>
      <c r="K178" s="47">
        <v>0</v>
      </c>
      <c r="L178" s="42" t="s">
        <v>153</v>
      </c>
    </row>
    <row r="179" spans="1:12" hidden="1" x14ac:dyDescent="0.3">
      <c r="A179" s="47">
        <f t="shared" si="2"/>
        <v>0</v>
      </c>
      <c r="B179" s="40" t="s">
        <v>153</v>
      </c>
      <c r="C179" s="71" t="s">
        <v>153</v>
      </c>
      <c r="D179" s="40" t="s">
        <v>153</v>
      </c>
      <c r="E179" t="s">
        <v>153</v>
      </c>
      <c r="F179" t="s">
        <v>153</v>
      </c>
      <c r="G179" t="s">
        <v>153</v>
      </c>
      <c r="H179" s="40" t="s">
        <v>153</v>
      </c>
      <c r="I179">
        <v>0</v>
      </c>
      <c r="J179" s="40">
        <v>0</v>
      </c>
      <c r="K179" s="47">
        <v>0</v>
      </c>
      <c r="L179" s="42" t="s">
        <v>153</v>
      </c>
    </row>
    <row r="180" spans="1:12" hidden="1" x14ac:dyDescent="0.3">
      <c r="A180" s="47">
        <f t="shared" si="2"/>
        <v>0</v>
      </c>
      <c r="B180" s="40" t="s">
        <v>153</v>
      </c>
      <c r="C180" s="71" t="s">
        <v>153</v>
      </c>
      <c r="D180" s="40" t="s">
        <v>153</v>
      </c>
      <c r="E180" t="s">
        <v>153</v>
      </c>
      <c r="F180" t="s">
        <v>153</v>
      </c>
      <c r="G180" t="s">
        <v>153</v>
      </c>
      <c r="H180" s="40" t="s">
        <v>153</v>
      </c>
      <c r="I180">
        <v>0</v>
      </c>
      <c r="J180" s="40">
        <v>0</v>
      </c>
      <c r="K180" s="47">
        <v>0</v>
      </c>
      <c r="L180" s="42" t="s">
        <v>153</v>
      </c>
    </row>
    <row r="181" spans="1:12" hidden="1" x14ac:dyDescent="0.3">
      <c r="A181" s="47">
        <f t="shared" si="2"/>
        <v>0</v>
      </c>
      <c r="B181" s="40" t="s">
        <v>153</v>
      </c>
      <c r="C181" s="71" t="s">
        <v>153</v>
      </c>
      <c r="D181" s="40" t="s">
        <v>153</v>
      </c>
      <c r="E181" t="s">
        <v>153</v>
      </c>
      <c r="F181" t="s">
        <v>153</v>
      </c>
      <c r="G181" t="s">
        <v>153</v>
      </c>
      <c r="H181" s="40" t="s">
        <v>153</v>
      </c>
      <c r="I181">
        <v>0</v>
      </c>
      <c r="J181" s="40">
        <v>0</v>
      </c>
      <c r="K181" s="47">
        <v>0</v>
      </c>
      <c r="L181" s="42" t="s">
        <v>153</v>
      </c>
    </row>
    <row r="182" spans="1:12" hidden="1" x14ac:dyDescent="0.3">
      <c r="A182" s="47">
        <f t="shared" si="2"/>
        <v>0</v>
      </c>
      <c r="B182" s="40" t="s">
        <v>153</v>
      </c>
      <c r="C182" s="71" t="s">
        <v>153</v>
      </c>
      <c r="D182" s="40" t="s">
        <v>153</v>
      </c>
      <c r="E182" t="s">
        <v>153</v>
      </c>
      <c r="F182" t="s">
        <v>153</v>
      </c>
      <c r="G182" t="s">
        <v>153</v>
      </c>
      <c r="H182" s="40" t="s">
        <v>153</v>
      </c>
      <c r="I182">
        <v>0</v>
      </c>
      <c r="J182" s="40">
        <v>0</v>
      </c>
      <c r="K182" s="47">
        <v>0</v>
      </c>
      <c r="L182" s="42" t="s">
        <v>153</v>
      </c>
    </row>
    <row r="183" spans="1:12" hidden="1" x14ac:dyDescent="0.3">
      <c r="A183" s="47">
        <f t="shared" si="2"/>
        <v>0</v>
      </c>
      <c r="B183" s="40" t="s">
        <v>153</v>
      </c>
      <c r="C183" s="71" t="s">
        <v>153</v>
      </c>
      <c r="D183" s="40" t="s">
        <v>153</v>
      </c>
      <c r="E183" t="s">
        <v>153</v>
      </c>
      <c r="F183" t="s">
        <v>153</v>
      </c>
      <c r="G183" t="s">
        <v>153</v>
      </c>
      <c r="H183" s="40" t="s">
        <v>153</v>
      </c>
      <c r="I183">
        <v>0</v>
      </c>
      <c r="J183" s="40">
        <v>0</v>
      </c>
      <c r="K183" s="47">
        <v>0</v>
      </c>
      <c r="L183" s="42" t="s">
        <v>153</v>
      </c>
    </row>
    <row r="184" spans="1:12" hidden="1" x14ac:dyDescent="0.3">
      <c r="A184" s="47">
        <f t="shared" si="2"/>
        <v>0</v>
      </c>
      <c r="B184" s="40" t="s">
        <v>153</v>
      </c>
      <c r="C184" s="71" t="s">
        <v>153</v>
      </c>
      <c r="D184" s="40" t="s">
        <v>153</v>
      </c>
      <c r="E184" t="s">
        <v>153</v>
      </c>
      <c r="F184" t="s">
        <v>153</v>
      </c>
      <c r="G184" t="s">
        <v>153</v>
      </c>
      <c r="H184" s="40" t="s">
        <v>153</v>
      </c>
      <c r="I184">
        <v>0</v>
      </c>
      <c r="J184" s="40">
        <v>0</v>
      </c>
      <c r="K184" s="47">
        <v>0</v>
      </c>
      <c r="L184" s="42" t="s">
        <v>153</v>
      </c>
    </row>
    <row r="185" spans="1:12" hidden="1" x14ac:dyDescent="0.3">
      <c r="A185" s="47">
        <f t="shared" si="2"/>
        <v>0</v>
      </c>
      <c r="B185" s="40" t="s">
        <v>153</v>
      </c>
      <c r="C185" s="71" t="s">
        <v>153</v>
      </c>
      <c r="D185" s="40" t="s">
        <v>153</v>
      </c>
      <c r="E185" t="s">
        <v>153</v>
      </c>
      <c r="F185" t="s">
        <v>153</v>
      </c>
      <c r="G185" t="s">
        <v>153</v>
      </c>
      <c r="H185" s="40" t="s">
        <v>153</v>
      </c>
      <c r="I185">
        <v>0</v>
      </c>
      <c r="J185" s="40">
        <v>0</v>
      </c>
      <c r="K185" s="47">
        <v>0</v>
      </c>
      <c r="L185" s="42" t="s">
        <v>153</v>
      </c>
    </row>
    <row r="186" spans="1:12" hidden="1" x14ac:dyDescent="0.3">
      <c r="A186" s="47">
        <f t="shared" si="2"/>
        <v>0</v>
      </c>
      <c r="B186" s="40" t="s">
        <v>153</v>
      </c>
      <c r="C186" s="71" t="s">
        <v>153</v>
      </c>
      <c r="D186" s="40" t="s">
        <v>153</v>
      </c>
      <c r="E186" t="s">
        <v>153</v>
      </c>
      <c r="F186" t="s">
        <v>153</v>
      </c>
      <c r="G186" t="s">
        <v>153</v>
      </c>
      <c r="H186" s="40" t="s">
        <v>153</v>
      </c>
      <c r="I186">
        <v>0</v>
      </c>
      <c r="J186" s="40">
        <v>0</v>
      </c>
      <c r="K186" s="47">
        <v>0</v>
      </c>
      <c r="L186" s="42" t="s">
        <v>153</v>
      </c>
    </row>
    <row r="187" spans="1:12" hidden="1" x14ac:dyDescent="0.3">
      <c r="A187" s="47">
        <f t="shared" si="2"/>
        <v>0</v>
      </c>
      <c r="B187" s="40" t="s">
        <v>153</v>
      </c>
      <c r="C187" s="71" t="s">
        <v>153</v>
      </c>
      <c r="D187" s="40" t="s">
        <v>153</v>
      </c>
      <c r="E187" t="s">
        <v>153</v>
      </c>
      <c r="F187" t="s">
        <v>153</v>
      </c>
      <c r="G187" t="s">
        <v>153</v>
      </c>
      <c r="H187" s="40" t="s">
        <v>153</v>
      </c>
      <c r="I187">
        <v>0</v>
      </c>
      <c r="J187" s="40">
        <v>0</v>
      </c>
      <c r="K187" s="47">
        <v>0</v>
      </c>
      <c r="L187" s="42" t="s">
        <v>153</v>
      </c>
    </row>
    <row r="188" spans="1:12" hidden="1" x14ac:dyDescent="0.3">
      <c r="A188" s="47">
        <f t="shared" si="2"/>
        <v>0</v>
      </c>
      <c r="B188" s="40" t="s">
        <v>153</v>
      </c>
      <c r="C188" s="71" t="s">
        <v>153</v>
      </c>
      <c r="D188" s="40" t="s">
        <v>153</v>
      </c>
      <c r="E188" t="s">
        <v>153</v>
      </c>
      <c r="F188" t="s">
        <v>153</v>
      </c>
      <c r="G188" t="s">
        <v>153</v>
      </c>
      <c r="H188" s="40" t="s">
        <v>153</v>
      </c>
      <c r="I188">
        <v>0</v>
      </c>
      <c r="J188" s="40">
        <v>0</v>
      </c>
      <c r="K188" s="47">
        <v>0</v>
      </c>
      <c r="L188" s="42" t="s">
        <v>153</v>
      </c>
    </row>
    <row r="189" spans="1:12" hidden="1" x14ac:dyDescent="0.3">
      <c r="A189" s="47">
        <f t="shared" si="2"/>
        <v>0</v>
      </c>
      <c r="B189" s="40" t="s">
        <v>153</v>
      </c>
      <c r="C189" s="71" t="s">
        <v>153</v>
      </c>
      <c r="D189" s="40" t="s">
        <v>153</v>
      </c>
      <c r="E189" t="s">
        <v>153</v>
      </c>
      <c r="F189" t="s">
        <v>153</v>
      </c>
      <c r="G189" t="s">
        <v>153</v>
      </c>
      <c r="H189" s="40" t="s">
        <v>153</v>
      </c>
      <c r="I189">
        <v>0</v>
      </c>
      <c r="J189" s="40">
        <v>0</v>
      </c>
      <c r="K189" s="47">
        <v>0</v>
      </c>
      <c r="L189" s="42" t="s">
        <v>153</v>
      </c>
    </row>
    <row r="190" spans="1:12" hidden="1" x14ac:dyDescent="0.3">
      <c r="A190" s="47">
        <f t="shared" si="2"/>
        <v>0</v>
      </c>
      <c r="B190" s="40" t="s">
        <v>153</v>
      </c>
      <c r="C190" s="71" t="s">
        <v>153</v>
      </c>
      <c r="D190" s="40" t="s">
        <v>153</v>
      </c>
      <c r="E190" t="s">
        <v>153</v>
      </c>
      <c r="F190" t="s">
        <v>153</v>
      </c>
      <c r="G190" t="s">
        <v>153</v>
      </c>
      <c r="H190" s="40" t="s">
        <v>153</v>
      </c>
      <c r="I190">
        <v>0</v>
      </c>
      <c r="J190" s="40">
        <v>0</v>
      </c>
      <c r="K190" s="47">
        <v>0</v>
      </c>
      <c r="L190" s="42" t="s">
        <v>153</v>
      </c>
    </row>
    <row r="191" spans="1:12" hidden="1" x14ac:dyDescent="0.3">
      <c r="A191" s="47">
        <f t="shared" si="2"/>
        <v>0</v>
      </c>
      <c r="B191" s="40" t="s">
        <v>153</v>
      </c>
      <c r="C191" s="71" t="s">
        <v>153</v>
      </c>
      <c r="D191" s="40" t="s">
        <v>153</v>
      </c>
      <c r="E191" t="s">
        <v>153</v>
      </c>
      <c r="F191" t="s">
        <v>153</v>
      </c>
      <c r="G191" t="s">
        <v>153</v>
      </c>
      <c r="H191" s="40" t="s">
        <v>153</v>
      </c>
      <c r="I191">
        <v>0</v>
      </c>
      <c r="J191" s="40">
        <v>0</v>
      </c>
      <c r="K191" s="47">
        <v>0</v>
      </c>
      <c r="L191" s="42" t="s">
        <v>153</v>
      </c>
    </row>
    <row r="192" spans="1:12" hidden="1" x14ac:dyDescent="0.3">
      <c r="A192" s="47">
        <f t="shared" si="2"/>
        <v>0</v>
      </c>
      <c r="B192" s="40" t="s">
        <v>153</v>
      </c>
      <c r="C192" s="71" t="s">
        <v>153</v>
      </c>
      <c r="D192" s="40" t="s">
        <v>153</v>
      </c>
      <c r="E192" t="s">
        <v>153</v>
      </c>
      <c r="F192" t="s">
        <v>153</v>
      </c>
      <c r="G192" t="s">
        <v>153</v>
      </c>
      <c r="H192" s="40" t="s">
        <v>153</v>
      </c>
      <c r="I192">
        <v>0</v>
      </c>
      <c r="J192" s="40">
        <v>0</v>
      </c>
      <c r="K192" s="47">
        <v>0</v>
      </c>
      <c r="L192" s="42" t="s">
        <v>153</v>
      </c>
    </row>
    <row r="193" spans="1:12" hidden="1" x14ac:dyDescent="0.3">
      <c r="A193" s="47">
        <f t="shared" si="2"/>
        <v>0</v>
      </c>
      <c r="B193" s="40" t="s">
        <v>153</v>
      </c>
      <c r="C193" s="71" t="s">
        <v>153</v>
      </c>
      <c r="D193" s="40" t="s">
        <v>153</v>
      </c>
      <c r="E193" t="s">
        <v>153</v>
      </c>
      <c r="F193" t="s">
        <v>153</v>
      </c>
      <c r="G193" t="s">
        <v>153</v>
      </c>
      <c r="H193" s="40" t="s">
        <v>153</v>
      </c>
      <c r="I193">
        <v>0</v>
      </c>
      <c r="J193" s="40">
        <v>0</v>
      </c>
      <c r="K193" s="47">
        <v>0</v>
      </c>
      <c r="L193" s="42" t="s">
        <v>153</v>
      </c>
    </row>
    <row r="194" spans="1:12" hidden="1" x14ac:dyDescent="0.3">
      <c r="A194" s="47">
        <f t="shared" si="2"/>
        <v>0</v>
      </c>
      <c r="B194" s="40" t="s">
        <v>153</v>
      </c>
      <c r="C194" s="71" t="s">
        <v>153</v>
      </c>
      <c r="D194" s="40" t="s">
        <v>153</v>
      </c>
      <c r="E194" t="s">
        <v>153</v>
      </c>
      <c r="F194" t="s">
        <v>153</v>
      </c>
      <c r="G194" t="s">
        <v>153</v>
      </c>
      <c r="H194" s="40" t="s">
        <v>153</v>
      </c>
      <c r="I194">
        <v>0</v>
      </c>
      <c r="J194" s="40">
        <v>0</v>
      </c>
      <c r="K194" s="47">
        <v>0</v>
      </c>
      <c r="L194" s="42" t="s">
        <v>153</v>
      </c>
    </row>
    <row r="195" spans="1:12" hidden="1" x14ac:dyDescent="0.3">
      <c r="A195" s="47">
        <f t="shared" si="2"/>
        <v>0</v>
      </c>
      <c r="B195" s="40" t="s">
        <v>153</v>
      </c>
      <c r="C195" s="71" t="s">
        <v>153</v>
      </c>
      <c r="D195" s="40" t="s">
        <v>153</v>
      </c>
      <c r="E195" t="s">
        <v>153</v>
      </c>
      <c r="F195" t="s">
        <v>153</v>
      </c>
      <c r="G195" t="s">
        <v>153</v>
      </c>
      <c r="H195" s="40" t="s">
        <v>153</v>
      </c>
      <c r="I195">
        <v>0</v>
      </c>
      <c r="J195" s="40">
        <v>0</v>
      </c>
      <c r="K195" s="47">
        <v>0</v>
      </c>
      <c r="L195" s="42" t="s">
        <v>153</v>
      </c>
    </row>
    <row r="196" spans="1:12" hidden="1" x14ac:dyDescent="0.3">
      <c r="A196" s="47">
        <f t="shared" si="2"/>
        <v>0</v>
      </c>
      <c r="B196" s="40" t="s">
        <v>153</v>
      </c>
      <c r="C196" s="71" t="s">
        <v>153</v>
      </c>
      <c r="D196" s="40" t="s">
        <v>153</v>
      </c>
      <c r="E196" t="s">
        <v>153</v>
      </c>
      <c r="F196" t="s">
        <v>153</v>
      </c>
      <c r="G196" t="s">
        <v>153</v>
      </c>
      <c r="H196" s="40" t="s">
        <v>153</v>
      </c>
      <c r="I196">
        <v>0</v>
      </c>
      <c r="J196" s="40">
        <v>0</v>
      </c>
      <c r="K196" s="47">
        <v>0</v>
      </c>
      <c r="L196" s="42" t="s">
        <v>153</v>
      </c>
    </row>
    <row r="197" spans="1:12" hidden="1" x14ac:dyDescent="0.3">
      <c r="A197" s="47">
        <f t="shared" si="2"/>
        <v>0</v>
      </c>
      <c r="B197" s="40" t="s">
        <v>153</v>
      </c>
      <c r="C197" s="71" t="s">
        <v>153</v>
      </c>
      <c r="D197" s="40" t="s">
        <v>153</v>
      </c>
      <c r="E197" t="s">
        <v>153</v>
      </c>
      <c r="F197" t="s">
        <v>153</v>
      </c>
      <c r="G197" t="s">
        <v>153</v>
      </c>
      <c r="H197" s="40" t="s">
        <v>153</v>
      </c>
      <c r="I197">
        <v>0</v>
      </c>
      <c r="J197" s="40">
        <v>0</v>
      </c>
      <c r="K197" s="47">
        <v>0</v>
      </c>
      <c r="L197" s="42" t="s">
        <v>153</v>
      </c>
    </row>
    <row r="198" spans="1:12" hidden="1" x14ac:dyDescent="0.3">
      <c r="A198" s="47">
        <f t="shared" si="2"/>
        <v>0</v>
      </c>
      <c r="B198" s="40" t="s">
        <v>153</v>
      </c>
      <c r="C198" s="71" t="s">
        <v>153</v>
      </c>
      <c r="D198" s="40" t="s">
        <v>153</v>
      </c>
      <c r="E198" t="s">
        <v>153</v>
      </c>
      <c r="F198" t="s">
        <v>153</v>
      </c>
      <c r="G198" t="s">
        <v>153</v>
      </c>
      <c r="H198" s="40" t="s">
        <v>153</v>
      </c>
      <c r="I198">
        <v>0</v>
      </c>
      <c r="J198" s="40">
        <v>0</v>
      </c>
      <c r="K198" s="47">
        <v>0</v>
      </c>
      <c r="L198" s="42" t="s">
        <v>153</v>
      </c>
    </row>
    <row r="199" spans="1:12" hidden="1" x14ac:dyDescent="0.3">
      <c r="A199" s="47">
        <f t="shared" si="2"/>
        <v>0</v>
      </c>
      <c r="B199" s="40" t="s">
        <v>153</v>
      </c>
      <c r="C199" s="71" t="s">
        <v>153</v>
      </c>
      <c r="D199" s="40" t="s">
        <v>153</v>
      </c>
      <c r="E199" t="s">
        <v>153</v>
      </c>
      <c r="F199" t="s">
        <v>153</v>
      </c>
      <c r="G199" t="s">
        <v>153</v>
      </c>
      <c r="H199" s="40" t="s">
        <v>153</v>
      </c>
      <c r="I199">
        <v>0</v>
      </c>
      <c r="J199" s="40">
        <v>0</v>
      </c>
      <c r="K199" s="47">
        <v>0</v>
      </c>
      <c r="L199" s="42" t="s">
        <v>153</v>
      </c>
    </row>
    <row r="200" spans="1:12" hidden="1" x14ac:dyDescent="0.3">
      <c r="A200" s="47">
        <f t="shared" si="2"/>
        <v>0</v>
      </c>
      <c r="B200" s="40" t="s">
        <v>153</v>
      </c>
      <c r="C200" s="71" t="s">
        <v>153</v>
      </c>
      <c r="D200" s="40" t="s">
        <v>153</v>
      </c>
      <c r="E200" t="s">
        <v>153</v>
      </c>
      <c r="F200" t="s">
        <v>153</v>
      </c>
      <c r="G200" t="s">
        <v>153</v>
      </c>
      <c r="H200" s="40" t="s">
        <v>153</v>
      </c>
      <c r="I200">
        <v>0</v>
      </c>
      <c r="J200" s="40">
        <v>0</v>
      </c>
      <c r="K200" s="47">
        <v>0</v>
      </c>
      <c r="L200" s="42" t="s">
        <v>153</v>
      </c>
    </row>
    <row r="201" spans="1:12" hidden="1" x14ac:dyDescent="0.3">
      <c r="A201" s="47">
        <f t="shared" si="2"/>
        <v>0</v>
      </c>
      <c r="B201" s="40" t="s">
        <v>153</v>
      </c>
      <c r="C201" s="71" t="s">
        <v>153</v>
      </c>
      <c r="D201" s="40" t="s">
        <v>153</v>
      </c>
      <c r="E201" t="s">
        <v>153</v>
      </c>
      <c r="F201" t="s">
        <v>153</v>
      </c>
      <c r="G201" t="s">
        <v>153</v>
      </c>
      <c r="H201" s="40" t="s">
        <v>153</v>
      </c>
      <c r="I201">
        <v>0</v>
      </c>
      <c r="J201" s="40">
        <v>0</v>
      </c>
      <c r="K201" s="47">
        <v>0</v>
      </c>
      <c r="L201" s="42" t="s">
        <v>153</v>
      </c>
    </row>
    <row r="202" spans="1:12" hidden="1" x14ac:dyDescent="0.3">
      <c r="A202" s="47">
        <f t="shared" si="2"/>
        <v>0</v>
      </c>
      <c r="B202" s="40" t="s">
        <v>153</v>
      </c>
      <c r="C202" s="71" t="s">
        <v>153</v>
      </c>
      <c r="D202" s="40" t="s">
        <v>153</v>
      </c>
      <c r="E202" t="s">
        <v>153</v>
      </c>
      <c r="F202" s="99" t="s">
        <v>153</v>
      </c>
      <c r="G202" t="s">
        <v>153</v>
      </c>
      <c r="H202" s="40" t="s">
        <v>153</v>
      </c>
      <c r="I202">
        <v>0</v>
      </c>
      <c r="J202" s="40">
        <v>0</v>
      </c>
      <c r="K202" s="47">
        <v>0</v>
      </c>
      <c r="L202" s="42" t="s">
        <v>153</v>
      </c>
    </row>
    <row r="203" spans="1:12" hidden="1" x14ac:dyDescent="0.3">
      <c r="A203" s="47">
        <f t="shared" si="2"/>
        <v>0</v>
      </c>
      <c r="B203" s="40" t="s">
        <v>153</v>
      </c>
      <c r="C203" s="71" t="s">
        <v>153</v>
      </c>
      <c r="D203" s="40" t="s">
        <v>153</v>
      </c>
      <c r="E203" t="s">
        <v>153</v>
      </c>
      <c r="F203" s="100" t="s">
        <v>153</v>
      </c>
      <c r="G203" t="s">
        <v>153</v>
      </c>
      <c r="H203" s="40" t="s">
        <v>153</v>
      </c>
      <c r="I203">
        <v>0</v>
      </c>
      <c r="J203" s="40">
        <v>0</v>
      </c>
      <c r="K203" s="47">
        <v>0</v>
      </c>
      <c r="L203" s="42" t="s">
        <v>153</v>
      </c>
    </row>
    <row r="204" spans="1:12" hidden="1" x14ac:dyDescent="0.3">
      <c r="A204" s="47">
        <f t="shared" si="2"/>
        <v>0</v>
      </c>
      <c r="B204" s="40" t="s">
        <v>153</v>
      </c>
      <c r="C204" s="71" t="s">
        <v>153</v>
      </c>
      <c r="D204" s="40" t="s">
        <v>153</v>
      </c>
      <c r="E204" t="s">
        <v>153</v>
      </c>
      <c r="F204" t="s">
        <v>153</v>
      </c>
      <c r="G204" t="s">
        <v>153</v>
      </c>
      <c r="H204" s="40" t="s">
        <v>153</v>
      </c>
      <c r="I204">
        <v>0</v>
      </c>
      <c r="J204" s="40">
        <v>0</v>
      </c>
      <c r="K204" s="47">
        <v>0</v>
      </c>
      <c r="L204" s="42" t="s">
        <v>153</v>
      </c>
    </row>
    <row r="205" spans="1:12" hidden="1" x14ac:dyDescent="0.3">
      <c r="A205" s="47">
        <f t="shared" si="2"/>
        <v>0</v>
      </c>
      <c r="B205" s="40" t="s">
        <v>153</v>
      </c>
      <c r="C205" s="71" t="s">
        <v>153</v>
      </c>
      <c r="D205" s="40" t="s">
        <v>153</v>
      </c>
      <c r="E205" t="s">
        <v>153</v>
      </c>
      <c r="F205" t="s">
        <v>153</v>
      </c>
      <c r="G205" t="s">
        <v>153</v>
      </c>
      <c r="H205" s="40" t="s">
        <v>153</v>
      </c>
      <c r="I205">
        <v>0</v>
      </c>
      <c r="J205" s="40">
        <v>0</v>
      </c>
      <c r="K205" s="47">
        <v>0</v>
      </c>
      <c r="L205" s="42" t="s">
        <v>153</v>
      </c>
    </row>
    <row r="206" spans="1:12" hidden="1" x14ac:dyDescent="0.3">
      <c r="A206" s="47">
        <f t="shared" si="2"/>
        <v>0</v>
      </c>
      <c r="B206" s="40" t="s">
        <v>153</v>
      </c>
      <c r="C206" s="71" t="s">
        <v>153</v>
      </c>
      <c r="D206" s="40" t="s">
        <v>153</v>
      </c>
      <c r="E206" t="s">
        <v>153</v>
      </c>
      <c r="F206" t="s">
        <v>153</v>
      </c>
      <c r="G206" t="s">
        <v>153</v>
      </c>
      <c r="H206" s="40" t="s">
        <v>153</v>
      </c>
      <c r="I206">
        <v>0</v>
      </c>
      <c r="J206" s="40">
        <v>0</v>
      </c>
      <c r="K206" s="47">
        <v>0</v>
      </c>
      <c r="L206" s="42" t="s">
        <v>153</v>
      </c>
    </row>
    <row r="207" spans="1:12" hidden="1" x14ac:dyDescent="0.3">
      <c r="A207" s="47">
        <f t="shared" si="2"/>
        <v>0</v>
      </c>
      <c r="B207" s="40" t="s">
        <v>153</v>
      </c>
      <c r="C207" s="71" t="s">
        <v>153</v>
      </c>
      <c r="D207" s="40" t="s">
        <v>153</v>
      </c>
      <c r="E207" t="s">
        <v>153</v>
      </c>
      <c r="F207" t="s">
        <v>153</v>
      </c>
      <c r="G207" t="s">
        <v>153</v>
      </c>
      <c r="H207" s="40" t="s">
        <v>153</v>
      </c>
      <c r="I207">
        <v>0</v>
      </c>
      <c r="J207" s="40">
        <v>0</v>
      </c>
      <c r="K207" s="47">
        <v>0</v>
      </c>
      <c r="L207" s="42" t="s">
        <v>153</v>
      </c>
    </row>
    <row r="208" spans="1:12" hidden="1" x14ac:dyDescent="0.3">
      <c r="A208" s="47">
        <f t="shared" si="2"/>
        <v>0</v>
      </c>
      <c r="B208" s="40" t="s">
        <v>153</v>
      </c>
      <c r="C208" s="71" t="s">
        <v>153</v>
      </c>
      <c r="D208" s="40" t="s">
        <v>153</v>
      </c>
      <c r="E208" t="s">
        <v>153</v>
      </c>
      <c r="F208" t="s">
        <v>153</v>
      </c>
      <c r="G208" t="s">
        <v>153</v>
      </c>
      <c r="H208" s="40" t="s">
        <v>153</v>
      </c>
      <c r="I208">
        <v>0</v>
      </c>
      <c r="J208" s="40">
        <v>0</v>
      </c>
      <c r="K208" s="47">
        <v>0</v>
      </c>
      <c r="L208" s="42" t="s">
        <v>153</v>
      </c>
    </row>
    <row r="209" spans="1:12" hidden="1" x14ac:dyDescent="0.3">
      <c r="A209" s="47">
        <f t="shared" si="2"/>
        <v>0</v>
      </c>
      <c r="B209" s="40" t="s">
        <v>153</v>
      </c>
      <c r="C209" s="71" t="s">
        <v>153</v>
      </c>
      <c r="D209" s="40" t="s">
        <v>153</v>
      </c>
      <c r="E209" t="s">
        <v>153</v>
      </c>
      <c r="F209" t="s">
        <v>153</v>
      </c>
      <c r="G209" t="s">
        <v>153</v>
      </c>
      <c r="H209" s="40" t="s">
        <v>153</v>
      </c>
      <c r="I209">
        <v>0</v>
      </c>
      <c r="J209" s="40">
        <v>0</v>
      </c>
      <c r="K209" s="47">
        <v>0</v>
      </c>
      <c r="L209" s="42" t="s">
        <v>153</v>
      </c>
    </row>
    <row r="210" spans="1:12" hidden="1" x14ac:dyDescent="0.3">
      <c r="A210" s="47">
        <f t="shared" si="2"/>
        <v>0</v>
      </c>
      <c r="B210" s="40" t="s">
        <v>153</v>
      </c>
      <c r="C210" s="71" t="s">
        <v>153</v>
      </c>
      <c r="D210" s="40" t="s">
        <v>153</v>
      </c>
      <c r="E210" t="s">
        <v>153</v>
      </c>
      <c r="F210" t="s">
        <v>153</v>
      </c>
      <c r="G210" t="s">
        <v>153</v>
      </c>
      <c r="H210" s="40" t="s">
        <v>153</v>
      </c>
      <c r="I210">
        <v>0</v>
      </c>
      <c r="J210" s="40">
        <v>0</v>
      </c>
      <c r="K210" s="47">
        <v>0</v>
      </c>
      <c r="L210" s="42" t="s">
        <v>153</v>
      </c>
    </row>
    <row r="211" spans="1:12" hidden="1" x14ac:dyDescent="0.3">
      <c r="A211" s="47">
        <f t="shared" si="2"/>
        <v>0</v>
      </c>
      <c r="B211" s="40" t="s">
        <v>153</v>
      </c>
      <c r="C211" s="71" t="s">
        <v>153</v>
      </c>
      <c r="D211" s="40" t="s">
        <v>153</v>
      </c>
      <c r="E211" t="s">
        <v>153</v>
      </c>
      <c r="F211" t="s">
        <v>153</v>
      </c>
      <c r="G211" t="s">
        <v>153</v>
      </c>
      <c r="H211" s="40" t="s">
        <v>153</v>
      </c>
      <c r="I211">
        <v>0</v>
      </c>
      <c r="J211" s="40">
        <v>0</v>
      </c>
      <c r="K211" s="47">
        <v>0</v>
      </c>
      <c r="L211" s="42" t="s">
        <v>153</v>
      </c>
    </row>
    <row r="212" spans="1:12" hidden="1" x14ac:dyDescent="0.3">
      <c r="A212" s="47">
        <f t="shared" si="2"/>
        <v>0</v>
      </c>
      <c r="B212" s="40" t="s">
        <v>153</v>
      </c>
      <c r="C212" s="71" t="s">
        <v>153</v>
      </c>
      <c r="D212" s="40" t="s">
        <v>153</v>
      </c>
      <c r="E212" t="s">
        <v>153</v>
      </c>
      <c r="F212" t="s">
        <v>153</v>
      </c>
      <c r="G212" t="s">
        <v>153</v>
      </c>
      <c r="H212" s="40" t="s">
        <v>153</v>
      </c>
      <c r="I212">
        <v>0</v>
      </c>
      <c r="J212" s="40">
        <v>0</v>
      </c>
      <c r="K212" s="47">
        <v>0</v>
      </c>
      <c r="L212" s="42" t="s">
        <v>153</v>
      </c>
    </row>
    <row r="213" spans="1:12" hidden="1" x14ac:dyDescent="0.3">
      <c r="A213" s="47">
        <f t="shared" si="2"/>
        <v>0</v>
      </c>
      <c r="B213" s="40" t="s">
        <v>153</v>
      </c>
      <c r="C213" s="71" t="s">
        <v>153</v>
      </c>
      <c r="D213" s="40" t="s">
        <v>153</v>
      </c>
      <c r="E213" t="s">
        <v>153</v>
      </c>
      <c r="F213" t="s">
        <v>153</v>
      </c>
      <c r="G213" t="s">
        <v>153</v>
      </c>
      <c r="H213" s="40" t="s">
        <v>153</v>
      </c>
      <c r="I213">
        <v>0</v>
      </c>
      <c r="J213" s="40">
        <v>0</v>
      </c>
      <c r="K213" s="47">
        <v>0</v>
      </c>
      <c r="L213" s="42" t="s">
        <v>153</v>
      </c>
    </row>
    <row r="214" spans="1:12" hidden="1" x14ac:dyDescent="0.3">
      <c r="A214" s="47">
        <f t="shared" si="2"/>
        <v>0</v>
      </c>
      <c r="B214" s="40" t="s">
        <v>153</v>
      </c>
      <c r="C214" s="71" t="s">
        <v>153</v>
      </c>
      <c r="D214" s="40" t="s">
        <v>153</v>
      </c>
      <c r="E214" t="s">
        <v>153</v>
      </c>
      <c r="F214" t="s">
        <v>153</v>
      </c>
      <c r="G214" t="s">
        <v>153</v>
      </c>
      <c r="H214" s="40" t="s">
        <v>153</v>
      </c>
      <c r="I214">
        <v>0</v>
      </c>
      <c r="J214" s="40">
        <v>0</v>
      </c>
      <c r="K214" s="47">
        <v>0</v>
      </c>
      <c r="L214" s="42" t="s">
        <v>153</v>
      </c>
    </row>
    <row r="215" spans="1:12" hidden="1" x14ac:dyDescent="0.3">
      <c r="A215" s="47">
        <f t="shared" si="2"/>
        <v>0</v>
      </c>
      <c r="B215" s="40" t="s">
        <v>153</v>
      </c>
      <c r="C215" s="71" t="s">
        <v>153</v>
      </c>
      <c r="D215" s="40" t="s">
        <v>153</v>
      </c>
      <c r="E215" t="s">
        <v>153</v>
      </c>
      <c r="F215" t="s">
        <v>153</v>
      </c>
      <c r="G215" t="s">
        <v>153</v>
      </c>
      <c r="H215" s="40" t="s">
        <v>153</v>
      </c>
      <c r="I215">
        <v>0</v>
      </c>
      <c r="J215" s="40">
        <v>0</v>
      </c>
      <c r="K215" s="47">
        <v>0</v>
      </c>
      <c r="L215" s="42" t="s">
        <v>153</v>
      </c>
    </row>
    <row r="216" spans="1:12" hidden="1" x14ac:dyDescent="0.3">
      <c r="A216" s="47">
        <f t="shared" si="2"/>
        <v>0</v>
      </c>
      <c r="B216" s="40" t="s">
        <v>153</v>
      </c>
      <c r="C216" s="71" t="s">
        <v>153</v>
      </c>
      <c r="D216" s="40" t="s">
        <v>153</v>
      </c>
      <c r="E216" t="s">
        <v>153</v>
      </c>
      <c r="F216" t="s">
        <v>153</v>
      </c>
      <c r="G216" t="s">
        <v>153</v>
      </c>
      <c r="H216" s="40" t="s">
        <v>153</v>
      </c>
      <c r="I216">
        <v>0</v>
      </c>
      <c r="J216" s="40">
        <v>0</v>
      </c>
      <c r="K216" s="47">
        <v>0</v>
      </c>
      <c r="L216" s="42" t="s">
        <v>153</v>
      </c>
    </row>
    <row r="217" spans="1:12" hidden="1" x14ac:dyDescent="0.3">
      <c r="A217" s="47">
        <f t="shared" si="2"/>
        <v>0</v>
      </c>
      <c r="B217" s="40" t="s">
        <v>153</v>
      </c>
      <c r="C217" s="71" t="s">
        <v>153</v>
      </c>
      <c r="D217" s="40" t="s">
        <v>153</v>
      </c>
      <c r="E217" t="s">
        <v>153</v>
      </c>
      <c r="F217" t="s">
        <v>153</v>
      </c>
      <c r="G217" t="s">
        <v>153</v>
      </c>
      <c r="H217" s="40" t="s">
        <v>153</v>
      </c>
      <c r="I217">
        <v>0</v>
      </c>
      <c r="J217" s="40">
        <v>0</v>
      </c>
      <c r="K217" s="47">
        <v>0</v>
      </c>
      <c r="L217" s="42" t="s">
        <v>153</v>
      </c>
    </row>
    <row r="218" spans="1:12" hidden="1" x14ac:dyDescent="0.3">
      <c r="A218" s="47">
        <f t="shared" si="2"/>
        <v>0</v>
      </c>
      <c r="B218" s="40" t="s">
        <v>153</v>
      </c>
      <c r="C218" s="71" t="s">
        <v>153</v>
      </c>
      <c r="D218" s="40" t="s">
        <v>153</v>
      </c>
      <c r="E218" t="s">
        <v>153</v>
      </c>
      <c r="F218" t="s">
        <v>153</v>
      </c>
      <c r="G218" t="s">
        <v>153</v>
      </c>
      <c r="H218" s="40" t="s">
        <v>153</v>
      </c>
      <c r="I218">
        <v>0</v>
      </c>
      <c r="J218" s="40">
        <v>0</v>
      </c>
      <c r="K218" s="47">
        <v>0</v>
      </c>
      <c r="L218" s="42" t="s">
        <v>153</v>
      </c>
    </row>
    <row r="219" spans="1:12" hidden="1" x14ac:dyDescent="0.3">
      <c r="A219" s="47">
        <f t="shared" si="2"/>
        <v>0</v>
      </c>
      <c r="B219" s="40" t="s">
        <v>153</v>
      </c>
      <c r="C219" s="71" t="s">
        <v>153</v>
      </c>
      <c r="D219" s="40" t="s">
        <v>153</v>
      </c>
      <c r="E219" t="s">
        <v>153</v>
      </c>
      <c r="F219" t="s">
        <v>153</v>
      </c>
      <c r="G219" t="s">
        <v>153</v>
      </c>
      <c r="H219" s="40" t="s">
        <v>153</v>
      </c>
      <c r="I219">
        <v>0</v>
      </c>
      <c r="J219" s="40">
        <v>0</v>
      </c>
      <c r="K219" s="47">
        <v>0</v>
      </c>
      <c r="L219" s="42" t="s">
        <v>153</v>
      </c>
    </row>
    <row r="220" spans="1:12" hidden="1" x14ac:dyDescent="0.3">
      <c r="A220" s="47">
        <f t="shared" si="2"/>
        <v>0</v>
      </c>
      <c r="B220" s="40" t="s">
        <v>153</v>
      </c>
      <c r="C220" s="71" t="s">
        <v>153</v>
      </c>
      <c r="D220" s="40" t="s">
        <v>153</v>
      </c>
      <c r="E220" t="s">
        <v>153</v>
      </c>
      <c r="F220" t="s">
        <v>153</v>
      </c>
      <c r="G220" t="s">
        <v>153</v>
      </c>
      <c r="H220" s="40" t="s">
        <v>153</v>
      </c>
      <c r="I220">
        <v>0</v>
      </c>
      <c r="J220" s="40">
        <v>0</v>
      </c>
      <c r="K220" s="47">
        <v>0</v>
      </c>
      <c r="L220" s="42" t="s">
        <v>153</v>
      </c>
    </row>
    <row r="221" spans="1:12" hidden="1" x14ac:dyDescent="0.3">
      <c r="A221" s="47">
        <f t="shared" si="2"/>
        <v>0</v>
      </c>
      <c r="B221" s="40" t="s">
        <v>153</v>
      </c>
      <c r="C221" s="71" t="s">
        <v>153</v>
      </c>
      <c r="D221" s="40" t="s">
        <v>153</v>
      </c>
      <c r="E221" t="s">
        <v>153</v>
      </c>
      <c r="F221" t="s">
        <v>153</v>
      </c>
      <c r="G221" t="s">
        <v>153</v>
      </c>
      <c r="H221" s="40" t="s">
        <v>153</v>
      </c>
      <c r="I221">
        <v>0</v>
      </c>
      <c r="J221" s="40">
        <v>0</v>
      </c>
      <c r="K221" s="47">
        <v>0</v>
      </c>
      <c r="L221" s="42" t="s">
        <v>153</v>
      </c>
    </row>
    <row r="222" spans="1:12" hidden="1" x14ac:dyDescent="0.3">
      <c r="A222" s="47">
        <f t="shared" si="2"/>
        <v>0</v>
      </c>
      <c r="B222" s="40" t="s">
        <v>153</v>
      </c>
      <c r="C222" s="71" t="s">
        <v>153</v>
      </c>
      <c r="D222" s="40" t="s">
        <v>153</v>
      </c>
      <c r="E222" t="s">
        <v>153</v>
      </c>
      <c r="F222" t="s">
        <v>153</v>
      </c>
      <c r="G222" t="s">
        <v>153</v>
      </c>
      <c r="H222" s="40" t="s">
        <v>153</v>
      </c>
      <c r="I222">
        <v>0</v>
      </c>
      <c r="J222" s="40">
        <v>0</v>
      </c>
      <c r="K222" s="47">
        <v>0</v>
      </c>
      <c r="L222" s="42" t="s">
        <v>153</v>
      </c>
    </row>
    <row r="223" spans="1:12" hidden="1" x14ac:dyDescent="0.3">
      <c r="A223" s="47">
        <f t="shared" si="2"/>
        <v>0</v>
      </c>
      <c r="B223" s="40" t="s">
        <v>153</v>
      </c>
      <c r="C223" s="71" t="s">
        <v>153</v>
      </c>
      <c r="D223" s="40" t="s">
        <v>153</v>
      </c>
      <c r="E223" t="s">
        <v>153</v>
      </c>
      <c r="F223" t="s">
        <v>153</v>
      </c>
      <c r="G223" t="s">
        <v>153</v>
      </c>
      <c r="H223" s="40" t="s">
        <v>153</v>
      </c>
      <c r="I223">
        <v>0</v>
      </c>
      <c r="J223" s="40">
        <v>0</v>
      </c>
      <c r="K223" s="47">
        <v>0</v>
      </c>
      <c r="L223" s="42" t="s">
        <v>153</v>
      </c>
    </row>
    <row r="224" spans="1:12" hidden="1" x14ac:dyDescent="0.3">
      <c r="A224" s="47">
        <f t="shared" si="2"/>
        <v>0</v>
      </c>
      <c r="B224" s="40" t="s">
        <v>153</v>
      </c>
      <c r="C224" s="71" t="s">
        <v>153</v>
      </c>
      <c r="D224" s="40" t="s">
        <v>153</v>
      </c>
      <c r="E224" t="s">
        <v>153</v>
      </c>
      <c r="F224" t="s">
        <v>153</v>
      </c>
      <c r="G224" t="s">
        <v>153</v>
      </c>
      <c r="H224" s="40" t="s">
        <v>153</v>
      </c>
      <c r="I224">
        <v>0</v>
      </c>
      <c r="J224" s="40">
        <v>0</v>
      </c>
      <c r="K224" s="47">
        <v>0</v>
      </c>
      <c r="L224" s="42" t="s">
        <v>153</v>
      </c>
    </row>
    <row r="225" spans="1:12" hidden="1" x14ac:dyDescent="0.3">
      <c r="A225" s="47">
        <f t="shared" si="2"/>
        <v>0</v>
      </c>
      <c r="B225" s="40" t="s">
        <v>153</v>
      </c>
      <c r="C225" s="71" t="s">
        <v>153</v>
      </c>
      <c r="D225" s="40" t="s">
        <v>153</v>
      </c>
      <c r="E225" t="s">
        <v>153</v>
      </c>
      <c r="F225" t="s">
        <v>153</v>
      </c>
      <c r="G225" t="s">
        <v>153</v>
      </c>
      <c r="H225" s="40" t="s">
        <v>153</v>
      </c>
      <c r="I225">
        <v>0</v>
      </c>
      <c r="J225" s="40">
        <v>0</v>
      </c>
      <c r="K225" s="47">
        <v>0</v>
      </c>
      <c r="L225" s="42" t="s">
        <v>153</v>
      </c>
    </row>
    <row r="226" spans="1:12" hidden="1" x14ac:dyDescent="0.3">
      <c r="A226" s="47">
        <f t="shared" si="2"/>
        <v>0</v>
      </c>
      <c r="B226" s="40" t="s">
        <v>153</v>
      </c>
      <c r="C226" s="71" t="s">
        <v>153</v>
      </c>
      <c r="D226" s="40" t="s">
        <v>153</v>
      </c>
      <c r="E226" t="s">
        <v>153</v>
      </c>
      <c r="F226" t="s">
        <v>153</v>
      </c>
      <c r="G226" t="s">
        <v>153</v>
      </c>
      <c r="H226" s="40" t="s">
        <v>153</v>
      </c>
      <c r="I226">
        <v>0</v>
      </c>
      <c r="J226" s="40">
        <v>0</v>
      </c>
      <c r="K226" s="47">
        <v>0</v>
      </c>
      <c r="L226" s="42" t="s">
        <v>153</v>
      </c>
    </row>
    <row r="227" spans="1:12" hidden="1" x14ac:dyDescent="0.3">
      <c r="A227" s="47">
        <f t="shared" si="2"/>
        <v>0</v>
      </c>
      <c r="B227" s="40" t="s">
        <v>153</v>
      </c>
      <c r="C227" s="71" t="s">
        <v>153</v>
      </c>
      <c r="D227" s="40" t="s">
        <v>153</v>
      </c>
      <c r="E227" t="s">
        <v>153</v>
      </c>
      <c r="F227" t="s">
        <v>153</v>
      </c>
      <c r="G227" t="s">
        <v>153</v>
      </c>
      <c r="H227" s="40" t="s">
        <v>153</v>
      </c>
      <c r="I227">
        <v>0</v>
      </c>
      <c r="J227" s="40">
        <v>0</v>
      </c>
      <c r="K227" s="47">
        <v>0</v>
      </c>
      <c r="L227" s="42" t="s">
        <v>153</v>
      </c>
    </row>
    <row r="228" spans="1:12" hidden="1" x14ac:dyDescent="0.3">
      <c r="A228" s="47">
        <f t="shared" si="2"/>
        <v>0</v>
      </c>
      <c r="B228" s="40" t="s">
        <v>153</v>
      </c>
      <c r="C228" s="71" t="s">
        <v>153</v>
      </c>
      <c r="D228" s="40" t="s">
        <v>153</v>
      </c>
      <c r="E228" t="s">
        <v>153</v>
      </c>
      <c r="F228" t="s">
        <v>153</v>
      </c>
      <c r="G228" t="s">
        <v>153</v>
      </c>
      <c r="H228" s="40" t="s">
        <v>153</v>
      </c>
      <c r="I228">
        <v>0</v>
      </c>
      <c r="J228" s="40">
        <v>0</v>
      </c>
      <c r="K228" s="47">
        <v>0</v>
      </c>
      <c r="L228" s="42" t="s">
        <v>153</v>
      </c>
    </row>
    <row r="229" spans="1:12" hidden="1" x14ac:dyDescent="0.3">
      <c r="A229" s="47">
        <f t="shared" si="2"/>
        <v>0</v>
      </c>
      <c r="B229" s="40" t="s">
        <v>153</v>
      </c>
      <c r="C229" s="71" t="s">
        <v>153</v>
      </c>
      <c r="D229" s="40" t="s">
        <v>153</v>
      </c>
      <c r="E229" t="s">
        <v>153</v>
      </c>
      <c r="F229" t="s">
        <v>153</v>
      </c>
      <c r="G229" t="s">
        <v>153</v>
      </c>
      <c r="H229" s="40" t="s">
        <v>153</v>
      </c>
      <c r="I229">
        <v>0</v>
      </c>
      <c r="J229" s="40">
        <v>0</v>
      </c>
      <c r="K229" s="47">
        <v>0</v>
      </c>
      <c r="L229" s="42" t="s">
        <v>153</v>
      </c>
    </row>
    <row r="230" spans="1:12" hidden="1" x14ac:dyDescent="0.3">
      <c r="A230" s="47">
        <f t="shared" si="2"/>
        <v>0</v>
      </c>
      <c r="B230" s="40" t="s">
        <v>153</v>
      </c>
      <c r="C230" s="71" t="s">
        <v>153</v>
      </c>
      <c r="D230" s="40" t="s">
        <v>153</v>
      </c>
      <c r="E230" t="s">
        <v>153</v>
      </c>
      <c r="F230" t="s">
        <v>153</v>
      </c>
      <c r="G230" t="s">
        <v>153</v>
      </c>
      <c r="H230" s="40" t="s">
        <v>153</v>
      </c>
      <c r="I230">
        <v>0</v>
      </c>
      <c r="J230" s="40">
        <v>0</v>
      </c>
      <c r="K230" s="47">
        <v>0</v>
      </c>
      <c r="L230" s="42" t="s">
        <v>153</v>
      </c>
    </row>
    <row r="231" spans="1:12" hidden="1" x14ac:dyDescent="0.3">
      <c r="A231" s="47">
        <f t="shared" si="2"/>
        <v>0</v>
      </c>
      <c r="B231" s="40" t="s">
        <v>153</v>
      </c>
      <c r="C231" s="71" t="s">
        <v>153</v>
      </c>
      <c r="D231" s="40" t="s">
        <v>153</v>
      </c>
      <c r="E231" t="s">
        <v>153</v>
      </c>
      <c r="F231" t="s">
        <v>153</v>
      </c>
      <c r="G231" t="s">
        <v>153</v>
      </c>
      <c r="H231" s="40" t="s">
        <v>153</v>
      </c>
      <c r="I231">
        <v>0</v>
      </c>
      <c r="J231" s="40">
        <v>0</v>
      </c>
      <c r="K231" s="47">
        <v>0</v>
      </c>
      <c r="L231" s="42" t="s">
        <v>153</v>
      </c>
    </row>
    <row r="232" spans="1:12" hidden="1" x14ac:dyDescent="0.3">
      <c r="A232" s="47">
        <f t="shared" si="2"/>
        <v>0</v>
      </c>
      <c r="B232" s="40" t="s">
        <v>153</v>
      </c>
      <c r="C232" s="71" t="s">
        <v>153</v>
      </c>
      <c r="D232" s="40" t="s">
        <v>153</v>
      </c>
      <c r="E232" t="s">
        <v>153</v>
      </c>
      <c r="F232" t="s">
        <v>153</v>
      </c>
      <c r="G232" t="s">
        <v>153</v>
      </c>
      <c r="H232" s="40" t="s">
        <v>153</v>
      </c>
      <c r="I232">
        <v>0</v>
      </c>
      <c r="J232" s="40">
        <v>0</v>
      </c>
      <c r="K232" s="47">
        <v>0</v>
      </c>
      <c r="L232" s="42" t="s">
        <v>153</v>
      </c>
    </row>
    <row r="233" spans="1:12" hidden="1" x14ac:dyDescent="0.3">
      <c r="A233" s="47">
        <f t="shared" si="2"/>
        <v>0</v>
      </c>
      <c r="B233" s="40" t="s">
        <v>153</v>
      </c>
      <c r="C233" s="71" t="s">
        <v>153</v>
      </c>
      <c r="D233" s="40" t="s">
        <v>153</v>
      </c>
      <c r="E233" t="s">
        <v>153</v>
      </c>
      <c r="F233" t="s">
        <v>153</v>
      </c>
      <c r="G233" t="s">
        <v>153</v>
      </c>
      <c r="H233" s="40" t="s">
        <v>153</v>
      </c>
      <c r="I233">
        <v>0</v>
      </c>
      <c r="J233" s="40">
        <v>0</v>
      </c>
      <c r="K233" s="47">
        <v>0</v>
      </c>
      <c r="L233" s="42" t="s">
        <v>153</v>
      </c>
    </row>
    <row r="234" spans="1:12" hidden="1" x14ac:dyDescent="0.3">
      <c r="A234" s="47">
        <f t="shared" si="2"/>
        <v>0</v>
      </c>
      <c r="B234" s="40" t="s">
        <v>153</v>
      </c>
      <c r="C234" s="71" t="s">
        <v>153</v>
      </c>
      <c r="D234" s="40" t="s">
        <v>153</v>
      </c>
      <c r="E234" t="s">
        <v>153</v>
      </c>
      <c r="F234" t="s">
        <v>153</v>
      </c>
      <c r="G234" t="s">
        <v>153</v>
      </c>
      <c r="H234" s="40" t="s">
        <v>153</v>
      </c>
      <c r="I234">
        <v>0</v>
      </c>
      <c r="J234" s="40">
        <v>0</v>
      </c>
      <c r="K234" s="47">
        <v>0</v>
      </c>
      <c r="L234" s="42" t="s">
        <v>153</v>
      </c>
    </row>
    <row r="235" spans="1:12" hidden="1" x14ac:dyDescent="0.3">
      <c r="A235" s="47">
        <f t="shared" ref="A235:A298" si="3">K235</f>
        <v>0</v>
      </c>
      <c r="B235" s="40" t="s">
        <v>153</v>
      </c>
      <c r="C235" s="71" t="s">
        <v>153</v>
      </c>
      <c r="D235" s="40" t="s">
        <v>153</v>
      </c>
      <c r="E235" t="s">
        <v>153</v>
      </c>
      <c r="F235" t="s">
        <v>153</v>
      </c>
      <c r="G235" t="s">
        <v>153</v>
      </c>
      <c r="H235" s="40" t="s">
        <v>153</v>
      </c>
      <c r="I235">
        <v>0</v>
      </c>
      <c r="J235" s="40">
        <v>0</v>
      </c>
      <c r="K235" s="47">
        <v>0</v>
      </c>
      <c r="L235" s="42" t="s">
        <v>153</v>
      </c>
    </row>
    <row r="236" spans="1:12" hidden="1" x14ac:dyDescent="0.3">
      <c r="A236" s="47">
        <f t="shared" si="3"/>
        <v>0</v>
      </c>
      <c r="B236" s="40" t="s">
        <v>153</v>
      </c>
      <c r="C236" s="71" t="s">
        <v>153</v>
      </c>
      <c r="D236" s="40" t="s">
        <v>153</v>
      </c>
      <c r="E236" t="s">
        <v>153</v>
      </c>
      <c r="F236" t="s">
        <v>153</v>
      </c>
      <c r="G236" t="s">
        <v>153</v>
      </c>
      <c r="H236" s="40" t="s">
        <v>153</v>
      </c>
      <c r="I236">
        <v>0</v>
      </c>
      <c r="J236" s="40">
        <v>0</v>
      </c>
      <c r="K236" s="47">
        <v>0</v>
      </c>
      <c r="L236" s="42" t="s">
        <v>153</v>
      </c>
    </row>
    <row r="237" spans="1:12" hidden="1" x14ac:dyDescent="0.3">
      <c r="A237" s="47">
        <f t="shared" si="3"/>
        <v>0</v>
      </c>
      <c r="B237" s="40" t="s">
        <v>153</v>
      </c>
      <c r="C237" s="71" t="s">
        <v>153</v>
      </c>
      <c r="D237" s="40" t="s">
        <v>153</v>
      </c>
      <c r="E237" t="s">
        <v>153</v>
      </c>
      <c r="F237" t="s">
        <v>153</v>
      </c>
      <c r="G237" t="s">
        <v>153</v>
      </c>
      <c r="H237" s="40" t="s">
        <v>153</v>
      </c>
      <c r="I237">
        <v>0</v>
      </c>
      <c r="J237" s="40">
        <v>0</v>
      </c>
      <c r="K237" s="47">
        <v>0</v>
      </c>
      <c r="L237" s="42" t="s">
        <v>153</v>
      </c>
    </row>
    <row r="238" spans="1:12" hidden="1" x14ac:dyDescent="0.3">
      <c r="A238" s="47">
        <f t="shared" si="3"/>
        <v>0</v>
      </c>
      <c r="B238" s="40"/>
      <c r="C238" s="71"/>
      <c r="D238" s="40"/>
      <c r="H238" s="40"/>
      <c r="J238" s="40"/>
      <c r="K238" s="47"/>
      <c r="L238" s="42"/>
    </row>
    <row r="239" spans="1:12" hidden="1" x14ac:dyDescent="0.3">
      <c r="A239" s="47">
        <f t="shared" si="3"/>
        <v>0</v>
      </c>
      <c r="B239" s="40"/>
      <c r="C239" s="71"/>
      <c r="D239" s="40"/>
      <c r="H239" s="40"/>
      <c r="J239" s="40"/>
      <c r="K239" s="47"/>
      <c r="L239" s="42"/>
    </row>
    <row r="240" spans="1:12" hidden="1" x14ac:dyDescent="0.3">
      <c r="A240" s="47">
        <f t="shared" si="3"/>
        <v>0</v>
      </c>
      <c r="B240" s="40"/>
      <c r="C240" s="71"/>
      <c r="D240" s="40"/>
      <c r="H240" s="40"/>
      <c r="J240" s="40"/>
      <c r="K240" s="47"/>
      <c r="L240" s="42"/>
    </row>
    <row r="241" spans="1:12" hidden="1" x14ac:dyDescent="0.3">
      <c r="A241" s="47">
        <f t="shared" si="3"/>
        <v>0</v>
      </c>
      <c r="B241" s="40"/>
      <c r="C241" s="71"/>
      <c r="D241" s="40"/>
      <c r="H241" s="40"/>
      <c r="J241" s="40"/>
      <c r="K241" s="47"/>
      <c r="L241" s="42"/>
    </row>
    <row r="242" spans="1:12" hidden="1" x14ac:dyDescent="0.3">
      <c r="A242" s="47">
        <f t="shared" si="3"/>
        <v>0</v>
      </c>
      <c r="B242" s="40"/>
      <c r="C242" s="71"/>
      <c r="D242" s="40"/>
      <c r="H242" s="40"/>
      <c r="J242" s="40"/>
      <c r="K242" s="47"/>
      <c r="L242" s="42"/>
    </row>
    <row r="243" spans="1:12" hidden="1" x14ac:dyDescent="0.3">
      <c r="A243" s="47">
        <f t="shared" si="3"/>
        <v>0</v>
      </c>
      <c r="B243" s="40"/>
      <c r="C243" s="71"/>
      <c r="D243" s="40"/>
      <c r="H243" s="40"/>
      <c r="J243" s="40"/>
      <c r="K243" s="47"/>
      <c r="L243" s="42"/>
    </row>
    <row r="244" spans="1:12" hidden="1" x14ac:dyDescent="0.3">
      <c r="A244" s="47">
        <f t="shared" si="3"/>
        <v>0</v>
      </c>
      <c r="B244" s="40"/>
      <c r="C244" s="71"/>
      <c r="D244" s="40"/>
      <c r="H244" s="40"/>
      <c r="J244" s="40"/>
      <c r="K244" s="47"/>
      <c r="L244" s="42"/>
    </row>
    <row r="245" spans="1:12" hidden="1" x14ac:dyDescent="0.3">
      <c r="A245" s="47">
        <f t="shared" si="3"/>
        <v>0</v>
      </c>
      <c r="B245" s="40"/>
      <c r="C245" s="71"/>
      <c r="D245" s="40"/>
      <c r="H245" s="40"/>
      <c r="J245" s="40"/>
      <c r="K245" s="47"/>
      <c r="L245" s="42"/>
    </row>
    <row r="246" spans="1:12" hidden="1" x14ac:dyDescent="0.3">
      <c r="A246" s="47">
        <f t="shared" si="3"/>
        <v>0</v>
      </c>
      <c r="B246" s="40"/>
      <c r="C246" s="71"/>
      <c r="D246" s="40"/>
      <c r="H246" s="40"/>
      <c r="J246" s="40"/>
      <c r="K246" s="47"/>
      <c r="L246" s="42"/>
    </row>
    <row r="247" spans="1:12" hidden="1" x14ac:dyDescent="0.3">
      <c r="A247" s="47">
        <f t="shared" si="3"/>
        <v>0</v>
      </c>
      <c r="B247" s="40"/>
      <c r="C247" s="71"/>
      <c r="D247" s="40"/>
      <c r="H247" s="40"/>
      <c r="J247" s="40"/>
      <c r="K247" s="47"/>
      <c r="L247" s="42"/>
    </row>
    <row r="248" spans="1:12" hidden="1" x14ac:dyDescent="0.3">
      <c r="A248" s="47">
        <f t="shared" si="3"/>
        <v>0</v>
      </c>
      <c r="B248" s="40"/>
      <c r="C248" s="71"/>
      <c r="D248" s="40"/>
      <c r="H248" s="40"/>
      <c r="J248" s="40"/>
      <c r="K248" s="47"/>
      <c r="L248" s="42"/>
    </row>
    <row r="249" spans="1:12" hidden="1" x14ac:dyDescent="0.3">
      <c r="A249" s="47">
        <f t="shared" si="3"/>
        <v>0</v>
      </c>
      <c r="B249" s="40"/>
      <c r="C249" s="71"/>
      <c r="D249" s="40"/>
      <c r="H249" s="40"/>
      <c r="J249" s="40"/>
      <c r="K249" s="47"/>
      <c r="L249" s="42"/>
    </row>
    <row r="250" spans="1:12" hidden="1" x14ac:dyDescent="0.3">
      <c r="A250" s="47">
        <f t="shared" si="3"/>
        <v>0</v>
      </c>
      <c r="B250" s="40"/>
      <c r="C250" s="71"/>
      <c r="D250" s="40"/>
      <c r="H250" s="40"/>
      <c r="J250" s="40"/>
      <c r="K250" s="47"/>
      <c r="L250" s="42"/>
    </row>
    <row r="251" spans="1:12" hidden="1" x14ac:dyDescent="0.3">
      <c r="A251" s="47">
        <f t="shared" si="3"/>
        <v>0</v>
      </c>
      <c r="B251" s="40"/>
      <c r="C251" s="71"/>
      <c r="D251" s="40"/>
      <c r="H251" s="40"/>
      <c r="J251" s="40"/>
      <c r="K251" s="47"/>
      <c r="L251" s="42"/>
    </row>
    <row r="252" spans="1:12" hidden="1" x14ac:dyDescent="0.3">
      <c r="A252" s="47">
        <f t="shared" si="3"/>
        <v>0</v>
      </c>
      <c r="B252" s="40"/>
      <c r="C252" s="71"/>
      <c r="D252" s="40"/>
      <c r="H252" s="40"/>
      <c r="J252" s="40"/>
      <c r="K252" s="47"/>
      <c r="L252" s="42"/>
    </row>
    <row r="253" spans="1:12" hidden="1" x14ac:dyDescent="0.3">
      <c r="A253" s="47">
        <f t="shared" si="3"/>
        <v>0</v>
      </c>
      <c r="B253" s="40"/>
      <c r="C253" s="71"/>
      <c r="D253" s="40"/>
      <c r="H253" s="40"/>
      <c r="J253" s="40"/>
      <c r="K253" s="47"/>
      <c r="L253" s="42"/>
    </row>
    <row r="254" spans="1:12" hidden="1" x14ac:dyDescent="0.3">
      <c r="A254" s="47">
        <f t="shared" si="3"/>
        <v>0</v>
      </c>
      <c r="B254" s="40"/>
      <c r="C254" s="71"/>
      <c r="D254" s="40"/>
      <c r="H254" s="40"/>
      <c r="J254" s="40"/>
      <c r="K254" s="47"/>
      <c r="L254" s="42"/>
    </row>
    <row r="255" spans="1:12" hidden="1" x14ac:dyDescent="0.3">
      <c r="A255" s="47">
        <f t="shared" si="3"/>
        <v>0</v>
      </c>
      <c r="B255" s="40"/>
      <c r="C255" s="71"/>
      <c r="D255" s="40"/>
      <c r="H255" s="40"/>
      <c r="J255" s="40"/>
      <c r="K255" s="47"/>
      <c r="L255" s="42"/>
    </row>
    <row r="256" spans="1:12" hidden="1" x14ac:dyDescent="0.3">
      <c r="A256" s="47">
        <f t="shared" si="3"/>
        <v>0</v>
      </c>
      <c r="B256" s="40"/>
      <c r="C256" s="71"/>
      <c r="D256" s="40"/>
      <c r="H256" s="40"/>
      <c r="J256" s="40"/>
      <c r="K256" s="47"/>
      <c r="L256" s="42"/>
    </row>
    <row r="257" spans="1:12" hidden="1" x14ac:dyDescent="0.3">
      <c r="A257" s="47">
        <f t="shared" si="3"/>
        <v>0</v>
      </c>
      <c r="B257" s="40"/>
      <c r="C257" s="71"/>
      <c r="D257" s="40"/>
      <c r="H257" s="40"/>
      <c r="J257" s="40"/>
      <c r="K257" s="47"/>
      <c r="L257" s="42"/>
    </row>
    <row r="258" spans="1:12" hidden="1" x14ac:dyDescent="0.3">
      <c r="A258" s="47">
        <f t="shared" si="3"/>
        <v>0</v>
      </c>
      <c r="B258" s="40"/>
      <c r="C258" s="71"/>
      <c r="D258" s="40"/>
      <c r="H258" s="40"/>
      <c r="J258" s="40"/>
      <c r="K258" s="47"/>
      <c r="L258" s="42"/>
    </row>
    <row r="259" spans="1:12" hidden="1" x14ac:dyDescent="0.3">
      <c r="A259" s="47">
        <f t="shared" si="3"/>
        <v>0</v>
      </c>
      <c r="B259" s="40"/>
      <c r="C259" s="71"/>
      <c r="D259" s="40"/>
      <c r="H259" s="40"/>
      <c r="J259" s="40"/>
      <c r="K259" s="47"/>
      <c r="L259" s="42"/>
    </row>
    <row r="260" spans="1:12" hidden="1" x14ac:dyDescent="0.3">
      <c r="A260" s="47">
        <f t="shared" si="3"/>
        <v>0</v>
      </c>
      <c r="B260" s="40"/>
      <c r="C260" s="71"/>
      <c r="D260" s="40"/>
      <c r="H260" s="40"/>
      <c r="J260" s="40"/>
      <c r="K260" s="47"/>
      <c r="L260" s="42"/>
    </row>
    <row r="261" spans="1:12" hidden="1" x14ac:dyDescent="0.3">
      <c r="A261" s="47">
        <f t="shared" si="3"/>
        <v>0</v>
      </c>
      <c r="B261" s="40"/>
      <c r="C261" s="71"/>
      <c r="D261" s="40"/>
      <c r="H261" s="40"/>
      <c r="J261" s="40"/>
      <c r="K261" s="47"/>
      <c r="L261" s="42"/>
    </row>
    <row r="262" spans="1:12" hidden="1" x14ac:dyDescent="0.3">
      <c r="A262" s="47">
        <f t="shared" si="3"/>
        <v>0</v>
      </c>
      <c r="B262" s="40"/>
      <c r="C262" s="71"/>
      <c r="D262" s="40"/>
      <c r="H262" s="40"/>
      <c r="J262" s="40"/>
      <c r="K262" s="47"/>
      <c r="L262" s="42"/>
    </row>
    <row r="263" spans="1:12" hidden="1" x14ac:dyDescent="0.3">
      <c r="A263" s="47">
        <f t="shared" si="3"/>
        <v>0</v>
      </c>
      <c r="B263" s="40"/>
      <c r="C263" s="71"/>
      <c r="D263" s="40"/>
      <c r="H263" s="40"/>
      <c r="J263" s="40"/>
      <c r="K263" s="47"/>
      <c r="L263" s="42"/>
    </row>
    <row r="264" spans="1:12" hidden="1" x14ac:dyDescent="0.3">
      <c r="A264" s="47">
        <f t="shared" si="3"/>
        <v>0</v>
      </c>
      <c r="B264" s="40"/>
      <c r="C264" s="71"/>
      <c r="D264" s="40"/>
      <c r="H264" s="40"/>
      <c r="J264" s="40"/>
      <c r="K264" s="47"/>
      <c r="L264" s="42"/>
    </row>
    <row r="265" spans="1:12" hidden="1" x14ac:dyDescent="0.3">
      <c r="A265" s="47">
        <f t="shared" si="3"/>
        <v>0</v>
      </c>
      <c r="B265" s="40"/>
      <c r="C265" s="71"/>
      <c r="D265" s="40"/>
      <c r="H265" s="40"/>
      <c r="J265" s="40"/>
      <c r="K265" s="47"/>
      <c r="L265" s="42"/>
    </row>
    <row r="266" spans="1:12" hidden="1" x14ac:dyDescent="0.3">
      <c r="A266" s="47">
        <f t="shared" si="3"/>
        <v>0</v>
      </c>
      <c r="B266" s="40"/>
      <c r="C266" s="71"/>
      <c r="D266" s="40"/>
      <c r="H266" s="40"/>
      <c r="J266" s="40"/>
      <c r="K266" s="47"/>
      <c r="L266" s="42"/>
    </row>
    <row r="267" spans="1:12" hidden="1" x14ac:dyDescent="0.3">
      <c r="A267" s="47">
        <f t="shared" si="3"/>
        <v>0</v>
      </c>
      <c r="B267" s="40"/>
      <c r="C267" s="71"/>
      <c r="D267" s="40"/>
      <c r="H267" s="40"/>
      <c r="J267" s="40"/>
      <c r="K267" s="47"/>
      <c r="L267" s="42"/>
    </row>
    <row r="268" spans="1:12" hidden="1" x14ac:dyDescent="0.3">
      <c r="A268" s="47">
        <f t="shared" si="3"/>
        <v>0</v>
      </c>
      <c r="B268" s="40"/>
      <c r="C268" s="71"/>
      <c r="D268" s="40"/>
      <c r="H268" s="40"/>
      <c r="J268" s="40"/>
      <c r="K268" s="47"/>
      <c r="L268" s="42"/>
    </row>
    <row r="269" spans="1:12" hidden="1" x14ac:dyDescent="0.3">
      <c r="A269" s="47">
        <f t="shared" si="3"/>
        <v>0</v>
      </c>
      <c r="B269" s="40"/>
      <c r="C269" s="71"/>
      <c r="D269" s="40"/>
      <c r="H269" s="40"/>
      <c r="J269" s="40"/>
      <c r="K269" s="47"/>
      <c r="L269" s="42"/>
    </row>
    <row r="270" spans="1:12" hidden="1" x14ac:dyDescent="0.3">
      <c r="A270" s="47">
        <f t="shared" si="3"/>
        <v>0</v>
      </c>
      <c r="B270" s="40"/>
      <c r="C270" s="71"/>
      <c r="D270" s="40"/>
      <c r="H270" s="40"/>
      <c r="J270" s="40"/>
      <c r="K270" s="47"/>
      <c r="L270" s="42"/>
    </row>
    <row r="271" spans="1:12" hidden="1" x14ac:dyDescent="0.3">
      <c r="A271" s="47">
        <f t="shared" si="3"/>
        <v>0</v>
      </c>
      <c r="B271" s="40"/>
      <c r="C271" s="71"/>
      <c r="D271" s="40"/>
      <c r="F271" s="100"/>
      <c r="H271" s="40"/>
      <c r="J271" s="40"/>
      <c r="K271" s="47"/>
      <c r="L271" s="42"/>
    </row>
    <row r="272" spans="1:12" hidden="1" x14ac:dyDescent="0.3">
      <c r="A272" s="47">
        <f t="shared" si="3"/>
        <v>0</v>
      </c>
      <c r="B272" s="40"/>
      <c r="C272" s="71"/>
      <c r="D272" s="40"/>
      <c r="H272" s="40"/>
      <c r="J272" s="40"/>
      <c r="K272" s="47"/>
      <c r="L272" s="42"/>
    </row>
    <row r="273" spans="1:12" hidden="1" x14ac:dyDescent="0.3">
      <c r="A273" s="47">
        <f t="shared" si="3"/>
        <v>0</v>
      </c>
      <c r="B273" s="40"/>
      <c r="C273" s="71"/>
      <c r="D273" s="40"/>
      <c r="H273" s="40"/>
      <c r="J273" s="40"/>
      <c r="K273" s="47"/>
      <c r="L273" s="42"/>
    </row>
    <row r="274" spans="1:12" hidden="1" x14ac:dyDescent="0.3">
      <c r="A274" s="47">
        <f t="shared" si="3"/>
        <v>0</v>
      </c>
      <c r="B274" s="40"/>
      <c r="C274" s="71"/>
      <c r="D274" s="40"/>
      <c r="H274" s="40"/>
      <c r="J274" s="40"/>
      <c r="K274" s="47"/>
      <c r="L274" s="42"/>
    </row>
    <row r="275" spans="1:12" hidden="1" x14ac:dyDescent="0.3">
      <c r="A275" s="47">
        <f t="shared" si="3"/>
        <v>0</v>
      </c>
      <c r="B275" s="40"/>
      <c r="C275" s="71"/>
      <c r="D275" s="40"/>
      <c r="H275" s="40"/>
      <c r="J275" s="40"/>
      <c r="K275" s="47"/>
      <c r="L275" s="42"/>
    </row>
    <row r="276" spans="1:12" hidden="1" x14ac:dyDescent="0.3">
      <c r="A276" s="47">
        <f t="shared" si="3"/>
        <v>0</v>
      </c>
      <c r="B276" s="40"/>
      <c r="C276" s="71"/>
      <c r="D276" s="40"/>
      <c r="H276" s="40"/>
      <c r="J276" s="40"/>
      <c r="K276" s="47"/>
      <c r="L276" s="42"/>
    </row>
    <row r="277" spans="1:12" hidden="1" x14ac:dyDescent="0.3">
      <c r="A277" s="47">
        <f t="shared" si="3"/>
        <v>0</v>
      </c>
      <c r="B277" s="40"/>
      <c r="C277" s="71"/>
      <c r="D277" s="40"/>
      <c r="H277" s="40"/>
      <c r="J277" s="40"/>
      <c r="K277" s="47"/>
      <c r="L277" s="42"/>
    </row>
    <row r="278" spans="1:12" hidden="1" x14ac:dyDescent="0.3">
      <c r="A278" s="47">
        <f t="shared" si="3"/>
        <v>0</v>
      </c>
      <c r="B278" s="40"/>
      <c r="C278" s="71"/>
      <c r="D278" s="40"/>
      <c r="H278" s="40"/>
      <c r="J278" s="40"/>
      <c r="K278" s="47"/>
      <c r="L278" s="42"/>
    </row>
    <row r="279" spans="1:12" hidden="1" x14ac:dyDescent="0.3">
      <c r="A279" s="47">
        <f t="shared" si="3"/>
        <v>0</v>
      </c>
      <c r="B279" s="40"/>
      <c r="C279" s="71"/>
      <c r="D279" s="40"/>
      <c r="H279" s="40"/>
      <c r="J279" s="40"/>
      <c r="K279" s="47"/>
      <c r="L279" s="42"/>
    </row>
    <row r="280" spans="1:12" hidden="1" x14ac:dyDescent="0.3">
      <c r="A280" s="47">
        <f t="shared" si="3"/>
        <v>0</v>
      </c>
      <c r="B280" s="40"/>
      <c r="C280" s="71"/>
      <c r="D280" s="40"/>
      <c r="H280" s="40"/>
      <c r="J280" s="40"/>
      <c r="K280" s="47"/>
      <c r="L280" s="42"/>
    </row>
    <row r="281" spans="1:12" hidden="1" x14ac:dyDescent="0.3">
      <c r="A281" s="47">
        <f t="shared" si="3"/>
        <v>0</v>
      </c>
      <c r="B281" s="40"/>
      <c r="C281" s="71"/>
      <c r="D281" s="40"/>
      <c r="H281" s="40"/>
      <c r="J281" s="40"/>
      <c r="K281" s="47"/>
      <c r="L281" s="42"/>
    </row>
    <row r="282" spans="1:12" hidden="1" x14ac:dyDescent="0.3">
      <c r="A282" s="47">
        <f t="shared" si="3"/>
        <v>0</v>
      </c>
      <c r="B282" s="40"/>
      <c r="C282" s="71"/>
      <c r="D282" s="40"/>
      <c r="H282" s="40"/>
      <c r="J282" s="40"/>
      <c r="K282" s="47"/>
      <c r="L282" s="42"/>
    </row>
    <row r="283" spans="1:12" hidden="1" x14ac:dyDescent="0.3">
      <c r="A283" s="47">
        <f t="shared" si="3"/>
        <v>0</v>
      </c>
      <c r="B283" s="40"/>
      <c r="C283" s="71"/>
      <c r="D283" s="40"/>
      <c r="H283" s="40"/>
      <c r="J283" s="40"/>
      <c r="K283" s="47"/>
      <c r="L283" s="42"/>
    </row>
    <row r="284" spans="1:12" hidden="1" x14ac:dyDescent="0.3">
      <c r="A284" s="47">
        <f t="shared" si="3"/>
        <v>0</v>
      </c>
      <c r="B284" s="40"/>
      <c r="C284" s="71"/>
      <c r="D284" s="40"/>
      <c r="H284" s="40"/>
      <c r="J284" s="40"/>
      <c r="K284" s="47"/>
      <c r="L284" s="42"/>
    </row>
    <row r="285" spans="1:12" hidden="1" x14ac:dyDescent="0.3">
      <c r="A285" s="47">
        <f t="shared" si="3"/>
        <v>0</v>
      </c>
      <c r="B285" s="40"/>
      <c r="C285" s="71"/>
      <c r="D285" s="40"/>
      <c r="H285" s="40"/>
      <c r="J285" s="40"/>
      <c r="K285" s="47"/>
      <c r="L285" s="42"/>
    </row>
    <row r="286" spans="1:12" hidden="1" x14ac:dyDescent="0.3">
      <c r="A286" s="47">
        <f t="shared" si="3"/>
        <v>0</v>
      </c>
      <c r="B286" s="40"/>
      <c r="C286" s="71"/>
      <c r="D286" s="40"/>
      <c r="H286" s="40"/>
      <c r="J286" s="40"/>
      <c r="K286" s="47"/>
      <c r="L286" s="42"/>
    </row>
    <row r="287" spans="1:12" hidden="1" x14ac:dyDescent="0.3">
      <c r="A287" s="47">
        <f t="shared" si="3"/>
        <v>0</v>
      </c>
      <c r="B287" s="40"/>
      <c r="C287" s="71"/>
      <c r="D287" s="40"/>
      <c r="H287" s="40"/>
      <c r="J287" s="40"/>
      <c r="K287" s="47"/>
      <c r="L287" s="42"/>
    </row>
    <row r="288" spans="1:12" hidden="1" x14ac:dyDescent="0.3">
      <c r="A288" s="47">
        <f t="shared" si="3"/>
        <v>0</v>
      </c>
      <c r="B288" s="40"/>
      <c r="C288" s="71"/>
      <c r="D288" s="40"/>
      <c r="H288" s="40"/>
      <c r="J288" s="40"/>
      <c r="K288" s="47"/>
      <c r="L288" s="42"/>
    </row>
    <row r="289" spans="1:12" hidden="1" x14ac:dyDescent="0.3">
      <c r="A289" s="47">
        <f t="shared" si="3"/>
        <v>0</v>
      </c>
      <c r="B289" s="40"/>
      <c r="C289" s="71"/>
      <c r="D289" s="40"/>
      <c r="H289" s="40"/>
      <c r="J289" s="40"/>
      <c r="K289" s="47"/>
      <c r="L289" s="42"/>
    </row>
    <row r="290" spans="1:12" hidden="1" x14ac:dyDescent="0.3">
      <c r="A290" s="47">
        <f t="shared" si="3"/>
        <v>0</v>
      </c>
      <c r="B290" s="40"/>
      <c r="C290" s="71"/>
      <c r="D290" s="40"/>
      <c r="H290" s="40"/>
      <c r="J290" s="40"/>
      <c r="K290" s="47"/>
      <c r="L290" s="42"/>
    </row>
    <row r="291" spans="1:12" hidden="1" x14ac:dyDescent="0.3">
      <c r="A291" s="47">
        <f t="shared" si="3"/>
        <v>0</v>
      </c>
      <c r="B291" s="40"/>
      <c r="C291" s="71"/>
      <c r="D291" s="40"/>
      <c r="H291" s="40"/>
      <c r="J291" s="40"/>
      <c r="K291" s="47"/>
      <c r="L291" s="42"/>
    </row>
    <row r="292" spans="1:12" hidden="1" x14ac:dyDescent="0.3">
      <c r="A292" s="47">
        <f t="shared" si="3"/>
        <v>0</v>
      </c>
      <c r="B292" s="40"/>
      <c r="C292" s="71"/>
      <c r="D292" s="40"/>
      <c r="H292" s="40"/>
      <c r="J292" s="40"/>
      <c r="K292" s="47"/>
      <c r="L292" s="42"/>
    </row>
    <row r="293" spans="1:12" hidden="1" x14ac:dyDescent="0.3">
      <c r="A293" s="47">
        <f t="shared" si="3"/>
        <v>0</v>
      </c>
      <c r="B293" s="40"/>
      <c r="C293" s="71"/>
      <c r="D293" s="40"/>
      <c r="H293" s="40"/>
      <c r="J293" s="40"/>
      <c r="K293" s="47"/>
      <c r="L293" s="42"/>
    </row>
    <row r="294" spans="1:12" hidden="1" x14ac:dyDescent="0.3">
      <c r="A294" s="47">
        <f t="shared" si="3"/>
        <v>0</v>
      </c>
      <c r="B294" s="40"/>
      <c r="C294" s="71"/>
      <c r="D294" s="40"/>
      <c r="H294" s="40"/>
      <c r="J294" s="40"/>
      <c r="K294" s="47"/>
      <c r="L294" s="42"/>
    </row>
    <row r="295" spans="1:12" hidden="1" x14ac:dyDescent="0.3">
      <c r="A295" s="47">
        <f t="shared" si="3"/>
        <v>0</v>
      </c>
      <c r="B295" s="40"/>
      <c r="C295" s="71"/>
      <c r="D295" s="40"/>
      <c r="F295" s="99"/>
      <c r="H295" s="40"/>
      <c r="J295" s="40"/>
      <c r="K295" s="47"/>
      <c r="L295" s="42"/>
    </row>
    <row r="296" spans="1:12" hidden="1" x14ac:dyDescent="0.3">
      <c r="A296" s="47">
        <f t="shared" si="3"/>
        <v>0</v>
      </c>
      <c r="B296" s="40"/>
      <c r="C296" s="71"/>
      <c r="D296" s="40"/>
      <c r="H296" s="40"/>
      <c r="J296" s="40"/>
      <c r="K296" s="47"/>
      <c r="L296" s="42"/>
    </row>
    <row r="297" spans="1:12" hidden="1" x14ac:dyDescent="0.3">
      <c r="A297" s="47">
        <f t="shared" si="3"/>
        <v>0</v>
      </c>
      <c r="B297" s="40"/>
      <c r="C297" s="71"/>
      <c r="D297" s="40"/>
      <c r="H297" s="40"/>
      <c r="J297" s="40"/>
      <c r="K297" s="47"/>
      <c r="L297" s="42"/>
    </row>
    <row r="298" spans="1:12" hidden="1" x14ac:dyDescent="0.3">
      <c r="A298" s="47">
        <f t="shared" si="3"/>
        <v>0</v>
      </c>
      <c r="B298" s="40"/>
      <c r="C298" s="71"/>
      <c r="D298" s="40"/>
      <c r="H298" s="40"/>
      <c r="J298" s="40"/>
      <c r="K298" s="47"/>
      <c r="L298" s="42"/>
    </row>
    <row r="299" spans="1:12" hidden="1" x14ac:dyDescent="0.3">
      <c r="A299" s="47">
        <f t="shared" ref="A299:A323" si="4">K299</f>
        <v>0</v>
      </c>
      <c r="B299" s="40"/>
      <c r="C299" s="71"/>
      <c r="D299" s="40"/>
      <c r="H299" s="40"/>
      <c r="J299" s="40"/>
      <c r="K299" s="47"/>
      <c r="L299" s="42"/>
    </row>
    <row r="300" spans="1:12" hidden="1" x14ac:dyDescent="0.3">
      <c r="A300" s="47">
        <f t="shared" si="4"/>
        <v>0</v>
      </c>
      <c r="B300" s="40"/>
      <c r="C300" s="71"/>
      <c r="D300" s="40"/>
      <c r="H300" s="40"/>
      <c r="J300" s="40"/>
      <c r="K300" s="47"/>
      <c r="L300" s="42"/>
    </row>
    <row r="301" spans="1:12" hidden="1" x14ac:dyDescent="0.3">
      <c r="A301" s="47">
        <f t="shared" si="4"/>
        <v>0</v>
      </c>
      <c r="B301" s="40"/>
      <c r="C301" s="71"/>
      <c r="D301" s="40"/>
      <c r="H301" s="40"/>
      <c r="J301" s="40"/>
      <c r="K301" s="47"/>
      <c r="L301" s="42"/>
    </row>
    <row r="302" spans="1:12" hidden="1" x14ac:dyDescent="0.3">
      <c r="A302" s="47">
        <f t="shared" si="4"/>
        <v>0</v>
      </c>
      <c r="B302" s="40"/>
      <c r="C302" s="71"/>
      <c r="D302" s="40"/>
      <c r="H302" s="40"/>
      <c r="J302" s="40"/>
      <c r="K302" s="47"/>
      <c r="L302" s="42"/>
    </row>
    <row r="303" spans="1:12" hidden="1" x14ac:dyDescent="0.3">
      <c r="A303" s="47">
        <f t="shared" si="4"/>
        <v>0</v>
      </c>
      <c r="B303" s="40"/>
      <c r="C303" s="71"/>
      <c r="D303" s="40"/>
      <c r="H303" s="40"/>
      <c r="J303" s="40"/>
      <c r="K303" s="47"/>
      <c r="L303" s="42"/>
    </row>
    <row r="304" spans="1:12" hidden="1" x14ac:dyDescent="0.3">
      <c r="A304" s="47">
        <f t="shared" si="4"/>
        <v>0</v>
      </c>
      <c r="B304" s="40"/>
      <c r="C304" s="71"/>
      <c r="D304" s="40"/>
      <c r="H304" s="40"/>
      <c r="J304" s="40"/>
      <c r="K304" s="47"/>
      <c r="L304" s="42"/>
    </row>
    <row r="305" spans="1:12" hidden="1" x14ac:dyDescent="0.3">
      <c r="A305" s="47">
        <f t="shared" si="4"/>
        <v>0</v>
      </c>
      <c r="B305" s="40"/>
      <c r="C305" s="71"/>
      <c r="D305" s="40"/>
      <c r="H305" s="40"/>
      <c r="J305" s="40"/>
      <c r="K305" s="47"/>
      <c r="L305" s="42"/>
    </row>
    <row r="306" spans="1:12" hidden="1" x14ac:dyDescent="0.3">
      <c r="A306" s="47">
        <f t="shared" si="4"/>
        <v>0</v>
      </c>
      <c r="B306" s="40"/>
      <c r="C306" s="71"/>
      <c r="D306" s="40"/>
      <c r="F306" s="83"/>
      <c r="H306" s="40"/>
      <c r="J306" s="40"/>
      <c r="K306" s="47"/>
      <c r="L306" s="42"/>
    </row>
    <row r="307" spans="1:12" hidden="1" x14ac:dyDescent="0.3">
      <c r="A307" s="47">
        <f t="shared" si="4"/>
        <v>0</v>
      </c>
      <c r="B307" s="40"/>
      <c r="C307" s="71"/>
      <c r="D307" s="40"/>
      <c r="H307" s="40"/>
      <c r="J307" s="40"/>
      <c r="K307" s="47"/>
      <c r="L307" s="42"/>
    </row>
    <row r="308" spans="1:12" hidden="1" x14ac:dyDescent="0.3">
      <c r="A308" s="47">
        <f t="shared" si="4"/>
        <v>0</v>
      </c>
      <c r="B308" s="40"/>
      <c r="C308" s="71"/>
      <c r="D308" s="40"/>
      <c r="H308" s="40"/>
      <c r="J308" s="40"/>
      <c r="K308" s="47"/>
      <c r="L308" s="42"/>
    </row>
    <row r="309" spans="1:12" hidden="1" x14ac:dyDescent="0.3">
      <c r="A309" s="47">
        <f t="shared" si="4"/>
        <v>0</v>
      </c>
      <c r="B309" s="40"/>
      <c r="C309" s="71"/>
      <c r="D309" s="40"/>
      <c r="H309" s="40"/>
      <c r="J309" s="40"/>
      <c r="K309" s="47"/>
      <c r="L309" s="42"/>
    </row>
    <row r="310" spans="1:12" hidden="1" x14ac:dyDescent="0.3">
      <c r="A310" s="47">
        <f t="shared" si="4"/>
        <v>0</v>
      </c>
      <c r="B310" s="40"/>
      <c r="C310" s="71"/>
      <c r="D310" s="40"/>
      <c r="H310" s="40"/>
      <c r="J310" s="40"/>
      <c r="K310" s="47"/>
      <c r="L310" s="42"/>
    </row>
    <row r="311" spans="1:12" hidden="1" x14ac:dyDescent="0.3">
      <c r="A311" s="47">
        <f t="shared" si="4"/>
        <v>0</v>
      </c>
      <c r="B311" s="40"/>
      <c r="C311" s="71"/>
      <c r="D311" s="40"/>
      <c r="H311" s="40"/>
      <c r="J311" s="40"/>
      <c r="K311" s="47"/>
      <c r="L311" s="42"/>
    </row>
    <row r="312" spans="1:12" hidden="1" x14ac:dyDescent="0.3">
      <c r="A312" s="47">
        <f t="shared" si="4"/>
        <v>0</v>
      </c>
      <c r="B312" s="40"/>
      <c r="C312" s="71"/>
      <c r="D312" s="40"/>
      <c r="H312" s="40"/>
      <c r="J312" s="40"/>
      <c r="K312" s="47"/>
      <c r="L312" s="42"/>
    </row>
    <row r="313" spans="1:12" hidden="1" x14ac:dyDescent="0.3">
      <c r="A313" s="47">
        <f t="shared" si="4"/>
        <v>0</v>
      </c>
      <c r="B313" s="40"/>
      <c r="C313" s="71"/>
      <c r="D313" s="40"/>
      <c r="H313" s="40"/>
      <c r="J313" s="40"/>
      <c r="K313" s="47"/>
      <c r="L313" s="42"/>
    </row>
    <row r="314" spans="1:12" hidden="1" x14ac:dyDescent="0.3">
      <c r="A314" s="47">
        <f t="shared" si="4"/>
        <v>0</v>
      </c>
      <c r="B314" s="40"/>
      <c r="C314" s="71"/>
      <c r="D314" s="40"/>
      <c r="H314" s="40"/>
      <c r="J314" s="40"/>
      <c r="K314" s="47"/>
      <c r="L314" s="42"/>
    </row>
    <row r="315" spans="1:12" hidden="1" x14ac:dyDescent="0.3">
      <c r="A315" s="47">
        <f t="shared" si="4"/>
        <v>0</v>
      </c>
      <c r="B315" s="40"/>
      <c r="C315" s="71"/>
      <c r="D315" s="40"/>
      <c r="H315" s="40"/>
      <c r="J315" s="40"/>
      <c r="K315" s="47"/>
      <c r="L315" s="42"/>
    </row>
    <row r="316" spans="1:12" hidden="1" x14ac:dyDescent="0.3">
      <c r="A316" s="47">
        <f t="shared" si="4"/>
        <v>0</v>
      </c>
      <c r="B316" s="40"/>
      <c r="C316" s="71"/>
      <c r="D316" s="40"/>
      <c r="H316" s="40"/>
      <c r="J316" s="40"/>
      <c r="K316" s="47"/>
      <c r="L316" s="42"/>
    </row>
    <row r="317" spans="1:12" hidden="1" x14ac:dyDescent="0.3">
      <c r="A317" s="47">
        <f t="shared" si="4"/>
        <v>0</v>
      </c>
      <c r="B317" s="40"/>
      <c r="C317" s="71"/>
      <c r="D317" s="40"/>
      <c r="H317" s="40"/>
      <c r="J317" s="40"/>
      <c r="K317" s="47"/>
      <c r="L317" s="42"/>
    </row>
    <row r="318" spans="1:12" hidden="1" x14ac:dyDescent="0.3">
      <c r="A318" s="47">
        <f t="shared" si="4"/>
        <v>0</v>
      </c>
      <c r="B318" s="40"/>
      <c r="C318" s="71"/>
      <c r="D318" s="40"/>
      <c r="H318" s="40"/>
      <c r="J318" s="40"/>
      <c r="K318" s="47"/>
      <c r="L318" s="42"/>
    </row>
    <row r="319" spans="1:12" hidden="1" x14ac:dyDescent="0.3">
      <c r="A319" s="47">
        <f t="shared" si="4"/>
        <v>0</v>
      </c>
      <c r="B319" s="40"/>
      <c r="C319" s="71"/>
      <c r="D319" s="40"/>
      <c r="H319" s="40"/>
      <c r="J319" s="40"/>
      <c r="K319" s="47"/>
      <c r="L319" s="42"/>
    </row>
    <row r="320" spans="1:12" hidden="1" x14ac:dyDescent="0.3">
      <c r="A320" s="47">
        <f t="shared" si="4"/>
        <v>0</v>
      </c>
      <c r="B320" s="40"/>
      <c r="C320" s="71"/>
      <c r="D320" s="40"/>
      <c r="H320" s="40"/>
      <c r="J320" s="40"/>
      <c r="K320" s="47"/>
      <c r="L320" s="42"/>
    </row>
    <row r="321" spans="1:12" hidden="1" x14ac:dyDescent="0.3">
      <c r="A321" s="47">
        <f t="shared" si="4"/>
        <v>0</v>
      </c>
      <c r="B321" s="40"/>
      <c r="C321" s="71"/>
      <c r="D321" s="40"/>
      <c r="H321" s="40"/>
      <c r="J321" s="40"/>
      <c r="K321" s="47"/>
      <c r="L321" s="42"/>
    </row>
    <row r="322" spans="1:12" hidden="1" x14ac:dyDescent="0.3">
      <c r="A322" s="47">
        <f t="shared" si="4"/>
        <v>0</v>
      </c>
      <c r="B322" s="40"/>
      <c r="C322" s="71"/>
      <c r="D322" s="40"/>
      <c r="H322" s="40"/>
      <c r="I322">
        <v>0</v>
      </c>
      <c r="J322" s="40">
        <v>0</v>
      </c>
      <c r="K322" s="47">
        <v>0</v>
      </c>
      <c r="L322" s="42"/>
    </row>
    <row r="323" spans="1:12" hidden="1" x14ac:dyDescent="0.3">
      <c r="A323" s="47">
        <f t="shared" si="4"/>
        <v>0</v>
      </c>
      <c r="B323" s="40"/>
      <c r="C323" s="71"/>
      <c r="D323" s="40"/>
      <c r="H323" s="40"/>
      <c r="I323">
        <v>0</v>
      </c>
      <c r="J323" s="40">
        <v>0</v>
      </c>
      <c r="K323" s="47">
        <v>0</v>
      </c>
      <c r="L323" s="42"/>
    </row>
    <row r="324" spans="1:12" hidden="1" x14ac:dyDescent="0.3">
      <c r="A324" s="47"/>
      <c r="B324" s="40"/>
      <c r="C324" s="71"/>
      <c r="D324" s="40"/>
      <c r="H324" s="40"/>
      <c r="J324" s="40"/>
      <c r="K324" s="47"/>
      <c r="L324" s="42"/>
    </row>
    <row r="325" spans="1:12" x14ac:dyDescent="0.3">
      <c r="A325" s="76"/>
      <c r="B325" s="45"/>
      <c r="C325" s="77"/>
      <c r="D325" s="45"/>
      <c r="E325" s="78"/>
      <c r="F325" s="78"/>
      <c r="G325" s="78"/>
      <c r="H325" s="45"/>
      <c r="I325" s="78"/>
      <c r="J325" s="45"/>
      <c r="K325" s="76"/>
      <c r="L325" s="79"/>
    </row>
    <row r="326" spans="1:12" x14ac:dyDescent="0.3">
      <c r="A326" s="80"/>
      <c r="B326" s="81"/>
      <c r="C326" s="82"/>
      <c r="D326" s="81"/>
      <c r="E326" s="83"/>
      <c r="F326" s="83"/>
      <c r="G326" s="83"/>
      <c r="H326" s="81"/>
      <c r="I326" s="83"/>
      <c r="J326" s="81"/>
      <c r="K326" s="80"/>
      <c r="L326" s="84"/>
    </row>
    <row r="327" spans="1:12" x14ac:dyDescent="0.3">
      <c r="A327" s="47"/>
      <c r="B327" s="40"/>
      <c r="C327" s="71"/>
      <c r="D327" s="40"/>
      <c r="H327" s="40"/>
      <c r="J327" s="40"/>
      <c r="K327" s="47"/>
      <c r="L327" s="42"/>
    </row>
    <row r="328" spans="1:12" x14ac:dyDescent="0.3">
      <c r="A328" s="47"/>
      <c r="B328" s="40"/>
      <c r="C328" s="71"/>
      <c r="D328" s="40"/>
      <c r="H328" s="40"/>
      <c r="J328" s="40"/>
      <c r="K328" s="47"/>
      <c r="L328" s="42"/>
    </row>
    <row r="329" spans="1:12" x14ac:dyDescent="0.3">
      <c r="A329" s="47"/>
      <c r="B329" s="40"/>
      <c r="C329" s="71"/>
      <c r="D329" s="40"/>
      <c r="H329" s="40"/>
      <c r="J329" s="40"/>
      <c r="K329" s="47"/>
      <c r="L329" s="42"/>
    </row>
    <row r="330" spans="1:12" x14ac:dyDescent="0.3">
      <c r="A330" s="47"/>
      <c r="B330" s="40"/>
      <c r="C330" s="71"/>
      <c r="D330" s="40"/>
      <c r="H330" s="40"/>
      <c r="J330" s="40"/>
      <c r="K330" s="47"/>
      <c r="L330" s="42"/>
    </row>
    <row r="331" spans="1:12" x14ac:dyDescent="0.3">
      <c r="A331" s="47"/>
      <c r="B331" s="40"/>
      <c r="C331" s="71"/>
      <c r="D331" s="40"/>
      <c r="H331" s="40"/>
      <c r="J331" s="40"/>
      <c r="K331" s="47"/>
      <c r="L331" s="42"/>
    </row>
    <row r="332" spans="1:12" x14ac:dyDescent="0.3">
      <c r="A332" s="47"/>
      <c r="B332" s="40"/>
      <c r="C332" s="71"/>
      <c r="D332" s="40"/>
      <c r="H332" s="40"/>
      <c r="J332" s="40"/>
      <c r="K332" s="47"/>
      <c r="L332" s="42"/>
    </row>
    <row r="333" spans="1:12" x14ac:dyDescent="0.3">
      <c r="A333" s="47"/>
      <c r="B333" s="40"/>
      <c r="C333" s="71"/>
      <c r="D333" s="40"/>
      <c r="H333" s="40"/>
      <c r="J333" s="40"/>
      <c r="K333" s="47"/>
      <c r="L333" s="42"/>
    </row>
    <row r="334" spans="1:12" x14ac:dyDescent="0.3">
      <c r="A334" s="47"/>
      <c r="B334" s="40"/>
      <c r="C334" s="71"/>
      <c r="D334" s="40"/>
      <c r="H334" s="40"/>
      <c r="J334" s="40"/>
      <c r="K334" s="47"/>
      <c r="L334" s="42"/>
    </row>
    <row r="335" spans="1:12" x14ac:dyDescent="0.3">
      <c r="A335" s="47"/>
      <c r="B335" s="40"/>
      <c r="C335" s="71"/>
      <c r="D335" s="40"/>
      <c r="H335" s="40"/>
      <c r="J335" s="40"/>
      <c r="K335" s="47"/>
      <c r="L335" s="42"/>
    </row>
    <row r="336" spans="1:12" x14ac:dyDescent="0.3">
      <c r="A336" s="47"/>
      <c r="B336" s="40"/>
      <c r="C336" s="71"/>
      <c r="D336" s="40"/>
      <c r="H336" s="40"/>
      <c r="J336" s="40"/>
      <c r="K336" s="47"/>
      <c r="L336" s="42"/>
    </row>
    <row r="337" spans="1:12" x14ac:dyDescent="0.3">
      <c r="A337" s="47"/>
      <c r="B337" s="40"/>
      <c r="C337" s="71"/>
      <c r="D337" s="40"/>
      <c r="H337" s="40"/>
      <c r="J337" s="40"/>
      <c r="K337" s="47"/>
      <c r="L337" s="42"/>
    </row>
    <row r="338" spans="1:12" x14ac:dyDescent="0.3">
      <c r="A338" s="47"/>
      <c r="B338" s="40"/>
      <c r="C338" s="71"/>
      <c r="D338" s="40"/>
      <c r="H338" s="40"/>
      <c r="J338" s="40"/>
      <c r="K338" s="47"/>
      <c r="L338" s="42"/>
    </row>
    <row r="339" spans="1:12" x14ac:dyDescent="0.3">
      <c r="A339" s="47"/>
      <c r="B339" s="40"/>
      <c r="C339" s="71"/>
      <c r="D339" s="40"/>
      <c r="H339" s="40"/>
      <c r="J339" s="40"/>
      <c r="K339" s="47"/>
      <c r="L339" s="42"/>
    </row>
    <row r="340" spans="1:12" x14ac:dyDescent="0.3">
      <c r="A340" s="47"/>
      <c r="B340" s="40"/>
      <c r="C340" s="71"/>
      <c r="D340" s="40"/>
      <c r="H340" s="40"/>
      <c r="J340" s="40"/>
      <c r="K340" s="47"/>
      <c r="L340" s="42"/>
    </row>
    <row r="341" spans="1:12" x14ac:dyDescent="0.3">
      <c r="A341" s="47"/>
      <c r="B341" s="40"/>
      <c r="C341" s="71"/>
      <c r="D341" s="40"/>
      <c r="H341" s="40"/>
      <c r="J341" s="40"/>
      <c r="K341" s="47"/>
      <c r="L341" s="42"/>
    </row>
    <row r="342" spans="1:12" x14ac:dyDescent="0.3">
      <c r="A342" s="47"/>
      <c r="B342" s="40"/>
      <c r="C342" s="71"/>
      <c r="D342" s="40"/>
      <c r="H342" s="40"/>
      <c r="J342" s="40"/>
      <c r="K342" s="47"/>
      <c r="L342" s="42"/>
    </row>
    <row r="343" spans="1:12" x14ac:dyDescent="0.3">
      <c r="A343" s="47"/>
      <c r="B343" s="40"/>
      <c r="C343" s="71"/>
      <c r="D343" s="40"/>
      <c r="H343" s="40"/>
      <c r="J343" s="40"/>
      <c r="K343" s="47"/>
      <c r="L343" s="42"/>
    </row>
    <row r="344" spans="1:12" x14ac:dyDescent="0.3">
      <c r="A344" s="47"/>
      <c r="B344" s="40"/>
      <c r="C344" s="71"/>
      <c r="D344" s="40"/>
      <c r="H344" s="40"/>
      <c r="J344" s="40"/>
      <c r="K344" s="47"/>
      <c r="L344" s="42"/>
    </row>
    <row r="345" spans="1:12" x14ac:dyDescent="0.3">
      <c r="A345" s="47"/>
      <c r="B345" s="40"/>
      <c r="C345" s="71"/>
      <c r="D345" s="40"/>
      <c r="H345" s="40"/>
      <c r="J345" s="40"/>
      <c r="K345" s="47"/>
      <c r="L345" s="42"/>
    </row>
    <row r="346" spans="1:12" x14ac:dyDescent="0.3">
      <c r="A346" s="47"/>
      <c r="B346" s="40"/>
      <c r="C346" s="71"/>
      <c r="D346" s="40"/>
      <c r="H346" s="40"/>
      <c r="J346" s="40"/>
      <c r="K346" s="47"/>
      <c r="L346" s="42"/>
    </row>
    <row r="347" spans="1:12" x14ac:dyDescent="0.3">
      <c r="A347" s="47"/>
      <c r="B347" s="40"/>
      <c r="C347" s="71"/>
      <c r="D347" s="40"/>
      <c r="H347" s="40"/>
      <c r="J347" s="40"/>
      <c r="K347" s="47"/>
      <c r="L347" s="42"/>
    </row>
    <row r="348" spans="1:12" x14ac:dyDescent="0.3">
      <c r="A348" s="47"/>
      <c r="B348" s="40"/>
      <c r="C348" s="71"/>
      <c r="D348" s="40"/>
      <c r="H348" s="40"/>
      <c r="J348" s="40"/>
      <c r="K348" s="47"/>
      <c r="L348" s="42"/>
    </row>
    <row r="349" spans="1:12" x14ac:dyDescent="0.3">
      <c r="A349" s="47"/>
      <c r="B349" s="40"/>
      <c r="C349" s="71"/>
      <c r="D349" s="40"/>
      <c r="H349" s="40"/>
      <c r="J349" s="40"/>
      <c r="K349" s="47"/>
      <c r="L349" s="42"/>
    </row>
    <row r="350" spans="1:12" x14ac:dyDescent="0.3">
      <c r="A350" s="47"/>
      <c r="B350" s="40"/>
      <c r="C350" s="71"/>
      <c r="D350" s="40"/>
      <c r="H350" s="40"/>
      <c r="J350" s="40"/>
      <c r="K350" s="47"/>
      <c r="L350" s="42"/>
    </row>
    <row r="351" spans="1:12" x14ac:dyDescent="0.3">
      <c r="A351" s="47"/>
      <c r="B351" s="40"/>
      <c r="C351" s="71"/>
      <c r="D351" s="40"/>
      <c r="H351" s="40"/>
      <c r="J351" s="40"/>
      <c r="K351" s="47"/>
      <c r="L351" s="42"/>
    </row>
    <row r="352" spans="1:12" x14ac:dyDescent="0.3">
      <c r="A352" s="47"/>
      <c r="B352" s="40"/>
      <c r="C352" s="71"/>
      <c r="D352" s="40"/>
      <c r="H352" s="40"/>
      <c r="J352" s="40"/>
      <c r="K352" s="47"/>
      <c r="L352" s="42"/>
    </row>
    <row r="353" spans="1:12" x14ac:dyDescent="0.3">
      <c r="A353" s="47"/>
      <c r="B353" s="40"/>
      <c r="C353" s="71"/>
      <c r="D353" s="40"/>
      <c r="H353" s="40"/>
      <c r="J353" s="40"/>
      <c r="K353" s="47"/>
      <c r="L353" s="42"/>
    </row>
    <row r="354" spans="1:12" x14ac:dyDescent="0.3">
      <c r="A354" s="47"/>
      <c r="B354" s="40"/>
      <c r="C354" s="71"/>
      <c r="D354" s="40"/>
      <c r="H354" s="40"/>
      <c r="J354" s="40"/>
      <c r="K354" s="47"/>
      <c r="L354" s="42"/>
    </row>
    <row r="355" spans="1:12" x14ac:dyDescent="0.3">
      <c r="A355" s="47"/>
      <c r="B355" s="40"/>
      <c r="C355" s="71"/>
      <c r="D355" s="40"/>
      <c r="H355" s="40"/>
      <c r="J355" s="40"/>
      <c r="K355" s="47"/>
      <c r="L355" s="42"/>
    </row>
    <row r="356" spans="1:12" x14ac:dyDescent="0.3">
      <c r="A356" s="47"/>
      <c r="B356" s="40"/>
      <c r="C356" s="71"/>
      <c r="D356" s="40"/>
      <c r="H356" s="40"/>
      <c r="J356" s="40"/>
      <c r="K356" s="47"/>
      <c r="L356" s="42"/>
    </row>
    <row r="357" spans="1:12" x14ac:dyDescent="0.3">
      <c r="A357" s="47"/>
      <c r="B357" s="40"/>
      <c r="C357" s="71"/>
      <c r="D357" s="40"/>
      <c r="H357" s="40"/>
      <c r="J357" s="40"/>
      <c r="K357" s="47"/>
      <c r="L357" s="42"/>
    </row>
    <row r="358" spans="1:12" x14ac:dyDescent="0.3">
      <c r="A358" s="47"/>
      <c r="B358" s="40"/>
      <c r="C358" s="71"/>
      <c r="D358" s="40"/>
      <c r="H358" s="40"/>
      <c r="J358" s="40"/>
      <c r="K358" s="47"/>
      <c r="L358" s="42"/>
    </row>
    <row r="359" spans="1:12" x14ac:dyDescent="0.3">
      <c r="A359" s="47"/>
      <c r="B359" s="40"/>
      <c r="C359" s="71"/>
      <c r="D359" s="40"/>
      <c r="H359" s="40"/>
      <c r="J359" s="40"/>
      <c r="K359" s="47"/>
      <c r="L359" s="42"/>
    </row>
    <row r="360" spans="1:12" x14ac:dyDescent="0.3">
      <c r="A360" s="47"/>
      <c r="B360" s="40"/>
      <c r="C360" s="71"/>
      <c r="D360" s="40"/>
      <c r="H360" s="40"/>
      <c r="J360" s="40"/>
      <c r="K360" s="47"/>
      <c r="L360" s="42"/>
    </row>
    <row r="361" spans="1:12" x14ac:dyDescent="0.3">
      <c r="A361" s="47"/>
      <c r="B361" s="40"/>
      <c r="C361" s="71"/>
      <c r="D361" s="40"/>
      <c r="H361" s="40"/>
      <c r="J361" s="40"/>
      <c r="K361" s="47"/>
      <c r="L361" s="42"/>
    </row>
    <row r="362" spans="1:12" x14ac:dyDescent="0.3">
      <c r="A362" s="47"/>
      <c r="B362" s="40"/>
      <c r="C362" s="71"/>
      <c r="D362" s="40"/>
      <c r="H362" s="40"/>
      <c r="J362" s="40"/>
      <c r="K362" s="47"/>
      <c r="L362" s="42"/>
    </row>
    <row r="363" spans="1:12" x14ac:dyDescent="0.3">
      <c r="A363" s="47"/>
      <c r="B363" s="40"/>
      <c r="C363" s="71"/>
      <c r="D363" s="40"/>
      <c r="H363" s="40"/>
      <c r="J363" s="40"/>
      <c r="K363" s="47"/>
      <c r="L363" s="42"/>
    </row>
    <row r="364" spans="1:12" x14ac:dyDescent="0.3">
      <c r="A364" s="47"/>
      <c r="B364" s="40"/>
      <c r="C364" s="71"/>
      <c r="D364" s="40"/>
      <c r="H364" s="40"/>
      <c r="J364" s="40"/>
      <c r="K364" s="47"/>
      <c r="L364" s="42"/>
    </row>
  </sheetData>
  <autoFilter ref="A2:L324">
    <filterColumn colId="3">
      <filters>
        <filter val="2"/>
      </filters>
    </filterColumn>
    <sortState ref="A4:L151">
      <sortCondition descending="1" ref="B2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3:E63"/>
  <sheetViews>
    <sheetView topLeftCell="A22" zoomScale="80" zoomScaleNormal="80" workbookViewId="0">
      <selection activeCell="B12" activeCellId="1" sqref="B8:C8 B12:C12"/>
      <pivotSelection pane="bottomRight" showHeader="1" extendable="1" axis="axisRow" dimension="1" start="8" min="8" max="9" activeRow="11" activeCol="1" previousRow="11" previousCol="1" click="1" r:id="rId1">
        <pivotArea dataOnly="0" outline="0" fieldPosition="0">
          <references count="1">
            <reference field="6" count="1">
              <x v="0"/>
            </reference>
          </references>
        </pivotArea>
      </pivotSelection>
    </sheetView>
  </sheetViews>
  <sheetFormatPr baseColWidth="10" defaultRowHeight="14.4" x14ac:dyDescent="0.3"/>
  <cols>
    <col min="1" max="1" width="40.109375" customWidth="1"/>
    <col min="2" max="2" width="14.6640625" customWidth="1"/>
    <col min="3" max="3" width="18.44140625" customWidth="1"/>
    <col min="4" max="4" width="19.109375" customWidth="1"/>
    <col min="5" max="5" width="11.5546875" customWidth="1"/>
    <col min="6" max="6" width="15.5546875" customWidth="1"/>
    <col min="7" max="7" width="12.33203125" customWidth="1"/>
    <col min="8" max="8" width="9.88671875" customWidth="1"/>
    <col min="9" max="10" width="11" customWidth="1"/>
    <col min="11" max="16" width="17.109375" bestFit="1" customWidth="1"/>
  </cols>
  <sheetData>
    <row r="3" spans="1:3" x14ac:dyDescent="0.3">
      <c r="A3" s="15" t="s">
        <v>80</v>
      </c>
      <c r="B3" s="15" t="s">
        <v>81</v>
      </c>
      <c r="C3" t="s">
        <v>111</v>
      </c>
    </row>
    <row r="4" spans="1:3" x14ac:dyDescent="0.3">
      <c r="A4" t="s">
        <v>140</v>
      </c>
      <c r="B4" t="s">
        <v>90</v>
      </c>
      <c r="C4" s="85">
        <v>5</v>
      </c>
    </row>
    <row r="5" spans="1:3" x14ac:dyDescent="0.3">
      <c r="A5" t="s">
        <v>30</v>
      </c>
      <c r="B5" t="s">
        <v>90</v>
      </c>
      <c r="C5" s="85">
        <v>2</v>
      </c>
    </row>
    <row r="6" spans="1:3" x14ac:dyDescent="0.3">
      <c r="A6" t="s">
        <v>148</v>
      </c>
      <c r="B6" t="s">
        <v>90</v>
      </c>
      <c r="C6" s="85">
        <v>5</v>
      </c>
    </row>
    <row r="7" spans="1:3" x14ac:dyDescent="0.3">
      <c r="A7" t="s">
        <v>65</v>
      </c>
      <c r="B7" t="s">
        <v>88</v>
      </c>
      <c r="C7" s="85">
        <v>5</v>
      </c>
    </row>
    <row r="8" spans="1:3" x14ac:dyDescent="0.3">
      <c r="A8" t="s">
        <v>39</v>
      </c>
      <c r="B8" t="s">
        <v>85</v>
      </c>
      <c r="C8" s="85">
        <v>5</v>
      </c>
    </row>
    <row r="9" spans="1:3" x14ac:dyDescent="0.3">
      <c r="A9" t="s">
        <v>25</v>
      </c>
      <c r="B9" t="s">
        <v>90</v>
      </c>
      <c r="C9" s="85">
        <v>5</v>
      </c>
    </row>
    <row r="10" spans="1:3" x14ac:dyDescent="0.3">
      <c r="A10" t="s">
        <v>34</v>
      </c>
      <c r="B10" t="s">
        <v>90</v>
      </c>
      <c r="C10" s="85">
        <v>4</v>
      </c>
    </row>
    <row r="11" spans="1:3" x14ac:dyDescent="0.3">
      <c r="A11" t="s">
        <v>69</v>
      </c>
      <c r="B11" t="s">
        <v>90</v>
      </c>
      <c r="C11" s="85">
        <v>5</v>
      </c>
    </row>
    <row r="12" spans="1:3" x14ac:dyDescent="0.3">
      <c r="A12" t="s">
        <v>53</v>
      </c>
      <c r="B12" t="s">
        <v>85</v>
      </c>
      <c r="C12" s="85">
        <v>5</v>
      </c>
    </row>
    <row r="13" spans="1:3" x14ac:dyDescent="0.3">
      <c r="A13" t="s">
        <v>57</v>
      </c>
      <c r="B13" t="s">
        <v>90</v>
      </c>
      <c r="C13" s="85">
        <v>5</v>
      </c>
    </row>
    <row r="14" spans="1:3" x14ac:dyDescent="0.3">
      <c r="A14" t="s">
        <v>55</v>
      </c>
      <c r="B14" t="s">
        <v>89</v>
      </c>
      <c r="C14" s="85">
        <v>2</v>
      </c>
    </row>
    <row r="15" spans="1:3" x14ac:dyDescent="0.3">
      <c r="A15" t="s">
        <v>55</v>
      </c>
      <c r="B15" t="s">
        <v>90</v>
      </c>
      <c r="C15" s="85">
        <v>1</v>
      </c>
    </row>
    <row r="16" spans="1:3" x14ac:dyDescent="0.3">
      <c r="A16" t="s">
        <v>51</v>
      </c>
      <c r="B16" t="s">
        <v>88</v>
      </c>
      <c r="C16" s="85">
        <v>3</v>
      </c>
    </row>
    <row r="17" spans="1:3" x14ac:dyDescent="0.3">
      <c r="A17" t="s">
        <v>37</v>
      </c>
      <c r="B17" t="s">
        <v>88</v>
      </c>
      <c r="C17" s="85">
        <v>2</v>
      </c>
    </row>
    <row r="18" spans="1:3" x14ac:dyDescent="0.3">
      <c r="A18" t="s">
        <v>37</v>
      </c>
      <c r="B18" t="s">
        <v>90</v>
      </c>
      <c r="C18" s="85">
        <v>1</v>
      </c>
    </row>
    <row r="19" spans="1:3" x14ac:dyDescent="0.3">
      <c r="A19" t="s">
        <v>35</v>
      </c>
      <c r="B19" t="s">
        <v>90</v>
      </c>
      <c r="C19" s="85">
        <v>5</v>
      </c>
    </row>
    <row r="20" spans="1:3" x14ac:dyDescent="0.3">
      <c r="A20" t="s">
        <v>32</v>
      </c>
      <c r="B20" t="s">
        <v>89</v>
      </c>
      <c r="C20" s="85">
        <v>2</v>
      </c>
    </row>
    <row r="21" spans="1:3" x14ac:dyDescent="0.3">
      <c r="A21" t="s">
        <v>32</v>
      </c>
      <c r="B21" t="s">
        <v>90</v>
      </c>
      <c r="C21" s="85">
        <v>3</v>
      </c>
    </row>
    <row r="22" spans="1:3" x14ac:dyDescent="0.3">
      <c r="A22" t="s">
        <v>28</v>
      </c>
      <c r="B22" t="s">
        <v>87</v>
      </c>
      <c r="C22" s="85">
        <v>5</v>
      </c>
    </row>
    <row r="23" spans="1:3" x14ac:dyDescent="0.3">
      <c r="A23" t="s">
        <v>31</v>
      </c>
      <c r="B23" t="s">
        <v>87</v>
      </c>
      <c r="C23" s="85">
        <v>2</v>
      </c>
    </row>
    <row r="24" spans="1:3" x14ac:dyDescent="0.3">
      <c r="A24" t="s">
        <v>22</v>
      </c>
      <c r="B24" t="s">
        <v>91</v>
      </c>
      <c r="C24" s="85">
        <v>5</v>
      </c>
    </row>
    <row r="25" spans="1:3" x14ac:dyDescent="0.3">
      <c r="A25" t="s">
        <v>33</v>
      </c>
      <c r="B25" t="s">
        <v>86</v>
      </c>
      <c r="C25" s="85">
        <v>5</v>
      </c>
    </row>
    <row r="26" spans="1:3" x14ac:dyDescent="0.3">
      <c r="A26" t="s">
        <v>147</v>
      </c>
      <c r="B26" t="s">
        <v>89</v>
      </c>
      <c r="C26" s="85">
        <v>3</v>
      </c>
    </row>
    <row r="27" spans="1:3" x14ac:dyDescent="0.3">
      <c r="A27" t="s">
        <v>147</v>
      </c>
      <c r="B27" t="s">
        <v>90</v>
      </c>
      <c r="C27" s="85">
        <v>2</v>
      </c>
    </row>
    <row r="28" spans="1:3" x14ac:dyDescent="0.3">
      <c r="A28" t="s">
        <v>59</v>
      </c>
      <c r="B28" t="s">
        <v>87</v>
      </c>
      <c r="C28" s="85">
        <v>3</v>
      </c>
    </row>
    <row r="29" spans="1:3" x14ac:dyDescent="0.3">
      <c r="A29" t="s">
        <v>59</v>
      </c>
      <c r="B29" t="s">
        <v>90</v>
      </c>
      <c r="C29" s="85">
        <v>2</v>
      </c>
    </row>
    <row r="30" spans="1:3" x14ac:dyDescent="0.3">
      <c r="A30" t="s">
        <v>149</v>
      </c>
      <c r="B30" t="s">
        <v>90</v>
      </c>
      <c r="C30" s="85">
        <v>5</v>
      </c>
    </row>
    <row r="31" spans="1:3" x14ac:dyDescent="0.3">
      <c r="A31" t="s">
        <v>45</v>
      </c>
      <c r="B31" t="s">
        <v>91</v>
      </c>
      <c r="C31" s="85">
        <v>5</v>
      </c>
    </row>
    <row r="32" spans="1:3" x14ac:dyDescent="0.3">
      <c r="A32" t="s">
        <v>154</v>
      </c>
      <c r="B32" t="s">
        <v>90</v>
      </c>
      <c r="C32" s="85">
        <v>5</v>
      </c>
    </row>
    <row r="33" spans="1:3" x14ac:dyDescent="0.3">
      <c r="A33" t="s">
        <v>40</v>
      </c>
      <c r="B33" t="s">
        <v>90</v>
      </c>
      <c r="C33" s="85">
        <v>3</v>
      </c>
    </row>
    <row r="34" spans="1:3" x14ac:dyDescent="0.3">
      <c r="A34" t="s">
        <v>143</v>
      </c>
      <c r="B34" t="s">
        <v>90</v>
      </c>
      <c r="C34" s="85">
        <v>1</v>
      </c>
    </row>
    <row r="35" spans="1:3" x14ac:dyDescent="0.3">
      <c r="A35" t="s">
        <v>26</v>
      </c>
      <c r="B35" t="s">
        <v>87</v>
      </c>
      <c r="C35" s="85">
        <v>5</v>
      </c>
    </row>
    <row r="36" spans="1:3" x14ac:dyDescent="0.3">
      <c r="A36" t="s">
        <v>49</v>
      </c>
      <c r="B36" t="s">
        <v>90</v>
      </c>
      <c r="C36" s="85">
        <v>3</v>
      </c>
    </row>
    <row r="37" spans="1:3" x14ac:dyDescent="0.3">
      <c r="A37" t="s">
        <v>47</v>
      </c>
      <c r="B37" t="s">
        <v>86</v>
      </c>
      <c r="C37" s="85">
        <v>5</v>
      </c>
    </row>
    <row r="38" spans="1:3" x14ac:dyDescent="0.3">
      <c r="A38" t="s">
        <v>27</v>
      </c>
      <c r="B38" t="s">
        <v>87</v>
      </c>
      <c r="C38" s="85">
        <v>5</v>
      </c>
    </row>
    <row r="39" spans="1:3" x14ac:dyDescent="0.3">
      <c r="A39" t="s">
        <v>38</v>
      </c>
      <c r="B39" t="s">
        <v>89</v>
      </c>
      <c r="C39" s="85">
        <v>3</v>
      </c>
    </row>
    <row r="40" spans="1:3" x14ac:dyDescent="0.3">
      <c r="A40" t="s">
        <v>38</v>
      </c>
      <c r="B40" t="s">
        <v>90</v>
      </c>
      <c r="C40" s="85">
        <v>2</v>
      </c>
    </row>
    <row r="41" spans="1:3" x14ac:dyDescent="0.3">
      <c r="A41" t="s">
        <v>24</v>
      </c>
      <c r="B41" t="s">
        <v>90</v>
      </c>
      <c r="C41" s="85">
        <v>2</v>
      </c>
    </row>
    <row r="42" spans="1:3" x14ac:dyDescent="0.3">
      <c r="A42" t="s">
        <v>145</v>
      </c>
      <c r="B42" t="s">
        <v>90</v>
      </c>
      <c r="C42" s="85">
        <v>4</v>
      </c>
    </row>
    <row r="57" spans="3:5" x14ac:dyDescent="0.3">
      <c r="C57" s="85"/>
      <c r="E57" s="85"/>
    </row>
    <row r="58" spans="3:5" x14ac:dyDescent="0.3">
      <c r="C58" s="85"/>
      <c r="E58" s="85"/>
    </row>
    <row r="59" spans="3:5" x14ac:dyDescent="0.3">
      <c r="C59" s="85"/>
      <c r="E59" s="85"/>
    </row>
    <row r="60" spans="3:5" x14ac:dyDescent="0.3">
      <c r="C60" s="85"/>
      <c r="E60" s="85"/>
    </row>
    <row r="61" spans="3:5" x14ac:dyDescent="0.3">
      <c r="C61" s="85"/>
      <c r="E61" s="85"/>
    </row>
    <row r="62" spans="3:5" x14ac:dyDescent="0.3">
      <c r="C62" s="85"/>
      <c r="E62" s="85"/>
    </row>
    <row r="63" spans="3:5" x14ac:dyDescent="0.3">
      <c r="C63" s="85"/>
      <c r="E63" s="8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67"/>
  <sheetViews>
    <sheetView tabSelected="1" topLeftCell="A4" zoomScale="80" zoomScaleNormal="80" workbookViewId="0">
      <selection activeCell="G27" sqref="G27"/>
    </sheetView>
  </sheetViews>
  <sheetFormatPr baseColWidth="10" defaultColWidth="10.6640625" defaultRowHeight="14.4" x14ac:dyDescent="0.3"/>
  <cols>
    <col min="1" max="1" width="40.109375" customWidth="1"/>
    <col min="2" max="2" width="14.6640625" customWidth="1"/>
    <col min="3" max="3" width="13.88671875" customWidth="1"/>
    <col min="4" max="4" width="6.88671875" customWidth="1"/>
    <col min="5" max="5" width="40.109375" customWidth="1"/>
    <col min="6" max="6" width="14.6640625" customWidth="1"/>
    <col min="7" max="7" width="13.88671875" customWidth="1"/>
    <col min="8" max="8" width="9.88671875" customWidth="1"/>
    <col min="9" max="10" width="11" customWidth="1"/>
    <col min="11" max="11" width="17.109375" bestFit="1" customWidth="1"/>
    <col min="12" max="12" width="9.88671875" bestFit="1" customWidth="1"/>
    <col min="13" max="13" width="5.109375" bestFit="1" customWidth="1"/>
    <col min="14" max="14" width="5.5546875" bestFit="1" customWidth="1"/>
    <col min="15" max="15" width="12.6640625" bestFit="1" customWidth="1"/>
    <col min="16" max="16" width="21.5546875" bestFit="1" customWidth="1"/>
    <col min="17" max="17" width="20.88671875" bestFit="1" customWidth="1"/>
  </cols>
  <sheetData>
    <row r="1" spans="1:19" ht="31.2" x14ac:dyDescent="0.6">
      <c r="A1" s="95" t="s">
        <v>116</v>
      </c>
      <c r="E1" s="95" t="s">
        <v>117</v>
      </c>
      <c r="L1" t="s">
        <v>118</v>
      </c>
      <c r="M1" t="s">
        <v>119</v>
      </c>
      <c r="N1" t="s">
        <v>120</v>
      </c>
    </row>
    <row r="2" spans="1:19" ht="18" x14ac:dyDescent="0.35">
      <c r="A2" s="96" t="s">
        <v>121</v>
      </c>
      <c r="E2" s="96" t="s">
        <v>121</v>
      </c>
      <c r="L2" s="97">
        <f>IF(Reg_Partic_Pesc!C3=0," ",DAY(Reg_Partic_Pesc!C3))</f>
        <v>17</v>
      </c>
      <c r="M2" s="97">
        <f>IF(L2=" "," ",MONTH(Reg_Partic_Pesc!C3))</f>
        <v>1</v>
      </c>
      <c r="N2" s="97">
        <f>IF(L2=" "," ",YEAR(Reg_Partic_Pesc!C3))</f>
        <v>2018</v>
      </c>
      <c r="O2" s="13" t="str">
        <f>IF(L2=" "," ",IF(L2=0," ",VLOOKUP(M2,R:S,2,FALSE)))</f>
        <v>ENERO</v>
      </c>
      <c r="P2" s="13" t="str">
        <f>IF(O2=" "," ",CONCATENATE(O2," DEL ",N2))</f>
        <v>ENERO DEL 2018</v>
      </c>
      <c r="Q2" s="13" t="str">
        <f>IF(L2=" "," ",IF(L2&lt;=15,"PRIMERA QUINCENA",IF(L2&gt;15,"SEGUNDA QUINCENA",0)))</f>
        <v>SEGUNDA QUINCENA</v>
      </c>
    </row>
    <row r="3" spans="1:19" ht="18" x14ac:dyDescent="0.35">
      <c r="A3" s="96" t="str">
        <f>IF(L2=0," ",CONCATENATE("PERTENECIENTE A ",Q2," DE ",P2))</f>
        <v>PERTENECIENTE A SEGUNDA QUINCENA DE ENERO DEL 2018</v>
      </c>
      <c r="E3" s="96" t="str">
        <f>IF(L2=0," ",CONCATENATE("PERTENECIENTE A ",Q2," DE ",P2))</f>
        <v>PERTENECIENTE A SEGUNDA QUINCENA DE ENERO DEL 2018</v>
      </c>
    </row>
    <row r="5" spans="1:19" x14ac:dyDescent="0.3">
      <c r="A5" s="15" t="s">
        <v>41</v>
      </c>
      <c r="B5" t="s">
        <v>42</v>
      </c>
      <c r="E5" s="15" t="s">
        <v>41</v>
      </c>
      <c r="F5" t="s">
        <v>71</v>
      </c>
      <c r="R5">
        <v>1</v>
      </c>
      <c r="S5" t="s">
        <v>122</v>
      </c>
    </row>
    <row r="6" spans="1:19" x14ac:dyDescent="0.3">
      <c r="R6">
        <v>2</v>
      </c>
      <c r="S6" t="s">
        <v>123</v>
      </c>
    </row>
    <row r="7" spans="1:19" x14ac:dyDescent="0.3">
      <c r="A7" s="15" t="s">
        <v>80</v>
      </c>
      <c r="B7" s="15" t="s">
        <v>81</v>
      </c>
      <c r="C7" t="s">
        <v>124</v>
      </c>
      <c r="E7" s="15" t="s">
        <v>80</v>
      </c>
      <c r="F7" s="15" t="s">
        <v>81</v>
      </c>
      <c r="G7" t="s">
        <v>124</v>
      </c>
      <c r="R7">
        <v>3</v>
      </c>
      <c r="S7" t="s">
        <v>125</v>
      </c>
    </row>
    <row r="8" spans="1:19" x14ac:dyDescent="0.3">
      <c r="A8" t="s">
        <v>30</v>
      </c>
      <c r="B8" t="s">
        <v>90</v>
      </c>
      <c r="C8" s="85">
        <v>2</v>
      </c>
      <c r="E8" t="s">
        <v>140</v>
      </c>
      <c r="F8" t="s">
        <v>90</v>
      </c>
      <c r="G8" s="85">
        <v>5</v>
      </c>
      <c r="R8">
        <v>4</v>
      </c>
      <c r="S8" t="s">
        <v>126</v>
      </c>
    </row>
    <row r="9" spans="1:19" x14ac:dyDescent="0.3">
      <c r="A9" t="s">
        <v>39</v>
      </c>
      <c r="B9" t="s">
        <v>85</v>
      </c>
      <c r="C9" s="85">
        <v>5</v>
      </c>
      <c r="E9" t="s">
        <v>148</v>
      </c>
      <c r="F9" t="s">
        <v>90</v>
      </c>
      <c r="G9" s="85">
        <v>5</v>
      </c>
      <c r="R9">
        <v>5</v>
      </c>
      <c r="S9" t="s">
        <v>127</v>
      </c>
    </row>
    <row r="10" spans="1:19" x14ac:dyDescent="0.3">
      <c r="A10" t="s">
        <v>25</v>
      </c>
      <c r="B10" t="s">
        <v>90</v>
      </c>
      <c r="C10" s="85">
        <v>5</v>
      </c>
      <c r="E10" t="s">
        <v>65</v>
      </c>
      <c r="F10" t="s">
        <v>88</v>
      </c>
      <c r="G10" s="85">
        <v>5</v>
      </c>
      <c r="R10">
        <v>6</v>
      </c>
      <c r="S10" t="s">
        <v>128</v>
      </c>
    </row>
    <row r="11" spans="1:19" x14ac:dyDescent="0.3">
      <c r="A11" t="s">
        <v>34</v>
      </c>
      <c r="B11" t="s">
        <v>90</v>
      </c>
      <c r="C11" s="85">
        <v>4</v>
      </c>
      <c r="E11" t="s">
        <v>69</v>
      </c>
      <c r="F11" t="s">
        <v>90</v>
      </c>
      <c r="G11" s="85">
        <v>5</v>
      </c>
      <c r="R11">
        <v>7</v>
      </c>
      <c r="S11" t="s">
        <v>129</v>
      </c>
    </row>
    <row r="12" spans="1:19" x14ac:dyDescent="0.3">
      <c r="A12" t="s">
        <v>37</v>
      </c>
      <c r="B12" t="s">
        <v>88</v>
      </c>
      <c r="C12" s="85">
        <v>2</v>
      </c>
      <c r="E12" t="s">
        <v>53</v>
      </c>
      <c r="F12" t="s">
        <v>85</v>
      </c>
      <c r="G12" s="85">
        <v>5</v>
      </c>
      <c r="R12">
        <v>8</v>
      </c>
      <c r="S12" t="s">
        <v>130</v>
      </c>
    </row>
    <row r="13" spans="1:19" x14ac:dyDescent="0.3">
      <c r="A13" t="s">
        <v>37</v>
      </c>
      <c r="B13" t="s">
        <v>90</v>
      </c>
      <c r="C13" s="85">
        <v>1</v>
      </c>
      <c r="E13" t="s">
        <v>57</v>
      </c>
      <c r="F13" t="s">
        <v>90</v>
      </c>
      <c r="G13" s="85">
        <v>5</v>
      </c>
      <c r="R13">
        <v>9</v>
      </c>
      <c r="S13" t="s">
        <v>131</v>
      </c>
    </row>
    <row r="14" spans="1:19" x14ac:dyDescent="0.3">
      <c r="A14" t="s">
        <v>35</v>
      </c>
      <c r="B14" t="s">
        <v>90</v>
      </c>
      <c r="C14" s="85">
        <v>5</v>
      </c>
      <c r="E14" t="s">
        <v>55</v>
      </c>
      <c r="F14" t="s">
        <v>89</v>
      </c>
      <c r="G14" s="85">
        <v>2</v>
      </c>
      <c r="R14">
        <v>10</v>
      </c>
      <c r="S14" t="s">
        <v>132</v>
      </c>
    </row>
    <row r="15" spans="1:19" x14ac:dyDescent="0.3">
      <c r="A15" t="s">
        <v>32</v>
      </c>
      <c r="B15" t="s">
        <v>89</v>
      </c>
      <c r="C15" s="85">
        <v>2</v>
      </c>
      <c r="E15" t="s">
        <v>55</v>
      </c>
      <c r="F15" t="s">
        <v>90</v>
      </c>
      <c r="G15" s="85">
        <v>1</v>
      </c>
      <c r="R15">
        <v>11</v>
      </c>
      <c r="S15" t="s">
        <v>133</v>
      </c>
    </row>
    <row r="16" spans="1:19" x14ac:dyDescent="0.3">
      <c r="A16" t="s">
        <v>32</v>
      </c>
      <c r="B16" t="s">
        <v>90</v>
      </c>
      <c r="C16" s="85">
        <v>3</v>
      </c>
      <c r="E16" t="s">
        <v>51</v>
      </c>
      <c r="F16" t="s">
        <v>88</v>
      </c>
      <c r="G16" s="85">
        <v>3</v>
      </c>
      <c r="R16">
        <v>12</v>
      </c>
      <c r="S16" t="s">
        <v>134</v>
      </c>
    </row>
    <row r="17" spans="1:7" x14ac:dyDescent="0.3">
      <c r="A17" t="s">
        <v>28</v>
      </c>
      <c r="B17" t="s">
        <v>87</v>
      </c>
      <c r="C17" s="85">
        <v>5</v>
      </c>
      <c r="E17" t="s">
        <v>147</v>
      </c>
      <c r="F17" t="s">
        <v>89</v>
      </c>
      <c r="G17" s="85">
        <v>3</v>
      </c>
    </row>
    <row r="18" spans="1:7" x14ac:dyDescent="0.3">
      <c r="A18" t="s">
        <v>31</v>
      </c>
      <c r="B18" t="s">
        <v>87</v>
      </c>
      <c r="C18" s="85">
        <v>2</v>
      </c>
      <c r="E18" t="s">
        <v>147</v>
      </c>
      <c r="F18" t="s">
        <v>90</v>
      </c>
      <c r="G18" s="85">
        <v>2</v>
      </c>
    </row>
    <row r="19" spans="1:7" x14ac:dyDescent="0.3">
      <c r="A19" t="s">
        <v>22</v>
      </c>
      <c r="B19" t="s">
        <v>91</v>
      </c>
      <c r="C19" s="85">
        <v>5</v>
      </c>
      <c r="E19" t="s">
        <v>59</v>
      </c>
      <c r="F19" t="s">
        <v>87</v>
      </c>
      <c r="G19" s="85">
        <v>3</v>
      </c>
    </row>
    <row r="20" spans="1:7" x14ac:dyDescent="0.3">
      <c r="A20" t="s">
        <v>33</v>
      </c>
      <c r="B20" t="s">
        <v>86</v>
      </c>
      <c r="C20" s="85">
        <v>5</v>
      </c>
      <c r="E20" t="s">
        <v>59</v>
      </c>
      <c r="F20" t="s">
        <v>90</v>
      </c>
      <c r="G20" s="85">
        <v>2</v>
      </c>
    </row>
    <row r="21" spans="1:7" x14ac:dyDescent="0.3">
      <c r="A21" t="s">
        <v>154</v>
      </c>
      <c r="B21" t="s">
        <v>90</v>
      </c>
      <c r="C21" s="85">
        <v>5</v>
      </c>
      <c r="E21" t="s">
        <v>149</v>
      </c>
      <c r="F21" t="s">
        <v>90</v>
      </c>
      <c r="G21" s="85">
        <v>5</v>
      </c>
    </row>
    <row r="22" spans="1:7" x14ac:dyDescent="0.3">
      <c r="A22" t="s">
        <v>40</v>
      </c>
      <c r="B22" t="s">
        <v>90</v>
      </c>
      <c r="C22" s="85">
        <v>3</v>
      </c>
      <c r="E22" t="s">
        <v>45</v>
      </c>
      <c r="F22" t="s">
        <v>91</v>
      </c>
      <c r="G22" s="85">
        <v>5</v>
      </c>
    </row>
    <row r="23" spans="1:7" x14ac:dyDescent="0.3">
      <c r="A23" t="s">
        <v>26</v>
      </c>
      <c r="B23" t="s">
        <v>87</v>
      </c>
      <c r="C23" s="85">
        <v>5</v>
      </c>
      <c r="E23" t="s">
        <v>143</v>
      </c>
      <c r="F23" t="s">
        <v>90</v>
      </c>
      <c r="G23" s="85">
        <v>1</v>
      </c>
    </row>
    <row r="24" spans="1:7" x14ac:dyDescent="0.3">
      <c r="A24" t="s">
        <v>27</v>
      </c>
      <c r="B24" t="s">
        <v>87</v>
      </c>
      <c r="C24" s="85">
        <v>5</v>
      </c>
      <c r="E24" t="s">
        <v>49</v>
      </c>
      <c r="F24" t="s">
        <v>90</v>
      </c>
      <c r="G24" s="85">
        <v>3</v>
      </c>
    </row>
    <row r="25" spans="1:7" x14ac:dyDescent="0.3">
      <c r="A25" t="s">
        <v>38</v>
      </c>
      <c r="B25" t="s">
        <v>89</v>
      </c>
      <c r="C25" s="85">
        <v>3</v>
      </c>
      <c r="E25" t="s">
        <v>47</v>
      </c>
      <c r="F25" t="s">
        <v>86</v>
      </c>
      <c r="G25" s="85">
        <v>5</v>
      </c>
    </row>
    <row r="26" spans="1:7" x14ac:dyDescent="0.3">
      <c r="A26" t="s">
        <v>38</v>
      </c>
      <c r="B26" t="s">
        <v>90</v>
      </c>
      <c r="C26" s="85">
        <v>2</v>
      </c>
      <c r="E26" t="s">
        <v>145</v>
      </c>
      <c r="F26" t="s">
        <v>90</v>
      </c>
      <c r="G26" s="85">
        <v>4</v>
      </c>
    </row>
    <row r="27" spans="1:7" x14ac:dyDescent="0.3">
      <c r="A27" t="s">
        <v>24</v>
      </c>
      <c r="B27" t="s">
        <v>90</v>
      </c>
      <c r="C27" s="85">
        <v>2</v>
      </c>
      <c r="E27" t="s">
        <v>135</v>
      </c>
      <c r="G27" s="85">
        <v>69</v>
      </c>
    </row>
    <row r="28" spans="1:7" x14ac:dyDescent="0.3">
      <c r="A28" t="s">
        <v>135</v>
      </c>
      <c r="C28" s="85">
        <v>71</v>
      </c>
    </row>
    <row r="61" spans="3:7" x14ac:dyDescent="0.3">
      <c r="C61" s="85"/>
      <c r="G61" s="85"/>
    </row>
    <row r="62" spans="3:7" x14ac:dyDescent="0.3">
      <c r="C62" s="85"/>
      <c r="G62" s="85"/>
    </row>
    <row r="63" spans="3:7" x14ac:dyDescent="0.3">
      <c r="C63" s="85"/>
      <c r="G63" s="85"/>
    </row>
    <row r="64" spans="3:7" x14ac:dyDescent="0.3">
      <c r="C64" s="85"/>
      <c r="G64" s="85"/>
    </row>
    <row r="65" spans="3:7" x14ac:dyDescent="0.3">
      <c r="C65" s="85"/>
      <c r="G65" s="85"/>
    </row>
    <row r="66" spans="3:7" x14ac:dyDescent="0.3">
      <c r="C66" s="85"/>
      <c r="G66" s="85"/>
    </row>
    <row r="67" spans="3:7" x14ac:dyDescent="0.3">
      <c r="C67" s="85"/>
      <c r="G67" s="85"/>
    </row>
  </sheetData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3"/>
  <headerFooter>
    <oddFooter>&amp;L&amp;"-,Negrita"&amp;12ELABORADO:__________&amp;C&amp;"-,Negrita"&amp;12REVISADO:__________&amp;R&amp;"-,Negrita"&amp;12VISTO BUENO:__________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F148"/>
  <sheetViews>
    <sheetView zoomScale="80" zoomScaleNormal="80" workbookViewId="0">
      <selection activeCell="F1" sqref="F1"/>
    </sheetView>
  </sheetViews>
  <sheetFormatPr baseColWidth="10" defaultRowHeight="14.4" x14ac:dyDescent="0.3"/>
  <cols>
    <col min="1" max="1" width="8.6640625" customWidth="1"/>
    <col min="2" max="2" width="8.44140625" customWidth="1"/>
    <col min="3" max="3" width="41.109375" bestFit="1" customWidth="1"/>
    <col min="4" max="4" width="18.109375" bestFit="1" customWidth="1"/>
    <col min="5" max="5" width="10.6640625" customWidth="1"/>
    <col min="6" max="6" width="13" customWidth="1"/>
  </cols>
  <sheetData>
    <row r="1" spans="2:6" ht="30" customHeight="1" x14ac:dyDescent="0.4">
      <c r="B1" s="66" t="s">
        <v>112</v>
      </c>
      <c r="C1" s="48"/>
      <c r="E1" s="92" t="s">
        <v>94</v>
      </c>
      <c r="F1" s="93" t="e">
        <f>IF(C4="TODAS"," ",VLOOKUP(C4,Reg_Partic_Pesc!B:L,11,FALSE))</f>
        <v>#N/A</v>
      </c>
    </row>
    <row r="2" spans="2:6" ht="30" customHeight="1" x14ac:dyDescent="0.4">
      <c r="B2" s="65" t="s">
        <v>113</v>
      </c>
      <c r="D2" s="51"/>
      <c r="E2" s="86"/>
    </row>
    <row r="3" spans="2:6" ht="28.5" customHeight="1" x14ac:dyDescent="0.35">
      <c r="B3" s="89" t="s">
        <v>101</v>
      </c>
      <c r="C3" s="90" t="str">
        <f>IF(C4="(TODAS)"," ",VLOOKUP(C4,Reg_Partic_Pesc!B:L,2,FALSE))</f>
        <v xml:space="preserve"> </v>
      </c>
      <c r="D3" s="89" t="s">
        <v>102</v>
      </c>
      <c r="E3" s="87" t="str">
        <f>IF(C4="(TODAS)"," ",VLOOKUP(C4,Reg_Partic_Pesc!B:L,3,FALSE))</f>
        <v xml:space="preserve"> </v>
      </c>
    </row>
    <row r="4" spans="2:6" ht="18" x14ac:dyDescent="0.35">
      <c r="B4" s="88" t="s">
        <v>78</v>
      </c>
      <c r="C4" t="s">
        <v>114</v>
      </c>
      <c r="D4" s="89" t="s">
        <v>103</v>
      </c>
      <c r="E4" s="91" t="str">
        <f>IF(C4="(TODAS)"," ",VLOOKUP(C4,Reg_Partic_Pesc!B:L,9,FALSE))</f>
        <v xml:space="preserve"> </v>
      </c>
    </row>
    <row r="6" spans="2:6" x14ac:dyDescent="0.3">
      <c r="B6" s="15" t="s">
        <v>79</v>
      </c>
      <c r="C6" s="15" t="s">
        <v>80</v>
      </c>
      <c r="D6" s="15" t="s">
        <v>81</v>
      </c>
      <c r="E6" s="15" t="s">
        <v>109</v>
      </c>
    </row>
    <row r="7" spans="2:6" x14ac:dyDescent="0.3">
      <c r="B7">
        <v>1</v>
      </c>
      <c r="C7" t="s">
        <v>53</v>
      </c>
      <c r="D7" t="s">
        <v>85</v>
      </c>
      <c r="E7" s="40">
        <v>13</v>
      </c>
    </row>
    <row r="8" spans="2:6" x14ac:dyDescent="0.3">
      <c r="E8" s="40">
        <v>34</v>
      </c>
    </row>
    <row r="9" spans="2:6" x14ac:dyDescent="0.3">
      <c r="E9" s="40">
        <v>33</v>
      </c>
    </row>
    <row r="10" spans="2:6" x14ac:dyDescent="0.3">
      <c r="E10" s="40">
        <v>32</v>
      </c>
    </row>
    <row r="11" spans="2:6" x14ac:dyDescent="0.3">
      <c r="E11" s="40">
        <v>40</v>
      </c>
    </row>
    <row r="12" spans="2:6" x14ac:dyDescent="0.3">
      <c r="B12">
        <v>2</v>
      </c>
      <c r="C12" t="s">
        <v>33</v>
      </c>
      <c r="D12" t="s">
        <v>86</v>
      </c>
      <c r="E12" s="40">
        <v>13</v>
      </c>
    </row>
    <row r="13" spans="2:6" x14ac:dyDescent="0.3">
      <c r="E13" s="40">
        <v>34</v>
      </c>
    </row>
    <row r="14" spans="2:6" x14ac:dyDescent="0.3">
      <c r="E14" s="40">
        <v>33</v>
      </c>
    </row>
    <row r="15" spans="2:6" x14ac:dyDescent="0.3">
      <c r="E15" s="40">
        <v>32</v>
      </c>
    </row>
    <row r="16" spans="2:6" x14ac:dyDescent="0.3">
      <c r="E16" s="40">
        <v>40</v>
      </c>
    </row>
    <row r="17" spans="2:5" x14ac:dyDescent="0.3">
      <c r="B17">
        <v>3</v>
      </c>
      <c r="C17" t="s">
        <v>26</v>
      </c>
      <c r="D17" t="s">
        <v>87</v>
      </c>
      <c r="E17" s="40">
        <v>13</v>
      </c>
    </row>
    <row r="18" spans="2:5" x14ac:dyDescent="0.3">
      <c r="E18" s="40">
        <v>34</v>
      </c>
    </row>
    <row r="19" spans="2:5" x14ac:dyDescent="0.3">
      <c r="E19" s="40">
        <v>33</v>
      </c>
    </row>
    <row r="20" spans="2:5" x14ac:dyDescent="0.3">
      <c r="E20" s="40">
        <v>32</v>
      </c>
    </row>
    <row r="21" spans="2:5" x14ac:dyDescent="0.3">
      <c r="E21" s="40">
        <v>40</v>
      </c>
    </row>
    <row r="22" spans="2:5" x14ac:dyDescent="0.3">
      <c r="B22">
        <v>4</v>
      </c>
      <c r="C22" t="s">
        <v>27</v>
      </c>
      <c r="D22" t="s">
        <v>87</v>
      </c>
      <c r="E22" s="40">
        <v>13</v>
      </c>
    </row>
    <row r="23" spans="2:5" x14ac:dyDescent="0.3">
      <c r="E23" s="40">
        <v>34</v>
      </c>
    </row>
    <row r="24" spans="2:5" x14ac:dyDescent="0.3">
      <c r="E24" s="40">
        <v>33</v>
      </c>
    </row>
    <row r="25" spans="2:5" x14ac:dyDescent="0.3">
      <c r="E25" s="40">
        <v>32</v>
      </c>
    </row>
    <row r="26" spans="2:5" x14ac:dyDescent="0.3">
      <c r="E26" s="40">
        <v>40</v>
      </c>
    </row>
    <row r="27" spans="2:5" x14ac:dyDescent="0.3">
      <c r="B27">
        <v>5</v>
      </c>
      <c r="C27" t="s">
        <v>37</v>
      </c>
      <c r="D27" t="s">
        <v>88</v>
      </c>
      <c r="E27" s="40">
        <v>13</v>
      </c>
    </row>
    <row r="28" spans="2:5" x14ac:dyDescent="0.3">
      <c r="E28" s="40">
        <v>34</v>
      </c>
    </row>
    <row r="29" spans="2:5" x14ac:dyDescent="0.3">
      <c r="C29" t="s">
        <v>51</v>
      </c>
      <c r="D29" t="s">
        <v>88</v>
      </c>
      <c r="E29" s="40">
        <v>33</v>
      </c>
    </row>
    <row r="30" spans="2:5" x14ac:dyDescent="0.3">
      <c r="E30" s="40">
        <v>32</v>
      </c>
    </row>
    <row r="31" spans="2:5" x14ac:dyDescent="0.3">
      <c r="E31" s="40">
        <v>40</v>
      </c>
    </row>
    <row r="32" spans="2:5" x14ac:dyDescent="0.3">
      <c r="B32">
        <v>6</v>
      </c>
      <c r="C32" t="s">
        <v>55</v>
      </c>
      <c r="D32" t="s">
        <v>89</v>
      </c>
      <c r="E32" s="40">
        <v>13</v>
      </c>
    </row>
    <row r="33" spans="2:5" x14ac:dyDescent="0.3">
      <c r="E33" s="40">
        <v>34</v>
      </c>
    </row>
    <row r="34" spans="2:5" x14ac:dyDescent="0.3">
      <c r="C34" t="s">
        <v>38</v>
      </c>
      <c r="D34" t="s">
        <v>89</v>
      </c>
      <c r="E34" s="40">
        <v>33</v>
      </c>
    </row>
    <row r="35" spans="2:5" x14ac:dyDescent="0.3">
      <c r="E35" s="40">
        <v>32</v>
      </c>
    </row>
    <row r="36" spans="2:5" x14ac:dyDescent="0.3">
      <c r="E36" s="40">
        <v>40</v>
      </c>
    </row>
    <row r="37" spans="2:5" x14ac:dyDescent="0.3">
      <c r="B37">
        <v>7</v>
      </c>
      <c r="C37" t="s">
        <v>25</v>
      </c>
      <c r="D37" t="s">
        <v>90</v>
      </c>
      <c r="E37" s="40">
        <v>13</v>
      </c>
    </row>
    <row r="38" spans="2:5" x14ac:dyDescent="0.3">
      <c r="E38" s="40">
        <v>34</v>
      </c>
    </row>
    <row r="39" spans="2:5" x14ac:dyDescent="0.3">
      <c r="E39" s="40">
        <v>33</v>
      </c>
    </row>
    <row r="40" spans="2:5" x14ac:dyDescent="0.3">
      <c r="E40" s="40">
        <v>32</v>
      </c>
    </row>
    <row r="41" spans="2:5" x14ac:dyDescent="0.3">
      <c r="E41" s="40">
        <v>40</v>
      </c>
    </row>
    <row r="42" spans="2:5" x14ac:dyDescent="0.3">
      <c r="B42">
        <v>8</v>
      </c>
      <c r="C42" t="s">
        <v>35</v>
      </c>
      <c r="D42" t="s">
        <v>90</v>
      </c>
      <c r="E42" s="40">
        <v>13</v>
      </c>
    </row>
    <row r="43" spans="2:5" x14ac:dyDescent="0.3">
      <c r="E43" s="40">
        <v>34</v>
      </c>
    </row>
    <row r="44" spans="2:5" x14ac:dyDescent="0.3">
      <c r="E44" s="40">
        <v>33</v>
      </c>
    </row>
    <row r="45" spans="2:5" x14ac:dyDescent="0.3">
      <c r="E45" s="40">
        <v>32</v>
      </c>
    </row>
    <row r="46" spans="2:5" x14ac:dyDescent="0.3">
      <c r="E46" s="40">
        <v>40</v>
      </c>
    </row>
    <row r="47" spans="2:5" x14ac:dyDescent="0.3">
      <c r="B47">
        <v>9</v>
      </c>
      <c r="C47" t="s">
        <v>34</v>
      </c>
      <c r="D47" t="s">
        <v>90</v>
      </c>
      <c r="E47" s="40">
        <v>13</v>
      </c>
    </row>
    <row r="48" spans="2:5" x14ac:dyDescent="0.3">
      <c r="E48" s="40">
        <v>34</v>
      </c>
    </row>
    <row r="49" spans="2:5" x14ac:dyDescent="0.3">
      <c r="E49" s="40">
        <v>33</v>
      </c>
    </row>
    <row r="50" spans="2:5" x14ac:dyDescent="0.3">
      <c r="E50" s="40">
        <v>32</v>
      </c>
    </row>
    <row r="51" spans="2:5" x14ac:dyDescent="0.3">
      <c r="C51" t="s">
        <v>69</v>
      </c>
      <c r="D51" t="s">
        <v>90</v>
      </c>
      <c r="E51" s="40">
        <v>40</v>
      </c>
    </row>
    <row r="52" spans="2:5" x14ac:dyDescent="0.3">
      <c r="B52">
        <v>10</v>
      </c>
      <c r="C52" t="s">
        <v>69</v>
      </c>
      <c r="D52" t="s">
        <v>90</v>
      </c>
      <c r="E52" s="40">
        <v>33</v>
      </c>
    </row>
    <row r="53" spans="2:5" x14ac:dyDescent="0.3">
      <c r="E53" s="40">
        <v>32</v>
      </c>
    </row>
    <row r="54" spans="2:5" x14ac:dyDescent="0.3">
      <c r="C54" t="s">
        <v>38</v>
      </c>
      <c r="D54" t="s">
        <v>90</v>
      </c>
      <c r="E54" s="40">
        <v>13</v>
      </c>
    </row>
    <row r="55" spans="2:5" x14ac:dyDescent="0.3">
      <c r="E55" s="40">
        <v>34</v>
      </c>
    </row>
    <row r="56" spans="2:5" x14ac:dyDescent="0.3">
      <c r="C56" t="s">
        <v>148</v>
      </c>
      <c r="D56" t="s">
        <v>90</v>
      </c>
      <c r="E56" s="40">
        <v>40</v>
      </c>
    </row>
    <row r="57" spans="2:5" x14ac:dyDescent="0.3">
      <c r="B57">
        <v>11</v>
      </c>
      <c r="C57" t="s">
        <v>69</v>
      </c>
      <c r="D57" t="s">
        <v>90</v>
      </c>
      <c r="E57" s="40">
        <v>13</v>
      </c>
    </row>
    <row r="58" spans="2:5" x14ac:dyDescent="0.3">
      <c r="E58" s="40">
        <v>34</v>
      </c>
    </row>
    <row r="59" spans="2:5" x14ac:dyDescent="0.3">
      <c r="C59" t="s">
        <v>149</v>
      </c>
      <c r="D59" t="s">
        <v>90</v>
      </c>
      <c r="E59" s="40">
        <v>40</v>
      </c>
    </row>
    <row r="60" spans="2:5" x14ac:dyDescent="0.3">
      <c r="C60" t="s">
        <v>148</v>
      </c>
      <c r="D60" t="s">
        <v>90</v>
      </c>
      <c r="E60" s="40">
        <v>33</v>
      </c>
    </row>
    <row r="61" spans="2:5" x14ac:dyDescent="0.3">
      <c r="E61" s="40">
        <v>32</v>
      </c>
    </row>
    <row r="62" spans="2:5" x14ac:dyDescent="0.3">
      <c r="B62">
        <v>12</v>
      </c>
      <c r="C62" t="s">
        <v>149</v>
      </c>
      <c r="D62" t="s">
        <v>90</v>
      </c>
      <c r="E62" s="40">
        <v>33</v>
      </c>
    </row>
    <row r="63" spans="2:5" x14ac:dyDescent="0.3">
      <c r="E63" s="40">
        <v>32</v>
      </c>
    </row>
    <row r="64" spans="2:5" x14ac:dyDescent="0.3">
      <c r="C64" t="s">
        <v>148</v>
      </c>
      <c r="D64" t="s">
        <v>90</v>
      </c>
      <c r="E64" s="40">
        <v>13</v>
      </c>
    </row>
    <row r="65" spans="2:5" x14ac:dyDescent="0.3">
      <c r="E65" s="40">
        <v>34</v>
      </c>
    </row>
    <row r="66" spans="2:5" x14ac:dyDescent="0.3">
      <c r="C66" t="s">
        <v>24</v>
      </c>
      <c r="D66" t="s">
        <v>90</v>
      </c>
      <c r="E66" s="40">
        <v>40</v>
      </c>
    </row>
    <row r="67" spans="2:5" x14ac:dyDescent="0.3">
      <c r="B67">
        <v>13</v>
      </c>
      <c r="C67" t="s">
        <v>55</v>
      </c>
      <c r="D67" t="s">
        <v>90</v>
      </c>
      <c r="E67" s="40">
        <v>40</v>
      </c>
    </row>
    <row r="68" spans="2:5" x14ac:dyDescent="0.3">
      <c r="C68" t="s">
        <v>37</v>
      </c>
      <c r="D68" t="s">
        <v>90</v>
      </c>
      <c r="E68" s="40">
        <v>32</v>
      </c>
    </row>
    <row r="69" spans="2:5" x14ac:dyDescent="0.3">
      <c r="C69" t="s">
        <v>149</v>
      </c>
      <c r="D69" t="s">
        <v>90</v>
      </c>
      <c r="E69" s="40">
        <v>13</v>
      </c>
    </row>
    <row r="70" spans="2:5" x14ac:dyDescent="0.3">
      <c r="E70" s="40">
        <v>34</v>
      </c>
    </row>
    <row r="71" spans="2:5" x14ac:dyDescent="0.3">
      <c r="C71" t="s">
        <v>24</v>
      </c>
      <c r="D71" t="s">
        <v>90</v>
      </c>
      <c r="E71" s="40">
        <v>33</v>
      </c>
    </row>
    <row r="72" spans="2:5" x14ac:dyDescent="0.3">
      <c r="B72">
        <v>14</v>
      </c>
      <c r="C72" t="s">
        <v>45</v>
      </c>
      <c r="D72" t="s">
        <v>91</v>
      </c>
      <c r="E72" s="40">
        <v>13</v>
      </c>
    </row>
    <row r="73" spans="2:5" x14ac:dyDescent="0.3">
      <c r="E73" s="40">
        <v>34</v>
      </c>
    </row>
    <row r="74" spans="2:5" x14ac:dyDescent="0.3">
      <c r="E74" s="40">
        <v>33</v>
      </c>
    </row>
    <row r="75" spans="2:5" x14ac:dyDescent="0.3">
      <c r="E75" s="40">
        <v>32</v>
      </c>
    </row>
    <row r="76" spans="2:5" x14ac:dyDescent="0.3">
      <c r="E76" s="40">
        <v>40</v>
      </c>
    </row>
    <row r="77" spans="2:5" x14ac:dyDescent="0.3">
      <c r="B77">
        <v>15</v>
      </c>
      <c r="C77" t="s">
        <v>39</v>
      </c>
      <c r="D77" t="s">
        <v>85</v>
      </c>
      <c r="E77" s="40">
        <v>19</v>
      </c>
    </row>
    <row r="78" spans="2:5" x14ac:dyDescent="0.3">
      <c r="E78" s="40">
        <v>15</v>
      </c>
    </row>
    <row r="79" spans="2:5" x14ac:dyDescent="0.3">
      <c r="E79" s="40">
        <v>20</v>
      </c>
    </row>
    <row r="80" spans="2:5" x14ac:dyDescent="0.3">
      <c r="E80" s="40">
        <v>10</v>
      </c>
    </row>
    <row r="81" spans="2:5" x14ac:dyDescent="0.3">
      <c r="E81" s="40">
        <v>36</v>
      </c>
    </row>
    <row r="82" spans="2:5" x14ac:dyDescent="0.3">
      <c r="B82">
        <v>16</v>
      </c>
      <c r="C82" t="s">
        <v>47</v>
      </c>
      <c r="D82" t="s">
        <v>86</v>
      </c>
      <c r="E82" s="40">
        <v>19</v>
      </c>
    </row>
    <row r="83" spans="2:5" x14ac:dyDescent="0.3">
      <c r="E83" s="40">
        <v>15</v>
      </c>
    </row>
    <row r="84" spans="2:5" x14ac:dyDescent="0.3">
      <c r="E84" s="40">
        <v>20</v>
      </c>
    </row>
    <row r="85" spans="2:5" x14ac:dyDescent="0.3">
      <c r="E85" s="40">
        <v>10</v>
      </c>
    </row>
    <row r="86" spans="2:5" x14ac:dyDescent="0.3">
      <c r="E86" s="40">
        <v>36</v>
      </c>
    </row>
    <row r="87" spans="2:5" x14ac:dyDescent="0.3">
      <c r="B87">
        <v>17</v>
      </c>
      <c r="C87" t="s">
        <v>31</v>
      </c>
      <c r="D87" t="s">
        <v>87</v>
      </c>
      <c r="E87" s="40">
        <v>19</v>
      </c>
    </row>
    <row r="88" spans="2:5" x14ac:dyDescent="0.3">
      <c r="E88" s="40">
        <v>15</v>
      </c>
    </row>
    <row r="89" spans="2:5" x14ac:dyDescent="0.3">
      <c r="C89" t="s">
        <v>59</v>
      </c>
      <c r="D89" t="s">
        <v>87</v>
      </c>
      <c r="E89" s="40">
        <v>20</v>
      </c>
    </row>
    <row r="90" spans="2:5" x14ac:dyDescent="0.3">
      <c r="E90" s="40">
        <v>10</v>
      </c>
    </row>
    <row r="91" spans="2:5" x14ac:dyDescent="0.3">
      <c r="E91" s="40">
        <v>36</v>
      </c>
    </row>
    <row r="92" spans="2:5" x14ac:dyDescent="0.3">
      <c r="B92">
        <v>18</v>
      </c>
      <c r="C92" t="s">
        <v>28</v>
      </c>
      <c r="D92" t="s">
        <v>87</v>
      </c>
      <c r="E92" s="40">
        <v>19</v>
      </c>
    </row>
    <row r="93" spans="2:5" x14ac:dyDescent="0.3">
      <c r="E93" s="40">
        <v>15</v>
      </c>
    </row>
    <row r="94" spans="2:5" x14ac:dyDescent="0.3">
      <c r="E94" s="40">
        <v>20</v>
      </c>
    </row>
    <row r="95" spans="2:5" x14ac:dyDescent="0.3">
      <c r="E95" s="40">
        <v>10</v>
      </c>
    </row>
    <row r="96" spans="2:5" x14ac:dyDescent="0.3">
      <c r="E96" s="40">
        <v>36</v>
      </c>
    </row>
    <row r="97" spans="2:5" x14ac:dyDescent="0.3">
      <c r="B97">
        <v>19</v>
      </c>
      <c r="C97" t="s">
        <v>65</v>
      </c>
      <c r="D97" t="s">
        <v>88</v>
      </c>
      <c r="E97" s="40">
        <v>19</v>
      </c>
    </row>
    <row r="98" spans="2:5" x14ac:dyDescent="0.3">
      <c r="E98" s="40">
        <v>15</v>
      </c>
    </row>
    <row r="99" spans="2:5" x14ac:dyDescent="0.3">
      <c r="E99" s="40">
        <v>20</v>
      </c>
    </row>
    <row r="100" spans="2:5" x14ac:dyDescent="0.3">
      <c r="E100" s="40">
        <v>10</v>
      </c>
    </row>
    <row r="101" spans="2:5" x14ac:dyDescent="0.3">
      <c r="E101" s="40">
        <v>36</v>
      </c>
    </row>
    <row r="102" spans="2:5" x14ac:dyDescent="0.3">
      <c r="B102">
        <v>20</v>
      </c>
      <c r="C102" t="s">
        <v>32</v>
      </c>
      <c r="D102" t="s">
        <v>89</v>
      </c>
      <c r="E102" s="40">
        <v>19</v>
      </c>
    </row>
    <row r="103" spans="2:5" x14ac:dyDescent="0.3">
      <c r="E103" s="40">
        <v>15</v>
      </c>
    </row>
    <row r="104" spans="2:5" x14ac:dyDescent="0.3">
      <c r="C104" t="s">
        <v>147</v>
      </c>
      <c r="D104" t="s">
        <v>89</v>
      </c>
      <c r="E104" s="40">
        <v>20</v>
      </c>
    </row>
    <row r="105" spans="2:5" x14ac:dyDescent="0.3">
      <c r="E105" s="40">
        <v>10</v>
      </c>
    </row>
    <row r="106" spans="2:5" x14ac:dyDescent="0.3">
      <c r="E106" s="40">
        <v>36</v>
      </c>
    </row>
    <row r="107" spans="2:5" x14ac:dyDescent="0.3">
      <c r="B107">
        <v>21</v>
      </c>
      <c r="C107" t="s">
        <v>59</v>
      </c>
      <c r="D107" t="s">
        <v>90</v>
      </c>
      <c r="E107" s="40">
        <v>19</v>
      </c>
    </row>
    <row r="108" spans="2:5" x14ac:dyDescent="0.3">
      <c r="E108" s="40">
        <v>15</v>
      </c>
    </row>
    <row r="109" spans="2:5" x14ac:dyDescent="0.3">
      <c r="C109" t="s">
        <v>140</v>
      </c>
      <c r="D109" t="s">
        <v>90</v>
      </c>
      <c r="E109" s="40">
        <v>20</v>
      </c>
    </row>
    <row r="110" spans="2:5" x14ac:dyDescent="0.3">
      <c r="E110" s="40">
        <v>10</v>
      </c>
    </row>
    <row r="111" spans="2:5" x14ac:dyDescent="0.3">
      <c r="E111" s="40">
        <v>36</v>
      </c>
    </row>
    <row r="112" spans="2:5" x14ac:dyDescent="0.3">
      <c r="B112">
        <v>22</v>
      </c>
      <c r="C112" t="s">
        <v>147</v>
      </c>
      <c r="D112" t="s">
        <v>90</v>
      </c>
      <c r="E112" s="40">
        <v>19</v>
      </c>
    </row>
    <row r="113" spans="2:5" x14ac:dyDescent="0.3">
      <c r="E113" s="40">
        <v>15</v>
      </c>
    </row>
    <row r="114" spans="2:5" x14ac:dyDescent="0.3">
      <c r="C114" t="s">
        <v>154</v>
      </c>
      <c r="D114" t="s">
        <v>90</v>
      </c>
      <c r="E114" s="40">
        <v>20</v>
      </c>
    </row>
    <row r="115" spans="2:5" x14ac:dyDescent="0.3">
      <c r="E115" s="40">
        <v>10</v>
      </c>
    </row>
    <row r="116" spans="2:5" x14ac:dyDescent="0.3">
      <c r="E116" s="40">
        <v>36</v>
      </c>
    </row>
    <row r="117" spans="2:5" x14ac:dyDescent="0.3">
      <c r="B117">
        <v>23</v>
      </c>
      <c r="C117" t="s">
        <v>57</v>
      </c>
      <c r="D117" t="s">
        <v>90</v>
      </c>
      <c r="E117" s="40">
        <v>20</v>
      </c>
    </row>
    <row r="118" spans="2:5" x14ac:dyDescent="0.3">
      <c r="E118" s="40">
        <v>10</v>
      </c>
    </row>
    <row r="119" spans="2:5" x14ac:dyDescent="0.3">
      <c r="E119" s="40">
        <v>36</v>
      </c>
    </row>
    <row r="120" spans="2:5" x14ac:dyDescent="0.3">
      <c r="C120" t="s">
        <v>40</v>
      </c>
      <c r="D120" t="s">
        <v>90</v>
      </c>
      <c r="E120" s="40">
        <v>19</v>
      </c>
    </row>
    <row r="121" spans="2:5" x14ac:dyDescent="0.3">
      <c r="E121" s="40">
        <v>15</v>
      </c>
    </row>
    <row r="122" spans="2:5" x14ac:dyDescent="0.3">
      <c r="B122">
        <v>24</v>
      </c>
      <c r="C122" t="s">
        <v>49</v>
      </c>
      <c r="D122" t="s">
        <v>90</v>
      </c>
      <c r="E122" s="40">
        <v>36</v>
      </c>
    </row>
    <row r="123" spans="2:5" x14ac:dyDescent="0.3">
      <c r="C123" t="s">
        <v>145</v>
      </c>
      <c r="D123" t="s">
        <v>90</v>
      </c>
      <c r="E123" s="40">
        <v>20</v>
      </c>
    </row>
    <row r="124" spans="2:5" x14ac:dyDescent="0.3">
      <c r="E124" s="40">
        <v>10</v>
      </c>
    </row>
    <row r="125" spans="2:5" x14ac:dyDescent="0.3">
      <c r="C125" t="s">
        <v>140</v>
      </c>
      <c r="D125" t="s">
        <v>90</v>
      </c>
      <c r="E125" s="40">
        <v>19</v>
      </c>
    </row>
    <row r="126" spans="2:5" x14ac:dyDescent="0.3">
      <c r="E126" s="40">
        <v>15</v>
      </c>
    </row>
    <row r="127" spans="2:5" x14ac:dyDescent="0.3">
      <c r="B127">
        <v>25</v>
      </c>
      <c r="C127" t="s">
        <v>32</v>
      </c>
      <c r="D127" t="s">
        <v>90</v>
      </c>
      <c r="E127" s="40">
        <v>36</v>
      </c>
    </row>
    <row r="128" spans="2:5" x14ac:dyDescent="0.3">
      <c r="C128" t="s">
        <v>49</v>
      </c>
      <c r="D128" t="s">
        <v>90</v>
      </c>
      <c r="E128" s="40">
        <v>20</v>
      </c>
    </row>
    <row r="129" spans="2:5" x14ac:dyDescent="0.3">
      <c r="C129" t="s">
        <v>143</v>
      </c>
      <c r="D129" t="s">
        <v>90</v>
      </c>
      <c r="E129" s="40">
        <v>10</v>
      </c>
    </row>
    <row r="130" spans="2:5" x14ac:dyDescent="0.3">
      <c r="C130" t="s">
        <v>154</v>
      </c>
      <c r="D130" t="s">
        <v>90</v>
      </c>
      <c r="E130" s="40">
        <v>19</v>
      </c>
    </row>
    <row r="131" spans="2:5" x14ac:dyDescent="0.3">
      <c r="E131" s="40">
        <v>15</v>
      </c>
    </row>
    <row r="132" spans="2:5" x14ac:dyDescent="0.3">
      <c r="B132">
        <v>26</v>
      </c>
      <c r="C132" t="s">
        <v>30</v>
      </c>
      <c r="D132" t="s">
        <v>90</v>
      </c>
      <c r="E132" s="40">
        <v>36</v>
      </c>
    </row>
    <row r="133" spans="2:5" x14ac:dyDescent="0.3">
      <c r="C133" t="s">
        <v>57</v>
      </c>
      <c r="D133" t="s">
        <v>90</v>
      </c>
      <c r="E133" s="40">
        <v>19</v>
      </c>
    </row>
    <row r="134" spans="2:5" x14ac:dyDescent="0.3">
      <c r="E134" s="40">
        <v>15</v>
      </c>
    </row>
    <row r="135" spans="2:5" x14ac:dyDescent="0.3">
      <c r="C135" t="s">
        <v>32</v>
      </c>
      <c r="D135" t="s">
        <v>90</v>
      </c>
      <c r="E135" s="40">
        <v>20</v>
      </c>
    </row>
    <row r="136" spans="2:5" x14ac:dyDescent="0.3">
      <c r="C136" t="s">
        <v>49</v>
      </c>
      <c r="D136" t="s">
        <v>90</v>
      </c>
      <c r="E136" s="40">
        <v>10</v>
      </c>
    </row>
    <row r="137" spans="2:5" x14ac:dyDescent="0.3">
      <c r="B137">
        <v>27</v>
      </c>
      <c r="C137" t="s">
        <v>30</v>
      </c>
      <c r="D137" t="s">
        <v>90</v>
      </c>
      <c r="E137" s="40">
        <v>20</v>
      </c>
    </row>
    <row r="138" spans="2:5" x14ac:dyDescent="0.3">
      <c r="C138" t="s">
        <v>32</v>
      </c>
      <c r="D138" t="s">
        <v>90</v>
      </c>
      <c r="E138" s="40">
        <v>10</v>
      </c>
    </row>
    <row r="139" spans="2:5" x14ac:dyDescent="0.3">
      <c r="C139" t="s">
        <v>40</v>
      </c>
      <c r="D139" t="s">
        <v>90</v>
      </c>
      <c r="E139" s="40">
        <v>36</v>
      </c>
    </row>
    <row r="140" spans="2:5" x14ac:dyDescent="0.3">
      <c r="C140" t="s">
        <v>145</v>
      </c>
      <c r="D140" t="s">
        <v>90</v>
      </c>
      <c r="E140" s="40">
        <v>19</v>
      </c>
    </row>
    <row r="141" spans="2:5" x14ac:dyDescent="0.3">
      <c r="E141" s="40">
        <v>15</v>
      </c>
    </row>
    <row r="142" spans="2:5" x14ac:dyDescent="0.3">
      <c r="B142">
        <v>28</v>
      </c>
      <c r="C142" t="s">
        <v>22</v>
      </c>
      <c r="D142" t="s">
        <v>91</v>
      </c>
      <c r="E142" s="40">
        <v>19</v>
      </c>
    </row>
    <row r="143" spans="2:5" x14ac:dyDescent="0.3">
      <c r="E143" s="40">
        <v>15</v>
      </c>
    </row>
    <row r="144" spans="2:5" x14ac:dyDescent="0.3">
      <c r="E144" s="40">
        <v>20</v>
      </c>
    </row>
    <row r="145" spans="2:5" x14ac:dyDescent="0.3">
      <c r="E145" s="40">
        <v>10</v>
      </c>
    </row>
    <row r="146" spans="2:5" x14ac:dyDescent="0.3">
      <c r="E146" s="40">
        <v>36</v>
      </c>
    </row>
    <row r="147" spans="2:5" x14ac:dyDescent="0.3">
      <c r="B147" t="s">
        <v>104</v>
      </c>
      <c r="C147" t="s">
        <v>104</v>
      </c>
      <c r="D147" t="s">
        <v>104</v>
      </c>
      <c r="E147" s="40" t="s">
        <v>104</v>
      </c>
    </row>
    <row r="148" spans="2:5" x14ac:dyDescent="0.3">
      <c r="B148" t="s">
        <v>153</v>
      </c>
      <c r="C148" t="s">
        <v>153</v>
      </c>
      <c r="D148" t="s">
        <v>153</v>
      </c>
      <c r="E148" s="40" t="s">
        <v>153</v>
      </c>
    </row>
  </sheetData>
  <pageMargins left="0.31496062992125984" right="0.11811023622047245" top="0.55118110236220474" bottom="0.35433070866141736" header="0.31496062992125984" footer="0.31496062992125984"/>
  <pageSetup scale="95" orientation="portrait" horizontalDpi="120" verticalDpi="72" r:id="rId2"/>
  <headerFooter>
    <oddFooter>&amp;L&amp;"-,Negrita"&amp;12ELABORADO POR: _________&amp;C&amp;"-,Negrita"&amp;12REVISADO POR: _________&amp;R&amp;"-,Negrita"&amp;12VISTO BUENO POR: _________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</vt:i4>
      </vt:variant>
    </vt:vector>
  </HeadingPairs>
  <TitlesOfParts>
    <vt:vector size="10" baseType="lpstr">
      <vt:lpstr>NOMINAS PSM&amp;BIO</vt:lpstr>
      <vt:lpstr>FUNCIONES</vt:lpstr>
      <vt:lpstr>Nomina Pesca</vt:lpstr>
      <vt:lpstr>Reg_Partic_Pesc</vt:lpstr>
      <vt:lpstr>Resumen</vt:lpstr>
      <vt:lpstr>Resumen x Empresa</vt:lpstr>
      <vt:lpstr>Consulta x NochE_Pesc</vt:lpstr>
      <vt:lpstr>'Consulta x NochE_Pesc'!Área_de_impresión</vt:lpstr>
      <vt:lpstr>'Nomina Pesca'!Área_de_impresión</vt:lpstr>
      <vt:lpstr>'Resumen x Empresa'!Área_de_impresión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PRODUCCION-02</cp:lastModifiedBy>
  <cp:lastPrinted>2018-01-31T20:21:58Z</cp:lastPrinted>
  <dcterms:created xsi:type="dcterms:W3CDTF">2017-08-18T22:39:30Z</dcterms:created>
  <dcterms:modified xsi:type="dcterms:W3CDTF">2018-02-05T13:39:13Z</dcterms:modified>
</cp:coreProperties>
</file>