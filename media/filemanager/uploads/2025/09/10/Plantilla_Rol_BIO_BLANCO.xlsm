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PRODUCCION01-PCEST\Dropbox\1 ADMINISTRACION\1.1 REPORTES\1 ROLES DE PAGO ASISTENCIA\"/>
    </mc:Choice>
  </mc:AlternateContent>
  <bookViews>
    <workbookView xWindow="-120" yWindow="-120" windowWidth="24240" windowHeight="13290" tabRatio="807" activeTab="1"/>
  </bookViews>
  <sheets>
    <sheet name="EMPLEADO" sheetId="12" r:id="rId1"/>
    <sheet name="Reporte Asistencia Laboral" sheetId="1" r:id="rId2"/>
    <sheet name="CONTROL H.E." sheetId="21" r:id="rId3"/>
    <sheet name="CONTROL H.E. Transf." sheetId="20" r:id="rId4"/>
    <sheet name="Firma H.E" sheetId="23" state="hidden" r:id="rId5"/>
    <sheet name="Firma H.E. Transf." sheetId="24" state="hidden" r:id="rId6"/>
    <sheet name="Dato_Pesc" sheetId="25" r:id="rId7"/>
    <sheet name="Dato_Transf" sheetId="30" r:id="rId8"/>
    <sheet name="MANUAL" sheetId="22" state="hidden" r:id="rId9"/>
    <sheet name="$ NOCHE_PESC" sheetId="14" state="hidden" r:id="rId10"/>
    <sheet name="VARIOS" sheetId="17" state="hidden" r:id="rId11"/>
    <sheet name="COPY HE" sheetId="18" state="hidden" r:id="rId12"/>
  </sheets>
  <definedNames>
    <definedName name="_xlnm._FilterDatabase" localSheetId="6" hidden="1">Dato_Pesc!$A$4:$C$35</definedName>
    <definedName name="_xlnm._FilterDatabase" localSheetId="0" hidden="1">EMPLEADO!$A$4:$AE$4</definedName>
    <definedName name="_xlnm._FilterDatabase" localSheetId="1" hidden="1">'Reporte Asistencia Laboral'!$AA$10:$AB$10</definedName>
    <definedName name="Años_préstamo" localSheetId="2">#REF!</definedName>
    <definedName name="Años_préstamo" localSheetId="0">#REF!</definedName>
    <definedName name="Años_préstamo">#REF!</definedName>
    <definedName name="_xlnm.Print_Area" localSheetId="2">'CONTROL H.E.'!$F$2:$S$26</definedName>
    <definedName name="_xlnm.Print_Area" localSheetId="3">'CONTROL H.E. Transf.'!$F$2:$M$25</definedName>
    <definedName name="_xlnm.Print_Area" localSheetId="0">EMPLEADO!$C$5:$H$8</definedName>
    <definedName name="_xlnm.Print_Area" localSheetId="4">'Firma H.E'!$F$2:$N$34</definedName>
    <definedName name="_xlnm.Print_Area" localSheetId="5">'Firma H.E. Transf.'!$F$2:$N$34</definedName>
    <definedName name="_xlnm.Print_Area" localSheetId="1">'Reporte Asistencia Laboral'!$B$3:$AX$14</definedName>
    <definedName name="Fila_de_encabezado" localSheetId="2">ROW(#REF!)</definedName>
    <definedName name="Fila_de_encabezado" localSheetId="0">ROW(#REF!)</definedName>
    <definedName name="Fila_de_encabezado">ROW(#REF!)</definedName>
    <definedName name="Importe_del_préstamo" localSheetId="2">#REF!</definedName>
    <definedName name="Importe_del_préstamo" localSheetId="0">#REF!</definedName>
    <definedName name="Importe_del_préstamo">#REF!</definedName>
    <definedName name="Impresión_completa" localSheetId="2">#REF!</definedName>
    <definedName name="Impresión_completa" localSheetId="0">#REF!</definedName>
    <definedName name="Impresión_completa">#REF!</definedName>
    <definedName name="Inicio_prestamo" localSheetId="2">#REF!</definedName>
    <definedName name="Inicio_prestamo" localSheetId="0">#REF!</definedName>
    <definedName name="Inicio_prestamo">#REF!</definedName>
    <definedName name="Int" localSheetId="2">#REF!</definedName>
    <definedName name="Int" localSheetId="0">#REF!</definedName>
    <definedName name="Int">#REF!</definedName>
    <definedName name="Int_acum" localSheetId="2">#REF!</definedName>
    <definedName name="Int_acum" localSheetId="0">#REF!</definedName>
    <definedName name="Int_acum">#REF!</definedName>
    <definedName name="Interés_total" localSheetId="2">#REF!</definedName>
    <definedName name="Interés_total" localSheetId="0">#REF!</definedName>
    <definedName name="Interés_total">#REF!</definedName>
    <definedName name="Núm_de_pago" localSheetId="2">#REF!</definedName>
    <definedName name="Núm_de_pago" localSheetId="0">#REF!</definedName>
    <definedName name="Núm_de_pago">#REF!</definedName>
    <definedName name="Núm_pagos_al_año" localSheetId="2">#REF!</definedName>
    <definedName name="Núm_pagos_al_año" localSheetId="0">#REF!</definedName>
    <definedName name="Núm_pagos_al_año">#REF!</definedName>
    <definedName name="Número_de_pagos" localSheetId="2">MATCH(0.01,'CONTROL H.E.'!Saldo_final,-1)+1</definedName>
    <definedName name="Número_de_pagos" localSheetId="0">#N/A</definedName>
    <definedName name="Número_de_pagos">MATCH(0.01,'CONTROL H.E.'!Saldo_final,-1)+1</definedName>
    <definedName name="Pago_adicional" localSheetId="2">#REF!</definedName>
    <definedName name="Pago_adicional" localSheetId="0">#REF!</definedName>
    <definedName name="Pago_adicional">#REF!</definedName>
    <definedName name="Pago_mensual_programado" localSheetId="2">#REF!</definedName>
    <definedName name="Pago_mensual_programado" localSheetId="0">#REF!</definedName>
    <definedName name="Pago_mensual_programado">#REF!</definedName>
    <definedName name="Pago_progr" localSheetId="2">#REF!</definedName>
    <definedName name="Pago_progr" localSheetId="0">#REF!</definedName>
    <definedName name="Pago_progr">#REF!</definedName>
    <definedName name="Pago_total" localSheetId="2">#REF!</definedName>
    <definedName name="Pago_total" localSheetId="0">#REF!</definedName>
    <definedName name="Pago_total">#REF!</definedName>
    <definedName name="Pagos_adicionales_programados" localSheetId="2">#REF!</definedName>
    <definedName name="Pagos_adicionales_programados" localSheetId="0">#REF!</definedName>
    <definedName name="Pagos_adicionales_programados">#REF!</definedName>
    <definedName name="Saldo_final" localSheetId="2">#REF!</definedName>
    <definedName name="Saldo_final">#REF!</definedName>
    <definedName name="Saldo_inicial" localSheetId="2">#REF!</definedName>
    <definedName name="Saldo_inicial" localSheetId="0">#REF!</definedName>
    <definedName name="Saldo_inicial">#REF!</definedName>
    <definedName name="Tasa_de_interés" localSheetId="2">#REF!</definedName>
    <definedName name="Tasa_de_interés" localSheetId="0">#REF!</definedName>
    <definedName name="Tasa_de_interés">#REF!</definedName>
    <definedName name="Tasa_de_interés_programada" localSheetId="2">#REF!</definedName>
    <definedName name="Tasa_de_interés_programada" localSheetId="0">#REF!</definedName>
    <definedName name="Tasa_de_interés_programada">#REF!</definedName>
    <definedName name="_xlnm.Print_Titles" localSheetId="2">'CONTROL H.E.'!$B:$E,'CONTROL H.E.'!$2:$9</definedName>
    <definedName name="_xlnm.Print_Titles" localSheetId="3">'CONTROL H.E. Transf.'!$B:$E,'CONTROL H.E. Transf.'!$2:$9</definedName>
    <definedName name="_xlnm.Print_Titles" localSheetId="0">EMPLEADO!$B:$B,EMPLEADO!$1:$4</definedName>
    <definedName name="_xlnm.Print_Titles" localSheetId="4">'Firma H.E'!$B:$E,'Firma H.E'!$2:$9</definedName>
    <definedName name="_xlnm.Print_Titles" localSheetId="5">'Firma H.E. Transf.'!$B:$E,'Firma H.E. Transf.'!$2:$9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8" i="1" l="1"/>
  <c r="A12" i="12"/>
  <c r="D19" i="1" l="1"/>
  <c r="F19" i="1" s="1"/>
  <c r="X19" i="1"/>
  <c r="AC19" i="1"/>
  <c r="AD19" i="1"/>
  <c r="D20" i="1"/>
  <c r="X20" i="1"/>
  <c r="AC20" i="1"/>
  <c r="AD20" i="1"/>
  <c r="D21" i="1"/>
  <c r="F21" i="1" s="1"/>
  <c r="X21" i="1"/>
  <c r="AC21" i="1"/>
  <c r="AD21" i="1"/>
  <c r="F20" i="1" l="1"/>
  <c r="E21" i="1"/>
  <c r="E20" i="1"/>
  <c r="D18" i="20"/>
  <c r="E19" i="1"/>
  <c r="C21" i="1"/>
  <c r="C20" i="1"/>
  <c r="BD20" i="1" l="1"/>
  <c r="BC20" i="1" s="1"/>
  <c r="AQ20" i="1" s="1"/>
  <c r="BF20" i="1"/>
  <c r="BE20" i="1" s="1"/>
  <c r="AU20" i="1" s="1"/>
  <c r="BB20" i="1"/>
  <c r="BA20" i="1" s="1"/>
  <c r="AL20" i="1" s="1"/>
  <c r="AB21" i="1"/>
  <c r="AN21" i="1"/>
  <c r="AR21" i="1"/>
  <c r="AV21" i="1"/>
  <c r="AO21" i="1"/>
  <c r="AS21" i="1"/>
  <c r="AW21" i="1"/>
  <c r="AL21" i="1"/>
  <c r="AP21" i="1"/>
  <c r="AT21" i="1"/>
  <c r="AM21" i="1"/>
  <c r="AQ21" i="1"/>
  <c r="AU21" i="1"/>
  <c r="AB20" i="1"/>
  <c r="AR20" i="1"/>
  <c r="AP20" i="1" l="1"/>
  <c r="AT20" i="1"/>
  <c r="AV20" i="1"/>
  <c r="AM20" i="1"/>
  <c r="AW20" i="1"/>
  <c r="AS20" i="1"/>
  <c r="AN20" i="1"/>
  <c r="AO20" i="1"/>
  <c r="AY21" i="1"/>
  <c r="AX21" i="1"/>
  <c r="AX20" i="1" l="1"/>
  <c r="AY20" i="1"/>
  <c r="R17" i="21"/>
  <c r="AF17" i="21"/>
  <c r="AT17" i="21"/>
  <c r="BH17" i="21"/>
  <c r="BV17" i="21"/>
  <c r="CJ17" i="21"/>
  <c r="CX17" i="21"/>
  <c r="DL17" i="21"/>
  <c r="DZ17" i="21"/>
  <c r="EN17" i="21"/>
  <c r="D18" i="21"/>
  <c r="R18" i="21"/>
  <c r="AF18" i="21"/>
  <c r="AT18" i="21"/>
  <c r="BH18" i="21"/>
  <c r="BV18" i="21"/>
  <c r="CJ18" i="21"/>
  <c r="CX18" i="21"/>
  <c r="DL18" i="21"/>
  <c r="DZ18" i="21"/>
  <c r="EN18" i="21"/>
  <c r="EQ18" i="21" l="1"/>
  <c r="EQ17" i="21"/>
  <c r="N6" i="12"/>
  <c r="N5" i="12"/>
  <c r="R16" i="21" l="1"/>
  <c r="AF16" i="21"/>
  <c r="AT16" i="21"/>
  <c r="BH16" i="21"/>
  <c r="EQ16" i="21" s="1"/>
  <c r="BV16" i="21"/>
  <c r="CJ16" i="21"/>
  <c r="CX16" i="21"/>
  <c r="DL16" i="21"/>
  <c r="DZ16" i="21"/>
  <c r="EN16" i="21"/>
  <c r="D18" i="1"/>
  <c r="D17" i="20" s="1"/>
  <c r="X18" i="1"/>
  <c r="AC18" i="1"/>
  <c r="AD18" i="1"/>
  <c r="Q9" i="12"/>
  <c r="Q13" i="12"/>
  <c r="Q14" i="12"/>
  <c r="A15" i="12"/>
  <c r="Q15" i="12"/>
  <c r="C18" i="20" l="1"/>
  <c r="C19" i="1"/>
  <c r="C18" i="21"/>
  <c r="D17" i="21"/>
  <c r="F18" i="1"/>
  <c r="E18" i="1"/>
  <c r="BD19" i="1" l="1"/>
  <c r="BC19" i="1" s="1"/>
  <c r="AQ19" i="1" s="1"/>
  <c r="AB19" i="1"/>
  <c r="BB19" i="1"/>
  <c r="BA19" i="1" s="1"/>
  <c r="AL19" i="1" s="1"/>
  <c r="BF19" i="1"/>
  <c r="BE19" i="1" s="1"/>
  <c r="AU19" i="1" s="1"/>
  <c r="AH18" i="20"/>
  <c r="AX18" i="20"/>
  <c r="AA18" i="20"/>
  <c r="BG18" i="20"/>
  <c r="F18" i="20"/>
  <c r="V18" i="20"/>
  <c r="AL18" i="20"/>
  <c r="BB18" i="20"/>
  <c r="O18" i="20"/>
  <c r="AE18" i="20"/>
  <c r="AU18" i="20"/>
  <c r="N18" i="20"/>
  <c r="AD18" i="20"/>
  <c r="AT18" i="20"/>
  <c r="G18" i="20"/>
  <c r="W18" i="20"/>
  <c r="AM18" i="20"/>
  <c r="BC18" i="20"/>
  <c r="J18" i="20"/>
  <c r="Z18" i="20"/>
  <c r="AP18" i="20"/>
  <c r="BF18" i="20"/>
  <c r="S18" i="20"/>
  <c r="AI18" i="20"/>
  <c r="AY18" i="20"/>
  <c r="R18" i="20"/>
  <c r="K18" i="20"/>
  <c r="L18" i="20" s="1"/>
  <c r="AQ18" i="20"/>
  <c r="R15" i="21"/>
  <c r="AF15" i="21"/>
  <c r="AT15" i="21"/>
  <c r="BH15" i="21"/>
  <c r="BV15" i="21"/>
  <c r="CJ15" i="21"/>
  <c r="CX15" i="21"/>
  <c r="DL15" i="21"/>
  <c r="DZ15" i="21"/>
  <c r="EN15" i="21"/>
  <c r="D16" i="1"/>
  <c r="X16" i="1"/>
  <c r="AC16" i="1"/>
  <c r="AD16" i="1"/>
  <c r="D17" i="1"/>
  <c r="X17" i="1"/>
  <c r="AC17" i="1"/>
  <c r="AD17" i="1"/>
  <c r="Q12" i="12"/>
  <c r="C17" i="20" l="1"/>
  <c r="C18" i="1"/>
  <c r="C17" i="21"/>
  <c r="AJ18" i="20"/>
  <c r="AK18" i="20" s="1"/>
  <c r="AT19" i="1"/>
  <c r="AM19" i="1"/>
  <c r="AP19" i="1"/>
  <c r="AV19" i="1"/>
  <c r="AW19" i="1"/>
  <c r="AS19" i="1"/>
  <c r="AB18" i="20"/>
  <c r="AC18" i="20" s="1"/>
  <c r="AN19" i="1"/>
  <c r="AZ18" i="20"/>
  <c r="BA18" i="20" s="1"/>
  <c r="AR18" i="20"/>
  <c r="AS18" i="20" s="1"/>
  <c r="BH18" i="20"/>
  <c r="BI18" i="20" s="1"/>
  <c r="AR19" i="1"/>
  <c r="M18" i="20"/>
  <c r="T18" i="20"/>
  <c r="U18" i="20" s="1"/>
  <c r="AO19" i="1"/>
  <c r="EQ15" i="21"/>
  <c r="D16" i="20"/>
  <c r="D16" i="21"/>
  <c r="F17" i="1"/>
  <c r="E17" i="1"/>
  <c r="F16" i="1"/>
  <c r="D15" i="21"/>
  <c r="D15" i="20"/>
  <c r="E16" i="1"/>
  <c r="R14" i="21"/>
  <c r="AF14" i="21"/>
  <c r="AT14" i="21"/>
  <c r="BH14" i="21"/>
  <c r="BV14" i="21"/>
  <c r="CJ14" i="21"/>
  <c r="CX14" i="21"/>
  <c r="DL14" i="21"/>
  <c r="DZ14" i="21"/>
  <c r="EN14" i="21"/>
  <c r="D15" i="1"/>
  <c r="D14" i="21" s="1"/>
  <c r="X15" i="1"/>
  <c r="AC15" i="1"/>
  <c r="AD15" i="1"/>
  <c r="BF18" i="1" l="1"/>
  <c r="AB18" i="1"/>
  <c r="BB18" i="1"/>
  <c r="BD18" i="1"/>
  <c r="G17" i="20"/>
  <c r="N17" i="20"/>
  <c r="AI17" i="20"/>
  <c r="AP17" i="20"/>
  <c r="BG17" i="20"/>
  <c r="BF17" i="20"/>
  <c r="F17" i="20"/>
  <c r="AM17" i="20"/>
  <c r="AT17" i="20"/>
  <c r="J17" i="20"/>
  <c r="AA17" i="20"/>
  <c r="AH17" i="20"/>
  <c r="AE17" i="20"/>
  <c r="AL17" i="20"/>
  <c r="BC17" i="20"/>
  <c r="Z17" i="20"/>
  <c r="AX17" i="20"/>
  <c r="BB17" i="20"/>
  <c r="W17" i="20"/>
  <c r="AD17" i="20"/>
  <c r="AY17" i="20"/>
  <c r="AZ17" i="20" s="1"/>
  <c r="BA17" i="20" s="1"/>
  <c r="K17" i="20"/>
  <c r="L17" i="20" s="1"/>
  <c r="R17" i="20"/>
  <c r="O17" i="20"/>
  <c r="V17" i="20"/>
  <c r="S17" i="20"/>
  <c r="AQ17" i="20"/>
  <c r="AU17" i="20"/>
  <c r="EQ14" i="21"/>
  <c r="AX19" i="1"/>
  <c r="BK18" i="20"/>
  <c r="AY19" i="1"/>
  <c r="F15" i="1"/>
  <c r="E15" i="1"/>
  <c r="D14" i="20"/>
  <c r="AR18" i="1" l="1"/>
  <c r="BC18" i="1"/>
  <c r="AS18" i="1"/>
  <c r="AR17" i="20"/>
  <c r="AS17" i="20" s="1"/>
  <c r="AB17" i="20"/>
  <c r="AC17" i="20" s="1"/>
  <c r="AJ17" i="20"/>
  <c r="AK17" i="20" s="1"/>
  <c r="BA18" i="1"/>
  <c r="AN18" i="1"/>
  <c r="AO18" i="1"/>
  <c r="T17" i="20"/>
  <c r="U17" i="20" s="1"/>
  <c r="M17" i="20"/>
  <c r="BH17" i="20"/>
  <c r="BI17" i="20" s="1"/>
  <c r="AW18" i="1"/>
  <c r="AV18" i="1"/>
  <c r="BE18" i="1"/>
  <c r="C6" i="20"/>
  <c r="C5" i="20"/>
  <c r="BK17" i="20" l="1"/>
  <c r="AT18" i="1"/>
  <c r="AU18" i="1"/>
  <c r="AM18" i="1"/>
  <c r="AL18" i="1"/>
  <c r="AQ18" i="1"/>
  <c r="AP18" i="1"/>
  <c r="Q7" i="12"/>
  <c r="Q10" i="12"/>
  <c r="AX18" i="1" l="1"/>
  <c r="AY18" i="1"/>
  <c r="C16" i="1"/>
  <c r="C15" i="20"/>
  <c r="C15" i="21"/>
  <c r="Q8" i="12"/>
  <c r="G15" i="20" l="1"/>
  <c r="J15" i="20"/>
  <c r="Z15" i="20"/>
  <c r="AX15" i="20"/>
  <c r="AQ15" i="20"/>
  <c r="AT15" i="20"/>
  <c r="N15" i="20"/>
  <c r="AM15" i="20"/>
  <c r="BG15" i="20"/>
  <c r="BB15" i="20"/>
  <c r="V15" i="20"/>
  <c r="AU15" i="20"/>
  <c r="O15" i="20"/>
  <c r="AP15" i="20"/>
  <c r="AY15" i="20"/>
  <c r="AH15" i="20"/>
  <c r="AA15" i="20"/>
  <c r="AL15" i="20"/>
  <c r="F15" i="20"/>
  <c r="AE15" i="20"/>
  <c r="AI15" i="20"/>
  <c r="S15" i="20"/>
  <c r="R15" i="20"/>
  <c r="K15" i="20"/>
  <c r="AD15" i="20"/>
  <c r="BC15" i="20"/>
  <c r="W15" i="20"/>
  <c r="BF15" i="20"/>
  <c r="BD16" i="1"/>
  <c r="BC16" i="1" s="1"/>
  <c r="AQ16" i="1" s="1"/>
  <c r="BF16" i="1"/>
  <c r="BE16" i="1" s="1"/>
  <c r="AU16" i="1" s="1"/>
  <c r="AB16" i="1"/>
  <c r="BB16" i="1"/>
  <c r="BA16" i="1" s="1"/>
  <c r="AM16" i="1" s="1"/>
  <c r="AR16" i="1"/>
  <c r="AW16" i="1"/>
  <c r="AA5" i="25"/>
  <c r="L15" i="20" l="1"/>
  <c r="M15" i="20" s="1"/>
  <c r="AV16" i="1"/>
  <c r="AT16" i="1"/>
  <c r="AO16" i="1"/>
  <c r="AJ15" i="20"/>
  <c r="AK15" i="20" s="1"/>
  <c r="AB15" i="20"/>
  <c r="AC15" i="20" s="1"/>
  <c r="AS16" i="1"/>
  <c r="AN16" i="1"/>
  <c r="AZ15" i="20"/>
  <c r="BA15" i="20" s="1"/>
  <c r="AL16" i="1"/>
  <c r="AP16" i="1"/>
  <c r="T15" i="20"/>
  <c r="U15" i="20" s="1"/>
  <c r="BH15" i="20"/>
  <c r="BI15" i="20" s="1"/>
  <c r="AR15" i="20"/>
  <c r="AS15" i="20" s="1"/>
  <c r="AD5" i="25"/>
  <c r="AA6" i="25"/>
  <c r="AC5" i="25"/>
  <c r="AB5" i="25"/>
  <c r="EB6" i="21"/>
  <c r="DN6" i="21"/>
  <c r="CZ6" i="21"/>
  <c r="CL6" i="21"/>
  <c r="BX6" i="21"/>
  <c r="BJ6" i="21"/>
  <c r="AV6" i="21"/>
  <c r="AH6" i="21"/>
  <c r="T6" i="21"/>
  <c r="F6" i="21"/>
  <c r="AY16" i="1" l="1"/>
  <c r="AX16" i="1"/>
  <c r="BK15" i="20"/>
  <c r="CR18" i="21"/>
  <c r="CR17" i="21"/>
  <c r="CR16" i="21"/>
  <c r="BB17" i="21"/>
  <c r="BB18" i="21"/>
  <c r="BB16" i="21"/>
  <c r="DF17" i="21"/>
  <c r="DF18" i="21"/>
  <c r="DF16" i="21"/>
  <c r="AN18" i="21"/>
  <c r="AN17" i="21"/>
  <c r="AN16" i="21"/>
  <c r="L18" i="21"/>
  <c r="L17" i="21"/>
  <c r="L16" i="21"/>
  <c r="BP18" i="21"/>
  <c r="BP17" i="21"/>
  <c r="BP16" i="21"/>
  <c r="DT18" i="21"/>
  <c r="DT17" i="21"/>
  <c r="DT16" i="21"/>
  <c r="Z17" i="21"/>
  <c r="Z18" i="21"/>
  <c r="Z16" i="21"/>
  <c r="CD17" i="21"/>
  <c r="CD18" i="21"/>
  <c r="CD16" i="21"/>
  <c r="EH17" i="21"/>
  <c r="EH18" i="21"/>
  <c r="EH16" i="21"/>
  <c r="L15" i="21"/>
  <c r="L14" i="21"/>
  <c r="AN10" i="21"/>
  <c r="AN15" i="21"/>
  <c r="AN14" i="21"/>
  <c r="BP10" i="21"/>
  <c r="BP15" i="21"/>
  <c r="BP14" i="21"/>
  <c r="CR10" i="21"/>
  <c r="CR15" i="21"/>
  <c r="CR14" i="21"/>
  <c r="DT10" i="21"/>
  <c r="DT15" i="21"/>
  <c r="DT14" i="21"/>
  <c r="Z10" i="21"/>
  <c r="Z15" i="21"/>
  <c r="Z14" i="21"/>
  <c r="BB10" i="21"/>
  <c r="BB15" i="21"/>
  <c r="BB14" i="21"/>
  <c r="CD10" i="21"/>
  <c r="CD15" i="21"/>
  <c r="CD14" i="21"/>
  <c r="DF10" i="21"/>
  <c r="DF15" i="21"/>
  <c r="DF14" i="21"/>
  <c r="EH10" i="21"/>
  <c r="EH15" i="21"/>
  <c r="EH14" i="21"/>
  <c r="BB11" i="21"/>
  <c r="DF11" i="21"/>
  <c r="Z11" i="21"/>
  <c r="CD11" i="21"/>
  <c r="EH11" i="21"/>
  <c r="Z12" i="21"/>
  <c r="AN12" i="21"/>
  <c r="BB12" i="21"/>
  <c r="BP12" i="21"/>
  <c r="CD12" i="21"/>
  <c r="CR12" i="21"/>
  <c r="DF12" i="21"/>
  <c r="DT12" i="21"/>
  <c r="EH12" i="21"/>
  <c r="AN11" i="21"/>
  <c r="BP11" i="21"/>
  <c r="CR11" i="21"/>
  <c r="DT11" i="21"/>
  <c r="Z13" i="21"/>
  <c r="AN13" i="21"/>
  <c r="BB13" i="21"/>
  <c r="BP13" i="21"/>
  <c r="CD13" i="21"/>
  <c r="CR13" i="21"/>
  <c r="DF13" i="21"/>
  <c r="DT13" i="21"/>
  <c r="EH13" i="21"/>
  <c r="AF5" i="25"/>
  <c r="AE5" i="25"/>
  <c r="AB6" i="25"/>
  <c r="AD6" i="25"/>
  <c r="AC6" i="25"/>
  <c r="AA7" i="25"/>
  <c r="Q5" i="12"/>
  <c r="Q6" i="12"/>
  <c r="Q11" i="12"/>
  <c r="C16" i="20" l="1"/>
  <c r="C17" i="1"/>
  <c r="C16" i="21"/>
  <c r="EP16" i="21"/>
  <c r="EP17" i="21"/>
  <c r="EP18" i="21"/>
  <c r="EP14" i="21"/>
  <c r="EP15" i="21"/>
  <c r="C15" i="1"/>
  <c r="C14" i="21"/>
  <c r="C14" i="20"/>
  <c r="AF6" i="25"/>
  <c r="AE6" i="25"/>
  <c r="AD7" i="25"/>
  <c r="AA8" i="25"/>
  <c r="AC7" i="25"/>
  <c r="AB7" i="25"/>
  <c r="AB17" i="1" l="1"/>
  <c r="BB17" i="1"/>
  <c r="BA17" i="1" s="1"/>
  <c r="AM17" i="1" s="1"/>
  <c r="BF17" i="1"/>
  <c r="BE17" i="1" s="1"/>
  <c r="AT17" i="1" s="1"/>
  <c r="BD17" i="1"/>
  <c r="BC17" i="1" s="1"/>
  <c r="AP17" i="1" s="1"/>
  <c r="AA16" i="20"/>
  <c r="N16" i="20"/>
  <c r="AI16" i="20"/>
  <c r="AQ16" i="20"/>
  <c r="AM16" i="20"/>
  <c r="AX16" i="20"/>
  <c r="F16" i="20"/>
  <c r="Z16" i="20"/>
  <c r="W16" i="20"/>
  <c r="BB16" i="20"/>
  <c r="K16" i="20"/>
  <c r="AE16" i="20"/>
  <c r="BF16" i="20"/>
  <c r="BC16" i="20"/>
  <c r="AP16" i="20"/>
  <c r="AL16" i="20"/>
  <c r="O16" i="20"/>
  <c r="G16" i="20"/>
  <c r="J16" i="20"/>
  <c r="AH16" i="20"/>
  <c r="BG16" i="20"/>
  <c r="BH16" i="20" s="1"/>
  <c r="BI16" i="20" s="1"/>
  <c r="R16" i="20"/>
  <c r="AD16" i="20"/>
  <c r="AT16" i="20"/>
  <c r="V16" i="20"/>
  <c r="AY16" i="20"/>
  <c r="AZ16" i="20" s="1"/>
  <c r="BA16" i="20" s="1"/>
  <c r="AU16" i="20"/>
  <c r="S16" i="20"/>
  <c r="G14" i="20"/>
  <c r="O14" i="20"/>
  <c r="W14" i="20"/>
  <c r="AE14" i="20"/>
  <c r="AM14" i="20"/>
  <c r="AU14" i="20"/>
  <c r="BC14" i="20"/>
  <c r="AH14" i="20"/>
  <c r="AP14" i="20"/>
  <c r="AX14" i="20"/>
  <c r="F14" i="20"/>
  <c r="N14" i="20"/>
  <c r="V14" i="20"/>
  <c r="AD14" i="20"/>
  <c r="K14" i="20"/>
  <c r="S14" i="20"/>
  <c r="AA14" i="20"/>
  <c r="AI14" i="20"/>
  <c r="AQ14" i="20"/>
  <c r="AY14" i="20"/>
  <c r="BG14" i="20"/>
  <c r="AL14" i="20"/>
  <c r="AT14" i="20"/>
  <c r="BF14" i="20"/>
  <c r="J14" i="20"/>
  <c r="R14" i="20"/>
  <c r="Z14" i="20"/>
  <c r="BB14" i="20"/>
  <c r="AB15" i="1"/>
  <c r="BD15" i="1"/>
  <c r="BC15" i="1" s="1"/>
  <c r="AQ15" i="1" s="1"/>
  <c r="BB15" i="1"/>
  <c r="BA15" i="1" s="1"/>
  <c r="AM15" i="1" s="1"/>
  <c r="BF15" i="1"/>
  <c r="BE15" i="1" s="1"/>
  <c r="AU15" i="1" s="1"/>
  <c r="AB8" i="25"/>
  <c r="AA9" i="25"/>
  <c r="AD8" i="25"/>
  <c r="AC8" i="25"/>
  <c r="AF7" i="25"/>
  <c r="AE7" i="25"/>
  <c r="A6" i="12"/>
  <c r="AN17" i="1" l="1"/>
  <c r="T16" i="20"/>
  <c r="U16" i="20" s="1"/>
  <c r="AQ17" i="1"/>
  <c r="AR17" i="1"/>
  <c r="AS17" i="1"/>
  <c r="AV17" i="1"/>
  <c r="AW17" i="1"/>
  <c r="AU17" i="1"/>
  <c r="L16" i="20"/>
  <c r="AJ16" i="20"/>
  <c r="AK16" i="20" s="1"/>
  <c r="AO17" i="1"/>
  <c r="AB16" i="20"/>
  <c r="AC16" i="20" s="1"/>
  <c r="AR16" i="20"/>
  <c r="AS16" i="20" s="1"/>
  <c r="AL17" i="1"/>
  <c r="AR14" i="20"/>
  <c r="AS14" i="20" s="1"/>
  <c r="AZ14" i="20"/>
  <c r="BA14" i="20" s="1"/>
  <c r="A13" i="12"/>
  <c r="A14" i="12" s="1"/>
  <c r="A7" i="12"/>
  <c r="A8" i="12" s="1"/>
  <c r="A9" i="12" s="1"/>
  <c r="A10" i="12" s="1"/>
  <c r="A11" i="12" s="1"/>
  <c r="AO15" i="1"/>
  <c r="AJ14" i="20"/>
  <c r="AK14" i="20" s="1"/>
  <c r="AL15" i="1"/>
  <c r="AR15" i="1"/>
  <c r="AW15" i="1"/>
  <c r="AV15" i="1"/>
  <c r="AT15" i="1"/>
  <c r="T14" i="20"/>
  <c r="U14" i="20" s="1"/>
  <c r="AN15" i="1"/>
  <c r="AP15" i="1"/>
  <c r="AS15" i="1"/>
  <c r="BH14" i="20"/>
  <c r="BI14" i="20" s="1"/>
  <c r="AB14" i="20"/>
  <c r="AC14" i="20" s="1"/>
  <c r="L14" i="20"/>
  <c r="AF8" i="25"/>
  <c r="AE8" i="25"/>
  <c r="AD9" i="25"/>
  <c r="AA10" i="25"/>
  <c r="AC9" i="25"/>
  <c r="AB9" i="25"/>
  <c r="AX17" i="1" l="1"/>
  <c r="AY17" i="1"/>
  <c r="M16" i="20"/>
  <c r="BK16" i="20"/>
  <c r="AY15" i="1"/>
  <c r="AX15" i="1"/>
  <c r="M14" i="20"/>
  <c r="BK14" i="20"/>
  <c r="AB10" i="25"/>
  <c r="AD10" i="25"/>
  <c r="AC10" i="25"/>
  <c r="AA11" i="25"/>
  <c r="AF9" i="25"/>
  <c r="AE9" i="25"/>
  <c r="B18" i="17"/>
  <c r="B20" i="17" s="1"/>
  <c r="B17" i="17"/>
  <c r="C2" i="20"/>
  <c r="C2" i="21"/>
  <c r="AD11" i="25" l="1"/>
  <c r="AC11" i="25"/>
  <c r="AA12" i="25"/>
  <c r="AB11" i="25"/>
  <c r="AF10" i="25"/>
  <c r="AE10" i="25"/>
  <c r="B21" i="17"/>
  <c r="B22" i="17"/>
  <c r="B19" i="17"/>
  <c r="P5" i="25"/>
  <c r="AE11" i="25" l="1"/>
  <c r="AF11" i="25"/>
  <c r="AA13" i="25"/>
  <c r="AC12" i="25"/>
  <c r="AD12" i="25"/>
  <c r="AB12" i="25"/>
  <c r="S5" i="25"/>
  <c r="U5" i="25" s="1"/>
  <c r="B23" i="17"/>
  <c r="B24" i="17"/>
  <c r="R5" i="25"/>
  <c r="P6" i="25"/>
  <c r="Q5" i="25"/>
  <c r="AF12" i="25" l="1"/>
  <c r="AE12" i="25"/>
  <c r="AC13" i="25"/>
  <c r="AA14" i="25"/>
  <c r="AB13" i="25"/>
  <c r="AD13" i="25"/>
  <c r="T5" i="25"/>
  <c r="B25" i="17"/>
  <c r="B26" i="17"/>
  <c r="Q6" i="25"/>
  <c r="S6" i="25"/>
  <c r="P7" i="25"/>
  <c r="R6" i="25"/>
  <c r="AA15" i="25" l="1"/>
  <c r="AC14" i="25"/>
  <c r="AB14" i="25"/>
  <c r="AD14" i="25"/>
  <c r="AE13" i="25"/>
  <c r="AF13" i="25"/>
  <c r="B28" i="17"/>
  <c r="B27" i="17"/>
  <c r="S7" i="25"/>
  <c r="Q7" i="25"/>
  <c r="P8" i="25"/>
  <c r="R7" i="25"/>
  <c r="U6" i="25"/>
  <c r="T6" i="25"/>
  <c r="AA16" i="25" l="1"/>
  <c r="AB15" i="25"/>
  <c r="AD15" i="25"/>
  <c r="AC15" i="25"/>
  <c r="AF14" i="25"/>
  <c r="AE14" i="25"/>
  <c r="B29" i="17"/>
  <c r="B30" i="17"/>
  <c r="Q8" i="25"/>
  <c r="S8" i="25"/>
  <c r="P9" i="25"/>
  <c r="R8" i="25"/>
  <c r="T7" i="25"/>
  <c r="U7" i="25"/>
  <c r="AA17" i="25" l="1"/>
  <c r="AC16" i="25"/>
  <c r="AD16" i="25"/>
  <c r="AB16" i="25"/>
  <c r="AE15" i="25"/>
  <c r="AF15" i="25"/>
  <c r="B31" i="17"/>
  <c r="B32" i="17"/>
  <c r="S9" i="25"/>
  <c r="Q9" i="25"/>
  <c r="P10" i="25"/>
  <c r="R9" i="25"/>
  <c r="U8" i="25"/>
  <c r="T8" i="25"/>
  <c r="AD17" i="25" l="1"/>
  <c r="AC17" i="25"/>
  <c r="AB17" i="25"/>
  <c r="AA18" i="25"/>
  <c r="AF16" i="25"/>
  <c r="AE16" i="25"/>
  <c r="B33" i="17"/>
  <c r="B34" i="17"/>
  <c r="Q10" i="25"/>
  <c r="S10" i="25"/>
  <c r="P11" i="25"/>
  <c r="R10" i="25"/>
  <c r="T9" i="25"/>
  <c r="U9" i="25"/>
  <c r="AE17" i="25" l="1"/>
  <c r="AF17" i="25"/>
  <c r="AA19" i="25"/>
  <c r="AC18" i="25"/>
  <c r="AD18" i="25"/>
  <c r="AB18" i="25"/>
  <c r="B35" i="17"/>
  <c r="B36" i="17"/>
  <c r="S11" i="25"/>
  <c r="R11" i="25"/>
  <c r="Q11" i="25"/>
  <c r="P12" i="25"/>
  <c r="U10" i="25"/>
  <c r="T10" i="25"/>
  <c r="AE18" i="25" l="1"/>
  <c r="AF18" i="25"/>
  <c r="AD19" i="25"/>
  <c r="AC19" i="25"/>
  <c r="AB19" i="25"/>
  <c r="AA20" i="25"/>
  <c r="B37" i="17"/>
  <c r="B38" i="17"/>
  <c r="B39" i="17" s="1"/>
  <c r="S12" i="25"/>
  <c r="P13" i="25"/>
  <c r="R12" i="25"/>
  <c r="Q12" i="25"/>
  <c r="U11" i="25"/>
  <c r="T11" i="25"/>
  <c r="AE19" i="25" l="1"/>
  <c r="AF19" i="25"/>
  <c r="AA21" i="25"/>
  <c r="AC20" i="25"/>
  <c r="AD20" i="25"/>
  <c r="AB20" i="25"/>
  <c r="C7" i="21"/>
  <c r="Q13" i="25"/>
  <c r="R13" i="25"/>
  <c r="P14" i="25"/>
  <c r="S13" i="25"/>
  <c r="U12" i="25"/>
  <c r="T12" i="25"/>
  <c r="AF20" i="25" l="1"/>
  <c r="AE20" i="25"/>
  <c r="AC21" i="25"/>
  <c r="AA22" i="25"/>
  <c r="AB21" i="25"/>
  <c r="AD21" i="25"/>
  <c r="U13" i="25"/>
  <c r="T13" i="25"/>
  <c r="S14" i="25"/>
  <c r="P15" i="25"/>
  <c r="R14" i="25"/>
  <c r="Q14" i="25"/>
  <c r="AA23" i="25" l="1"/>
  <c r="AC22" i="25"/>
  <c r="AB22" i="25"/>
  <c r="AD22" i="25"/>
  <c r="AE21" i="25"/>
  <c r="AF21" i="25"/>
  <c r="Q15" i="25"/>
  <c r="S15" i="25"/>
  <c r="P16" i="25"/>
  <c r="R15" i="25"/>
  <c r="U14" i="25"/>
  <c r="T14" i="25"/>
  <c r="AA24" i="25" l="1"/>
  <c r="AB23" i="25"/>
  <c r="AD23" i="25"/>
  <c r="AC23" i="25"/>
  <c r="AF22" i="25"/>
  <c r="AE22" i="25"/>
  <c r="S16" i="25"/>
  <c r="P17" i="25"/>
  <c r="R16" i="25"/>
  <c r="Q16" i="25"/>
  <c r="U15" i="25"/>
  <c r="T15" i="25"/>
  <c r="AA25" i="25" l="1"/>
  <c r="AC24" i="25"/>
  <c r="AD24" i="25"/>
  <c r="AB24" i="25"/>
  <c r="AE23" i="25"/>
  <c r="AF23" i="25"/>
  <c r="Q17" i="25"/>
  <c r="P18" i="25"/>
  <c r="S17" i="25"/>
  <c r="R17" i="25"/>
  <c r="U16" i="25"/>
  <c r="T16" i="25"/>
  <c r="AD25" i="25" l="1"/>
  <c r="AA26" i="25"/>
  <c r="AC25" i="25"/>
  <c r="AB25" i="25"/>
  <c r="AF24" i="25"/>
  <c r="AE24" i="25"/>
  <c r="U17" i="25"/>
  <c r="T17" i="25"/>
  <c r="S18" i="25"/>
  <c r="P19" i="25"/>
  <c r="R18" i="25"/>
  <c r="Q18" i="25"/>
  <c r="D11" i="1"/>
  <c r="D12" i="1"/>
  <c r="D13" i="1"/>
  <c r="D14" i="1"/>
  <c r="AE25" i="25" l="1"/>
  <c r="AF25" i="25"/>
  <c r="AA27" i="25"/>
  <c r="AC26" i="25"/>
  <c r="AD26" i="25"/>
  <c r="AB26" i="25"/>
  <c r="C14" i="1"/>
  <c r="D13" i="20"/>
  <c r="C13" i="20" s="1"/>
  <c r="D13" i="21"/>
  <c r="C13" i="21" s="1"/>
  <c r="C11" i="1"/>
  <c r="D10" i="20"/>
  <c r="C10" i="20" s="1"/>
  <c r="D10" i="21"/>
  <c r="C10" i="21" s="1"/>
  <c r="D12" i="20"/>
  <c r="C12" i="20" s="1"/>
  <c r="D12" i="21"/>
  <c r="C12" i="21" s="1"/>
  <c r="C12" i="1"/>
  <c r="D11" i="20"/>
  <c r="C11" i="20" s="1"/>
  <c r="D11" i="21"/>
  <c r="C11" i="21" s="1"/>
  <c r="Q19" i="25"/>
  <c r="S19" i="25"/>
  <c r="R19" i="25"/>
  <c r="P20" i="25"/>
  <c r="U18" i="25"/>
  <c r="T18" i="25"/>
  <c r="C13" i="1"/>
  <c r="AB13" i="1" l="1"/>
  <c r="AB14" i="1"/>
  <c r="BF14" i="1"/>
  <c r="BE14" i="1" s="1"/>
  <c r="AT14" i="1" s="1"/>
  <c r="AB12" i="1"/>
  <c r="BF12" i="1"/>
  <c r="BE12" i="1" s="1"/>
  <c r="AU12" i="1" s="1"/>
  <c r="AB11" i="1"/>
  <c r="BF11" i="1"/>
  <c r="BE11" i="1" s="1"/>
  <c r="AU11" i="1" s="1"/>
  <c r="AE26" i="25"/>
  <c r="AF26" i="25"/>
  <c r="AD27" i="25"/>
  <c r="AC27" i="25"/>
  <c r="AA28" i="25"/>
  <c r="AB27" i="25"/>
  <c r="BD14" i="1"/>
  <c r="AS14" i="1" s="1"/>
  <c r="BD12" i="1"/>
  <c r="S20" i="25"/>
  <c r="P21" i="25"/>
  <c r="R20" i="25"/>
  <c r="Q20" i="25"/>
  <c r="U19" i="25"/>
  <c r="T19" i="25"/>
  <c r="AU14" i="1" l="1"/>
  <c r="AW12" i="1"/>
  <c r="AW14" i="1"/>
  <c r="AT11" i="1"/>
  <c r="AV12" i="1"/>
  <c r="AT12" i="1"/>
  <c r="AV14" i="1"/>
  <c r="AV11" i="1"/>
  <c r="AW11" i="1"/>
  <c r="AA29" i="25"/>
  <c r="AC28" i="25"/>
  <c r="AD28" i="25"/>
  <c r="AB28" i="25"/>
  <c r="AE27" i="25"/>
  <c r="AF27" i="25"/>
  <c r="AS12" i="1"/>
  <c r="BC12" i="1"/>
  <c r="AR12" i="1"/>
  <c r="AR14" i="1"/>
  <c r="BC14" i="1"/>
  <c r="Q21" i="25"/>
  <c r="R21" i="25"/>
  <c r="P22" i="25"/>
  <c r="S21" i="25"/>
  <c r="BD11" i="1" s="1"/>
  <c r="U20" i="25"/>
  <c r="T20" i="25"/>
  <c r="BF13" i="1" l="1"/>
  <c r="BC11" i="1"/>
  <c r="AP11" i="1" s="1"/>
  <c r="AR11" i="1"/>
  <c r="AS11" i="1"/>
  <c r="AC29" i="25"/>
  <c r="AA30" i="25"/>
  <c r="AB29" i="25"/>
  <c r="AD29" i="25"/>
  <c r="AF28" i="25"/>
  <c r="AE28" i="25"/>
  <c r="AQ12" i="1"/>
  <c r="AP12" i="1"/>
  <c r="AP14" i="1"/>
  <c r="AQ14" i="1"/>
  <c r="U21" i="25"/>
  <c r="T21" i="25"/>
  <c r="S22" i="25"/>
  <c r="P23" i="25"/>
  <c r="R22" i="25"/>
  <c r="Q22" i="25"/>
  <c r="AQ11" i="1" l="1"/>
  <c r="BE13" i="1"/>
  <c r="AV13" i="1"/>
  <c r="AW13" i="1"/>
  <c r="AE29" i="25"/>
  <c r="AF29" i="25"/>
  <c r="AA31" i="25"/>
  <c r="AC30" i="25"/>
  <c r="AB30" i="25"/>
  <c r="AD30" i="25"/>
  <c r="U22" i="25"/>
  <c r="T22" i="25"/>
  <c r="Q23" i="25"/>
  <c r="S23" i="25"/>
  <c r="P24" i="25"/>
  <c r="R23" i="25"/>
  <c r="AT13" i="1" l="1"/>
  <c r="AU13" i="1"/>
  <c r="AA32" i="25"/>
  <c r="AB31" i="25"/>
  <c r="AD31" i="25"/>
  <c r="AC31" i="25"/>
  <c r="AF30" i="25"/>
  <c r="AE30" i="25"/>
  <c r="U23" i="25"/>
  <c r="T23" i="25"/>
  <c r="S24" i="25"/>
  <c r="P25" i="25"/>
  <c r="R24" i="25"/>
  <c r="Q24" i="25"/>
  <c r="C10" i="18"/>
  <c r="H10" i="18"/>
  <c r="AA33" i="25" l="1"/>
  <c r="AC32" i="25"/>
  <c r="AD32" i="25"/>
  <c r="AB32" i="25"/>
  <c r="AE31" i="25"/>
  <c r="AF31" i="25"/>
  <c r="Q25" i="25"/>
  <c r="S25" i="25"/>
  <c r="P26" i="25"/>
  <c r="R25" i="25"/>
  <c r="U24" i="25"/>
  <c r="T24" i="25"/>
  <c r="X11" i="1"/>
  <c r="X12" i="1"/>
  <c r="X13" i="1"/>
  <c r="X14" i="1"/>
  <c r="EN13" i="21"/>
  <c r="EN12" i="21"/>
  <c r="EN11" i="21"/>
  <c r="EN10" i="21"/>
  <c r="DZ13" i="21"/>
  <c r="DZ12" i="21"/>
  <c r="DZ11" i="21"/>
  <c r="DZ10" i="21"/>
  <c r="DL13" i="21"/>
  <c r="DL12" i="21"/>
  <c r="DL11" i="21"/>
  <c r="DL10" i="21"/>
  <c r="CX13" i="21"/>
  <c r="CX12" i="21"/>
  <c r="CX11" i="21"/>
  <c r="CX10" i="21"/>
  <c r="CJ13" i="21"/>
  <c r="CJ12" i="21"/>
  <c r="CJ11" i="21"/>
  <c r="CJ10" i="21"/>
  <c r="BV13" i="21"/>
  <c r="BV12" i="21"/>
  <c r="BV11" i="21"/>
  <c r="BV10" i="21"/>
  <c r="BH13" i="21"/>
  <c r="BH12" i="21"/>
  <c r="BH11" i="21"/>
  <c r="BH10" i="21"/>
  <c r="AT13" i="21"/>
  <c r="AT12" i="21"/>
  <c r="AT11" i="21"/>
  <c r="AT10" i="21"/>
  <c r="AF13" i="21"/>
  <c r="AF12" i="21"/>
  <c r="AF11" i="21"/>
  <c r="AF10" i="21"/>
  <c r="R10" i="21"/>
  <c r="R11" i="21"/>
  <c r="R12" i="21"/>
  <c r="R13" i="21"/>
  <c r="AD33" i="25" l="1"/>
  <c r="AC33" i="25"/>
  <c r="AB33" i="25"/>
  <c r="AA34" i="25"/>
  <c r="AF32" i="25"/>
  <c r="AE32" i="25"/>
  <c r="EQ11" i="21"/>
  <c r="EQ12" i="21"/>
  <c r="EQ10" i="21"/>
  <c r="EQ13" i="21"/>
  <c r="U25" i="25"/>
  <c r="T25" i="25"/>
  <c r="S26" i="25"/>
  <c r="P27" i="25"/>
  <c r="R26" i="25"/>
  <c r="Q26" i="25"/>
  <c r="X8" i="1"/>
  <c r="AE33" i="25" l="1"/>
  <c r="AF33" i="25"/>
  <c r="AA35" i="25"/>
  <c r="AC34" i="25"/>
  <c r="AD34" i="25"/>
  <c r="AB34" i="25"/>
  <c r="EQ6" i="21"/>
  <c r="Q27" i="25"/>
  <c r="S27" i="25"/>
  <c r="R27" i="25"/>
  <c r="P28" i="25"/>
  <c r="T26" i="25"/>
  <c r="U26" i="25"/>
  <c r="AE34" i="25" l="1"/>
  <c r="AF34" i="25"/>
  <c r="AD35" i="25"/>
  <c r="AC35" i="25"/>
  <c r="AB35" i="25"/>
  <c r="AA36" i="25"/>
  <c r="S28" i="25"/>
  <c r="P29" i="25"/>
  <c r="R28" i="25"/>
  <c r="Q28" i="25"/>
  <c r="U27" i="25"/>
  <c r="T27" i="25"/>
  <c r="AE35" i="25" l="1"/>
  <c r="AF35" i="25"/>
  <c r="AA37" i="25"/>
  <c r="AC36" i="25"/>
  <c r="AD36" i="25"/>
  <c r="AB36" i="25"/>
  <c r="Q29" i="25"/>
  <c r="R29" i="25"/>
  <c r="P30" i="25"/>
  <c r="S29" i="25"/>
  <c r="U28" i="25"/>
  <c r="T28" i="25"/>
  <c r="AF36" i="25" l="1"/>
  <c r="AE36" i="25"/>
  <c r="AC37" i="25"/>
  <c r="AA38" i="25"/>
  <c r="AB37" i="25"/>
  <c r="AD37" i="25"/>
  <c r="U29" i="25"/>
  <c r="T29" i="25"/>
  <c r="S30" i="25"/>
  <c r="BD13" i="1" s="1"/>
  <c r="P31" i="25"/>
  <c r="R30" i="25"/>
  <c r="Q30" i="25"/>
  <c r="E11" i="1"/>
  <c r="E12" i="1"/>
  <c r="E13" i="1"/>
  <c r="E14" i="1"/>
  <c r="AS13" i="1" l="1"/>
  <c r="BC13" i="1"/>
  <c r="AR13" i="1"/>
  <c r="AA39" i="25"/>
  <c r="AC38" i="25"/>
  <c r="AB38" i="25"/>
  <c r="AD38" i="25"/>
  <c r="AE37" i="25"/>
  <c r="AF37" i="25"/>
  <c r="B12" i="1"/>
  <c r="B10" i="20"/>
  <c r="B10" i="21"/>
  <c r="Q31" i="25"/>
  <c r="S31" i="25"/>
  <c r="R31" i="25"/>
  <c r="P32" i="25"/>
  <c r="U30" i="25"/>
  <c r="T30" i="25"/>
  <c r="AQ13" i="1" l="1"/>
  <c r="AP13" i="1"/>
  <c r="AA40" i="25"/>
  <c r="AB39" i="25"/>
  <c r="AD39" i="25"/>
  <c r="AC39" i="25"/>
  <c r="AF38" i="25"/>
  <c r="AE38" i="25"/>
  <c r="B13" i="1"/>
  <c r="B14" i="1" s="1"/>
  <c r="B15" i="1" s="1"/>
  <c r="B16" i="1" s="1"/>
  <c r="B17" i="1" s="1"/>
  <c r="B19" i="1" s="1"/>
  <c r="B20" i="1" s="1"/>
  <c r="B21" i="1" s="1"/>
  <c r="B11" i="21"/>
  <c r="B11" i="20"/>
  <c r="S32" i="25"/>
  <c r="P33" i="25"/>
  <c r="R32" i="25"/>
  <c r="Q32" i="25"/>
  <c r="U31" i="25"/>
  <c r="T31" i="25"/>
  <c r="C28" i="23"/>
  <c r="C28" i="24"/>
  <c r="C26" i="24"/>
  <c r="C27" i="23"/>
  <c r="C27" i="24"/>
  <c r="C26" i="23"/>
  <c r="AA41" i="25" l="1"/>
  <c r="AC40" i="25"/>
  <c r="AD40" i="25"/>
  <c r="AB40" i="25"/>
  <c r="AE39" i="25"/>
  <c r="AF39" i="25"/>
  <c r="B12" i="21"/>
  <c r="B12" i="20"/>
  <c r="Q33" i="25"/>
  <c r="R33" i="25"/>
  <c r="P34" i="25"/>
  <c r="S33" i="25"/>
  <c r="U32" i="25"/>
  <c r="T32" i="25"/>
  <c r="C24" i="24"/>
  <c r="C25" i="23"/>
  <c r="C25" i="24"/>
  <c r="C24" i="23"/>
  <c r="E5" i="25"/>
  <c r="AD41" i="25" l="1"/>
  <c r="AA42" i="25"/>
  <c r="AC41" i="25"/>
  <c r="AB41" i="25"/>
  <c r="AF40" i="25"/>
  <c r="AE40" i="25"/>
  <c r="E6" i="25"/>
  <c r="F6" i="25" s="1"/>
  <c r="S34" i="25"/>
  <c r="P35" i="25"/>
  <c r="R34" i="25"/>
  <c r="Q34" i="25"/>
  <c r="U33" i="25"/>
  <c r="T33" i="25"/>
  <c r="F5" i="25"/>
  <c r="G5" i="25"/>
  <c r="H5" i="25"/>
  <c r="B13" i="21" l="1"/>
  <c r="AE41" i="25"/>
  <c r="AF41" i="25"/>
  <c r="AA43" i="25"/>
  <c r="AC42" i="25"/>
  <c r="AD42" i="25"/>
  <c r="AB42" i="25"/>
  <c r="B13" i="20"/>
  <c r="G6" i="25"/>
  <c r="H6" i="25"/>
  <c r="E7" i="25"/>
  <c r="Q35" i="25"/>
  <c r="S35" i="25"/>
  <c r="P36" i="25"/>
  <c r="R35" i="25"/>
  <c r="U34" i="25"/>
  <c r="T34" i="25"/>
  <c r="J5" i="25"/>
  <c r="I5" i="25"/>
  <c r="J6" i="25" l="1"/>
  <c r="BB14" i="1"/>
  <c r="AE42" i="25"/>
  <c r="AF42" i="25"/>
  <c r="AD43" i="25"/>
  <c r="AC43" i="25"/>
  <c r="AA44" i="25"/>
  <c r="AB43" i="25"/>
  <c r="G7" i="25"/>
  <c r="E8" i="25"/>
  <c r="I6" i="25"/>
  <c r="H7" i="25"/>
  <c r="F7" i="25"/>
  <c r="S36" i="25"/>
  <c r="P37" i="25"/>
  <c r="R36" i="25"/>
  <c r="Q36" i="25"/>
  <c r="U35" i="25"/>
  <c r="T35" i="25"/>
  <c r="BA14" i="1" l="1"/>
  <c r="AO14" i="1"/>
  <c r="AN14" i="1"/>
  <c r="AA45" i="25"/>
  <c r="AC44" i="25"/>
  <c r="AD44" i="25"/>
  <c r="AB44" i="25"/>
  <c r="AE43" i="25"/>
  <c r="AF43" i="25"/>
  <c r="H8" i="25"/>
  <c r="J7" i="25"/>
  <c r="E9" i="25"/>
  <c r="H9" i="25" s="1"/>
  <c r="F8" i="25"/>
  <c r="G8" i="25"/>
  <c r="I7" i="25"/>
  <c r="Q37" i="25"/>
  <c r="P38" i="25"/>
  <c r="S37" i="25"/>
  <c r="R37" i="25"/>
  <c r="U36" i="25"/>
  <c r="T36" i="25"/>
  <c r="I8" i="25"/>
  <c r="AL14" i="1" l="1"/>
  <c r="AM14" i="1"/>
  <c r="AY14" i="1" s="1"/>
  <c r="AC45" i="25"/>
  <c r="AA46" i="25"/>
  <c r="AB45" i="25"/>
  <c r="AD45" i="25"/>
  <c r="AF44" i="25"/>
  <c r="AE44" i="25"/>
  <c r="J8" i="25"/>
  <c r="E10" i="25"/>
  <c r="H10" i="25" s="1"/>
  <c r="F9" i="25"/>
  <c r="G9" i="25"/>
  <c r="U37" i="25"/>
  <c r="T37" i="25"/>
  <c r="S38" i="25"/>
  <c r="P39" i="25"/>
  <c r="R38" i="25"/>
  <c r="Q38" i="25"/>
  <c r="J9" i="25"/>
  <c r="I9" i="25"/>
  <c r="B14" i="21" l="1"/>
  <c r="B14" i="20"/>
  <c r="AX14" i="1"/>
  <c r="F10" i="25"/>
  <c r="AE45" i="25"/>
  <c r="AF45" i="25"/>
  <c r="AA47" i="25"/>
  <c r="AC46" i="25"/>
  <c r="AB46" i="25"/>
  <c r="AD46" i="25"/>
  <c r="G10" i="25"/>
  <c r="E11" i="25"/>
  <c r="H11" i="25" s="1"/>
  <c r="Q39" i="25"/>
  <c r="S39" i="25"/>
  <c r="P40" i="25"/>
  <c r="R39" i="25"/>
  <c r="U38" i="25"/>
  <c r="T38" i="25"/>
  <c r="J10" i="25"/>
  <c r="I10" i="25"/>
  <c r="E12" i="25"/>
  <c r="B15" i="21" l="1"/>
  <c r="B15" i="20"/>
  <c r="F11" i="25"/>
  <c r="AA48" i="25"/>
  <c r="AB47" i="25"/>
  <c r="AD47" i="25"/>
  <c r="AC47" i="25"/>
  <c r="AF46" i="25"/>
  <c r="AE46" i="25"/>
  <c r="G11" i="25"/>
  <c r="S40" i="25"/>
  <c r="P41" i="25"/>
  <c r="R40" i="25"/>
  <c r="Q40" i="25"/>
  <c r="U39" i="25"/>
  <c r="T39" i="25"/>
  <c r="J11" i="25"/>
  <c r="I11" i="25"/>
  <c r="E13" i="25"/>
  <c r="H12" i="25"/>
  <c r="G12" i="25"/>
  <c r="F12" i="25"/>
  <c r="AA49" i="25" l="1"/>
  <c r="AC48" i="25"/>
  <c r="AD48" i="25"/>
  <c r="AB48" i="25"/>
  <c r="AE47" i="25"/>
  <c r="AF47" i="25"/>
  <c r="Q41" i="25"/>
  <c r="P42" i="25"/>
  <c r="S41" i="25"/>
  <c r="R41" i="25"/>
  <c r="U40" i="25"/>
  <c r="T40" i="25"/>
  <c r="J12" i="25"/>
  <c r="I12" i="25"/>
  <c r="E14" i="25"/>
  <c r="H13" i="25"/>
  <c r="G13" i="25"/>
  <c r="F13" i="25"/>
  <c r="B16" i="20" l="1"/>
  <c r="B16" i="21"/>
  <c r="AD49" i="25"/>
  <c r="AC49" i="25"/>
  <c r="AB49" i="25"/>
  <c r="AA50" i="25"/>
  <c r="AF48" i="25"/>
  <c r="AE48" i="25"/>
  <c r="U41" i="25"/>
  <c r="T41" i="25"/>
  <c r="S42" i="25"/>
  <c r="P43" i="25"/>
  <c r="R42" i="25"/>
  <c r="Q42" i="25"/>
  <c r="J13" i="25"/>
  <c r="I13" i="25"/>
  <c r="E15" i="25"/>
  <c r="H14" i="25"/>
  <c r="G14" i="25"/>
  <c r="F14" i="25"/>
  <c r="B17" i="21" l="1"/>
  <c r="B17" i="20"/>
  <c r="AE49" i="25"/>
  <c r="AF49" i="25"/>
  <c r="AA51" i="25"/>
  <c r="AC50" i="25"/>
  <c r="AD50" i="25"/>
  <c r="AB50" i="25"/>
  <c r="Q43" i="25"/>
  <c r="S43" i="25"/>
  <c r="P44" i="25"/>
  <c r="R43" i="25"/>
  <c r="U42" i="25"/>
  <c r="T42" i="25"/>
  <c r="J14" i="25"/>
  <c r="I14" i="25"/>
  <c r="E16" i="25"/>
  <c r="H15" i="25"/>
  <c r="BB12" i="1" s="1"/>
  <c r="G15" i="25"/>
  <c r="F15" i="25"/>
  <c r="B18" i="20" l="1"/>
  <c r="B18" i="21"/>
  <c r="AN12" i="1"/>
  <c r="BA12" i="1"/>
  <c r="AE50" i="25"/>
  <c r="AF50" i="25"/>
  <c r="AD51" i="25"/>
  <c r="AC51" i="25"/>
  <c r="AA52" i="25"/>
  <c r="AB51" i="25"/>
  <c r="S44" i="25"/>
  <c r="P45" i="25"/>
  <c r="R44" i="25"/>
  <c r="Q44" i="25"/>
  <c r="U43" i="25"/>
  <c r="T43" i="25"/>
  <c r="J15" i="25"/>
  <c r="AO12" i="1" s="1"/>
  <c r="I15" i="25"/>
  <c r="E17" i="25"/>
  <c r="H16" i="25"/>
  <c r="G16" i="25"/>
  <c r="F16" i="25"/>
  <c r="AL12" i="1" l="1"/>
  <c r="AM12" i="1"/>
  <c r="AY12" i="1" s="1"/>
  <c r="AA53" i="25"/>
  <c r="AC52" i="25"/>
  <c r="AD52" i="25"/>
  <c r="AB52" i="25"/>
  <c r="AE51" i="25"/>
  <c r="AF51" i="25"/>
  <c r="Q45" i="25"/>
  <c r="P46" i="25"/>
  <c r="S45" i="25"/>
  <c r="R45" i="25"/>
  <c r="U44" i="25"/>
  <c r="T44" i="25"/>
  <c r="J16" i="25"/>
  <c r="I16" i="25"/>
  <c r="E18" i="25"/>
  <c r="H17" i="25"/>
  <c r="G17" i="25"/>
  <c r="F17" i="25"/>
  <c r="AX12" i="1" l="1"/>
  <c r="AC53" i="25"/>
  <c r="AA54" i="25"/>
  <c r="AB53" i="25"/>
  <c r="AD53" i="25"/>
  <c r="AF52" i="25"/>
  <c r="AE52" i="25"/>
  <c r="U45" i="25"/>
  <c r="T45" i="25"/>
  <c r="S46" i="25"/>
  <c r="P47" i="25"/>
  <c r="R46" i="25"/>
  <c r="Q46" i="25"/>
  <c r="J17" i="25"/>
  <c r="I17" i="25"/>
  <c r="E19" i="25"/>
  <c r="H18" i="25"/>
  <c r="G18" i="25"/>
  <c r="F18" i="25"/>
  <c r="AE53" i="25" l="1"/>
  <c r="AF53" i="25"/>
  <c r="AA55" i="25"/>
  <c r="AC54" i="25"/>
  <c r="AB54" i="25"/>
  <c r="AD54" i="25"/>
  <c r="Q47" i="25"/>
  <c r="S47" i="25"/>
  <c r="R47" i="25"/>
  <c r="P48" i="25"/>
  <c r="U46" i="25"/>
  <c r="T46" i="25"/>
  <c r="J18" i="25"/>
  <c r="I18" i="25"/>
  <c r="E20" i="25"/>
  <c r="H19" i="25"/>
  <c r="G19" i="25"/>
  <c r="F19" i="25"/>
  <c r="AA56" i="25" l="1"/>
  <c r="AB55" i="25"/>
  <c r="AD55" i="25"/>
  <c r="AC55" i="25"/>
  <c r="AF54" i="25"/>
  <c r="AE54" i="25"/>
  <c r="S48" i="25"/>
  <c r="P49" i="25"/>
  <c r="R48" i="25"/>
  <c r="Q48" i="25"/>
  <c r="U47" i="25"/>
  <c r="T47" i="25"/>
  <c r="J19" i="25"/>
  <c r="I19" i="25"/>
  <c r="E21" i="25"/>
  <c r="H20" i="25"/>
  <c r="G20" i="25"/>
  <c r="F20" i="25"/>
  <c r="AA57" i="25" l="1"/>
  <c r="AC56" i="25"/>
  <c r="AD56" i="25"/>
  <c r="AB56" i="25"/>
  <c r="AE55" i="25"/>
  <c r="AF55" i="25"/>
  <c r="Q49" i="25"/>
  <c r="R49" i="25"/>
  <c r="P50" i="25"/>
  <c r="S49" i="25"/>
  <c r="U48" i="25"/>
  <c r="T48" i="25"/>
  <c r="J20" i="25"/>
  <c r="I20" i="25"/>
  <c r="E22" i="25"/>
  <c r="H21" i="25"/>
  <c r="G21" i="25"/>
  <c r="F21" i="25"/>
  <c r="AD57" i="25" l="1"/>
  <c r="AC57" i="25"/>
  <c r="AA58" i="25"/>
  <c r="AB57" i="25"/>
  <c r="AF56" i="25"/>
  <c r="AE56" i="25"/>
  <c r="U49" i="25"/>
  <c r="T49" i="25"/>
  <c r="S50" i="25"/>
  <c r="P51" i="25"/>
  <c r="R50" i="25"/>
  <c r="Q50" i="25"/>
  <c r="J21" i="25"/>
  <c r="I21" i="25"/>
  <c r="E23" i="25"/>
  <c r="H22" i="25"/>
  <c r="BB11" i="1" s="1"/>
  <c r="G22" i="25"/>
  <c r="F22" i="25"/>
  <c r="BA11" i="1" l="1"/>
  <c r="AO11" i="1"/>
  <c r="AN11" i="1"/>
  <c r="AE57" i="25"/>
  <c r="AF57" i="25"/>
  <c r="AA59" i="25"/>
  <c r="AC58" i="25"/>
  <c r="AD58" i="25"/>
  <c r="AB58" i="25"/>
  <c r="Q51" i="25"/>
  <c r="S51" i="25"/>
  <c r="R51" i="25"/>
  <c r="P52" i="25"/>
  <c r="U50" i="25"/>
  <c r="T50" i="25"/>
  <c r="J22" i="25"/>
  <c r="I22" i="25"/>
  <c r="E24" i="25"/>
  <c r="H23" i="25"/>
  <c r="G23" i="25"/>
  <c r="F23" i="25"/>
  <c r="AL11" i="1" l="1"/>
  <c r="AM11" i="1"/>
  <c r="AY11" i="1" s="1"/>
  <c r="AE58" i="25"/>
  <c r="AF58" i="25"/>
  <c r="AD59" i="25"/>
  <c r="AC59" i="25"/>
  <c r="AA60" i="25"/>
  <c r="AB59" i="25"/>
  <c r="S52" i="25"/>
  <c r="P53" i="25"/>
  <c r="R52" i="25"/>
  <c r="Q52" i="25"/>
  <c r="U51" i="25"/>
  <c r="T51" i="25"/>
  <c r="J23" i="25"/>
  <c r="I23" i="25"/>
  <c r="E25" i="25"/>
  <c r="H24" i="25"/>
  <c r="G24" i="25"/>
  <c r="F24" i="25"/>
  <c r="AX11" i="1" l="1"/>
  <c r="AA61" i="25"/>
  <c r="AC60" i="25"/>
  <c r="AD60" i="25"/>
  <c r="AB60" i="25"/>
  <c r="AE59" i="25"/>
  <c r="AF59" i="25"/>
  <c r="Q53" i="25"/>
  <c r="R53" i="25"/>
  <c r="P54" i="25"/>
  <c r="S53" i="25"/>
  <c r="U52" i="25"/>
  <c r="T52" i="25"/>
  <c r="J24" i="25"/>
  <c r="I24" i="25"/>
  <c r="E26" i="25"/>
  <c r="H25" i="25"/>
  <c r="G25" i="25"/>
  <c r="F25" i="25"/>
  <c r="AC61" i="25" l="1"/>
  <c r="AA62" i="25"/>
  <c r="AB61" i="25"/>
  <c r="AD61" i="25"/>
  <c r="AF60" i="25"/>
  <c r="AE60" i="25"/>
  <c r="U53" i="25"/>
  <c r="T53" i="25"/>
  <c r="S54" i="25"/>
  <c r="P55" i="25"/>
  <c r="R54" i="25"/>
  <c r="Q54" i="25"/>
  <c r="J25" i="25"/>
  <c r="I25" i="25"/>
  <c r="E27" i="25"/>
  <c r="H26" i="25"/>
  <c r="G26" i="25"/>
  <c r="F26" i="25"/>
  <c r="AE61" i="25" l="1"/>
  <c r="AF61" i="25"/>
  <c r="AA63" i="25"/>
  <c r="AC62" i="25"/>
  <c r="AB62" i="25"/>
  <c r="AD62" i="25"/>
  <c r="Q55" i="25"/>
  <c r="S55" i="25"/>
  <c r="P56" i="25"/>
  <c r="R55" i="25"/>
  <c r="U54" i="25"/>
  <c r="T54" i="25"/>
  <c r="J26" i="25"/>
  <c r="I26" i="25"/>
  <c r="E28" i="25"/>
  <c r="H27" i="25"/>
  <c r="G27" i="25"/>
  <c r="F27" i="25"/>
  <c r="AA64" i="25" l="1"/>
  <c r="AB63" i="25"/>
  <c r="AD63" i="25"/>
  <c r="AC63" i="25"/>
  <c r="AF62" i="25"/>
  <c r="AE62" i="25"/>
  <c r="S56" i="25"/>
  <c r="P57" i="25"/>
  <c r="R56" i="25"/>
  <c r="Q56" i="25"/>
  <c r="U55" i="25"/>
  <c r="T55" i="25"/>
  <c r="J27" i="25"/>
  <c r="I27" i="25"/>
  <c r="E29" i="25"/>
  <c r="H28" i="25"/>
  <c r="G28" i="25"/>
  <c r="F28" i="25"/>
  <c r="AA65" i="25" l="1"/>
  <c r="AC64" i="25"/>
  <c r="AD64" i="25"/>
  <c r="AB64" i="25"/>
  <c r="AE63" i="25"/>
  <c r="AF63" i="25"/>
  <c r="Q57" i="25"/>
  <c r="P58" i="25"/>
  <c r="S57" i="25"/>
  <c r="R57" i="25"/>
  <c r="U56" i="25"/>
  <c r="T56" i="25"/>
  <c r="J28" i="25"/>
  <c r="I28" i="25"/>
  <c r="E30" i="25"/>
  <c r="H29" i="25"/>
  <c r="G29" i="25"/>
  <c r="F29" i="25"/>
  <c r="AD65" i="25" l="1"/>
  <c r="AC65" i="25"/>
  <c r="AA66" i="25"/>
  <c r="AB65" i="25"/>
  <c r="AF64" i="25"/>
  <c r="AE64" i="25"/>
  <c r="U57" i="25"/>
  <c r="T57" i="25"/>
  <c r="S58" i="25"/>
  <c r="P59" i="25"/>
  <c r="R58" i="25"/>
  <c r="Q58" i="25"/>
  <c r="J29" i="25"/>
  <c r="I29" i="25"/>
  <c r="E31" i="25"/>
  <c r="H30" i="25"/>
  <c r="G30" i="25"/>
  <c r="F30" i="25"/>
  <c r="AE65" i="25" l="1"/>
  <c r="AF65" i="25"/>
  <c r="AA67" i="25"/>
  <c r="AC66" i="25"/>
  <c r="AD66" i="25"/>
  <c r="AB66" i="25"/>
  <c r="Q59" i="25"/>
  <c r="S59" i="25"/>
  <c r="R59" i="25"/>
  <c r="P60" i="25"/>
  <c r="T58" i="25"/>
  <c r="U58" i="25"/>
  <c r="J30" i="25"/>
  <c r="I30" i="25"/>
  <c r="E32" i="25"/>
  <c r="H31" i="25"/>
  <c r="G31" i="25"/>
  <c r="F31" i="25"/>
  <c r="AE66" i="25" l="1"/>
  <c r="AF66" i="25"/>
  <c r="AD67" i="25"/>
  <c r="AC67" i="25"/>
  <c r="AB67" i="25"/>
  <c r="S60" i="25"/>
  <c r="P61" i="25"/>
  <c r="R60" i="25"/>
  <c r="Q60" i="25"/>
  <c r="U59" i="25"/>
  <c r="T59" i="25"/>
  <c r="J31" i="25"/>
  <c r="I31" i="25"/>
  <c r="E33" i="25"/>
  <c r="H32" i="25"/>
  <c r="BB13" i="1" s="1"/>
  <c r="G32" i="25"/>
  <c r="F32" i="25"/>
  <c r="BA13" i="1" l="1"/>
  <c r="AO13" i="1"/>
  <c r="AN13" i="1"/>
  <c r="AE67" i="25"/>
  <c r="AF67" i="25"/>
  <c r="Q61" i="25"/>
  <c r="R61" i="25"/>
  <c r="P62" i="25"/>
  <c r="S61" i="25"/>
  <c r="U60" i="25"/>
  <c r="T60" i="25"/>
  <c r="J32" i="25"/>
  <c r="I32" i="25"/>
  <c r="E34" i="25"/>
  <c r="H33" i="25"/>
  <c r="G33" i="25"/>
  <c r="F33" i="25"/>
  <c r="AL13" i="1" l="1"/>
  <c r="AM13" i="1"/>
  <c r="AY13" i="1" s="1"/>
  <c r="U61" i="25"/>
  <c r="T61" i="25"/>
  <c r="S62" i="25"/>
  <c r="P63" i="25"/>
  <c r="R62" i="25"/>
  <c r="Q62" i="25"/>
  <c r="J33" i="25"/>
  <c r="I33" i="25"/>
  <c r="E35" i="25"/>
  <c r="H34" i="25"/>
  <c r="G34" i="25"/>
  <c r="F34" i="25"/>
  <c r="AX13" i="1" l="1"/>
  <c r="Q63" i="25"/>
  <c r="S63" i="25"/>
  <c r="P64" i="25"/>
  <c r="R63" i="25"/>
  <c r="U62" i="25"/>
  <c r="T62" i="25"/>
  <c r="J34" i="25"/>
  <c r="I34" i="25"/>
  <c r="E36" i="25"/>
  <c r="H35" i="25"/>
  <c r="G35" i="25"/>
  <c r="F35" i="25"/>
  <c r="S64" i="25" l="1"/>
  <c r="P65" i="25"/>
  <c r="R64" i="25"/>
  <c r="Q64" i="25"/>
  <c r="U63" i="25"/>
  <c r="T63" i="25"/>
  <c r="J35" i="25"/>
  <c r="I35" i="25"/>
  <c r="E37" i="25"/>
  <c r="H36" i="25"/>
  <c r="G36" i="25"/>
  <c r="F36" i="25"/>
  <c r="Q65" i="25" l="1"/>
  <c r="R65" i="25"/>
  <c r="P66" i="25"/>
  <c r="S65" i="25"/>
  <c r="U64" i="25"/>
  <c r="T64" i="25"/>
  <c r="J36" i="25"/>
  <c r="I36" i="25"/>
  <c r="E38" i="25"/>
  <c r="H37" i="25"/>
  <c r="G37" i="25"/>
  <c r="F37" i="25"/>
  <c r="U65" i="25" l="1"/>
  <c r="T65" i="25"/>
  <c r="S66" i="25"/>
  <c r="P67" i="25"/>
  <c r="R66" i="25"/>
  <c r="Q66" i="25"/>
  <c r="J37" i="25"/>
  <c r="I37" i="25"/>
  <c r="E39" i="25"/>
  <c r="H38" i="25"/>
  <c r="G38" i="25"/>
  <c r="F38" i="25"/>
  <c r="Q67" i="25" l="1"/>
  <c r="S67" i="25"/>
  <c r="R67" i="25"/>
  <c r="U66" i="25"/>
  <c r="T66" i="25"/>
  <c r="J38" i="25"/>
  <c r="I38" i="25"/>
  <c r="E40" i="25"/>
  <c r="H39" i="25"/>
  <c r="G39" i="25"/>
  <c r="F39" i="25"/>
  <c r="U67" i="25" l="1"/>
  <c r="T67" i="25"/>
  <c r="J39" i="25"/>
  <c r="I39" i="25"/>
  <c r="E41" i="25"/>
  <c r="H40" i="25"/>
  <c r="G40" i="25"/>
  <c r="F40" i="25"/>
  <c r="J40" i="25" l="1"/>
  <c r="I40" i="25"/>
  <c r="E42" i="25"/>
  <c r="H41" i="25"/>
  <c r="G41" i="25"/>
  <c r="F41" i="25"/>
  <c r="J41" i="25" l="1"/>
  <c r="I41" i="25"/>
  <c r="E43" i="25"/>
  <c r="H42" i="25"/>
  <c r="G42" i="25"/>
  <c r="F42" i="25"/>
  <c r="J42" i="25" l="1"/>
  <c r="I42" i="25"/>
  <c r="E44" i="25"/>
  <c r="H43" i="25"/>
  <c r="G43" i="25"/>
  <c r="F43" i="25"/>
  <c r="J43" i="25" l="1"/>
  <c r="I43" i="25"/>
  <c r="E45" i="25"/>
  <c r="E46" i="25" s="1"/>
  <c r="E47" i="25" s="1"/>
  <c r="H44" i="25"/>
  <c r="G44" i="25"/>
  <c r="F44" i="25"/>
  <c r="F47" i="25" l="1"/>
  <c r="H47" i="25"/>
  <c r="E48" i="25"/>
  <c r="G47" i="25"/>
  <c r="J44" i="25"/>
  <c r="I44" i="25"/>
  <c r="H45" i="25"/>
  <c r="G45" i="25"/>
  <c r="F45" i="25"/>
  <c r="G48" i="25" l="1"/>
  <c r="E49" i="25"/>
  <c r="H48" i="25"/>
  <c r="F48" i="25"/>
  <c r="I47" i="25"/>
  <c r="J47" i="25"/>
  <c r="J45" i="25"/>
  <c r="I45" i="25"/>
  <c r="H46" i="25"/>
  <c r="G46" i="25"/>
  <c r="F46" i="25"/>
  <c r="J48" i="25" l="1"/>
  <c r="I48" i="25"/>
  <c r="H49" i="25"/>
  <c r="G49" i="25"/>
  <c r="E50" i="25"/>
  <c r="F49" i="25"/>
  <c r="J46" i="25"/>
  <c r="I46" i="25"/>
  <c r="I49" i="25" l="1"/>
  <c r="J49" i="25"/>
  <c r="H50" i="25"/>
  <c r="F50" i="25"/>
  <c r="G50" i="25"/>
  <c r="E51" i="25"/>
  <c r="E14" i="17"/>
  <c r="J50" i="25" l="1"/>
  <c r="I50" i="25"/>
  <c r="F51" i="25"/>
  <c r="H51" i="25"/>
  <c r="G51" i="25"/>
  <c r="E52" i="25"/>
  <c r="AC11" i="1"/>
  <c r="AD11" i="1"/>
  <c r="F11" i="1" s="1"/>
  <c r="AC12" i="1"/>
  <c r="AD12" i="1"/>
  <c r="F12" i="1" s="1"/>
  <c r="AC13" i="1"/>
  <c r="AD13" i="1"/>
  <c r="F13" i="1" s="1"/>
  <c r="AC14" i="1"/>
  <c r="AD14" i="1"/>
  <c r="F14" i="1" s="1"/>
  <c r="AU8" i="1" l="1"/>
  <c r="AQ8" i="1"/>
  <c r="AC8" i="1"/>
  <c r="AD8" i="1"/>
  <c r="G52" i="25"/>
  <c r="E53" i="25"/>
  <c r="H52" i="25"/>
  <c r="F52" i="25"/>
  <c r="I51" i="25"/>
  <c r="J51" i="25"/>
  <c r="AW8" i="1" l="1"/>
  <c r="AS8" i="1"/>
  <c r="G53" i="25"/>
  <c r="E54" i="25"/>
  <c r="F53" i="25"/>
  <c r="H53" i="25"/>
  <c r="J52" i="25"/>
  <c r="I52" i="25"/>
  <c r="C23" i="24"/>
  <c r="C23" i="23"/>
  <c r="I53" i="25" l="1"/>
  <c r="J53" i="25"/>
  <c r="H54" i="25"/>
  <c r="F54" i="25"/>
  <c r="G54" i="25"/>
  <c r="E55" i="25"/>
  <c r="F55" i="25" l="1"/>
  <c r="H55" i="25"/>
  <c r="G55" i="25"/>
  <c r="E56" i="25"/>
  <c r="J54" i="25"/>
  <c r="I54" i="25"/>
  <c r="G56" i="25" l="1"/>
  <c r="E57" i="25"/>
  <c r="H56" i="25"/>
  <c r="F56" i="25"/>
  <c r="I55" i="25"/>
  <c r="J55" i="25"/>
  <c r="C22" i="24"/>
  <c r="C22" i="23"/>
  <c r="J56" i="25" l="1"/>
  <c r="I56" i="25"/>
  <c r="F57" i="25"/>
  <c r="G57" i="25"/>
  <c r="E58" i="25"/>
  <c r="H57" i="25"/>
  <c r="I57" i="25" l="1"/>
  <c r="J57" i="25"/>
  <c r="H58" i="25"/>
  <c r="F58" i="25"/>
  <c r="G58" i="25"/>
  <c r="E59" i="25"/>
  <c r="F59" i="25" l="1"/>
  <c r="H59" i="25"/>
  <c r="G59" i="25"/>
  <c r="E60" i="25"/>
  <c r="I58" i="25"/>
  <c r="J58" i="25"/>
  <c r="I59" i="25" l="1"/>
  <c r="J59" i="25"/>
  <c r="G60" i="25"/>
  <c r="E61" i="25"/>
  <c r="F60" i="25"/>
  <c r="H60" i="25"/>
  <c r="BB5" i="20"/>
  <c r="AT5" i="20"/>
  <c r="AL5" i="20"/>
  <c r="AD5" i="20"/>
  <c r="V5" i="20"/>
  <c r="N5" i="20"/>
  <c r="F5" i="20"/>
  <c r="G61" i="25" l="1"/>
  <c r="E62" i="25"/>
  <c r="F61" i="25"/>
  <c r="H61" i="25"/>
  <c r="I60" i="25"/>
  <c r="J60" i="25"/>
  <c r="F6" i="20"/>
  <c r="AV17" i="20" l="1"/>
  <c r="AW17" i="20" s="1"/>
  <c r="AN17" i="20"/>
  <c r="AO17" i="20" s="1"/>
  <c r="AF17" i="20"/>
  <c r="AG17" i="20" s="1"/>
  <c r="P17" i="20"/>
  <c r="Q17" i="20" s="1"/>
  <c r="H17" i="20"/>
  <c r="BD17" i="20"/>
  <c r="BE17" i="20" s="1"/>
  <c r="X17" i="20"/>
  <c r="Y17" i="20" s="1"/>
  <c r="P18" i="20"/>
  <c r="Q18" i="20" s="1"/>
  <c r="X18" i="20"/>
  <c r="Y18" i="20" s="1"/>
  <c r="AN18" i="20"/>
  <c r="AO18" i="20" s="1"/>
  <c r="AF18" i="20"/>
  <c r="AG18" i="20" s="1"/>
  <c r="H18" i="20"/>
  <c r="BD18" i="20"/>
  <c r="BE18" i="20" s="1"/>
  <c r="AV18" i="20"/>
  <c r="AW18" i="20" s="1"/>
  <c r="H16" i="20"/>
  <c r="X16" i="20"/>
  <c r="Y16" i="20" s="1"/>
  <c r="BD16" i="20"/>
  <c r="BE16" i="20" s="1"/>
  <c r="P16" i="20"/>
  <c r="Q16" i="20" s="1"/>
  <c r="AV16" i="20"/>
  <c r="AW16" i="20" s="1"/>
  <c r="BD15" i="20"/>
  <c r="BE15" i="20" s="1"/>
  <c r="AN15" i="20"/>
  <c r="AO15" i="20" s="1"/>
  <c r="X15" i="20"/>
  <c r="Y15" i="20" s="1"/>
  <c r="H15" i="20"/>
  <c r="AF16" i="20"/>
  <c r="AG16" i="20" s="1"/>
  <c r="AN16" i="20"/>
  <c r="AO16" i="20" s="1"/>
  <c r="AV15" i="20"/>
  <c r="AW15" i="20" s="1"/>
  <c r="AF15" i="20"/>
  <c r="AG15" i="20" s="1"/>
  <c r="P15" i="20"/>
  <c r="Q15" i="20" s="1"/>
  <c r="P14" i="20"/>
  <c r="Q14" i="20" s="1"/>
  <c r="AN14" i="20"/>
  <c r="AO14" i="20" s="1"/>
  <c r="H14" i="20"/>
  <c r="AV14" i="20"/>
  <c r="AW14" i="20" s="1"/>
  <c r="AF14" i="20"/>
  <c r="AG14" i="20" s="1"/>
  <c r="BD14" i="20"/>
  <c r="BE14" i="20" s="1"/>
  <c r="X14" i="20"/>
  <c r="Y14" i="20" s="1"/>
  <c r="H62" i="25"/>
  <c r="F62" i="25"/>
  <c r="G62" i="25"/>
  <c r="E63" i="25"/>
  <c r="I61" i="25"/>
  <c r="J61" i="25"/>
  <c r="I18" i="20" l="1"/>
  <c r="BJ18" i="20"/>
  <c r="BJ17" i="20"/>
  <c r="I17" i="20"/>
  <c r="I15" i="20"/>
  <c r="BJ15" i="20"/>
  <c r="I16" i="20"/>
  <c r="BJ16" i="20"/>
  <c r="I14" i="20"/>
  <c r="BJ14" i="20"/>
  <c r="I62" i="25"/>
  <c r="J62" i="25"/>
  <c r="H63" i="25"/>
  <c r="F63" i="25"/>
  <c r="G63" i="25"/>
  <c r="E64" i="25"/>
  <c r="G64" i="25" l="1"/>
  <c r="E65" i="25"/>
  <c r="H64" i="25"/>
  <c r="F64" i="25"/>
  <c r="I63" i="25"/>
  <c r="J63" i="25"/>
  <c r="C21" i="24"/>
  <c r="C21" i="23"/>
  <c r="I64" i="25" l="1"/>
  <c r="J64" i="25"/>
  <c r="G65" i="25"/>
  <c r="E66" i="25"/>
  <c r="H65" i="25"/>
  <c r="F65" i="25"/>
  <c r="H66" i="25" l="1"/>
  <c r="F66" i="25"/>
  <c r="G66" i="25"/>
  <c r="E67" i="25"/>
  <c r="I65" i="25"/>
  <c r="J65" i="25"/>
  <c r="H67" i="25" l="1"/>
  <c r="F67" i="25"/>
  <c r="G67" i="25"/>
  <c r="I66" i="25"/>
  <c r="J66" i="25"/>
  <c r="I67" i="25" l="1"/>
  <c r="J67" i="25"/>
  <c r="C6" i="23"/>
  <c r="C5" i="23"/>
  <c r="F6" i="24"/>
  <c r="C6" i="24"/>
  <c r="C5" i="24"/>
  <c r="F6" i="23"/>
  <c r="L16" i="17" l="1"/>
  <c r="K16" i="17" s="1"/>
  <c r="C14" i="17"/>
  <c r="B14" i="17"/>
  <c r="B10" i="17"/>
  <c r="B8" i="17"/>
  <c r="B7" i="17"/>
  <c r="B6" i="17"/>
  <c r="B4" i="17"/>
  <c r="G7" i="1"/>
  <c r="F14" i="17" l="1"/>
  <c r="L17" i="17"/>
  <c r="M16" i="17"/>
  <c r="N16" i="17" s="1"/>
  <c r="G10" i="1" s="1"/>
  <c r="C7" i="20"/>
  <c r="BB6" i="20"/>
  <c r="AT6" i="20"/>
  <c r="AL6" i="20"/>
  <c r="AD6" i="20"/>
  <c r="V6" i="20"/>
  <c r="N6" i="20"/>
  <c r="L10" i="21" l="1"/>
  <c r="L13" i="21"/>
  <c r="L11" i="21"/>
  <c r="L12" i="21"/>
  <c r="G2" i="1"/>
  <c r="K17" i="17"/>
  <c r="M17" i="17"/>
  <c r="N17" i="17" s="1"/>
  <c r="L18" i="17"/>
  <c r="EP12" i="21" l="1"/>
  <c r="EP11" i="21"/>
  <c r="EP13" i="21"/>
  <c r="EP10" i="21"/>
  <c r="K18" i="17"/>
  <c r="M18" i="17"/>
  <c r="N18" i="17" s="1"/>
  <c r="L19" i="17"/>
  <c r="EP6" i="21" l="1"/>
  <c r="C20" i="24"/>
  <c r="C20" i="23"/>
  <c r="L20" i="17"/>
  <c r="K19" i="17"/>
  <c r="M19" i="17"/>
  <c r="N19" i="17" s="1"/>
  <c r="L21" i="17" l="1"/>
  <c r="K20" i="17"/>
  <c r="M20" i="17"/>
  <c r="N20" i="17" s="1"/>
  <c r="L22" i="17" l="1"/>
  <c r="K21" i="17"/>
  <c r="M21" i="17"/>
  <c r="N21" i="17" s="1"/>
  <c r="L23" i="17" l="1"/>
  <c r="K22" i="17"/>
  <c r="M22" i="17"/>
  <c r="N22" i="17" s="1"/>
  <c r="L24" i="17" l="1"/>
  <c r="K23" i="17"/>
  <c r="M23" i="17"/>
  <c r="N23" i="17" s="1"/>
  <c r="IZ32" i="18"/>
  <c r="IV32" i="18"/>
  <c r="IR32" i="18"/>
  <c r="IN32" i="18"/>
  <c r="IJ32" i="18"/>
  <c r="IF32" i="18"/>
  <c r="IB32" i="18"/>
  <c r="HX32" i="18"/>
  <c r="HT32" i="18"/>
  <c r="HP32" i="18"/>
  <c r="HL32" i="18"/>
  <c r="HH32" i="18"/>
  <c r="HD32" i="18"/>
  <c r="GZ32" i="18"/>
  <c r="GV32" i="18"/>
  <c r="GR32" i="18"/>
  <c r="GN32" i="18"/>
  <c r="GJ32" i="18"/>
  <c r="GF32" i="18"/>
  <c r="GB32" i="18"/>
  <c r="FX32" i="18"/>
  <c r="FT32" i="18"/>
  <c r="FP32" i="18"/>
  <c r="FL32" i="18"/>
  <c r="FH32" i="18"/>
  <c r="FD32" i="18"/>
  <c r="EZ32" i="18"/>
  <c r="EV32" i="18"/>
  <c r="ER32" i="18"/>
  <c r="EN32" i="18"/>
  <c r="EJ32" i="18"/>
  <c r="EF32" i="18"/>
  <c r="EB32" i="18"/>
  <c r="DX32" i="18"/>
  <c r="DT32" i="18"/>
  <c r="DP32" i="18"/>
  <c r="DL32" i="18"/>
  <c r="DH32" i="18"/>
  <c r="DD32" i="18"/>
  <c r="CZ32" i="18"/>
  <c r="CV32" i="18"/>
  <c r="CR32" i="18"/>
  <c r="CN32" i="18"/>
  <c r="CJ32" i="18"/>
  <c r="CF32" i="18"/>
  <c r="CB32" i="18"/>
  <c r="BX32" i="18"/>
  <c r="BT32" i="18"/>
  <c r="BP32" i="18"/>
  <c r="BL32" i="18"/>
  <c r="BH32" i="18"/>
  <c r="BD32" i="18"/>
  <c r="IZ31" i="18"/>
  <c r="IV31" i="18"/>
  <c r="IR31" i="18"/>
  <c r="IN31" i="18"/>
  <c r="IJ31" i="18"/>
  <c r="IF31" i="18"/>
  <c r="IB31" i="18"/>
  <c r="HX31" i="18"/>
  <c r="HT31" i="18"/>
  <c r="HP31" i="18"/>
  <c r="HL31" i="18"/>
  <c r="HH31" i="18"/>
  <c r="HD31" i="18"/>
  <c r="GZ31" i="18"/>
  <c r="GV31" i="18"/>
  <c r="GR31" i="18"/>
  <c r="GN31" i="18"/>
  <c r="GJ31" i="18"/>
  <c r="GF31" i="18"/>
  <c r="GB31" i="18"/>
  <c r="FX31" i="18"/>
  <c r="FT31" i="18"/>
  <c r="FP31" i="18"/>
  <c r="FL31" i="18"/>
  <c r="FH31" i="18"/>
  <c r="FD31" i="18"/>
  <c r="EZ31" i="18"/>
  <c r="EV31" i="18"/>
  <c r="ER31" i="18"/>
  <c r="EN31" i="18"/>
  <c r="EJ31" i="18"/>
  <c r="EF31" i="18"/>
  <c r="EB31" i="18"/>
  <c r="DX31" i="18"/>
  <c r="DT31" i="18"/>
  <c r="DP31" i="18"/>
  <c r="DL31" i="18"/>
  <c r="DH31" i="18"/>
  <c r="DD31" i="18"/>
  <c r="CZ31" i="18"/>
  <c r="CV31" i="18"/>
  <c r="CR31" i="18"/>
  <c r="CN31" i="18"/>
  <c r="CJ31" i="18"/>
  <c r="CF31" i="18"/>
  <c r="CB31" i="18"/>
  <c r="BX31" i="18"/>
  <c r="BT31" i="18"/>
  <c r="BP31" i="18"/>
  <c r="BL31" i="18"/>
  <c r="BH31" i="18"/>
  <c r="BD31" i="18"/>
  <c r="AZ31" i="18"/>
  <c r="AV31" i="18"/>
  <c r="AR31" i="18"/>
  <c r="AN31" i="18"/>
  <c r="AJ31" i="18"/>
  <c r="AF31" i="18"/>
  <c r="AB31" i="18"/>
  <c r="X31" i="18"/>
  <c r="T31" i="18"/>
  <c r="P31" i="18"/>
  <c r="L31" i="18"/>
  <c r="H31" i="18"/>
  <c r="IZ30" i="18"/>
  <c r="IV30" i="18"/>
  <c r="IR30" i="18"/>
  <c r="IN30" i="18"/>
  <c r="IJ30" i="18"/>
  <c r="IF30" i="18"/>
  <c r="IB30" i="18"/>
  <c r="HX30" i="18"/>
  <c r="HT30" i="18"/>
  <c r="HP30" i="18"/>
  <c r="HL30" i="18"/>
  <c r="HH30" i="18"/>
  <c r="HD30" i="18"/>
  <c r="GZ30" i="18"/>
  <c r="GV30" i="18"/>
  <c r="GR30" i="18"/>
  <c r="GN30" i="18"/>
  <c r="GJ30" i="18"/>
  <c r="GF30" i="18"/>
  <c r="GB30" i="18"/>
  <c r="FX30" i="18"/>
  <c r="FT30" i="18"/>
  <c r="FP30" i="18"/>
  <c r="FL30" i="18"/>
  <c r="FH30" i="18"/>
  <c r="FD30" i="18"/>
  <c r="EZ30" i="18"/>
  <c r="EV30" i="18"/>
  <c r="ER30" i="18"/>
  <c r="EN30" i="18"/>
  <c r="EJ30" i="18"/>
  <c r="EF30" i="18"/>
  <c r="EB30" i="18"/>
  <c r="DX30" i="18"/>
  <c r="DT30" i="18"/>
  <c r="DP30" i="18"/>
  <c r="DL30" i="18"/>
  <c r="DH30" i="18"/>
  <c r="DD30" i="18"/>
  <c r="CZ30" i="18"/>
  <c r="CV30" i="18"/>
  <c r="CR30" i="18"/>
  <c r="CN30" i="18"/>
  <c r="CJ30" i="18"/>
  <c r="CF30" i="18"/>
  <c r="CB30" i="18"/>
  <c r="BX30" i="18"/>
  <c r="BT30" i="18"/>
  <c r="BP30" i="18"/>
  <c r="BL30" i="18"/>
  <c r="BH30" i="18"/>
  <c r="BD30" i="18"/>
  <c r="AZ30" i="18"/>
  <c r="AV30" i="18"/>
  <c r="AR30" i="18"/>
  <c r="AN30" i="18"/>
  <c r="AJ30" i="18"/>
  <c r="AF30" i="18"/>
  <c r="AB30" i="18"/>
  <c r="X30" i="18"/>
  <c r="T30" i="18"/>
  <c r="P30" i="18"/>
  <c r="L30" i="18"/>
  <c r="H30" i="18"/>
  <c r="IZ29" i="18"/>
  <c r="IV29" i="18"/>
  <c r="IR29" i="18"/>
  <c r="IN29" i="18"/>
  <c r="IJ29" i="18"/>
  <c r="IF29" i="18"/>
  <c r="IB29" i="18"/>
  <c r="HX29" i="18"/>
  <c r="HT29" i="18"/>
  <c r="HP29" i="18"/>
  <c r="HL29" i="18"/>
  <c r="HH29" i="18"/>
  <c r="HD29" i="18"/>
  <c r="GZ29" i="18"/>
  <c r="GV29" i="18"/>
  <c r="GR29" i="18"/>
  <c r="GN29" i="18"/>
  <c r="GJ29" i="18"/>
  <c r="GF29" i="18"/>
  <c r="GB29" i="18"/>
  <c r="FX29" i="18"/>
  <c r="FT29" i="18"/>
  <c r="FP29" i="18"/>
  <c r="FL29" i="18"/>
  <c r="FH29" i="18"/>
  <c r="FD29" i="18"/>
  <c r="EZ29" i="18"/>
  <c r="EV29" i="18"/>
  <c r="ER29" i="18"/>
  <c r="EN29" i="18"/>
  <c r="EJ29" i="18"/>
  <c r="EF29" i="18"/>
  <c r="EB29" i="18"/>
  <c r="DX29" i="18"/>
  <c r="DT29" i="18"/>
  <c r="DP29" i="18"/>
  <c r="DL29" i="18"/>
  <c r="DH29" i="18"/>
  <c r="DD29" i="18"/>
  <c r="CZ29" i="18"/>
  <c r="CV29" i="18"/>
  <c r="CR29" i="18"/>
  <c r="CN29" i="18"/>
  <c r="CJ29" i="18"/>
  <c r="CF29" i="18"/>
  <c r="CB29" i="18"/>
  <c r="BX29" i="18"/>
  <c r="BT29" i="18"/>
  <c r="BP29" i="18"/>
  <c r="BL29" i="18"/>
  <c r="BH29" i="18"/>
  <c r="BD29" i="18"/>
  <c r="AZ29" i="18"/>
  <c r="AV29" i="18"/>
  <c r="AR29" i="18"/>
  <c r="AN29" i="18"/>
  <c r="AJ29" i="18"/>
  <c r="AF29" i="18"/>
  <c r="AB29" i="18"/>
  <c r="X29" i="18"/>
  <c r="T29" i="18"/>
  <c r="P29" i="18"/>
  <c r="L29" i="18"/>
  <c r="H29" i="18"/>
  <c r="IZ28" i="18"/>
  <c r="IV28" i="18"/>
  <c r="IR28" i="18"/>
  <c r="IN28" i="18"/>
  <c r="IJ28" i="18"/>
  <c r="IF28" i="18"/>
  <c r="IB28" i="18"/>
  <c r="HX28" i="18"/>
  <c r="HT28" i="18"/>
  <c r="HP28" i="18"/>
  <c r="HL28" i="18"/>
  <c r="HH28" i="18"/>
  <c r="HD28" i="18"/>
  <c r="GZ28" i="18"/>
  <c r="GV28" i="18"/>
  <c r="GR28" i="18"/>
  <c r="GN28" i="18"/>
  <c r="GJ28" i="18"/>
  <c r="GF28" i="18"/>
  <c r="GB28" i="18"/>
  <c r="FX28" i="18"/>
  <c r="FT28" i="18"/>
  <c r="FP28" i="18"/>
  <c r="FL28" i="18"/>
  <c r="FH28" i="18"/>
  <c r="FD28" i="18"/>
  <c r="EZ28" i="18"/>
  <c r="EV28" i="18"/>
  <c r="ER28" i="18"/>
  <c r="EN28" i="18"/>
  <c r="EJ28" i="18"/>
  <c r="EF28" i="18"/>
  <c r="EB28" i="18"/>
  <c r="DX28" i="18"/>
  <c r="DT28" i="18"/>
  <c r="DP28" i="18"/>
  <c r="DL28" i="18"/>
  <c r="DH28" i="18"/>
  <c r="DD28" i="18"/>
  <c r="CZ28" i="18"/>
  <c r="CV28" i="18"/>
  <c r="CR28" i="18"/>
  <c r="CN28" i="18"/>
  <c r="CJ28" i="18"/>
  <c r="CF28" i="18"/>
  <c r="CB28" i="18"/>
  <c r="BX28" i="18"/>
  <c r="BT28" i="18"/>
  <c r="BP28" i="18"/>
  <c r="BL28" i="18"/>
  <c r="BH28" i="18"/>
  <c r="BD28" i="18"/>
  <c r="AZ28" i="18"/>
  <c r="AV28" i="18"/>
  <c r="AR28" i="18"/>
  <c r="AN28" i="18"/>
  <c r="AJ28" i="18"/>
  <c r="AF28" i="18"/>
  <c r="AB28" i="18"/>
  <c r="X28" i="18"/>
  <c r="T28" i="18"/>
  <c r="P28" i="18"/>
  <c r="L28" i="18"/>
  <c r="H28" i="18"/>
  <c r="IZ27" i="18"/>
  <c r="IV27" i="18"/>
  <c r="IR27" i="18"/>
  <c r="IN27" i="18"/>
  <c r="IJ27" i="18"/>
  <c r="IF27" i="18"/>
  <c r="IB27" i="18"/>
  <c r="HX27" i="18"/>
  <c r="HT27" i="18"/>
  <c r="HP27" i="18"/>
  <c r="HL27" i="18"/>
  <c r="HH27" i="18"/>
  <c r="HD27" i="18"/>
  <c r="GZ27" i="18"/>
  <c r="GV27" i="18"/>
  <c r="GR27" i="18"/>
  <c r="GN27" i="18"/>
  <c r="GJ27" i="18"/>
  <c r="GF27" i="18"/>
  <c r="GB27" i="18"/>
  <c r="FX27" i="18"/>
  <c r="FT27" i="18"/>
  <c r="FP27" i="18"/>
  <c r="FL27" i="18"/>
  <c r="FH27" i="18"/>
  <c r="FD27" i="18"/>
  <c r="EZ27" i="18"/>
  <c r="EV27" i="18"/>
  <c r="ER27" i="18"/>
  <c r="EN27" i="18"/>
  <c r="EJ27" i="18"/>
  <c r="EF27" i="18"/>
  <c r="EB27" i="18"/>
  <c r="DX27" i="18"/>
  <c r="DT27" i="18"/>
  <c r="DP27" i="18"/>
  <c r="DL27" i="18"/>
  <c r="DH27" i="18"/>
  <c r="DD27" i="18"/>
  <c r="CZ27" i="18"/>
  <c r="CV27" i="18"/>
  <c r="CR27" i="18"/>
  <c r="CN27" i="18"/>
  <c r="CJ27" i="18"/>
  <c r="CF27" i="18"/>
  <c r="CB27" i="18"/>
  <c r="BX27" i="18"/>
  <c r="BT27" i="18"/>
  <c r="BP27" i="18"/>
  <c r="BL27" i="18"/>
  <c r="BH27" i="18"/>
  <c r="BD27" i="18"/>
  <c r="AZ27" i="18"/>
  <c r="AV27" i="18"/>
  <c r="AR27" i="18"/>
  <c r="AN27" i="18"/>
  <c r="AJ27" i="18"/>
  <c r="AF27" i="18"/>
  <c r="AB27" i="18"/>
  <c r="X27" i="18"/>
  <c r="T27" i="18"/>
  <c r="P27" i="18"/>
  <c r="L27" i="18"/>
  <c r="H27" i="18"/>
  <c r="IZ26" i="18"/>
  <c r="IV26" i="18"/>
  <c r="IR26" i="18"/>
  <c r="IN26" i="18"/>
  <c r="IJ26" i="18"/>
  <c r="IF26" i="18"/>
  <c r="IB26" i="18"/>
  <c r="HX26" i="18"/>
  <c r="HT26" i="18"/>
  <c r="HP26" i="18"/>
  <c r="HL26" i="18"/>
  <c r="HH26" i="18"/>
  <c r="HD26" i="18"/>
  <c r="GZ26" i="18"/>
  <c r="GV26" i="18"/>
  <c r="GR26" i="18"/>
  <c r="GN26" i="18"/>
  <c r="GJ26" i="18"/>
  <c r="GF26" i="18"/>
  <c r="GB26" i="18"/>
  <c r="FX26" i="18"/>
  <c r="FT26" i="18"/>
  <c r="FP26" i="18"/>
  <c r="FL26" i="18"/>
  <c r="FH26" i="18"/>
  <c r="FD26" i="18"/>
  <c r="EZ26" i="18"/>
  <c r="EV26" i="18"/>
  <c r="ER26" i="18"/>
  <c r="EN26" i="18"/>
  <c r="EJ26" i="18"/>
  <c r="EF26" i="18"/>
  <c r="EB26" i="18"/>
  <c r="DX26" i="18"/>
  <c r="DT26" i="18"/>
  <c r="DP26" i="18"/>
  <c r="DL26" i="18"/>
  <c r="DH26" i="18"/>
  <c r="DD26" i="18"/>
  <c r="CZ26" i="18"/>
  <c r="CV26" i="18"/>
  <c r="CR26" i="18"/>
  <c r="CN26" i="18"/>
  <c r="CJ26" i="18"/>
  <c r="CF26" i="18"/>
  <c r="CB26" i="18"/>
  <c r="BX26" i="18"/>
  <c r="BT26" i="18"/>
  <c r="BP26" i="18"/>
  <c r="BL26" i="18"/>
  <c r="BH26" i="18"/>
  <c r="BD26" i="18"/>
  <c r="AZ26" i="18"/>
  <c r="AV26" i="18"/>
  <c r="AR26" i="18"/>
  <c r="AN26" i="18"/>
  <c r="AJ26" i="18"/>
  <c r="AF26" i="18"/>
  <c r="AB26" i="18"/>
  <c r="X26" i="18"/>
  <c r="T26" i="18"/>
  <c r="P26" i="18"/>
  <c r="L26" i="18"/>
  <c r="H26" i="18"/>
  <c r="IZ25" i="18"/>
  <c r="IV25" i="18"/>
  <c r="IR25" i="18"/>
  <c r="IN25" i="18"/>
  <c r="IJ25" i="18"/>
  <c r="IF25" i="18"/>
  <c r="IB25" i="18"/>
  <c r="HX25" i="18"/>
  <c r="HT25" i="18"/>
  <c r="HP25" i="18"/>
  <c r="HL25" i="18"/>
  <c r="HH25" i="18"/>
  <c r="HD25" i="18"/>
  <c r="GZ25" i="18"/>
  <c r="GV25" i="18"/>
  <c r="GR25" i="18"/>
  <c r="GN25" i="18"/>
  <c r="GJ25" i="18"/>
  <c r="GF25" i="18"/>
  <c r="GB25" i="18"/>
  <c r="FX25" i="18"/>
  <c r="FT25" i="18"/>
  <c r="FP25" i="18"/>
  <c r="FL25" i="18"/>
  <c r="FH25" i="18"/>
  <c r="FD25" i="18"/>
  <c r="EZ25" i="18"/>
  <c r="EV25" i="18"/>
  <c r="ER25" i="18"/>
  <c r="EN25" i="18"/>
  <c r="EJ25" i="18"/>
  <c r="EF25" i="18"/>
  <c r="EB25" i="18"/>
  <c r="DX25" i="18"/>
  <c r="DT25" i="18"/>
  <c r="DP25" i="18"/>
  <c r="DL25" i="18"/>
  <c r="DH25" i="18"/>
  <c r="DD25" i="18"/>
  <c r="CZ25" i="18"/>
  <c r="CV25" i="18"/>
  <c r="CR25" i="18"/>
  <c r="CN25" i="18"/>
  <c r="CJ25" i="18"/>
  <c r="CF25" i="18"/>
  <c r="CB25" i="18"/>
  <c r="BX25" i="18"/>
  <c r="BT25" i="18"/>
  <c r="BP25" i="18"/>
  <c r="BL25" i="18"/>
  <c r="BH25" i="18"/>
  <c r="BD25" i="18"/>
  <c r="AZ25" i="18"/>
  <c r="AV25" i="18"/>
  <c r="AR25" i="18"/>
  <c r="AN25" i="18"/>
  <c r="AJ25" i="18"/>
  <c r="AF25" i="18"/>
  <c r="AB25" i="18"/>
  <c r="X25" i="18"/>
  <c r="T25" i="18"/>
  <c r="P25" i="18"/>
  <c r="L25" i="18"/>
  <c r="H25" i="18"/>
  <c r="IZ24" i="18"/>
  <c r="IV24" i="18"/>
  <c r="IR24" i="18"/>
  <c r="IN24" i="18"/>
  <c r="IJ24" i="18"/>
  <c r="IF24" i="18"/>
  <c r="IB24" i="18"/>
  <c r="HX24" i="18"/>
  <c r="HT24" i="18"/>
  <c r="HP24" i="18"/>
  <c r="HL24" i="18"/>
  <c r="HH24" i="18"/>
  <c r="HD24" i="18"/>
  <c r="GZ24" i="18"/>
  <c r="GV24" i="18"/>
  <c r="GR24" i="18"/>
  <c r="GN24" i="18"/>
  <c r="GJ24" i="18"/>
  <c r="GF24" i="18"/>
  <c r="GB24" i="18"/>
  <c r="FX24" i="18"/>
  <c r="FT24" i="18"/>
  <c r="FP24" i="18"/>
  <c r="FL24" i="18"/>
  <c r="FH24" i="18"/>
  <c r="FD24" i="18"/>
  <c r="EZ24" i="18"/>
  <c r="EV24" i="18"/>
  <c r="ER24" i="18"/>
  <c r="EN24" i="18"/>
  <c r="EJ24" i="18"/>
  <c r="EF24" i="18"/>
  <c r="EB24" i="18"/>
  <c r="DX24" i="18"/>
  <c r="DT24" i="18"/>
  <c r="DP24" i="18"/>
  <c r="DL24" i="18"/>
  <c r="DH24" i="18"/>
  <c r="DD24" i="18"/>
  <c r="CZ24" i="18"/>
  <c r="CV24" i="18"/>
  <c r="CR24" i="18"/>
  <c r="CN24" i="18"/>
  <c r="CJ24" i="18"/>
  <c r="CF24" i="18"/>
  <c r="CB24" i="18"/>
  <c r="BX24" i="18"/>
  <c r="BT24" i="18"/>
  <c r="BP24" i="18"/>
  <c r="BL24" i="18"/>
  <c r="BH24" i="18"/>
  <c r="BD24" i="18"/>
  <c r="AZ24" i="18"/>
  <c r="AV24" i="18"/>
  <c r="AR24" i="18"/>
  <c r="AN24" i="18"/>
  <c r="AJ24" i="18"/>
  <c r="AF24" i="18"/>
  <c r="AB24" i="18"/>
  <c r="X24" i="18"/>
  <c r="T24" i="18"/>
  <c r="P24" i="18"/>
  <c r="L24" i="18"/>
  <c r="H24" i="18"/>
  <c r="IZ23" i="18"/>
  <c r="IV23" i="18"/>
  <c r="IR23" i="18"/>
  <c r="IN23" i="18"/>
  <c r="IJ23" i="18"/>
  <c r="IF23" i="18"/>
  <c r="IB23" i="18"/>
  <c r="HX23" i="18"/>
  <c r="HT23" i="18"/>
  <c r="HP23" i="18"/>
  <c r="HL23" i="18"/>
  <c r="HH23" i="18"/>
  <c r="HD23" i="18"/>
  <c r="GZ23" i="18"/>
  <c r="GV23" i="18"/>
  <c r="GR23" i="18"/>
  <c r="GN23" i="18"/>
  <c r="GJ23" i="18"/>
  <c r="GF23" i="18"/>
  <c r="GB23" i="18"/>
  <c r="FX23" i="18"/>
  <c r="FT23" i="18"/>
  <c r="FP23" i="18"/>
  <c r="FL23" i="18"/>
  <c r="FH23" i="18"/>
  <c r="FD23" i="18"/>
  <c r="EZ23" i="18"/>
  <c r="EV23" i="18"/>
  <c r="ER23" i="18"/>
  <c r="EN23" i="18"/>
  <c r="EJ23" i="18"/>
  <c r="EF23" i="18"/>
  <c r="EB23" i="18"/>
  <c r="DX23" i="18"/>
  <c r="DT23" i="18"/>
  <c r="DP23" i="18"/>
  <c r="DL23" i="18"/>
  <c r="DH23" i="18"/>
  <c r="DD23" i="18"/>
  <c r="CZ23" i="18"/>
  <c r="CV23" i="18"/>
  <c r="CR23" i="18"/>
  <c r="CN23" i="18"/>
  <c r="CJ23" i="18"/>
  <c r="CF23" i="18"/>
  <c r="CB23" i="18"/>
  <c r="BX23" i="18"/>
  <c r="BT23" i="18"/>
  <c r="BP23" i="18"/>
  <c r="BL23" i="18"/>
  <c r="BH23" i="18"/>
  <c r="BD23" i="18"/>
  <c r="AZ23" i="18"/>
  <c r="AV23" i="18"/>
  <c r="AR23" i="18"/>
  <c r="AN23" i="18"/>
  <c r="AJ23" i="18"/>
  <c r="AF23" i="18"/>
  <c r="AB23" i="18"/>
  <c r="X23" i="18"/>
  <c r="T23" i="18"/>
  <c r="P23" i="18"/>
  <c r="L23" i="18"/>
  <c r="H23" i="18"/>
  <c r="IZ22" i="18"/>
  <c r="IV22" i="18"/>
  <c r="IR22" i="18"/>
  <c r="IN22" i="18"/>
  <c r="IJ22" i="18"/>
  <c r="IF22" i="18"/>
  <c r="IB22" i="18"/>
  <c r="HX22" i="18"/>
  <c r="HT22" i="18"/>
  <c r="HP22" i="18"/>
  <c r="HL22" i="18"/>
  <c r="HH22" i="18"/>
  <c r="HD22" i="18"/>
  <c r="GZ22" i="18"/>
  <c r="GV22" i="18"/>
  <c r="GR22" i="18"/>
  <c r="GN22" i="18"/>
  <c r="GJ22" i="18"/>
  <c r="GF22" i="18"/>
  <c r="GB22" i="18"/>
  <c r="FX22" i="18"/>
  <c r="FT22" i="18"/>
  <c r="FP22" i="18"/>
  <c r="FL22" i="18"/>
  <c r="FH22" i="18"/>
  <c r="FD22" i="18"/>
  <c r="EZ22" i="18"/>
  <c r="EV22" i="18"/>
  <c r="ER22" i="18"/>
  <c r="EN22" i="18"/>
  <c r="EJ22" i="18"/>
  <c r="EF22" i="18"/>
  <c r="EB22" i="18"/>
  <c r="DX22" i="18"/>
  <c r="DT22" i="18"/>
  <c r="DP22" i="18"/>
  <c r="DL22" i="18"/>
  <c r="DH22" i="18"/>
  <c r="DD22" i="18"/>
  <c r="CZ22" i="18"/>
  <c r="CV22" i="18"/>
  <c r="CR22" i="18"/>
  <c r="CN22" i="18"/>
  <c r="CJ22" i="18"/>
  <c r="CF22" i="18"/>
  <c r="CB22" i="18"/>
  <c r="BX22" i="18"/>
  <c r="BT22" i="18"/>
  <c r="BP22" i="18"/>
  <c r="BL22" i="18"/>
  <c r="BH22" i="18"/>
  <c r="BD22" i="18"/>
  <c r="AZ22" i="18"/>
  <c r="AV22" i="18"/>
  <c r="AR22" i="18"/>
  <c r="AN22" i="18"/>
  <c r="AJ22" i="18"/>
  <c r="AF22" i="18"/>
  <c r="AB22" i="18"/>
  <c r="X22" i="18"/>
  <c r="T22" i="18"/>
  <c r="P22" i="18"/>
  <c r="L22" i="18"/>
  <c r="H22" i="18"/>
  <c r="IZ21" i="18"/>
  <c r="IV21" i="18"/>
  <c r="IR21" i="18"/>
  <c r="IN21" i="18"/>
  <c r="IJ21" i="18"/>
  <c r="IF21" i="18"/>
  <c r="IB21" i="18"/>
  <c r="HX21" i="18"/>
  <c r="HT21" i="18"/>
  <c r="HP21" i="18"/>
  <c r="HL21" i="18"/>
  <c r="HH21" i="18"/>
  <c r="HD21" i="18"/>
  <c r="GZ21" i="18"/>
  <c r="GV21" i="18"/>
  <c r="GR21" i="18"/>
  <c r="GN21" i="18"/>
  <c r="GJ21" i="18"/>
  <c r="GF21" i="18"/>
  <c r="GB21" i="18"/>
  <c r="FX21" i="18"/>
  <c r="FT21" i="18"/>
  <c r="FP21" i="18"/>
  <c r="FL21" i="18"/>
  <c r="FH21" i="18"/>
  <c r="FD21" i="18"/>
  <c r="EZ21" i="18"/>
  <c r="EV21" i="18"/>
  <c r="ER21" i="18"/>
  <c r="EN21" i="18"/>
  <c r="EJ21" i="18"/>
  <c r="EF21" i="18"/>
  <c r="EB21" i="18"/>
  <c r="DX21" i="18"/>
  <c r="DT21" i="18"/>
  <c r="DP21" i="18"/>
  <c r="DL21" i="18"/>
  <c r="DH21" i="18"/>
  <c r="DD21" i="18"/>
  <c r="CZ21" i="18"/>
  <c r="CV21" i="18"/>
  <c r="CR21" i="18"/>
  <c r="CN21" i="18"/>
  <c r="CJ21" i="18"/>
  <c r="CF21" i="18"/>
  <c r="CB21" i="18"/>
  <c r="BX21" i="18"/>
  <c r="BT21" i="18"/>
  <c r="BP21" i="18"/>
  <c r="BL21" i="18"/>
  <c r="BH21" i="18"/>
  <c r="BD21" i="18"/>
  <c r="AZ21" i="18"/>
  <c r="AV21" i="18"/>
  <c r="AR21" i="18"/>
  <c r="AN21" i="18"/>
  <c r="AJ21" i="18"/>
  <c r="AF21" i="18"/>
  <c r="AB21" i="18"/>
  <c r="X21" i="18"/>
  <c r="T21" i="18"/>
  <c r="P21" i="18"/>
  <c r="L21" i="18"/>
  <c r="H21" i="18"/>
  <c r="IZ20" i="18"/>
  <c r="IV20" i="18"/>
  <c r="IR20" i="18"/>
  <c r="IN20" i="18"/>
  <c r="IJ20" i="18"/>
  <c r="IF20" i="18"/>
  <c r="IB20" i="18"/>
  <c r="HX20" i="18"/>
  <c r="HT20" i="18"/>
  <c r="HP20" i="18"/>
  <c r="HL20" i="18"/>
  <c r="HH20" i="18"/>
  <c r="HD20" i="18"/>
  <c r="GZ20" i="18"/>
  <c r="GV20" i="18"/>
  <c r="GR20" i="18"/>
  <c r="GN20" i="18"/>
  <c r="GJ20" i="18"/>
  <c r="GF20" i="18"/>
  <c r="GB20" i="18"/>
  <c r="FX20" i="18"/>
  <c r="FT20" i="18"/>
  <c r="FP20" i="18"/>
  <c r="FL20" i="18"/>
  <c r="FH20" i="18"/>
  <c r="FD20" i="18"/>
  <c r="EZ20" i="18"/>
  <c r="EV20" i="18"/>
  <c r="ER20" i="18"/>
  <c r="EN20" i="18"/>
  <c r="EJ20" i="18"/>
  <c r="EF20" i="18"/>
  <c r="EB20" i="18"/>
  <c r="DX20" i="18"/>
  <c r="DT20" i="18"/>
  <c r="DP20" i="18"/>
  <c r="DL20" i="18"/>
  <c r="DH20" i="18"/>
  <c r="DD20" i="18"/>
  <c r="CZ20" i="18"/>
  <c r="CV20" i="18"/>
  <c r="CR20" i="18"/>
  <c r="CN20" i="18"/>
  <c r="CJ20" i="18"/>
  <c r="CF20" i="18"/>
  <c r="CB20" i="18"/>
  <c r="BX20" i="18"/>
  <c r="BT20" i="18"/>
  <c r="BP20" i="18"/>
  <c r="BL20" i="18"/>
  <c r="BH20" i="18"/>
  <c r="BD20" i="18"/>
  <c r="AZ20" i="18"/>
  <c r="AV20" i="18"/>
  <c r="AR20" i="18"/>
  <c r="AN20" i="18"/>
  <c r="AJ20" i="18"/>
  <c r="AF20" i="18"/>
  <c r="AB20" i="18"/>
  <c r="X20" i="18"/>
  <c r="T20" i="18"/>
  <c r="P20" i="18"/>
  <c r="L20" i="18"/>
  <c r="H20" i="18"/>
  <c r="C20" i="18"/>
  <c r="IZ19" i="18"/>
  <c r="IV19" i="18"/>
  <c r="IR19" i="18"/>
  <c r="IN19" i="18"/>
  <c r="IJ19" i="18"/>
  <c r="IF19" i="18"/>
  <c r="IB19" i="18"/>
  <c r="HX19" i="18"/>
  <c r="HT19" i="18"/>
  <c r="HP19" i="18"/>
  <c r="HL19" i="18"/>
  <c r="HH19" i="18"/>
  <c r="HD19" i="18"/>
  <c r="GZ19" i="18"/>
  <c r="GV19" i="18"/>
  <c r="GR19" i="18"/>
  <c r="GN19" i="18"/>
  <c r="GJ19" i="18"/>
  <c r="GF19" i="18"/>
  <c r="GB19" i="18"/>
  <c r="FX19" i="18"/>
  <c r="FT19" i="18"/>
  <c r="FP19" i="18"/>
  <c r="FL19" i="18"/>
  <c r="FH19" i="18"/>
  <c r="FD19" i="18"/>
  <c r="EZ19" i="18"/>
  <c r="EV19" i="18"/>
  <c r="ER19" i="18"/>
  <c r="EN19" i="18"/>
  <c r="EJ19" i="18"/>
  <c r="EF19" i="18"/>
  <c r="EB19" i="18"/>
  <c r="DX19" i="18"/>
  <c r="DT19" i="18"/>
  <c r="DP19" i="18"/>
  <c r="DL19" i="18"/>
  <c r="DH19" i="18"/>
  <c r="DD19" i="18"/>
  <c r="CZ19" i="18"/>
  <c r="CV19" i="18"/>
  <c r="CR19" i="18"/>
  <c r="CN19" i="18"/>
  <c r="CJ19" i="18"/>
  <c r="CF19" i="18"/>
  <c r="CB19" i="18"/>
  <c r="BX19" i="18"/>
  <c r="BT19" i="18"/>
  <c r="BP19" i="18"/>
  <c r="BL19" i="18"/>
  <c r="BH19" i="18"/>
  <c r="BD19" i="18"/>
  <c r="AZ19" i="18"/>
  <c r="AV19" i="18"/>
  <c r="AR19" i="18"/>
  <c r="AN19" i="18"/>
  <c r="AJ19" i="18"/>
  <c r="AF19" i="18"/>
  <c r="AB19" i="18"/>
  <c r="X19" i="18"/>
  <c r="T19" i="18"/>
  <c r="P19" i="18"/>
  <c r="L19" i="18"/>
  <c r="H19" i="18"/>
  <c r="IZ18" i="18"/>
  <c r="IV18" i="18"/>
  <c r="IR18" i="18"/>
  <c r="IN18" i="18"/>
  <c r="IJ18" i="18"/>
  <c r="IF18" i="18"/>
  <c r="IB18" i="18"/>
  <c r="HX18" i="18"/>
  <c r="HT18" i="18"/>
  <c r="HP18" i="18"/>
  <c r="HL18" i="18"/>
  <c r="HH18" i="18"/>
  <c r="HD18" i="18"/>
  <c r="GZ18" i="18"/>
  <c r="GV18" i="18"/>
  <c r="GR18" i="18"/>
  <c r="GN18" i="18"/>
  <c r="GJ18" i="18"/>
  <c r="GF18" i="18"/>
  <c r="GB18" i="18"/>
  <c r="FX18" i="18"/>
  <c r="FT18" i="18"/>
  <c r="FP18" i="18"/>
  <c r="FL18" i="18"/>
  <c r="FH18" i="18"/>
  <c r="FD18" i="18"/>
  <c r="EZ18" i="18"/>
  <c r="EV18" i="18"/>
  <c r="ER18" i="18"/>
  <c r="EN18" i="18"/>
  <c r="EJ18" i="18"/>
  <c r="EF18" i="18"/>
  <c r="EB18" i="18"/>
  <c r="DX18" i="18"/>
  <c r="DT18" i="18"/>
  <c r="DP18" i="18"/>
  <c r="DL18" i="18"/>
  <c r="DH18" i="18"/>
  <c r="DD18" i="18"/>
  <c r="CZ18" i="18"/>
  <c r="CV18" i="18"/>
  <c r="CR18" i="18"/>
  <c r="CN18" i="18"/>
  <c r="CJ18" i="18"/>
  <c r="CF18" i="18"/>
  <c r="CB18" i="18"/>
  <c r="BX18" i="18"/>
  <c r="BT18" i="18"/>
  <c r="BP18" i="18"/>
  <c r="BL18" i="18"/>
  <c r="BH18" i="18"/>
  <c r="BD18" i="18"/>
  <c r="AZ18" i="18"/>
  <c r="AV18" i="18"/>
  <c r="AR18" i="18"/>
  <c r="AN18" i="18"/>
  <c r="AJ18" i="18"/>
  <c r="AF18" i="18"/>
  <c r="AB18" i="18"/>
  <c r="X18" i="18"/>
  <c r="T18" i="18"/>
  <c r="P18" i="18"/>
  <c r="L18" i="18"/>
  <c r="H18" i="18"/>
  <c r="IZ17" i="18"/>
  <c r="IV17" i="18"/>
  <c r="IR17" i="18"/>
  <c r="IN17" i="18"/>
  <c r="IJ17" i="18"/>
  <c r="IF17" i="18"/>
  <c r="IB17" i="18"/>
  <c r="HX17" i="18"/>
  <c r="HT17" i="18"/>
  <c r="HP17" i="18"/>
  <c r="HL17" i="18"/>
  <c r="HH17" i="18"/>
  <c r="HD17" i="18"/>
  <c r="GZ17" i="18"/>
  <c r="GV17" i="18"/>
  <c r="GR17" i="18"/>
  <c r="GN17" i="18"/>
  <c r="GJ17" i="18"/>
  <c r="GF17" i="18"/>
  <c r="GB17" i="18"/>
  <c r="FX17" i="18"/>
  <c r="FT17" i="18"/>
  <c r="FP17" i="18"/>
  <c r="FL17" i="18"/>
  <c r="FH17" i="18"/>
  <c r="FD17" i="18"/>
  <c r="EZ17" i="18"/>
  <c r="EV17" i="18"/>
  <c r="ER17" i="18"/>
  <c r="EN17" i="18"/>
  <c r="EJ17" i="18"/>
  <c r="EF17" i="18"/>
  <c r="EB17" i="18"/>
  <c r="DX17" i="18"/>
  <c r="DT17" i="18"/>
  <c r="DP17" i="18"/>
  <c r="DL17" i="18"/>
  <c r="DH17" i="18"/>
  <c r="DD17" i="18"/>
  <c r="CZ17" i="18"/>
  <c r="CV17" i="18"/>
  <c r="CR17" i="18"/>
  <c r="CN17" i="18"/>
  <c r="CJ17" i="18"/>
  <c r="CF17" i="18"/>
  <c r="CB17" i="18"/>
  <c r="BX17" i="18"/>
  <c r="BT17" i="18"/>
  <c r="BP17" i="18"/>
  <c r="BL17" i="18"/>
  <c r="BH17" i="18"/>
  <c r="BD17" i="18"/>
  <c r="AZ17" i="18"/>
  <c r="AV17" i="18"/>
  <c r="AR17" i="18"/>
  <c r="AN17" i="18"/>
  <c r="AJ17" i="18"/>
  <c r="AF17" i="18"/>
  <c r="AB17" i="18"/>
  <c r="X17" i="18"/>
  <c r="T17" i="18"/>
  <c r="P17" i="18"/>
  <c r="L17" i="18"/>
  <c r="H17" i="18"/>
  <c r="IZ16" i="18"/>
  <c r="IV16" i="18"/>
  <c r="IR16" i="18"/>
  <c r="IN16" i="18"/>
  <c r="IJ16" i="18"/>
  <c r="IF16" i="18"/>
  <c r="IB16" i="18"/>
  <c r="HX16" i="18"/>
  <c r="HT16" i="18"/>
  <c r="HP16" i="18"/>
  <c r="HL16" i="18"/>
  <c r="HH16" i="18"/>
  <c r="HD16" i="18"/>
  <c r="GZ16" i="18"/>
  <c r="GV16" i="18"/>
  <c r="GR16" i="18"/>
  <c r="GN16" i="18"/>
  <c r="GJ16" i="18"/>
  <c r="GF16" i="18"/>
  <c r="GB16" i="18"/>
  <c r="FX16" i="18"/>
  <c r="FT16" i="18"/>
  <c r="FP16" i="18"/>
  <c r="FL16" i="18"/>
  <c r="FH16" i="18"/>
  <c r="FD16" i="18"/>
  <c r="EZ16" i="18"/>
  <c r="EV16" i="18"/>
  <c r="ER16" i="18"/>
  <c r="EN16" i="18"/>
  <c r="EJ16" i="18"/>
  <c r="EF16" i="18"/>
  <c r="EB16" i="18"/>
  <c r="DX16" i="18"/>
  <c r="DT16" i="18"/>
  <c r="DP16" i="18"/>
  <c r="DL16" i="18"/>
  <c r="DH16" i="18"/>
  <c r="DD16" i="18"/>
  <c r="CZ16" i="18"/>
  <c r="CV16" i="18"/>
  <c r="CR16" i="18"/>
  <c r="CN16" i="18"/>
  <c r="CJ16" i="18"/>
  <c r="CF16" i="18"/>
  <c r="CB16" i="18"/>
  <c r="BX16" i="18"/>
  <c r="BT16" i="18"/>
  <c r="BP16" i="18"/>
  <c r="BL16" i="18"/>
  <c r="BH16" i="18"/>
  <c r="BD16" i="18"/>
  <c r="AZ16" i="18"/>
  <c r="AV16" i="18"/>
  <c r="AR16" i="18"/>
  <c r="AN16" i="18"/>
  <c r="AJ16" i="18"/>
  <c r="AF16" i="18"/>
  <c r="AB16" i="18"/>
  <c r="X16" i="18"/>
  <c r="T16" i="18"/>
  <c r="P16" i="18"/>
  <c r="L16" i="18"/>
  <c r="H16" i="18"/>
  <c r="IZ15" i="18"/>
  <c r="IV15" i="18"/>
  <c r="IR15" i="18"/>
  <c r="IN15" i="18"/>
  <c r="IJ15" i="18"/>
  <c r="IF15" i="18"/>
  <c r="IB15" i="18"/>
  <c r="HX15" i="18"/>
  <c r="HT15" i="18"/>
  <c r="HP15" i="18"/>
  <c r="HL15" i="18"/>
  <c r="HH15" i="18"/>
  <c r="HD15" i="18"/>
  <c r="GZ15" i="18"/>
  <c r="GV15" i="18"/>
  <c r="GR15" i="18"/>
  <c r="GN15" i="18"/>
  <c r="GJ15" i="18"/>
  <c r="GF15" i="18"/>
  <c r="GB15" i="18"/>
  <c r="FX15" i="18"/>
  <c r="FT15" i="18"/>
  <c r="FP15" i="18"/>
  <c r="FL15" i="18"/>
  <c r="FH15" i="18"/>
  <c r="FD15" i="18"/>
  <c r="EZ15" i="18"/>
  <c r="EV15" i="18"/>
  <c r="ER15" i="18"/>
  <c r="EN15" i="18"/>
  <c r="EJ15" i="18"/>
  <c r="EF15" i="18"/>
  <c r="EB15" i="18"/>
  <c r="DX15" i="18"/>
  <c r="DT15" i="18"/>
  <c r="DP15" i="18"/>
  <c r="DL15" i="18"/>
  <c r="DH15" i="18"/>
  <c r="DD15" i="18"/>
  <c r="CZ15" i="18"/>
  <c r="CV15" i="18"/>
  <c r="CR15" i="18"/>
  <c r="CN15" i="18"/>
  <c r="CJ15" i="18"/>
  <c r="CF15" i="18"/>
  <c r="CB15" i="18"/>
  <c r="BX15" i="18"/>
  <c r="BT15" i="18"/>
  <c r="BP15" i="18"/>
  <c r="BL15" i="18"/>
  <c r="BH15" i="18"/>
  <c r="BD15" i="18"/>
  <c r="AZ15" i="18"/>
  <c r="AV15" i="18"/>
  <c r="AR15" i="18"/>
  <c r="AN15" i="18"/>
  <c r="AJ15" i="18"/>
  <c r="AF15" i="18"/>
  <c r="AB15" i="18"/>
  <c r="X15" i="18"/>
  <c r="T15" i="18"/>
  <c r="P15" i="18"/>
  <c r="L15" i="18"/>
  <c r="H15" i="18"/>
  <c r="IZ14" i="18"/>
  <c r="IV14" i="18"/>
  <c r="IR14" i="18"/>
  <c r="IN14" i="18"/>
  <c r="IJ14" i="18"/>
  <c r="IF14" i="18"/>
  <c r="IB14" i="18"/>
  <c r="HX14" i="18"/>
  <c r="HT14" i="18"/>
  <c r="HP14" i="18"/>
  <c r="HL14" i="18"/>
  <c r="HH14" i="18"/>
  <c r="HD14" i="18"/>
  <c r="GZ14" i="18"/>
  <c r="GV14" i="18"/>
  <c r="GR14" i="18"/>
  <c r="GN14" i="18"/>
  <c r="GJ14" i="18"/>
  <c r="GF14" i="18"/>
  <c r="GB14" i="18"/>
  <c r="FX14" i="18"/>
  <c r="FT14" i="18"/>
  <c r="FP14" i="18"/>
  <c r="FL14" i="18"/>
  <c r="FH14" i="18"/>
  <c r="FD14" i="18"/>
  <c r="EZ14" i="18"/>
  <c r="EV14" i="18"/>
  <c r="ER14" i="18"/>
  <c r="EN14" i="18"/>
  <c r="EJ14" i="18"/>
  <c r="EF14" i="18"/>
  <c r="EB14" i="18"/>
  <c r="DX14" i="18"/>
  <c r="DT14" i="18"/>
  <c r="DP14" i="18"/>
  <c r="DL14" i="18"/>
  <c r="DH14" i="18"/>
  <c r="DD14" i="18"/>
  <c r="CZ14" i="18"/>
  <c r="CV14" i="18"/>
  <c r="CR14" i="18"/>
  <c r="CN14" i="18"/>
  <c r="CJ14" i="18"/>
  <c r="CF14" i="18"/>
  <c r="CB14" i="18"/>
  <c r="BX14" i="18"/>
  <c r="BT14" i="18"/>
  <c r="BP14" i="18"/>
  <c r="BL14" i="18"/>
  <c r="BH14" i="18"/>
  <c r="BD14" i="18"/>
  <c r="AZ14" i="18"/>
  <c r="AV14" i="18"/>
  <c r="AR14" i="18"/>
  <c r="AN14" i="18"/>
  <c r="AJ14" i="18"/>
  <c r="AF14" i="18"/>
  <c r="AB14" i="18"/>
  <c r="X14" i="18"/>
  <c r="T14" i="18"/>
  <c r="P14" i="18"/>
  <c r="L14" i="18"/>
  <c r="H14" i="18"/>
  <c r="IZ13" i="18"/>
  <c r="IV13" i="18"/>
  <c r="IR13" i="18"/>
  <c r="IN13" i="18"/>
  <c r="IJ13" i="18"/>
  <c r="IF13" i="18"/>
  <c r="IB13" i="18"/>
  <c r="HX13" i="18"/>
  <c r="HT13" i="18"/>
  <c r="HP13" i="18"/>
  <c r="HL13" i="18"/>
  <c r="HH13" i="18"/>
  <c r="HD13" i="18"/>
  <c r="GZ13" i="18"/>
  <c r="GV13" i="18"/>
  <c r="GR13" i="18"/>
  <c r="GN13" i="18"/>
  <c r="GJ13" i="18"/>
  <c r="GF13" i="18"/>
  <c r="GB13" i="18"/>
  <c r="FX13" i="18"/>
  <c r="FT13" i="18"/>
  <c r="FP13" i="18"/>
  <c r="FL13" i="18"/>
  <c r="FH13" i="18"/>
  <c r="FD13" i="18"/>
  <c r="EZ13" i="18"/>
  <c r="EV13" i="18"/>
  <c r="ER13" i="18"/>
  <c r="EN13" i="18"/>
  <c r="EJ13" i="18"/>
  <c r="EF13" i="18"/>
  <c r="EB13" i="18"/>
  <c r="DX13" i="18"/>
  <c r="DT13" i="18"/>
  <c r="DP13" i="18"/>
  <c r="DL13" i="18"/>
  <c r="DH13" i="18"/>
  <c r="DD13" i="18"/>
  <c r="CZ13" i="18"/>
  <c r="CV13" i="18"/>
  <c r="CR13" i="18"/>
  <c r="CN13" i="18"/>
  <c r="CJ13" i="18"/>
  <c r="CF13" i="18"/>
  <c r="CB13" i="18"/>
  <c r="BX13" i="18"/>
  <c r="BT13" i="18"/>
  <c r="BP13" i="18"/>
  <c r="BL13" i="18"/>
  <c r="BH13" i="18"/>
  <c r="BD13" i="18"/>
  <c r="AZ13" i="18"/>
  <c r="AV13" i="18"/>
  <c r="AR13" i="18"/>
  <c r="AN13" i="18"/>
  <c r="AJ13" i="18"/>
  <c r="AF13" i="18"/>
  <c r="AB13" i="18"/>
  <c r="X13" i="18"/>
  <c r="T13" i="18"/>
  <c r="P13" i="18"/>
  <c r="L13" i="18"/>
  <c r="H13" i="18"/>
  <c r="IZ12" i="18"/>
  <c r="IV12" i="18"/>
  <c r="IR12" i="18"/>
  <c r="IN12" i="18"/>
  <c r="IJ12" i="18"/>
  <c r="IF12" i="18"/>
  <c r="IB12" i="18"/>
  <c r="HX12" i="18"/>
  <c r="HT12" i="18"/>
  <c r="HP12" i="18"/>
  <c r="HL12" i="18"/>
  <c r="HH12" i="18"/>
  <c r="HD12" i="18"/>
  <c r="GZ12" i="18"/>
  <c r="GV12" i="18"/>
  <c r="GR12" i="18"/>
  <c r="GN12" i="18"/>
  <c r="GJ12" i="18"/>
  <c r="GF12" i="18"/>
  <c r="GB12" i="18"/>
  <c r="FX12" i="18"/>
  <c r="FT12" i="18"/>
  <c r="FP12" i="18"/>
  <c r="FL12" i="18"/>
  <c r="FH12" i="18"/>
  <c r="FD12" i="18"/>
  <c r="EZ12" i="18"/>
  <c r="EV12" i="18"/>
  <c r="ER12" i="18"/>
  <c r="EN12" i="18"/>
  <c r="EJ12" i="18"/>
  <c r="EF12" i="18"/>
  <c r="EB12" i="18"/>
  <c r="DX12" i="18"/>
  <c r="DT12" i="18"/>
  <c r="DP12" i="18"/>
  <c r="DL12" i="18"/>
  <c r="DH12" i="18"/>
  <c r="DD12" i="18"/>
  <c r="CZ12" i="18"/>
  <c r="CV12" i="18"/>
  <c r="CR12" i="18"/>
  <c r="CN12" i="18"/>
  <c r="CJ12" i="18"/>
  <c r="CF12" i="18"/>
  <c r="CB12" i="18"/>
  <c r="BX12" i="18"/>
  <c r="BT12" i="18"/>
  <c r="BP12" i="18"/>
  <c r="BL12" i="18"/>
  <c r="BH12" i="18"/>
  <c r="BD12" i="18"/>
  <c r="AZ12" i="18"/>
  <c r="AV12" i="18"/>
  <c r="AR12" i="18"/>
  <c r="AN12" i="18"/>
  <c r="AJ12" i="18"/>
  <c r="AF12" i="18"/>
  <c r="AB12" i="18"/>
  <c r="X12" i="18"/>
  <c r="T12" i="18"/>
  <c r="P12" i="18"/>
  <c r="L12" i="18"/>
  <c r="H12" i="18"/>
  <c r="IZ11" i="18"/>
  <c r="IV11" i="18"/>
  <c r="IR11" i="18"/>
  <c r="IN11" i="18"/>
  <c r="IJ11" i="18"/>
  <c r="IF11" i="18"/>
  <c r="IB11" i="18"/>
  <c r="HX11" i="18"/>
  <c r="HT11" i="18"/>
  <c r="HP11" i="18"/>
  <c r="HL11" i="18"/>
  <c r="HH11" i="18"/>
  <c r="HD11" i="18"/>
  <c r="GZ11" i="18"/>
  <c r="GV11" i="18"/>
  <c r="GR11" i="18"/>
  <c r="GN11" i="18"/>
  <c r="GJ11" i="18"/>
  <c r="GF11" i="18"/>
  <c r="GB11" i="18"/>
  <c r="FX11" i="18"/>
  <c r="FT11" i="18"/>
  <c r="FP11" i="18"/>
  <c r="FL11" i="18"/>
  <c r="FH11" i="18"/>
  <c r="FD11" i="18"/>
  <c r="EZ11" i="18"/>
  <c r="EV11" i="18"/>
  <c r="ER11" i="18"/>
  <c r="EN11" i="18"/>
  <c r="EJ11" i="18"/>
  <c r="EF11" i="18"/>
  <c r="EB11" i="18"/>
  <c r="DX11" i="18"/>
  <c r="DT11" i="18"/>
  <c r="DP11" i="18"/>
  <c r="DL11" i="18"/>
  <c r="DH11" i="18"/>
  <c r="DD11" i="18"/>
  <c r="CZ11" i="18"/>
  <c r="CV11" i="18"/>
  <c r="CR11" i="18"/>
  <c r="CN11" i="18"/>
  <c r="CJ11" i="18"/>
  <c r="CF11" i="18"/>
  <c r="CB11" i="18"/>
  <c r="BX11" i="18"/>
  <c r="BT11" i="18"/>
  <c r="BP11" i="18"/>
  <c r="BL11" i="18"/>
  <c r="BH11" i="18"/>
  <c r="BD11" i="18"/>
  <c r="AZ11" i="18"/>
  <c r="AV11" i="18"/>
  <c r="AR11" i="18"/>
  <c r="AN11" i="18"/>
  <c r="AJ11" i="18"/>
  <c r="AF11" i="18"/>
  <c r="AB11" i="18"/>
  <c r="X11" i="18"/>
  <c r="T11" i="18"/>
  <c r="P11" i="18"/>
  <c r="L11" i="18"/>
  <c r="H11" i="18"/>
  <c r="IZ10" i="18"/>
  <c r="IV10" i="18"/>
  <c r="IR10" i="18"/>
  <c r="IN10" i="18"/>
  <c r="IJ10" i="18"/>
  <c r="IF10" i="18"/>
  <c r="IB10" i="18"/>
  <c r="HX10" i="18"/>
  <c r="HT10" i="18"/>
  <c r="HP10" i="18"/>
  <c r="HL10" i="18"/>
  <c r="HH10" i="18"/>
  <c r="HD10" i="18"/>
  <c r="GZ10" i="18"/>
  <c r="GV10" i="18"/>
  <c r="GR10" i="18"/>
  <c r="GN10" i="18"/>
  <c r="GJ10" i="18"/>
  <c r="GF10" i="18"/>
  <c r="GB10" i="18"/>
  <c r="FX10" i="18"/>
  <c r="FT10" i="18"/>
  <c r="FP10" i="18"/>
  <c r="FL10" i="18"/>
  <c r="FH10" i="18"/>
  <c r="FD10" i="18"/>
  <c r="EZ10" i="18"/>
  <c r="EV10" i="18"/>
  <c r="ER10" i="18"/>
  <c r="EN10" i="18"/>
  <c r="EJ10" i="18"/>
  <c r="EF10" i="18"/>
  <c r="EB10" i="18"/>
  <c r="DX10" i="18"/>
  <c r="DT10" i="18"/>
  <c r="DP10" i="18"/>
  <c r="DL10" i="18"/>
  <c r="DH10" i="18"/>
  <c r="DD10" i="18"/>
  <c r="CZ10" i="18"/>
  <c r="CV10" i="18"/>
  <c r="CR10" i="18"/>
  <c r="CN10" i="18"/>
  <c r="CJ10" i="18"/>
  <c r="CF10" i="18"/>
  <c r="CB10" i="18"/>
  <c r="BX10" i="18"/>
  <c r="BT10" i="18"/>
  <c r="BP10" i="18"/>
  <c r="BL10" i="18"/>
  <c r="BH10" i="18"/>
  <c r="BD10" i="18"/>
  <c r="AZ10" i="18"/>
  <c r="AV10" i="18"/>
  <c r="AR10" i="18"/>
  <c r="AN10" i="18"/>
  <c r="AJ10" i="18"/>
  <c r="AF10" i="18"/>
  <c r="AB10" i="18"/>
  <c r="X10" i="18"/>
  <c r="T10" i="18"/>
  <c r="P10" i="18"/>
  <c r="L10" i="18"/>
  <c r="C7" i="18"/>
  <c r="F6" i="18"/>
  <c r="V6" i="18" s="1"/>
  <c r="L25" i="17" l="1"/>
  <c r="K24" i="17"/>
  <c r="M24" i="17"/>
  <c r="N24" i="17" s="1"/>
  <c r="F5" i="18"/>
  <c r="F4" i="18" s="1"/>
  <c r="AL6" i="18"/>
  <c r="V5" i="18"/>
  <c r="V4" i="18" s="1"/>
  <c r="L26" i="17" l="1"/>
  <c r="K25" i="17"/>
  <c r="M25" i="17"/>
  <c r="N25" i="17" s="1"/>
  <c r="AL5" i="18"/>
  <c r="AL4" i="18" s="1"/>
  <c r="BB6" i="18"/>
  <c r="L27" i="17" l="1"/>
  <c r="K26" i="17"/>
  <c r="M26" i="17"/>
  <c r="N26" i="17" s="1"/>
  <c r="BR6" i="18"/>
  <c r="BB5" i="18"/>
  <c r="BB4" i="18" s="1"/>
  <c r="H7" i="1"/>
  <c r="L28" i="17" l="1"/>
  <c r="K27" i="17"/>
  <c r="M27" i="17"/>
  <c r="N27" i="17" s="1"/>
  <c r="I7" i="1"/>
  <c r="BR5" i="18"/>
  <c r="BR4" i="18" s="1"/>
  <c r="CH6" i="18"/>
  <c r="L29" i="17" l="1"/>
  <c r="K28" i="17"/>
  <c r="M28" i="17"/>
  <c r="N28" i="17" s="1"/>
  <c r="J7" i="1"/>
  <c r="C4" i="18"/>
  <c r="CX6" i="18"/>
  <c r="CH5" i="18"/>
  <c r="CH4" i="18" s="1"/>
  <c r="K29" i="17" l="1"/>
  <c r="M29" i="17"/>
  <c r="N29" i="17" s="1"/>
  <c r="L30" i="17"/>
  <c r="K7" i="1"/>
  <c r="CX5" i="18"/>
  <c r="CX4" i="18" s="1"/>
  <c r="DN6" i="18"/>
  <c r="B9" i="17"/>
  <c r="B5" i="17"/>
  <c r="M30" i="17" l="1"/>
  <c r="N30" i="17" s="1"/>
  <c r="L31" i="17"/>
  <c r="K30" i="17"/>
  <c r="L7" i="1"/>
  <c r="ED6" i="18"/>
  <c r="DN5" i="18"/>
  <c r="DN4" i="18" s="1"/>
  <c r="B11" i="17"/>
  <c r="B12" i="17"/>
  <c r="M31" i="17" l="1"/>
  <c r="N31" i="17" s="1"/>
  <c r="K31" i="17"/>
  <c r="C4" i="23"/>
  <c r="C4" i="24"/>
  <c r="L10" i="1"/>
  <c r="C4" i="21"/>
  <c r="C4" i="20"/>
  <c r="M7" i="1"/>
  <c r="ED5" i="18"/>
  <c r="ED4" i="18" s="1"/>
  <c r="ET6" i="18"/>
  <c r="AG21" i="1" l="1"/>
  <c r="AG19" i="1"/>
  <c r="AH20" i="1"/>
  <c r="AG20" i="1"/>
  <c r="AH19" i="1"/>
  <c r="AH21" i="1"/>
  <c r="AG18" i="1"/>
  <c r="AH18" i="1"/>
  <c r="AJ17" i="1"/>
  <c r="AG16" i="1"/>
  <c r="AG17" i="1"/>
  <c r="AH17" i="1"/>
  <c r="AH16" i="1"/>
  <c r="AG15" i="1"/>
  <c r="AH15" i="1"/>
  <c r="C5" i="1"/>
  <c r="M10" i="1"/>
  <c r="M2" i="1" s="1"/>
  <c r="H10" i="1"/>
  <c r="K10" i="1"/>
  <c r="K2" i="1" s="1"/>
  <c r="I10" i="1"/>
  <c r="I2" i="1" s="1"/>
  <c r="J10" i="1"/>
  <c r="J2" i="1" s="1"/>
  <c r="L2" i="1"/>
  <c r="N7" i="1"/>
  <c r="FJ6" i="18"/>
  <c r="ET5" i="18"/>
  <c r="ET4" i="18" s="1"/>
  <c r="C6" i="1"/>
  <c r="N10" i="1" l="1"/>
  <c r="N2" i="1" s="1"/>
  <c r="H2" i="1"/>
  <c r="O7" i="1"/>
  <c r="FJ5" i="18"/>
  <c r="FJ4" i="18" s="1"/>
  <c r="FZ6" i="18"/>
  <c r="E16" i="14"/>
  <c r="E17" i="14"/>
  <c r="E18" i="14"/>
  <c r="E19" i="14"/>
  <c r="E20" i="14"/>
  <c r="E21" i="14"/>
  <c r="E22" i="14"/>
  <c r="E23" i="14"/>
  <c r="E24" i="14"/>
  <c r="E25" i="14"/>
  <c r="E26" i="14"/>
  <c r="O10" i="1" l="1"/>
  <c r="P7" i="1"/>
  <c r="P10" i="1" s="1"/>
  <c r="GP6" i="18"/>
  <c r="FZ5" i="18"/>
  <c r="FZ4" i="18" s="1"/>
  <c r="O2" i="1" l="1"/>
  <c r="P2" i="1"/>
  <c r="C11" i="24"/>
  <c r="C11" i="23"/>
  <c r="C12" i="24"/>
  <c r="C12" i="23"/>
  <c r="C14" i="24"/>
  <c r="C14" i="23"/>
  <c r="C15" i="24"/>
  <c r="C15" i="23"/>
  <c r="C17" i="24"/>
  <c r="C17" i="23"/>
  <c r="C19" i="24"/>
  <c r="C19" i="23"/>
  <c r="C10" i="24"/>
  <c r="C10" i="23"/>
  <c r="C13" i="24"/>
  <c r="C13" i="23"/>
  <c r="C16" i="24"/>
  <c r="C16" i="23"/>
  <c r="C18" i="24"/>
  <c r="C18" i="23"/>
  <c r="Q7" i="1"/>
  <c r="Q10" i="1" s="1"/>
  <c r="C11" i="18"/>
  <c r="C13" i="18"/>
  <c r="C15" i="18"/>
  <c r="C17" i="18"/>
  <c r="C18" i="18"/>
  <c r="C21" i="18"/>
  <c r="C24" i="18"/>
  <c r="C26" i="18"/>
  <c r="C28" i="18"/>
  <c r="C30" i="18"/>
  <c r="C12" i="18"/>
  <c r="C14" i="18"/>
  <c r="C16" i="18"/>
  <c r="C23" i="18"/>
  <c r="C19" i="18"/>
  <c r="C22" i="18"/>
  <c r="C25" i="18"/>
  <c r="C27" i="18"/>
  <c r="C29" i="18"/>
  <c r="C31" i="18"/>
  <c r="GP5" i="18"/>
  <c r="GP4" i="18" s="1"/>
  <c r="HF6" i="18"/>
  <c r="F12" i="20" l="1"/>
  <c r="BG12" i="20"/>
  <c r="BF12" i="20"/>
  <c r="BC12" i="20"/>
  <c r="BB12" i="20"/>
  <c r="AY12" i="20"/>
  <c r="AX12" i="20"/>
  <c r="AU12" i="20"/>
  <c r="AT12" i="20"/>
  <c r="AQ12" i="20"/>
  <c r="AP12" i="20"/>
  <c r="AM12" i="20"/>
  <c r="AL12" i="20"/>
  <c r="AI12" i="20"/>
  <c r="AH12" i="20"/>
  <c r="AE12" i="20"/>
  <c r="AD12" i="20"/>
  <c r="AA12" i="20"/>
  <c r="Z12" i="20"/>
  <c r="W12" i="20"/>
  <c r="V12" i="20"/>
  <c r="S12" i="20"/>
  <c r="R12" i="20"/>
  <c r="O12" i="20"/>
  <c r="N12" i="20"/>
  <c r="K12" i="20"/>
  <c r="J12" i="20"/>
  <c r="G12" i="20"/>
  <c r="F13" i="20"/>
  <c r="BG13" i="20"/>
  <c r="BF13" i="20"/>
  <c r="BC13" i="20"/>
  <c r="BB13" i="20"/>
  <c r="AY13" i="20"/>
  <c r="AX13" i="20"/>
  <c r="AU13" i="20"/>
  <c r="AT13" i="20"/>
  <c r="AQ13" i="20"/>
  <c r="AP13" i="20"/>
  <c r="AM13" i="20"/>
  <c r="AL13" i="20"/>
  <c r="AI13" i="20"/>
  <c r="AH13" i="20"/>
  <c r="AE13" i="20"/>
  <c r="AD13" i="20"/>
  <c r="AA13" i="20"/>
  <c r="Z13" i="20"/>
  <c r="W13" i="20"/>
  <c r="V13" i="20"/>
  <c r="S13" i="20"/>
  <c r="R13" i="20"/>
  <c r="O13" i="20"/>
  <c r="N13" i="20"/>
  <c r="K13" i="20"/>
  <c r="J13" i="20"/>
  <c r="G13" i="20"/>
  <c r="F11" i="20"/>
  <c r="BG11" i="20"/>
  <c r="BF11" i="20"/>
  <c r="BC11" i="20"/>
  <c r="BB11" i="20"/>
  <c r="AY11" i="20"/>
  <c r="AX11" i="20"/>
  <c r="AU11" i="20"/>
  <c r="AT11" i="20"/>
  <c r="AQ11" i="20"/>
  <c r="AP11" i="20"/>
  <c r="AM11" i="20"/>
  <c r="AL11" i="20"/>
  <c r="AI11" i="20"/>
  <c r="AH11" i="20"/>
  <c r="AE11" i="20"/>
  <c r="AD11" i="20"/>
  <c r="AA11" i="20"/>
  <c r="Z11" i="20"/>
  <c r="W11" i="20"/>
  <c r="V11" i="20"/>
  <c r="S11" i="20"/>
  <c r="R11" i="20"/>
  <c r="O11" i="20"/>
  <c r="N11" i="20"/>
  <c r="K11" i="20"/>
  <c r="J11" i="20"/>
  <c r="G11" i="20"/>
  <c r="F10" i="20"/>
  <c r="BG10" i="20"/>
  <c r="BF10" i="20"/>
  <c r="BC10" i="20"/>
  <c r="BB10" i="20"/>
  <c r="AY10" i="20"/>
  <c r="AX10" i="20"/>
  <c r="AU10" i="20"/>
  <c r="AT10" i="20"/>
  <c r="AQ10" i="20"/>
  <c r="AP10" i="20"/>
  <c r="AM10" i="20"/>
  <c r="AL10" i="20"/>
  <c r="AI10" i="20"/>
  <c r="AH10" i="20"/>
  <c r="AE10" i="20"/>
  <c r="AD10" i="20"/>
  <c r="AA10" i="20"/>
  <c r="Z10" i="20"/>
  <c r="W10" i="20"/>
  <c r="V10" i="20"/>
  <c r="S10" i="20"/>
  <c r="R10" i="20"/>
  <c r="O10" i="20"/>
  <c r="N10" i="20"/>
  <c r="K10" i="20"/>
  <c r="J10" i="20"/>
  <c r="G10" i="20"/>
  <c r="Q2" i="1"/>
  <c r="R7" i="1"/>
  <c r="R10" i="1" s="1"/>
  <c r="HV6" i="18"/>
  <c r="HF5" i="18"/>
  <c r="HF4" i="18" s="1"/>
  <c r="R2" i="1" l="1"/>
  <c r="S7" i="1"/>
  <c r="S10" i="1" s="1"/>
  <c r="HV5" i="18"/>
  <c r="HV4" i="18" s="1"/>
  <c r="IL6" i="18"/>
  <c r="IL5" i="18" s="1"/>
  <c r="IL4" i="18" s="1"/>
  <c r="JC25" i="18" l="1"/>
  <c r="JB21" i="18"/>
  <c r="JE12" i="18"/>
  <c r="JE26" i="18"/>
  <c r="S2" i="1"/>
  <c r="T7" i="1"/>
  <c r="T10" i="1" s="1"/>
  <c r="JE28" i="18"/>
  <c r="JB23" i="18"/>
  <c r="JD27" i="18"/>
  <c r="JC14" i="18"/>
  <c r="JB28" i="18"/>
  <c r="JB13" i="18"/>
  <c r="JC19" i="18"/>
  <c r="JE23" i="18"/>
  <c r="JB18" i="18"/>
  <c r="JD21" i="18"/>
  <c r="JB32" i="18"/>
  <c r="JC10" i="18"/>
  <c r="JD26" i="18"/>
  <c r="JD11" i="18"/>
  <c r="JE17" i="18"/>
  <c r="JB12" i="18"/>
  <c r="JD16" i="18"/>
  <c r="JC26" i="18"/>
  <c r="JE30" i="18"/>
  <c r="JB25" i="18"/>
  <c r="JC31" i="18"/>
  <c r="JC16" i="18"/>
  <c r="JB30" i="18"/>
  <c r="JC18" i="18"/>
  <c r="JC32" i="18"/>
  <c r="JB17" i="18"/>
  <c r="JC23" i="18"/>
  <c r="JE27" i="18"/>
  <c r="JB22" i="18"/>
  <c r="JD25" i="18"/>
  <c r="JC13" i="18"/>
  <c r="JE16" i="18"/>
  <c r="JD30" i="18"/>
  <c r="JD15" i="18"/>
  <c r="JE21" i="18"/>
  <c r="JB16" i="18"/>
  <c r="JD20" i="18"/>
  <c r="JC30" i="18"/>
  <c r="JE11" i="18"/>
  <c r="JB29" i="18"/>
  <c r="JE32" i="18"/>
  <c r="JC20" i="18"/>
  <c r="JC12" i="18"/>
  <c r="JD14" i="18"/>
  <c r="JE10" i="18"/>
  <c r="JC27" i="18"/>
  <c r="JE31" i="18"/>
  <c r="JB26" i="18"/>
  <c r="JD29" i="18"/>
  <c r="JC17" i="18"/>
  <c r="JE20" i="18"/>
  <c r="JB15" i="18"/>
  <c r="JD19" i="18"/>
  <c r="JE25" i="18"/>
  <c r="JB20" i="18"/>
  <c r="JD24" i="18"/>
  <c r="JC11" i="18"/>
  <c r="JE15" i="18"/>
  <c r="JB10" i="18"/>
  <c r="JD13" i="18"/>
  <c r="JC24" i="18"/>
  <c r="JE14" i="18"/>
  <c r="JD18" i="18"/>
  <c r="JC29" i="18"/>
  <c r="JD32" i="18"/>
  <c r="JB27" i="18"/>
  <c r="JD31" i="18"/>
  <c r="JE18" i="18"/>
  <c r="JD10" i="18"/>
  <c r="JC21" i="18"/>
  <c r="JE24" i="18"/>
  <c r="JB19" i="18"/>
  <c r="JD23" i="18"/>
  <c r="JE29" i="18"/>
  <c r="JB24" i="18"/>
  <c r="JD28" i="18"/>
  <c r="JC15" i="18"/>
  <c r="JE19" i="18"/>
  <c r="JB14" i="18"/>
  <c r="JD17" i="18"/>
  <c r="JC28" i="18"/>
  <c r="JE22" i="18"/>
  <c r="JD22" i="18"/>
  <c r="JB11" i="18"/>
  <c r="JE13" i="18"/>
  <c r="JB31" i="18"/>
  <c r="JD12" i="18"/>
  <c r="JC22" i="18"/>
  <c r="H10" i="20" l="1"/>
  <c r="I10" i="20" s="1"/>
  <c r="L10" i="20"/>
  <c r="T10" i="20"/>
  <c r="U10" i="20" s="1"/>
  <c r="AB10" i="20"/>
  <c r="AC10" i="20" s="1"/>
  <c r="P10" i="20"/>
  <c r="Q10" i="20" s="1"/>
  <c r="X10" i="20"/>
  <c r="Y10" i="20" s="1"/>
  <c r="H12" i="20"/>
  <c r="I12" i="20" s="1"/>
  <c r="L12" i="20"/>
  <c r="T12" i="20"/>
  <c r="U12" i="20" s="1"/>
  <c r="AB12" i="20"/>
  <c r="AC12" i="20" s="1"/>
  <c r="P12" i="20"/>
  <c r="Q12" i="20" s="1"/>
  <c r="X12" i="20"/>
  <c r="Y12" i="20" s="1"/>
  <c r="H11" i="20"/>
  <c r="I11" i="20" s="1"/>
  <c r="L11" i="20"/>
  <c r="AB11" i="20"/>
  <c r="AC11" i="20" s="1"/>
  <c r="T11" i="20"/>
  <c r="U11" i="20" s="1"/>
  <c r="P11" i="20"/>
  <c r="Q11" i="20" s="1"/>
  <c r="X11" i="20"/>
  <c r="Y11" i="20" s="1"/>
  <c r="H13" i="20"/>
  <c r="I13" i="20" s="1"/>
  <c r="L13" i="20"/>
  <c r="P13" i="20"/>
  <c r="Q13" i="20" s="1"/>
  <c r="AB13" i="20"/>
  <c r="AC13" i="20" s="1"/>
  <c r="T13" i="20"/>
  <c r="U13" i="20" s="1"/>
  <c r="X13" i="20"/>
  <c r="Y13" i="20" s="1"/>
  <c r="AJ11" i="20"/>
  <c r="AK11" i="20" s="1"/>
  <c r="AF11" i="20"/>
  <c r="AG11" i="20" s="1"/>
  <c r="AR11" i="20"/>
  <c r="AS11" i="20" s="1"/>
  <c r="AN11" i="20"/>
  <c r="AO11" i="20" s="1"/>
  <c r="AZ11" i="20"/>
  <c r="BA11" i="20" s="1"/>
  <c r="AV11" i="20"/>
  <c r="AW11" i="20" s="1"/>
  <c r="BH11" i="20"/>
  <c r="BI11" i="20" s="1"/>
  <c r="BD11" i="20"/>
  <c r="BE11" i="20" s="1"/>
  <c r="AJ13" i="20"/>
  <c r="AK13" i="20" s="1"/>
  <c r="AF13" i="20"/>
  <c r="AG13" i="20" s="1"/>
  <c r="AR13" i="20"/>
  <c r="AS13" i="20" s="1"/>
  <c r="AN13" i="20"/>
  <c r="AO13" i="20" s="1"/>
  <c r="AZ13" i="20"/>
  <c r="BA13" i="20" s="1"/>
  <c r="AV13" i="20"/>
  <c r="AW13" i="20" s="1"/>
  <c r="BH13" i="20"/>
  <c r="BI13" i="20" s="1"/>
  <c r="BD13" i="20"/>
  <c r="BE13" i="20" s="1"/>
  <c r="AJ10" i="20"/>
  <c r="AK10" i="20" s="1"/>
  <c r="AF10" i="20"/>
  <c r="AG10" i="20" s="1"/>
  <c r="AR10" i="20"/>
  <c r="AS10" i="20" s="1"/>
  <c r="AN10" i="20"/>
  <c r="AO10" i="20" s="1"/>
  <c r="AZ10" i="20"/>
  <c r="BA10" i="20" s="1"/>
  <c r="AV10" i="20"/>
  <c r="AW10" i="20" s="1"/>
  <c r="BH10" i="20"/>
  <c r="BI10" i="20" s="1"/>
  <c r="BD10" i="20"/>
  <c r="BE10" i="20" s="1"/>
  <c r="AJ12" i="20"/>
  <c r="AK12" i="20" s="1"/>
  <c r="AF12" i="20"/>
  <c r="AG12" i="20" s="1"/>
  <c r="AR12" i="20"/>
  <c r="AS12" i="20" s="1"/>
  <c r="AN12" i="20"/>
  <c r="AO12" i="20" s="1"/>
  <c r="AZ12" i="20"/>
  <c r="BA12" i="20" s="1"/>
  <c r="AV12" i="20"/>
  <c r="AW12" i="20" s="1"/>
  <c r="BH12" i="20"/>
  <c r="BI12" i="20" s="1"/>
  <c r="BD12" i="20"/>
  <c r="BE12" i="20" s="1"/>
  <c r="T2" i="1"/>
  <c r="U7" i="1"/>
  <c r="U10" i="1" l="1"/>
  <c r="V7" i="1"/>
  <c r="V10" i="1" s="1"/>
  <c r="AJ18" i="1"/>
  <c r="M13" i="20"/>
  <c r="BK13" i="20"/>
  <c r="AJ14" i="1" s="1"/>
  <c r="M11" i="20"/>
  <c r="BK11" i="20"/>
  <c r="AJ12" i="1" s="1"/>
  <c r="M12" i="20"/>
  <c r="BK12" i="20"/>
  <c r="M10" i="20"/>
  <c r="BK10" i="20"/>
  <c r="AJ11" i="1" s="1"/>
  <c r="AJ15" i="1" l="1"/>
  <c r="AJ16" i="1"/>
  <c r="W20" i="1"/>
  <c r="AF20" i="1" s="1"/>
  <c r="W19" i="1"/>
  <c r="AF19" i="1" s="1"/>
  <c r="W21" i="1"/>
  <c r="AF21" i="1" s="1"/>
  <c r="AJ20" i="1"/>
  <c r="AJ21" i="1"/>
  <c r="AJ19" i="1"/>
  <c r="W18" i="1"/>
  <c r="AF18" i="1" s="1"/>
  <c r="W16" i="1"/>
  <c r="AF16" i="1" s="1"/>
  <c r="W17" i="1"/>
  <c r="AF17" i="1" s="1"/>
  <c r="W15" i="1"/>
  <c r="AF15" i="1" s="1"/>
  <c r="AJ13" i="1"/>
  <c r="W11" i="1"/>
  <c r="AF11" i="1" s="1"/>
  <c r="W13" i="1"/>
  <c r="W12" i="1"/>
  <c r="AF12" i="1" s="1"/>
  <c r="W14" i="1"/>
  <c r="U2" i="1"/>
  <c r="V2" i="1"/>
  <c r="Y19" i="1" l="1"/>
  <c r="AE19" i="1" s="1"/>
  <c r="Y21" i="1"/>
  <c r="AE21" i="1" s="1"/>
  <c r="Y20" i="1"/>
  <c r="AE20" i="1" s="1"/>
  <c r="Y18" i="1"/>
  <c r="AE18" i="1" s="1"/>
  <c r="Y17" i="1"/>
  <c r="AE17" i="1" s="1"/>
  <c r="Y16" i="1"/>
  <c r="AE16" i="1" s="1"/>
  <c r="Y15" i="1"/>
  <c r="AE15" i="1" s="1"/>
  <c r="AJ8" i="1"/>
  <c r="W8" i="1"/>
  <c r="Y11" i="1"/>
  <c r="Y13" i="1"/>
  <c r="AF13" i="1" s="1"/>
  <c r="Y12" i="1"/>
  <c r="Y14" i="1"/>
  <c r="AF14" i="1" s="1"/>
  <c r="AO8" i="1"/>
  <c r="AF8" i="1" l="1"/>
  <c r="Y8" i="1"/>
  <c r="AE14" i="1"/>
  <c r="AE13" i="1"/>
  <c r="AE12" i="1"/>
  <c r="AE11" i="1"/>
  <c r="AM8" i="1"/>
  <c r="AU7" i="1" s="1"/>
  <c r="AX8" i="1" l="1"/>
  <c r="AE8" i="1" l="1"/>
  <c r="AI18" i="1"/>
  <c r="AK18" i="1" s="1"/>
  <c r="BJ12" i="20" l="1"/>
  <c r="AI15" i="1" s="1"/>
  <c r="AK15" i="1" s="1"/>
  <c r="AI16" i="1"/>
  <c r="AK16" i="1" s="1"/>
  <c r="BJ13" i="20"/>
  <c r="AI14" i="1" s="1"/>
  <c r="BJ10" i="20"/>
  <c r="AI11" i="1" s="1"/>
  <c r="BJ11" i="20"/>
  <c r="AI12" i="1" s="1"/>
  <c r="AI21" i="1" l="1"/>
  <c r="AK21" i="1" s="1"/>
  <c r="AI20" i="1"/>
  <c r="AK20" i="1" s="1"/>
  <c r="AI19" i="1"/>
  <c r="AK19" i="1" s="1"/>
  <c r="AI17" i="1"/>
  <c r="AK17" i="1" s="1"/>
  <c r="AI13" i="1"/>
  <c r="AI8" i="1" l="1"/>
  <c r="F8" i="1" l="1"/>
  <c r="AG14" i="1" l="1"/>
  <c r="AG13" i="1"/>
  <c r="AG12" i="1"/>
  <c r="AG11" i="1"/>
  <c r="AH11" i="1"/>
  <c r="AH12" i="1"/>
  <c r="AH14" i="1"/>
  <c r="AH13" i="1"/>
  <c r="E7" i="1"/>
  <c r="AK14" i="1" l="1"/>
  <c r="AK11" i="1"/>
  <c r="AH8" i="1"/>
  <c r="AK12" i="1"/>
  <c r="AK13" i="1"/>
  <c r="AG8" i="1"/>
  <c r="AK8" i="1" l="1"/>
  <c r="D14" i="17"/>
</calcChain>
</file>

<file path=xl/comments1.xml><?xml version="1.0" encoding="utf-8"?>
<comments xmlns="http://schemas.openxmlformats.org/spreadsheetml/2006/main">
  <authors>
    <author>PC-PRODUCCION02</author>
  </authors>
  <commentList>
    <comment ref="E4" authorId="0" shapeId="0">
      <text>
        <r>
          <rPr>
            <b/>
            <sz val="8"/>
            <color indexed="81"/>
            <rFont val="Tahoma"/>
            <family val="2"/>
          </rPr>
          <t>ESA INFORMACION TE LA PROPORCIANA OFICINA MACHALA</t>
        </r>
      </text>
    </comment>
    <comment ref="J4" authorId="0" shapeId="0">
      <text>
        <r>
          <rPr>
            <b/>
            <sz val="8"/>
            <color indexed="81"/>
            <rFont val="Tahoma"/>
            <family val="2"/>
          </rPr>
          <t>ESA INFORMACION TE LA PROPORCIANA OFICINA MACHALA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" authorId="0" shapeId="0">
      <text>
        <r>
          <rPr>
            <b/>
            <sz val="8"/>
            <color indexed="81"/>
            <rFont val="Tahoma"/>
            <family val="2"/>
          </rPr>
          <t>ESA INFORMACION TE LA PROPORCIANA OFICINA MACHALA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PRODUCCION02</author>
    <author>PC-PRODUCCION02</author>
    <author>Administrador</author>
  </authors>
  <commentList>
    <comment ref="L3" authorId="0" shapeId="0">
      <text>
        <r>
          <rPr>
            <b/>
            <sz val="8"/>
            <color indexed="81"/>
            <rFont val="Tahoma"/>
            <family val="2"/>
          </rPr>
          <t>COLOR DE ADVERTENCIA PARA LOS COMENTARIOS DE ALGUNA NOVEDAD</t>
        </r>
      </text>
    </comment>
    <comment ref="M3" authorId="0" shapeId="0">
      <text>
        <r>
          <rPr>
            <b/>
            <sz val="8"/>
            <color indexed="81"/>
            <rFont val="Tahoma"/>
            <family val="2"/>
          </rPr>
          <t>COLOR DE ATENCION MEDICA DEL IESS O PARTICULAR JUSTIFICABLE</t>
        </r>
      </text>
    </comment>
    <comment ref="N3" authorId="0" shapeId="0">
      <text>
        <r>
          <rPr>
            <b/>
            <sz val="8"/>
            <color indexed="81"/>
            <rFont val="Tahoma"/>
            <family val="2"/>
          </rPr>
          <t xml:space="preserve">COLOR PARA LAS NOTAS DE ALGUN CAMBIO DE SALIDA O FERIADO DEL GRUPO </t>
        </r>
      </text>
    </comment>
    <comment ref="O3" authorId="0" shapeId="0">
      <text>
        <r>
          <rPr>
            <b/>
            <sz val="8"/>
            <color indexed="81"/>
            <rFont val="Tahoma"/>
            <family val="2"/>
          </rPr>
          <t>COLOR PARA SEÑALAR DE UN NUEVO TRABAJADOR QUE INGRESA O SE RETIRA DE LA EMPRESA</t>
        </r>
      </text>
    </comment>
    <comment ref="P3" authorId="0" shapeId="0">
      <text>
        <r>
          <rPr>
            <b/>
            <sz val="8"/>
            <color indexed="81"/>
            <rFont val="Tahoma"/>
            <family val="2"/>
          </rPr>
          <t>COLOR PARA SEÑALAR LA NOMINA DEL TRABAJADOR QUE RENUNCIA.</t>
        </r>
      </text>
    </comment>
    <comment ref="Q3" authorId="1" shapeId="0">
      <text>
        <r>
          <rPr>
            <b/>
            <sz val="9"/>
            <color indexed="81"/>
            <rFont val="Tahoma"/>
            <family val="2"/>
          </rPr>
          <t xml:space="preserve">COLO PARA IDENTIFICAR LOS </t>
        </r>
        <r>
          <rPr>
            <b/>
            <u/>
            <sz val="9"/>
            <color indexed="81"/>
            <rFont val="Tahoma"/>
            <family val="2"/>
          </rPr>
          <t>INGRESOS</t>
        </r>
        <r>
          <rPr>
            <b/>
            <sz val="9"/>
            <color indexed="81"/>
            <rFont val="Tahoma"/>
            <family val="2"/>
          </rPr>
          <t xml:space="preserve"> DE SUS DIAS LIBRES</t>
        </r>
      </text>
    </comment>
    <comment ref="R3" authorId="2" shapeId="0">
      <text>
        <r>
          <rPr>
            <b/>
            <sz val="9"/>
            <color indexed="81"/>
            <rFont val="Tahoma"/>
            <family val="2"/>
          </rPr>
          <t>VACACIONES DE TRABAJADOR</t>
        </r>
      </text>
    </comment>
    <comment ref="AA10" authorId="0" shapeId="0">
      <text>
        <r>
          <rPr>
            <b/>
            <sz val="9"/>
            <color indexed="81"/>
            <rFont val="Tahoma"/>
            <family val="2"/>
          </rPr>
          <t>Si un trabajador que faltare injustificadamente a su jornada completa de trabajo en la semana, solo tendra derecho a la renumeracion de 5 jornadas.</t>
        </r>
      </text>
    </comment>
  </commentList>
</comments>
</file>

<file path=xl/comments3.xml><?xml version="1.0" encoding="utf-8"?>
<comments xmlns="http://schemas.openxmlformats.org/spreadsheetml/2006/main">
  <authors>
    <author>PRODUCCION02</author>
  </authors>
  <commentList>
    <comment ref="B16" authorId="0" shapeId="0">
      <text>
        <r>
          <rPr>
            <b/>
            <sz val="8"/>
            <color indexed="81"/>
            <rFont val="Tahoma"/>
            <family val="2"/>
          </rPr>
          <t>SOLO SE MODIFICA ESTE NUEVO AÑO Y EL MES DE FEBRERO PARA QUE SALGAN DE LA PRIMERA Y SEGUNDA QUINCENA</t>
        </r>
      </text>
    </comment>
  </commentList>
</comments>
</file>

<file path=xl/connections.xml><?xml version="1.0" encoding="utf-8"?>
<connections xmlns="http://schemas.openxmlformats.org/spreadsheetml/2006/main">
  <connection id="1" sourceFile="C:\Users\DAVID\Dropbox\NOMINA TRANSFERENCIA.xlsm" odcFile="C:\Users\DAVID\Documents\Mis archivos de origen de datos\NOMINA TRANSFERENCIA Resumen$.odc" keepAlive="1" name="NOMINA TRANSFERENCIA Resumen$" type="5" refreshedVersion="5" background="1" saveData="1">
    <dbPr connection="Provider=Microsoft.ACE.OLEDB.12.0;User ID=Admin;Data Source=C:\Users\DAVID\Dropbox\NOMINA TRANSFERENCIA.xlsm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sumen$" commandType="3"/>
  </connection>
</connections>
</file>

<file path=xl/sharedStrings.xml><?xml version="1.0" encoding="utf-8"?>
<sst xmlns="http://schemas.openxmlformats.org/spreadsheetml/2006/main" count="1055" uniqueCount="224">
  <si>
    <t>NOMINA</t>
  </si>
  <si>
    <t>CARGO</t>
  </si>
  <si>
    <t>S</t>
  </si>
  <si>
    <t>D</t>
  </si>
  <si>
    <t>L</t>
  </si>
  <si>
    <t>M</t>
  </si>
  <si>
    <t>Mi</t>
  </si>
  <si>
    <t>J</t>
  </si>
  <si>
    <t>V</t>
  </si>
  <si>
    <t>NOCHES POR PESCA</t>
  </si>
  <si>
    <t>Cargos</t>
  </si>
  <si>
    <t>Valor</t>
  </si>
  <si>
    <t>TRANSFERENCIAS</t>
  </si>
  <si>
    <t>No.</t>
  </si>
  <si>
    <t>TOTAL POR PESCA</t>
  </si>
  <si>
    <t>No. DE NOCHES</t>
  </si>
  <si>
    <t>DÍAS TRAB.</t>
  </si>
  <si>
    <t>DIARIO</t>
  </si>
  <si>
    <t>QUINCENA</t>
  </si>
  <si>
    <t>CARGOS</t>
  </si>
  <si>
    <t>ALBAÑIL</t>
  </si>
  <si>
    <t>SUELDO BASICO</t>
  </si>
  <si>
    <t>GUARDIA</t>
  </si>
  <si>
    <t>BOMBERO</t>
  </si>
  <si>
    <t>OPERADOR</t>
  </si>
  <si>
    <t>AYUD. CAPATAZ</t>
  </si>
  <si>
    <t>ESCOJEDORA</t>
  </si>
  <si>
    <t>Horas trabajadas</t>
  </si>
  <si>
    <t>HORAS EXTRAS USD</t>
  </si>
  <si>
    <t>HORAS EXTRAS</t>
  </si>
  <si>
    <t>MULTAS</t>
  </si>
  <si>
    <t>DIARIO *</t>
  </si>
  <si>
    <t>Cambio de puesto Guardia a Diario</t>
  </si>
  <si>
    <t>No. Cédula</t>
  </si>
  <si>
    <t>070219346-7</t>
  </si>
  <si>
    <t>230034363-5</t>
  </si>
  <si>
    <t>070406459-1</t>
  </si>
  <si>
    <t>110278326-1</t>
  </si>
  <si>
    <t>110315588-1</t>
  </si>
  <si>
    <t>070508993-6</t>
  </si>
  <si>
    <t>110377448-3</t>
  </si>
  <si>
    <t>Bonificación voluntaria</t>
  </si>
  <si>
    <t>Bonificación 15NA</t>
  </si>
  <si>
    <t>PESQUERA SAN MIGUEL CIA. LTDA.</t>
  </si>
  <si>
    <t>REPORTE DE ASISTENCIA</t>
  </si>
  <si>
    <t>50% 16h01 -  24h00</t>
  </si>
  <si>
    <t>100% 24h01 - 06h00</t>
  </si>
  <si>
    <t>070200116-5</t>
  </si>
  <si>
    <t>CARPINTERO</t>
  </si>
  <si>
    <t>172485071-2</t>
  </si>
  <si>
    <t>172755391-7</t>
  </si>
  <si>
    <t>CEDULA</t>
  </si>
  <si>
    <t>BONIFICACION</t>
  </si>
  <si>
    <t>172083882-8</t>
  </si>
  <si>
    <t>070733745-7</t>
  </si>
  <si>
    <t>110478338-4</t>
  </si>
  <si>
    <t>ASIST. BIOLOGO</t>
  </si>
  <si>
    <t>FECHA</t>
  </si>
  <si>
    <t>SI</t>
  </si>
  <si>
    <t>NOMBRE EMPLEADO</t>
  </si>
  <si>
    <t>SUELDO</t>
  </si>
  <si>
    <t>FECHA INGRESO</t>
  </si>
  <si>
    <t>DIRECCION</t>
  </si>
  <si>
    <t>GOZA F.R.</t>
  </si>
  <si>
    <t>FECHA SOLIC ACUM_F.R.</t>
  </si>
  <si>
    <t>ACUMULA XIII</t>
  </si>
  <si>
    <t>ACUMULA XIV</t>
  </si>
  <si>
    <t>#</t>
  </si>
  <si>
    <t>BANCO CTA.</t>
  </si>
  <si>
    <t># CTA. BANCO</t>
  </si>
  <si>
    <t>AVISO SALIDA</t>
  </si>
  <si>
    <t>CTA 9,45%</t>
  </si>
  <si>
    <t>PRESTAMO QUIROGRAF.</t>
  </si>
  <si>
    <t>PRESTAMO HIPOTEC.</t>
  </si>
  <si>
    <t>PRESTAMO EMPLEADO</t>
  </si>
  <si>
    <t>ANTICIPO EMPLEADO</t>
  </si>
  <si>
    <t>SUELDO X PAGAR</t>
  </si>
  <si>
    <t>070656723-7</t>
  </si>
  <si>
    <t>070250216-2</t>
  </si>
  <si>
    <t>110483502-8</t>
  </si>
  <si>
    <t>110571148-3</t>
  </si>
  <si>
    <t>010649082-4</t>
  </si>
  <si>
    <t>110437810-2</t>
  </si>
  <si>
    <t>120653372-9</t>
  </si>
  <si>
    <t>120444433-3</t>
  </si>
  <si>
    <t>ACUMULA FR</t>
  </si>
  <si>
    <t>MODO</t>
  </si>
  <si>
    <t>110576532-3</t>
  </si>
  <si>
    <t>ROL #:</t>
  </si>
  <si>
    <t>COPY EMPLEADO</t>
  </si>
  <si>
    <t>NOMINA EMPLEADOS DE CAMPO</t>
  </si>
  <si>
    <t>LABOR</t>
  </si>
  <si>
    <t>DESDE</t>
  </si>
  <si>
    <t>HASTA</t>
  </si>
  <si>
    <t>50% 16:01 - 24:00</t>
  </si>
  <si>
    <t>100% 24:01 - 06:00</t>
  </si>
  <si>
    <t>TOT HE 50%</t>
  </si>
  <si>
    <t>TOT HE 100%</t>
  </si>
  <si>
    <t>DEL</t>
  </si>
  <si>
    <t>AL</t>
  </si>
  <si>
    <t>REPORTE DE HORAS EXTRAS</t>
  </si>
  <si>
    <t>DIA:</t>
  </si>
  <si>
    <t># DIA-SEM:</t>
  </si>
  <si>
    <t>desde</t>
  </si>
  <si>
    <t>hasta</t>
  </si>
  <si>
    <t># rol</t>
  </si>
  <si>
    <t># DIA</t>
  </si>
  <si>
    <t>DIA</t>
  </si>
  <si>
    <t>INICIAL</t>
  </si>
  <si>
    <t>DOMINGO</t>
  </si>
  <si>
    <t>LUNES</t>
  </si>
  <si>
    <t>MARTES</t>
  </si>
  <si>
    <t>MIERCOLES</t>
  </si>
  <si>
    <t>JUEVES</t>
  </si>
  <si>
    <t>VIERNES</t>
  </si>
  <si>
    <t>SABADO</t>
  </si>
  <si>
    <t>TOT Sab Dom</t>
  </si>
  <si>
    <t>TOT Feriad</t>
  </si>
  <si>
    <t>H.E</t>
  </si>
  <si>
    <t>100% 24:01 - 06:00 - Sab; Dom y Feriados</t>
  </si>
  <si>
    <t>OBSERVACIONES:</t>
  </si>
  <si>
    <t>Trabajo Noct</t>
  </si>
  <si>
    <t>F= Fin de Semana y Feriado</t>
  </si>
  <si>
    <t xml:space="preserve"> N= Trabajo Nocturno</t>
  </si>
  <si>
    <t>ELABRADO:</t>
  </si>
  <si>
    <t>REVISADO:</t>
  </si>
  <si>
    <t>VISTO BUENO</t>
  </si>
  <si>
    <t>NOTA.-</t>
  </si>
  <si>
    <t>EN EL CUADRITO SUPERIOR INFERIOR IZQUIERDO DE CADA DIA SE DIGITARA "F" SIEMPRE Y CUANDO ESE DIA SEA FERIADO EN LOS RANGOS DE LUNES A VIERNES</t>
  </si>
  <si>
    <t>MANUL DE USUARIO</t>
  </si>
  <si>
    <t>INGRESO H.E. Y TRANSFERENCIA</t>
  </si>
  <si>
    <t>EN PESTAÑA CONTROL H.E Y EN LA PESTAÑA CONTROL H.E. Transf. SE INGRESARA INFORMACION DE LA SIGUIENTE MANERA:</t>
  </si>
  <si>
    <t>SE DIGITARA 12-01 Y AUTOMATICAMENTE SALDRA FECHA.</t>
  </si>
  <si>
    <t>EN LAS PESTAÑA DE CONTROL DE H.E. Y Transf. ESTAN CREADAS 7 DIAS YA QUE ME CONFIRMO DON MIGUEL QUE EN UNA QUINCENA</t>
  </si>
  <si>
    <t>NO HACEN MAS DE TRES A CUATRO DIAS DE TRANSFERENCIA Y HORAS EXTRAS.</t>
  </si>
  <si>
    <t>EL CUADRITO SE ENCUENTRA EN LA PARTE SUPERIOR IZQUIERDA DE CADA DIA  ES PARA DIGITAR LA LETRA "F" SI ESE DIA ES FERIADO</t>
  </si>
  <si>
    <t>SIEMPRE Y CUANDO SEA EN LOS RANGOS DE LUNES A VIERNES.</t>
  </si>
  <si>
    <t>SI LAS HORAS EXTRAS CAE UN FERIADO O FIN DE SEMANA, LA CELDA DONDE APARECE "INGRESAR HORAS EXTRAS" APARECERA OTRO MENSAJE</t>
  </si>
  <si>
    <t>Y CAMBIARA DE COLOR LA CELDA INDICANDO QUE ESE DIA SOLO SE DEBE INGRESAR DATOS DE H.E. AL 100%</t>
  </si>
  <si>
    <t>EJEMPLO:</t>
  </si>
  <si>
    <t>COMO VERAS SALE EL MENSAJE ANTES MENCIONADO Y SI TU VEZ QUE INGRESA DATOS EN H.E. 50% NO TE CALCULA NADA POR LO TANTO DEBE SER INGRESADO</t>
  </si>
  <si>
    <t>A H.E. AL 100%. CABE RECORDAR QUE LOS DATOS DEBE DE INGRESAR EN FORMATO DE HORA POR EJEMPLO DE 5 A 6 DE LA TARDE SE DEBE ESCRIBIR DESDE 17:00 HASTA 18:00</t>
  </si>
  <si>
    <t>CUANDO ES DESPUES DE LAS 24 HORAS SE PUEDE ESCRIBIR DE DOS MANERA EJEMPLO SI TRABAJO DE 1 A 3 DE LA MADRUGADA SE DIGITARA DESDE 1:00 HASTA 3:00 O</t>
  </si>
  <si>
    <t>DESDE 25:00 HASTA 28:00 Y CALCULARA LAS HORAS QUE LABORO.</t>
  </si>
  <si>
    <t>ESPERANDO QUE QUEDE TODO EN CLARO CUALQUIER INQUIETUD HACERLO CONOCER AL DEPARTAMENTO DE CONTABILIDAD.</t>
  </si>
  <si>
    <t>FIRMA</t>
  </si>
  <si>
    <t>LAS HOJAS FIRMA H.E. Y Transf. ESO ES PARA QUE IMPRIMAS LAS COPIAS QUE SEAN NECESARIA Y DAR A LAS PERSONAS QUE TE REPORTAN LAS H.E. Y ESA INFORMACION</t>
  </si>
  <si>
    <t xml:space="preserve">TIENES QUE INGRESAR EN LAS H.E. </t>
  </si>
  <si>
    <t>¿COMO DEBE SER LLENADO ESTE REPORTE?</t>
  </si>
  <si>
    <t>SE ESCRIBIRA "F" SI ESE DIA ES FERIADO</t>
  </si>
  <si>
    <t>EN LOS RANGO DE LUNES A VIERNES</t>
  </si>
  <si>
    <t>DEBE SER ESCRITO LA FECHA O DIA DONDE</t>
  </si>
  <si>
    <t>REALIZARAN LA ACTIVIDAD DE H.E. O TRANSF.</t>
  </si>
  <si>
    <t>SE ESCRIBE HORA INICIO DE H.E.</t>
  </si>
  <si>
    <t>SE ESCRIBE HORA FINAL DE H.E.</t>
  </si>
  <si>
    <t>SE ESCRIBE HORAS EXTRAS QUE REALIZO</t>
  </si>
  <si>
    <t>SE ESCRIBE LABOR O ACTIVIDAD QUE REALIZO</t>
  </si>
  <si>
    <t>SE DEBE HACER FIRMAR POR EL TRABAJADOR</t>
  </si>
  <si>
    <t>Art 21</t>
  </si>
  <si>
    <t>110506978-3</t>
  </si>
  <si>
    <t>110514219-2</t>
  </si>
  <si>
    <t>NO</t>
  </si>
  <si>
    <t>2.- Pesador</t>
  </si>
  <si>
    <t>1.- Bolsero</t>
  </si>
  <si>
    <t>3.- Estibador</t>
  </si>
  <si>
    <t>4.- Tratador</t>
  </si>
  <si>
    <t>080297728-0</t>
  </si>
  <si>
    <t>171647229-3</t>
  </si>
  <si>
    <t>ELABORADO: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</si>
  <si>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</si>
  <si>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APELLIDOS Y NOMBRES</t>
  </si>
  <si>
    <t>FUNCION</t>
  </si>
  <si>
    <t>CONT</t>
  </si>
  <si>
    <t>110581984-9</t>
  </si>
  <si>
    <t>110523439-5</t>
  </si>
  <si>
    <t>115025173-2</t>
  </si>
  <si>
    <t>110411083-6</t>
  </si>
  <si>
    <t>110577394-7</t>
  </si>
  <si>
    <t>SE TIENE QUE INGRESAR EL DIA CON EL FORMATO DE FECHA EJEMPLO: QUIERO INGRESAR EL 12 DE ENERO DEL 2019</t>
  </si>
  <si>
    <t>HORAS EXTRAS TRANSFERENCIA</t>
  </si>
  <si>
    <t>NAMBACOLA</t>
  </si>
  <si>
    <t>INGRESO DATOS EMPLEADOS</t>
  </si>
  <si>
    <t>TOTAL Nª NOCHES DE PESCA:</t>
  </si>
  <si>
    <t>BIOCASCAJAL CIA. LTDA.</t>
  </si>
  <si>
    <t>MATAILO PINTA MIGUEL ANGEL</t>
  </si>
  <si>
    <t>110352731-1</t>
  </si>
  <si>
    <t>HELGUERO MARTINEZ CARLOS RENE</t>
  </si>
  <si>
    <t>070362264-7</t>
  </si>
  <si>
    <t>MONITORISTA</t>
  </si>
  <si>
    <t>N</t>
  </si>
  <si>
    <t>BARRIO NUEVO PILO CALLE BONAERGE</t>
  </si>
  <si>
    <t>PRIMERA TABLA DINAMICA</t>
  </si>
  <si>
    <t>SEGUNDA TABLA DINAMICA</t>
  </si>
  <si>
    <t>TERCERA TABLA DINAMICA</t>
  </si>
  <si>
    <t>TABLA DINAMICA #1 PESCA</t>
  </si>
  <si>
    <t>TABLA DINAMICA #3 PESCA</t>
  </si>
  <si>
    <t>TABLA DINAMICA #2 PESCA</t>
  </si>
  <si>
    <t>#1</t>
  </si>
  <si>
    <t>#2</t>
  </si>
  <si>
    <t>#3</t>
  </si>
  <si>
    <t>TOTAL Nª NOCHES POR TRABAJADOR</t>
  </si>
  <si>
    <t>GRUPO</t>
  </si>
  <si>
    <t>GP1</t>
  </si>
  <si>
    <t>GP2</t>
  </si>
  <si>
    <t>5.- Gavetero</t>
  </si>
  <si>
    <t>RECORDAR COLOCAR LA LETRA "F" CUANDO SEA UN DIA DE FERIADO</t>
  </si>
  <si>
    <t>ACARO HERRERA ESTALIN RODRIGO</t>
  </si>
  <si>
    <t>115049676-6</t>
  </si>
  <si>
    <t>LOJA - GONZANAMA - PURUNUMA</t>
  </si>
  <si>
    <t>LOJA - CATAMAYO - EL TAMBO</t>
  </si>
  <si>
    <t>ZHANAY CABRERA ELVIS WLADIMIR</t>
  </si>
  <si>
    <t>110581707-4</t>
  </si>
  <si>
    <t>GUEVARA HERRERA VICENTE PATRICIO</t>
  </si>
  <si>
    <t>110533025-0</t>
  </si>
  <si>
    <t>6.- Chofer</t>
  </si>
  <si>
    <t>PINARGOTE BERMELLO ANGEL EUGENIO</t>
  </si>
  <si>
    <t>131350790-5</t>
  </si>
  <si>
    <t>MANABI - EL CARMEN - EL CARMEN</t>
  </si>
  <si>
    <t>MARQUEZ FERNANDEZ AUGUSTO ANTONIO</t>
  </si>
  <si>
    <t>131289138-3</t>
  </si>
  <si>
    <t>MANABI - SANTA ANA - LA UNION</t>
  </si>
  <si>
    <t>CARRION CORONEL JORGE LUIS</t>
  </si>
  <si>
    <t>110601446-5</t>
  </si>
  <si>
    <t>LOJA - LOJA - SUCRE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</si>
</sst>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44" formatCode="_(&quot;$&quot;\ * #,##0.00_);_(&quot;$&quot;\ * \(#,##0.00\);_(&quot;$&quot;\ * &quot;-&quot;??_);_(@_)"/>
    <numFmt numFmtId="43" formatCode="_(* #,##0.00_);_(* \(#,##0.00\);_(* &quot;-&quot;??_);_(@_)"/>
    <numFmt numFmtId="164" formatCode="&quot;$&quot;#,##0.00"/>
    <numFmt numFmtId="165" formatCode="[$$-409]#,##0.00"/>
    <numFmt numFmtId="166" formatCode="000\-0000000"/>
    <numFmt numFmtId="167" formatCode="[$-C0A]mmmm\-yy;@"/>
    <numFmt numFmtId="168" formatCode="_(* #,##0_);_(* \(#,##0\);_(* &quot;-&quot;??_);_(@_)"/>
    <numFmt numFmtId="169" formatCode="[$-C0A]d\ &quot;de&quot;\ mmmm\ &quot;de&quot;\ yyyy;@"/>
    <numFmt numFmtId="170" formatCode="[$-40A]dddd\,\ dd&quot; de &quot;mmmm&quot; de &quot;yyyy;@"/>
    <numFmt numFmtId="171" formatCode="_(* #,##0.0_);_(* \(#,##0.0\);_(* &quot;-&quot;??_);_(@_)"/>
    <numFmt numFmtId="172" formatCode="_(* #,##0.0_);_(* \(#,##0.0\);_(* &quot;-&quot;?_);_(@_)"/>
    <numFmt numFmtId="173" formatCode="h:mm;@"/>
    <numFmt numFmtId="174" formatCode="h:mm:ss;@"/>
    <numFmt numFmtId="175" formatCode="dd/mm/yyyy;@"/>
    <numFmt numFmtId="176" formatCode="[$-F800]dddd\,\ mmmm\ dd\,\ yyyy"/>
    <numFmt numFmtId="177" formatCode="[$-300A]dddd\,\ dd&quot; de &quot;mmmm&quot; de &quot;yyyy;@"/>
  </numFmts>
  <fonts count="6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Palatino Linotype"/>
      <family val="1"/>
    </font>
    <font>
      <sz val="10.5"/>
      <name val="Palatino Linotype"/>
      <family val="1"/>
    </font>
    <font>
      <b/>
      <sz val="12"/>
      <name val="Palatino Linotype"/>
      <family val="1"/>
    </font>
    <font>
      <sz val="10"/>
      <name val="Arial"/>
      <family val="2"/>
    </font>
    <font>
      <sz val="10"/>
      <name val="Calibri"/>
      <family val="1"/>
      <scheme val="minor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Times New Roman"/>
      <family val="1"/>
    </font>
    <font>
      <b/>
      <sz val="9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Palatino Linotype"/>
      <family val="1"/>
    </font>
    <font>
      <b/>
      <sz val="12"/>
      <name val="Calibri"/>
      <family val="2"/>
      <scheme val="minor"/>
    </font>
    <font>
      <b/>
      <sz val="1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2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Palatino Linotype"/>
      <family val="1"/>
    </font>
    <font>
      <b/>
      <sz val="10"/>
      <name val="Century Schoolbook"/>
      <family val="1"/>
    </font>
    <font>
      <sz val="11"/>
      <color theme="1"/>
      <name val="Calibri"/>
      <family val="2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8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8"/>
      <color rgb="FFFF0000"/>
      <name val="Calibri"/>
      <family val="2"/>
      <scheme val="minor"/>
    </font>
    <font>
      <sz val="18"/>
      <name val="Calibri"/>
      <family val="2"/>
      <scheme val="minor"/>
    </font>
    <font>
      <b/>
      <sz val="2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8"/>
      <color indexed="81"/>
      <name val="Tahoma"/>
      <family val="2"/>
    </font>
    <font>
      <b/>
      <sz val="14"/>
      <color rgb="FFFF0000"/>
      <name val="Calibri"/>
      <family val="2"/>
      <scheme val="minor"/>
    </font>
    <font>
      <b/>
      <sz val="24"/>
      <color rgb="FFFF0000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sz val="8"/>
      <color indexed="81"/>
      <name val="Tahoma"/>
      <family val="2"/>
    </font>
    <font>
      <b/>
      <u/>
      <sz val="9"/>
      <color indexed="81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</borders>
  <cellStyleXfs count="1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/>
    <xf numFmtId="0" fontId="6" fillId="0" borderId="0"/>
    <xf numFmtId="0" fontId="7" fillId="0" borderId="0"/>
    <xf numFmtId="164" fontId="2" fillId="0" borderId="0" applyFont="0" applyFill="0" applyBorder="0" applyAlignment="0" applyProtection="0"/>
    <xf numFmtId="0" fontId="8" fillId="4" borderId="0" applyNumberFormat="0" applyBorder="0" applyAlignment="0" applyProtection="0"/>
    <xf numFmtId="0" fontId="9" fillId="2" borderId="5" applyNumberFormat="0" applyAlignment="0" applyProtection="0"/>
    <xf numFmtId="0" fontId="10" fillId="3" borderId="5" applyNumberFormat="0" applyAlignment="0" applyProtection="0"/>
    <xf numFmtId="0" fontId="11" fillId="0" borderId="0"/>
    <xf numFmtId="0" fontId="12" fillId="0" borderId="0"/>
    <xf numFmtId="0" fontId="13" fillId="0" borderId="0"/>
    <xf numFmtId="0" fontId="1" fillId="0" borderId="0"/>
    <xf numFmtId="0" fontId="2" fillId="0" borderId="0"/>
    <xf numFmtId="0" fontId="2" fillId="0" borderId="0"/>
  </cellStyleXfs>
  <cellXfs count="430">
    <xf numFmtId="0" fontId="0" fillId="0" borderId="0" xfId="0"/>
    <xf numFmtId="0" fontId="14" fillId="0" borderId="0" xfId="0" applyFont="1" applyFill="1" applyProtection="1">
      <protection locked="0"/>
    </xf>
    <xf numFmtId="0" fontId="17" fillId="0" borderId="0" xfId="0" applyFont="1" applyFill="1" applyProtection="1">
      <protection locked="0"/>
    </xf>
    <xf numFmtId="0" fontId="14" fillId="0" borderId="0" xfId="1" applyNumberFormat="1" applyFont="1" applyFill="1" applyProtection="1">
      <protection locked="0"/>
    </xf>
    <xf numFmtId="43" fontId="14" fillId="0" borderId="0" xfId="1" applyFont="1" applyFill="1" applyProtection="1">
      <protection locked="0"/>
    </xf>
    <xf numFmtId="0" fontId="14" fillId="0" borderId="1" xfId="0" applyFont="1" applyFill="1" applyBorder="1" applyProtection="1"/>
    <xf numFmtId="2" fontId="14" fillId="0" borderId="1" xfId="0" applyNumberFormat="1" applyFont="1" applyFill="1" applyBorder="1" applyProtection="1"/>
    <xf numFmtId="43" fontId="14" fillId="0" borderId="1" xfId="1" applyFont="1" applyFill="1" applyBorder="1" applyProtection="1"/>
    <xf numFmtId="0" fontId="14" fillId="0" borderId="1" xfId="0" applyFont="1" applyFill="1" applyBorder="1" applyAlignment="1" applyProtection="1">
      <alignment horizontal="center"/>
    </xf>
    <xf numFmtId="44" fontId="14" fillId="0" borderId="0" xfId="2" applyFont="1" applyFill="1" applyProtection="1">
      <protection locked="0"/>
    </xf>
    <xf numFmtId="0" fontId="15" fillId="0" borderId="1" xfId="0" applyFont="1" applyFill="1" applyBorder="1" applyAlignment="1" applyProtection="1">
      <alignment horizontal="center" vertical="center" wrapText="1"/>
      <protection locked="0"/>
    </xf>
    <xf numFmtId="44" fontId="15" fillId="0" borderId="1" xfId="2" applyFont="1" applyFill="1" applyBorder="1" applyAlignment="1" applyProtection="1">
      <alignment horizontal="center" vertical="center" wrapText="1"/>
      <protection locked="0"/>
    </xf>
    <xf numFmtId="0" fontId="18" fillId="0" borderId="1" xfId="0" applyFont="1" applyFill="1" applyBorder="1" applyAlignment="1" applyProtection="1">
      <alignment horizontal="center" vertical="center" wrapText="1"/>
      <protection locked="0"/>
    </xf>
    <xf numFmtId="9" fontId="1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/>
    <xf numFmtId="0" fontId="14" fillId="0" borderId="1" xfId="0" applyFont="1" applyFill="1" applyBorder="1" applyProtection="1">
      <protection locked="0"/>
    </xf>
    <xf numFmtId="49" fontId="14" fillId="0" borderId="1" xfId="0" applyNumberFormat="1" applyFont="1" applyFill="1" applyBorder="1" applyProtection="1">
      <protection locked="0"/>
    </xf>
    <xf numFmtId="49" fontId="0" fillId="0" borderId="1" xfId="0" applyNumberFormat="1" applyFill="1" applyBorder="1" applyProtection="1">
      <protection locked="0"/>
    </xf>
    <xf numFmtId="0" fontId="23" fillId="0" borderId="0" xfId="0" applyFont="1" applyAlignment="1">
      <alignment horizontal="center"/>
    </xf>
    <xf numFmtId="0" fontId="23" fillId="0" borderId="0" xfId="0" applyFont="1"/>
    <xf numFmtId="0" fontId="20" fillId="0" borderId="0" xfId="0" applyFont="1"/>
    <xf numFmtId="0" fontId="25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0" fontId="14" fillId="0" borderId="1" xfId="0" applyFont="1" applyFill="1" applyBorder="1" applyAlignment="1" applyProtection="1">
      <alignment horizontal="center" vertical="center"/>
      <protection locked="0"/>
    </xf>
    <xf numFmtId="43" fontId="23" fillId="0" borderId="0" xfId="1" applyFont="1"/>
    <xf numFmtId="43" fontId="25" fillId="0" borderId="1" xfId="1" applyFont="1" applyBorder="1" applyAlignment="1">
      <alignment horizontal="center" vertical="center"/>
    </xf>
    <xf numFmtId="14" fontId="23" fillId="0" borderId="0" xfId="0" applyNumberFormat="1" applyFont="1"/>
    <xf numFmtId="0" fontId="14" fillId="0" borderId="0" xfId="0" applyFont="1" applyFill="1" applyAlignment="1" applyProtection="1">
      <alignment horizontal="center"/>
      <protection locked="0"/>
    </xf>
    <xf numFmtId="0" fontId="12" fillId="0" borderId="0" xfId="0" applyFont="1" applyAlignment="1">
      <alignment horizontal="center"/>
    </xf>
    <xf numFmtId="0" fontId="15" fillId="0" borderId="0" xfId="0" applyFont="1" applyFill="1" applyAlignment="1" applyProtection="1">
      <alignment horizontal="right"/>
      <protection locked="0"/>
    </xf>
    <xf numFmtId="167" fontId="14" fillId="0" borderId="0" xfId="2" applyNumberFormat="1" applyFont="1" applyFill="1" applyProtection="1">
      <protection locked="0"/>
    </xf>
    <xf numFmtId="0" fontId="17" fillId="0" borderId="0" xfId="0" applyFont="1" applyFill="1" applyAlignment="1" applyProtection="1">
      <alignment horizontal="center"/>
      <protection locked="0"/>
    </xf>
    <xf numFmtId="0" fontId="15" fillId="0" borderId="1" xfId="0" applyFont="1" applyFill="1" applyBorder="1" applyAlignment="1" applyProtection="1">
      <alignment horizontal="center"/>
      <protection locked="0"/>
    </xf>
    <xf numFmtId="44" fontId="15" fillId="0" borderId="1" xfId="2" applyFont="1" applyFill="1" applyBorder="1" applyAlignment="1" applyProtection="1">
      <alignment horizontal="center"/>
      <protection locked="0"/>
    </xf>
    <xf numFmtId="0" fontId="19" fillId="0" borderId="0" xfId="0" applyFont="1" applyFill="1" applyProtection="1">
      <protection locked="0"/>
    </xf>
    <xf numFmtId="0" fontId="15" fillId="0" borderId="0" xfId="0" applyFont="1" applyFill="1" applyProtection="1">
      <protection locked="0"/>
    </xf>
    <xf numFmtId="0" fontId="14" fillId="0" borderId="0" xfId="2" applyNumberFormat="1" applyFont="1" applyFill="1" applyProtection="1">
      <protection locked="0"/>
    </xf>
    <xf numFmtId="0" fontId="15" fillId="0" borderId="2" xfId="0" applyFont="1" applyFill="1" applyBorder="1" applyAlignment="1" applyProtection="1">
      <alignment horizontal="center" vertical="center" wrapText="1"/>
      <protection locked="0"/>
    </xf>
    <xf numFmtId="0" fontId="14" fillId="0" borderId="2" xfId="0" applyFont="1" applyFill="1" applyBorder="1" applyProtection="1"/>
    <xf numFmtId="0" fontId="14" fillId="0" borderId="2" xfId="0" applyFont="1" applyFill="1" applyBorder="1" applyProtection="1">
      <protection locked="0"/>
    </xf>
    <xf numFmtId="0" fontId="0" fillId="0" borderId="2" xfId="0" applyFill="1" applyBorder="1" applyProtection="1">
      <protection locked="0"/>
    </xf>
    <xf numFmtId="9" fontId="15" fillId="0" borderId="7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0" xfId="1" applyNumberFormat="1" applyFont="1" applyFill="1" applyAlignment="1" applyProtection="1">
      <alignment horizontal="center"/>
      <protection locked="0"/>
    </xf>
    <xf numFmtId="0" fontId="15" fillId="0" borderId="17" xfId="0" applyFont="1" applyFill="1" applyBorder="1" applyAlignment="1" applyProtection="1">
      <protection locked="0"/>
    </xf>
    <xf numFmtId="0" fontId="15" fillId="0" borderId="0" xfId="0" applyFont="1" applyFill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horizontal="center"/>
      <protection locked="0"/>
    </xf>
    <xf numFmtId="0" fontId="14" fillId="0" borderId="1" xfId="2" applyNumberFormat="1" applyFont="1" applyFill="1" applyBorder="1" applyAlignment="1" applyProtection="1">
      <alignment horizontal="center"/>
      <protection locked="0"/>
    </xf>
    <xf numFmtId="0" fontId="22" fillId="0" borderId="8" xfId="0" applyFont="1" applyFill="1" applyBorder="1" applyAlignment="1" applyProtection="1">
      <alignment horizontal="center" vertical="center" wrapText="1"/>
      <protection locked="0"/>
    </xf>
    <xf numFmtId="0" fontId="22" fillId="0" borderId="11" xfId="0" applyFont="1" applyFill="1" applyBorder="1" applyAlignment="1" applyProtection="1">
      <alignment wrapText="1"/>
      <protection locked="0"/>
    </xf>
    <xf numFmtId="0" fontId="14" fillId="0" borderId="20" xfId="0" applyFont="1" applyFill="1" applyBorder="1" applyAlignment="1" applyProtection="1">
      <alignment horizontal="center"/>
      <protection locked="0"/>
    </xf>
    <xf numFmtId="0" fontId="22" fillId="0" borderId="7" xfId="0" applyFont="1" applyFill="1" applyBorder="1" applyAlignment="1" applyProtection="1">
      <alignment horizontal="center" vertical="center" wrapText="1"/>
      <protection locked="0"/>
    </xf>
    <xf numFmtId="0" fontId="22" fillId="0" borderId="1" xfId="0" applyFont="1" applyFill="1" applyBorder="1" applyAlignment="1" applyProtection="1">
      <alignment horizontal="center" vertical="center" wrapText="1"/>
      <protection locked="0"/>
    </xf>
    <xf numFmtId="20" fontId="22" fillId="0" borderId="7" xfId="0" applyNumberFormat="1" applyFont="1" applyFill="1" applyBorder="1" applyAlignment="1" applyProtection="1">
      <alignment horizontal="center" vertical="center" wrapText="1"/>
      <protection locked="0"/>
    </xf>
    <xf numFmtId="20" fontId="2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9" xfId="0" applyFont="1" applyFill="1" applyBorder="1" applyAlignment="1" applyProtection="1">
      <alignment horizontal="center" vertical="center" wrapText="1"/>
      <protection locked="0"/>
    </xf>
    <xf numFmtId="0" fontId="22" fillId="0" borderId="10" xfId="0" applyFont="1" applyFill="1" applyBorder="1" applyAlignment="1" applyProtection="1">
      <alignment horizontal="center" vertical="center" wrapText="1"/>
      <protection locked="0"/>
    </xf>
    <xf numFmtId="20" fontId="22" fillId="0" borderId="10" xfId="0" applyNumberFormat="1" applyFont="1" applyFill="1" applyBorder="1" applyAlignment="1" applyProtection="1">
      <alignment horizontal="center" vertical="center" wrapText="1"/>
      <protection locked="0"/>
    </xf>
    <xf numFmtId="168" fontId="14" fillId="0" borderId="1" xfId="1" applyNumberFormat="1" applyFont="1" applyFill="1" applyBorder="1" applyAlignment="1" applyProtection="1">
      <alignment horizontal="center" vertical="center"/>
      <protection locked="0"/>
    </xf>
    <xf numFmtId="168" fontId="14" fillId="0" borderId="10" xfId="1" applyNumberFormat="1" applyFont="1" applyFill="1" applyBorder="1" applyAlignment="1" applyProtection="1">
      <alignment horizontal="center" vertical="center"/>
      <protection locked="0"/>
    </xf>
    <xf numFmtId="0" fontId="15" fillId="6" borderId="32" xfId="0" applyFont="1" applyFill="1" applyBorder="1" applyAlignment="1" applyProtection="1">
      <alignment horizontal="center" vertical="center" wrapText="1"/>
      <protection locked="0"/>
    </xf>
    <xf numFmtId="0" fontId="15" fillId="6" borderId="33" xfId="0" applyFont="1" applyFill="1" applyBorder="1" applyAlignment="1" applyProtection="1">
      <alignment horizontal="center" vertical="center" wrapText="1"/>
      <protection locked="0"/>
    </xf>
    <xf numFmtId="9" fontId="15" fillId="6" borderId="33" xfId="0" applyNumberFormat="1" applyFont="1" applyFill="1" applyBorder="1" applyAlignment="1" applyProtection="1">
      <alignment horizontal="center" vertical="center" wrapText="1"/>
      <protection locked="0"/>
    </xf>
    <xf numFmtId="0" fontId="15" fillId="6" borderId="18" xfId="0" applyFont="1" applyFill="1" applyBorder="1" applyAlignment="1" applyProtection="1">
      <alignment horizontal="center" vertical="center" wrapText="1"/>
      <protection locked="0"/>
    </xf>
    <xf numFmtId="0" fontId="15" fillId="7" borderId="32" xfId="0" applyFont="1" applyFill="1" applyBorder="1" applyAlignment="1" applyProtection="1">
      <alignment horizontal="center" vertical="center" wrapText="1"/>
      <protection locked="0"/>
    </xf>
    <xf numFmtId="0" fontId="15" fillId="7" borderId="33" xfId="0" applyFont="1" applyFill="1" applyBorder="1" applyAlignment="1" applyProtection="1">
      <alignment horizontal="center" vertical="center" wrapText="1"/>
      <protection locked="0"/>
    </xf>
    <xf numFmtId="9" fontId="15" fillId="7" borderId="33" xfId="0" applyNumberFormat="1" applyFont="1" applyFill="1" applyBorder="1" applyAlignment="1" applyProtection="1">
      <alignment horizontal="center" vertical="center" wrapText="1"/>
      <protection locked="0"/>
    </xf>
    <xf numFmtId="0" fontId="15" fillId="7" borderId="18" xfId="0" applyFont="1" applyFill="1" applyBorder="1" applyAlignment="1" applyProtection="1">
      <alignment horizontal="center" vertical="center" wrapText="1"/>
      <protection locked="0"/>
    </xf>
    <xf numFmtId="0" fontId="15" fillId="0" borderId="0" xfId="1" applyNumberFormat="1" applyFont="1" applyFill="1" applyAlignment="1" applyProtection="1">
      <alignment horizontal="center"/>
      <protection locked="0"/>
    </xf>
    <xf numFmtId="169" fontId="14" fillId="0" borderId="0" xfId="1" applyNumberFormat="1" applyFont="1" applyFill="1" applyAlignment="1" applyProtection="1">
      <alignment horizontal="left"/>
      <protection locked="0"/>
    </xf>
    <xf numFmtId="0" fontId="22" fillId="0" borderId="0" xfId="1" applyNumberFormat="1" applyFont="1" applyFill="1" applyProtection="1">
      <protection locked="0"/>
    </xf>
    <xf numFmtId="0" fontId="27" fillId="0" borderId="0" xfId="0" applyFont="1" applyFill="1" applyAlignment="1" applyProtection="1">
      <alignment horizontal="right"/>
      <protection locked="0"/>
    </xf>
    <xf numFmtId="0" fontId="18" fillId="0" borderId="0" xfId="0" applyFont="1" applyFill="1" applyProtection="1">
      <protection locked="0"/>
    </xf>
    <xf numFmtId="0" fontId="15" fillId="0" borderId="0" xfId="1" applyNumberFormat="1" applyFont="1" applyFill="1" applyProtection="1">
      <protection locked="0"/>
    </xf>
    <xf numFmtId="0" fontId="0" fillId="0" borderId="1" xfId="0" applyFill="1" applyBorder="1" applyAlignment="1" applyProtection="1">
      <alignment horizontal="center"/>
    </xf>
    <xf numFmtId="46" fontId="22" fillId="0" borderId="1" xfId="0" applyNumberFormat="1" applyFont="1" applyFill="1" applyBorder="1" applyAlignment="1" applyProtection="1">
      <alignment horizontal="center" vertical="center" wrapText="1"/>
      <protection locked="0"/>
    </xf>
    <xf numFmtId="171" fontId="14" fillId="0" borderId="1" xfId="1" applyNumberFormat="1" applyFont="1" applyFill="1" applyBorder="1" applyAlignment="1" applyProtection="1">
      <alignment horizontal="center" vertical="center"/>
      <protection locked="0"/>
    </xf>
    <xf numFmtId="171" fontId="14" fillId="0" borderId="10" xfId="1" applyNumberFormat="1" applyFont="1" applyFill="1" applyBorder="1" applyAlignment="1" applyProtection="1">
      <alignment horizontal="center" vertical="center"/>
      <protection locked="0"/>
    </xf>
    <xf numFmtId="0" fontId="27" fillId="0" borderId="1" xfId="0" applyFont="1" applyFill="1" applyBorder="1" applyProtection="1"/>
    <xf numFmtId="0" fontId="27" fillId="0" borderId="1" xfId="0" applyFont="1" applyFill="1" applyBorder="1" applyProtection="1">
      <protection locked="0"/>
    </xf>
    <xf numFmtId="0" fontId="29" fillId="0" borderId="1" xfId="0" applyFont="1" applyFill="1" applyBorder="1" applyAlignment="1" applyProtection="1">
      <alignment horizontal="center" vertical="center" wrapText="1"/>
      <protection locked="0"/>
    </xf>
    <xf numFmtId="0" fontId="30" fillId="0" borderId="1" xfId="0" applyFont="1" applyFill="1" applyBorder="1" applyAlignment="1" applyProtection="1">
      <alignment horizontal="center" vertical="center" wrapText="1"/>
      <protection locked="0"/>
    </xf>
    <xf numFmtId="0" fontId="27" fillId="0" borderId="0" xfId="1" applyNumberFormat="1" applyFont="1" applyFill="1" applyAlignment="1" applyProtection="1">
      <alignment horizontal="right"/>
      <protection locked="0"/>
    </xf>
    <xf numFmtId="0" fontId="19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7" fillId="0" borderId="0" xfId="0" applyFont="1" applyFill="1" applyAlignment="1" applyProtection="1">
      <alignment horizontal="center" vertical="center"/>
      <protection locked="0"/>
    </xf>
    <xf numFmtId="0" fontId="29" fillId="0" borderId="0" xfId="0" applyFont="1" applyFill="1" applyAlignment="1" applyProtection="1">
      <alignment horizontal="center"/>
      <protection locked="0"/>
    </xf>
    <xf numFmtId="0" fontId="29" fillId="0" borderId="1" xfId="0" applyFont="1" applyFill="1" applyBorder="1" applyAlignment="1" applyProtection="1">
      <alignment horizontal="center"/>
      <protection locked="0"/>
    </xf>
    <xf numFmtId="0" fontId="20" fillId="0" borderId="34" xfId="0" applyFont="1" applyFill="1" applyBorder="1" applyAlignment="1" applyProtection="1">
      <alignment horizontal="center" vertical="center"/>
      <protection locked="0"/>
    </xf>
    <xf numFmtId="0" fontId="20" fillId="0" borderId="0" xfId="0" applyFont="1" applyFill="1" applyBorder="1" applyAlignment="1" applyProtection="1">
      <alignment horizontal="center" vertical="center"/>
      <protection locked="0"/>
    </xf>
    <xf numFmtId="0" fontId="21" fillId="6" borderId="2" xfId="0" applyFont="1" applyFill="1" applyBorder="1" applyAlignment="1" applyProtection="1">
      <alignment horizontal="center"/>
      <protection locked="0"/>
    </xf>
    <xf numFmtId="0" fontId="21" fillId="6" borderId="3" xfId="0" applyFont="1" applyFill="1" applyBorder="1" applyAlignment="1" applyProtection="1">
      <alignment horizontal="center"/>
      <protection locked="0"/>
    </xf>
    <xf numFmtId="0" fontId="5" fillId="0" borderId="0" xfId="3" applyFont="1" applyFill="1" applyAlignment="1" applyProtection="1">
      <alignment horizontal="left"/>
      <protection locked="0"/>
    </xf>
    <xf numFmtId="0" fontId="15" fillId="7" borderId="15" xfId="0" applyFont="1" applyFill="1" applyBorder="1" applyAlignment="1" applyProtection="1">
      <alignment horizontal="center"/>
      <protection locked="0"/>
    </xf>
    <xf numFmtId="0" fontId="15" fillId="7" borderId="3" xfId="0" applyFont="1" applyFill="1" applyBorder="1" applyAlignment="1" applyProtection="1">
      <alignment horizontal="center"/>
      <protection locked="0"/>
    </xf>
    <xf numFmtId="0" fontId="3" fillId="0" borderId="0" xfId="3" applyFont="1" applyFill="1" applyAlignment="1" applyProtection="1">
      <alignment horizontal="left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0" fillId="0" borderId="0" xfId="0" applyFill="1"/>
    <xf numFmtId="0" fontId="31" fillId="0" borderId="1" xfId="0" applyFont="1" applyFill="1" applyBorder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168" fontId="14" fillId="0" borderId="0" xfId="2" applyNumberFormat="1" applyFont="1" applyFill="1" applyProtection="1">
      <protection locked="0"/>
    </xf>
    <xf numFmtId="172" fontId="14" fillId="0" borderId="0" xfId="2" applyNumberFormat="1" applyFont="1" applyFill="1" applyProtection="1">
      <protection locked="0"/>
    </xf>
    <xf numFmtId="43" fontId="14" fillId="0" borderId="1" xfId="1" applyFont="1" applyFill="1" applyBorder="1" applyAlignment="1" applyProtection="1">
      <alignment horizontal="center" vertical="center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32" fillId="0" borderId="0" xfId="0" applyFont="1" applyFill="1" applyAlignment="1" applyProtection="1">
      <alignment horizontal="left"/>
      <protection locked="0"/>
    </xf>
    <xf numFmtId="0" fontId="33" fillId="0" borderId="17" xfId="0" applyFont="1" applyFill="1" applyBorder="1" applyAlignment="1" applyProtection="1">
      <protection locked="0"/>
    </xf>
    <xf numFmtId="0" fontId="32" fillId="11" borderId="37" xfId="1" applyNumberFormat="1" applyFont="1" applyFill="1" applyBorder="1" applyAlignment="1" applyProtection="1">
      <alignment horizontal="center"/>
      <protection locked="0"/>
    </xf>
    <xf numFmtId="173" fontId="22" fillId="0" borderId="7" xfId="0" applyNumberFormat="1" applyFont="1" applyFill="1" applyBorder="1" applyAlignment="1" applyProtection="1">
      <alignment horizontal="center" vertical="center" wrapText="1"/>
      <protection locked="0"/>
    </xf>
    <xf numFmtId="173" fontId="2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33" fillId="12" borderId="1" xfId="0" applyFont="1" applyFill="1" applyBorder="1" applyAlignment="1" applyProtection="1">
      <alignment horizontal="center" vertical="center" wrapText="1"/>
      <protection locked="0"/>
    </xf>
    <xf numFmtId="0" fontId="34" fillId="12" borderId="1" xfId="0" applyFont="1" applyFill="1" applyBorder="1" applyAlignment="1" applyProtection="1">
      <alignment horizontal="center"/>
      <protection locked="0"/>
    </xf>
    <xf numFmtId="0" fontId="35" fillId="12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/>
    <xf numFmtId="0" fontId="15" fillId="0" borderId="0" xfId="0" applyFont="1" applyFill="1" applyAlignment="1" applyProtection="1">
      <alignment horizontal="center"/>
      <protection locked="0"/>
    </xf>
    <xf numFmtId="0" fontId="14" fillId="0" borderId="40" xfId="0" applyFont="1" applyFill="1" applyBorder="1" applyAlignment="1" applyProtection="1">
      <alignment horizontal="center" vertical="center" wrapText="1"/>
      <protection locked="0"/>
    </xf>
    <xf numFmtId="0" fontId="15" fillId="0" borderId="1" xfId="0" applyFont="1" applyFill="1" applyBorder="1" applyProtection="1"/>
    <xf numFmtId="0" fontId="21" fillId="0" borderId="0" xfId="0" applyFont="1" applyFill="1" applyAlignment="1" applyProtection="1">
      <alignment horizontal="center" vertical="center"/>
      <protection locked="0"/>
    </xf>
    <xf numFmtId="0" fontId="36" fillId="14" borderId="0" xfId="0" applyFont="1" applyFill="1"/>
    <xf numFmtId="0" fontId="12" fillId="14" borderId="0" xfId="0" applyFont="1" applyFill="1"/>
    <xf numFmtId="0" fontId="0" fillId="14" borderId="0" xfId="0" applyFill="1"/>
    <xf numFmtId="0" fontId="37" fillId="14" borderId="0" xfId="0" applyFont="1" applyFill="1" applyAlignment="1">
      <alignment horizontal="center"/>
    </xf>
    <xf numFmtId="0" fontId="37" fillId="14" borderId="0" xfId="0" applyFont="1" applyFill="1"/>
    <xf numFmtId="0" fontId="37" fillId="14" borderId="0" xfId="0" applyFont="1" applyFill="1" applyAlignment="1">
      <alignment horizontal="right"/>
    </xf>
    <xf numFmtId="0" fontId="14" fillId="7" borderId="0" xfId="0" applyFont="1" applyFill="1" applyProtection="1">
      <protection locked="0"/>
    </xf>
    <xf numFmtId="44" fontId="14" fillId="7" borderId="0" xfId="2" applyFont="1" applyFill="1" applyProtection="1">
      <protection locked="0"/>
    </xf>
    <xf numFmtId="0" fontId="15" fillId="13" borderId="1" xfId="0" applyFont="1" applyFill="1" applyBorder="1" applyAlignment="1" applyProtection="1">
      <alignment horizontal="center" vertical="center" wrapText="1"/>
      <protection locked="0"/>
    </xf>
    <xf numFmtId="0" fontId="19" fillId="0" borderId="0" xfId="0" applyFont="1"/>
    <xf numFmtId="0" fontId="14" fillId="0" borderId="1" xfId="0" applyFont="1" applyFill="1" applyBorder="1" applyAlignment="1" applyProtection="1">
      <protection locked="0"/>
    </xf>
    <xf numFmtId="174" fontId="0" fillId="0" borderId="0" xfId="0" applyNumberFormat="1"/>
    <xf numFmtId="175" fontId="14" fillId="0" borderId="0" xfId="0" applyNumberFormat="1" applyFont="1" applyFill="1" applyProtection="1">
      <protection locked="0"/>
    </xf>
    <xf numFmtId="176" fontId="0" fillId="0" borderId="0" xfId="0" applyNumberFormat="1"/>
    <xf numFmtId="0" fontId="19" fillId="7" borderId="0" xfId="0" applyFont="1" applyFill="1"/>
    <xf numFmtId="177" fontId="19" fillId="0" borderId="0" xfId="0" applyNumberFormat="1" applyFont="1"/>
    <xf numFmtId="176" fontId="19" fillId="0" borderId="0" xfId="0" applyNumberFormat="1" applyFont="1"/>
    <xf numFmtId="0" fontId="0" fillId="0" borderId="0" xfId="0" applyNumberFormat="1"/>
    <xf numFmtId="43" fontId="15" fillId="0" borderId="0" xfId="1" applyFont="1" applyFill="1" applyProtection="1">
      <protection locked="0"/>
    </xf>
    <xf numFmtId="0" fontId="22" fillId="0" borderId="46" xfId="0" applyFont="1" applyFill="1" applyBorder="1" applyAlignment="1" applyProtection="1">
      <alignment horizontal="center" vertical="center" wrapText="1"/>
      <protection locked="0"/>
    </xf>
    <xf numFmtId="20" fontId="22" fillId="0" borderId="6" xfId="0" applyNumberFormat="1" applyFont="1" applyFill="1" applyBorder="1" applyAlignment="1" applyProtection="1">
      <alignment horizontal="center" vertical="center" wrapText="1"/>
      <protection locked="0"/>
    </xf>
    <xf numFmtId="20" fontId="22" fillId="0" borderId="45" xfId="0" applyNumberFormat="1" applyFont="1" applyFill="1" applyBorder="1" applyAlignment="1" applyProtection="1">
      <alignment horizontal="center" vertical="center" wrapText="1"/>
      <protection locked="0"/>
    </xf>
    <xf numFmtId="169" fontId="22" fillId="0" borderId="0" xfId="1" applyNumberFormat="1" applyFont="1" applyFill="1" applyProtection="1">
      <protection locked="0"/>
    </xf>
    <xf numFmtId="0" fontId="15" fillId="15" borderId="1" xfId="0" applyFont="1" applyFill="1" applyBorder="1" applyAlignment="1" applyProtection="1">
      <alignment horizontal="center" vertical="center" wrapText="1"/>
      <protection locked="0"/>
    </xf>
    <xf numFmtId="0" fontId="18" fillId="15" borderId="1" xfId="0" applyFont="1" applyFill="1" applyBorder="1" applyAlignment="1" applyProtection="1">
      <alignment horizontal="center" vertical="center" wrapText="1"/>
      <protection locked="0"/>
    </xf>
    <xf numFmtId="0" fontId="41" fillId="0" borderId="1" xfId="0" applyFont="1" applyFill="1" applyBorder="1" applyProtection="1"/>
    <xf numFmtId="0" fontId="15" fillId="10" borderId="32" xfId="0" applyFont="1" applyFill="1" applyBorder="1" applyAlignment="1" applyProtection="1">
      <alignment horizontal="center" vertical="center" wrapText="1"/>
      <protection locked="0"/>
    </xf>
    <xf numFmtId="0" fontId="15" fillId="10" borderId="33" xfId="0" applyFont="1" applyFill="1" applyBorder="1" applyAlignment="1" applyProtection="1">
      <alignment horizontal="center" vertical="center" wrapText="1"/>
      <protection locked="0"/>
    </xf>
    <xf numFmtId="9" fontId="15" fillId="10" borderId="33" xfId="0" applyNumberFormat="1" applyFont="1" applyFill="1" applyBorder="1" applyAlignment="1" applyProtection="1">
      <alignment horizontal="center" vertical="center" wrapText="1"/>
      <protection locked="0"/>
    </xf>
    <xf numFmtId="0" fontId="15" fillId="10" borderId="18" xfId="0" applyFont="1" applyFill="1" applyBorder="1" applyAlignment="1" applyProtection="1">
      <alignment horizontal="center" vertical="center" wrapText="1"/>
      <protection locked="0"/>
    </xf>
    <xf numFmtId="0" fontId="15" fillId="10" borderId="39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 wrapText="1"/>
    </xf>
    <xf numFmtId="169" fontId="0" fillId="0" borderId="0" xfId="0" applyNumberFormat="1"/>
    <xf numFmtId="0" fontId="0" fillId="0" borderId="0" xfId="0" applyFill="1" applyBorder="1" applyProtection="1">
      <protection locked="0"/>
    </xf>
    <xf numFmtId="0" fontId="45" fillId="0" borderId="1" xfId="0" applyFont="1" applyFill="1" applyBorder="1" applyAlignment="1" applyProtection="1">
      <alignment horizontal="center"/>
      <protection locked="0"/>
    </xf>
    <xf numFmtId="0" fontId="18" fillId="11" borderId="37" xfId="1" applyNumberFormat="1" applyFont="1" applyFill="1" applyBorder="1" applyAlignment="1" applyProtection="1">
      <alignment horizontal="center"/>
      <protection locked="0"/>
    </xf>
    <xf numFmtId="165" fontId="14" fillId="0" borderId="1" xfId="12" applyNumberFormat="1" applyFont="1" applyBorder="1"/>
    <xf numFmtId="0" fontId="14" fillId="0" borderId="0" xfId="0" applyFont="1" applyFill="1" applyAlignment="1" applyProtection="1">
      <alignment horizontal="center"/>
      <protection locked="0"/>
    </xf>
    <xf numFmtId="0" fontId="14" fillId="0" borderId="0" xfId="0" applyFont="1" applyFill="1" applyAlignment="1" applyProtection="1">
      <alignment horizontal="center" vertical="center"/>
      <protection locked="0"/>
    </xf>
    <xf numFmtId="44" fontId="14" fillId="0" borderId="0" xfId="2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19" fillId="0" borderId="1" xfId="0" applyFont="1" applyFill="1" applyBorder="1" applyAlignment="1" applyProtection="1">
      <alignment horizontal="center" vertical="center" wrapText="1"/>
      <protection locked="0"/>
    </xf>
    <xf numFmtId="0" fontId="46" fillId="0" borderId="1" xfId="0" applyFont="1" applyFill="1" applyBorder="1" applyAlignment="1" applyProtection="1">
      <alignment horizontal="center" vertical="center"/>
      <protection locked="0"/>
    </xf>
    <xf numFmtId="0" fontId="20" fillId="0" borderId="1" xfId="0" applyFont="1" applyFill="1" applyBorder="1" applyAlignment="1" applyProtection="1">
      <alignment horizontal="center" vertical="center"/>
      <protection locked="0"/>
    </xf>
    <xf numFmtId="167" fontId="14" fillId="0" borderId="0" xfId="0" applyNumberFormat="1" applyFont="1" applyFill="1" applyAlignment="1" applyProtection="1">
      <alignment horizontal="center"/>
      <protection locked="0"/>
    </xf>
    <xf numFmtId="164" fontId="4" fillId="0" borderId="0" xfId="1" applyNumberFormat="1" applyFont="1" applyFill="1" applyAlignment="1">
      <alignment horizontal="center"/>
    </xf>
    <xf numFmtId="43" fontId="14" fillId="0" borderId="0" xfId="0" applyNumberFormat="1" applyFont="1" applyFill="1" applyAlignment="1" applyProtection="1">
      <alignment horizontal="center"/>
      <protection locked="0"/>
    </xf>
    <xf numFmtId="0" fontId="14" fillId="0" borderId="0" xfId="1" applyNumberFormat="1" applyFont="1" applyFill="1" applyAlignment="1" applyProtection="1">
      <alignment horizontal="center"/>
      <protection locked="0"/>
    </xf>
    <xf numFmtId="0" fontId="15" fillId="0" borderId="17" xfId="0" applyFont="1" applyFill="1" applyBorder="1" applyAlignment="1" applyProtection="1">
      <alignment horizontal="center"/>
      <protection locked="0"/>
    </xf>
    <xf numFmtId="169" fontId="30" fillId="7" borderId="17" xfId="1" applyNumberFormat="1" applyFont="1" applyFill="1" applyBorder="1" applyAlignment="1" applyProtection="1">
      <alignment horizontal="left"/>
      <protection locked="0"/>
    </xf>
    <xf numFmtId="169" fontId="30" fillId="7" borderId="0" xfId="1" applyNumberFormat="1" applyFont="1" applyFill="1" applyAlignment="1" applyProtection="1">
      <alignment horizontal="left"/>
      <protection locked="0"/>
    </xf>
    <xf numFmtId="0" fontId="48" fillId="7" borderId="0" xfId="0" applyFont="1" applyFill="1" applyAlignment="1" applyProtection="1">
      <alignment vertical="center"/>
      <protection locked="0"/>
    </xf>
    <xf numFmtId="0" fontId="50" fillId="7" borderId="0" xfId="0" applyFont="1" applyFill="1" applyAlignment="1" applyProtection="1">
      <alignment vertical="center"/>
      <protection locked="0"/>
    </xf>
    <xf numFmtId="0" fontId="51" fillId="0" borderId="35" xfId="0" applyFont="1" applyFill="1" applyBorder="1" applyAlignment="1" applyProtection="1">
      <alignment horizontal="center" vertical="center"/>
      <protection locked="0"/>
    </xf>
    <xf numFmtId="0" fontId="49" fillId="7" borderId="0" xfId="0" applyFont="1" applyFill="1" applyAlignment="1" applyProtection="1">
      <alignment vertical="center"/>
      <protection locked="0"/>
    </xf>
    <xf numFmtId="169" fontId="29" fillId="0" borderId="0" xfId="1" applyNumberFormat="1" applyFont="1" applyFill="1" applyAlignment="1" applyProtection="1">
      <alignment horizontal="left"/>
      <protection locked="0"/>
    </xf>
    <xf numFmtId="0" fontId="49" fillId="0" borderId="0" xfId="0" applyFont="1" applyFill="1" applyAlignment="1" applyProtection="1">
      <alignment vertical="center" wrapText="1"/>
      <protection locked="0"/>
    </xf>
    <xf numFmtId="0" fontId="14" fillId="0" borderId="0" xfId="0" applyFont="1" applyFill="1" applyAlignment="1" applyProtection="1">
      <protection locked="0"/>
    </xf>
    <xf numFmtId="0" fontId="15" fillId="17" borderId="32" xfId="0" applyFont="1" applyFill="1" applyBorder="1" applyAlignment="1" applyProtection="1">
      <alignment horizontal="center" vertical="center" wrapText="1"/>
      <protection locked="0"/>
    </xf>
    <xf numFmtId="0" fontId="15" fillId="17" borderId="33" xfId="0" applyFont="1" applyFill="1" applyBorder="1" applyAlignment="1" applyProtection="1">
      <alignment horizontal="center" vertical="center" wrapText="1"/>
      <protection locked="0"/>
    </xf>
    <xf numFmtId="0" fontId="15" fillId="17" borderId="18" xfId="0" applyFont="1" applyFill="1" applyBorder="1" applyAlignment="1" applyProtection="1">
      <alignment horizontal="center" vertical="center" wrapText="1"/>
      <protection locked="0"/>
    </xf>
    <xf numFmtId="0" fontId="15" fillId="18" borderId="32" xfId="0" applyFont="1" applyFill="1" applyBorder="1" applyAlignment="1" applyProtection="1">
      <alignment horizontal="center" vertical="center" wrapText="1"/>
      <protection locked="0"/>
    </xf>
    <xf numFmtId="0" fontId="15" fillId="18" borderId="33" xfId="0" applyFont="1" applyFill="1" applyBorder="1" applyAlignment="1" applyProtection="1">
      <alignment horizontal="center" vertical="center" wrapText="1"/>
      <protection locked="0"/>
    </xf>
    <xf numFmtId="0" fontId="15" fillId="18" borderId="18" xfId="0" applyFont="1" applyFill="1" applyBorder="1" applyAlignment="1" applyProtection="1">
      <alignment horizontal="center" vertical="center" wrapText="1"/>
      <protection locked="0"/>
    </xf>
    <xf numFmtId="0" fontId="15" fillId="18" borderId="2" xfId="0" applyFont="1" applyFill="1" applyBorder="1" applyAlignment="1" applyProtection="1">
      <alignment horizontal="center" vertical="center" wrapText="1"/>
      <protection locked="0"/>
    </xf>
    <xf numFmtId="9" fontId="15" fillId="17" borderId="1" xfId="0" applyNumberFormat="1" applyFont="1" applyFill="1" applyBorder="1" applyAlignment="1" applyProtection="1">
      <alignment horizontal="center" vertical="center" wrapText="1"/>
      <protection locked="0"/>
    </xf>
    <xf numFmtId="9" fontId="15" fillId="19" borderId="33" xfId="0" applyNumberFormat="1" applyFont="1" applyFill="1" applyBorder="1" applyAlignment="1" applyProtection="1">
      <alignment horizontal="center" vertical="center" wrapText="1"/>
      <protection locked="0"/>
    </xf>
    <xf numFmtId="9" fontId="15" fillId="20" borderId="33" xfId="0" applyNumberFormat="1" applyFont="1" applyFill="1" applyBorder="1" applyAlignment="1" applyProtection="1">
      <alignment horizontal="center" vertical="center" wrapText="1"/>
      <protection locked="0"/>
    </xf>
    <xf numFmtId="43" fontId="16" fillId="19" borderId="1" xfId="1" applyFont="1" applyFill="1" applyBorder="1" applyAlignment="1" applyProtection="1">
      <alignment horizontal="center" vertical="center"/>
      <protection locked="0"/>
    </xf>
    <xf numFmtId="173" fontId="16" fillId="0" borderId="7" xfId="0" applyNumberFormat="1" applyFont="1" applyFill="1" applyBorder="1" applyAlignment="1" applyProtection="1">
      <alignment horizontal="center" vertical="center" wrapText="1"/>
      <protection locked="0"/>
    </xf>
    <xf numFmtId="173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8" xfId="0" applyFont="1" applyFill="1" applyBorder="1" applyAlignment="1" applyProtection="1">
      <alignment horizontal="center" vertical="center" wrapText="1"/>
      <protection locked="0"/>
    </xf>
    <xf numFmtId="43" fontId="29" fillId="20" borderId="1" xfId="1" applyFont="1" applyFill="1" applyBorder="1" applyAlignment="1" applyProtection="1">
      <alignment horizontal="center" vertical="center"/>
      <protection locked="0"/>
    </xf>
    <xf numFmtId="43" fontId="16" fillId="20" borderId="1" xfId="1" applyFont="1" applyFill="1" applyBorder="1" applyAlignment="1" applyProtection="1">
      <alignment horizontal="center" vertical="center"/>
      <protection locked="0"/>
    </xf>
    <xf numFmtId="168" fontId="26" fillId="0" borderId="0" xfId="2" applyNumberFormat="1" applyFont="1" applyFill="1" applyAlignment="1" applyProtection="1">
      <alignment horizontal="center" vertical="center"/>
      <protection locked="0"/>
    </xf>
    <xf numFmtId="172" fontId="26" fillId="0" borderId="0" xfId="2" applyNumberFormat="1" applyFont="1" applyFill="1" applyAlignment="1" applyProtection="1">
      <alignment horizontal="center" vertical="center"/>
      <protection locked="0"/>
    </xf>
    <xf numFmtId="0" fontId="14" fillId="0" borderId="0" xfId="1" applyNumberFormat="1" applyFont="1" applyFill="1" applyAlignment="1" applyProtection="1">
      <alignment horizontal="center" vertic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44" fontId="29" fillId="21" borderId="0" xfId="2" applyFont="1" applyFill="1" applyProtection="1">
      <protection locked="0"/>
    </xf>
    <xf numFmtId="0" fontId="0" fillId="0" borderId="0" xfId="0" applyFont="1" applyFill="1" applyBorder="1" applyProtection="1">
      <protection locked="0"/>
    </xf>
    <xf numFmtId="0" fontId="25" fillId="23" borderId="1" xfId="0" applyFont="1" applyFill="1" applyBorder="1" applyAlignment="1">
      <alignment horizontal="center" vertical="center" wrapText="1"/>
    </xf>
    <xf numFmtId="0" fontId="43" fillId="0" borderId="1" xfId="0" applyFont="1" applyBorder="1" applyAlignment="1">
      <alignment horizontal="center"/>
    </xf>
    <xf numFmtId="0" fontId="43" fillId="0" borderId="1" xfId="0" applyFont="1" applyBorder="1"/>
    <xf numFmtId="0" fontId="43" fillId="22" borderId="1" xfId="0" applyFont="1" applyFill="1" applyBorder="1"/>
    <xf numFmtId="14" fontId="43" fillId="24" borderId="1" xfId="0" applyNumberFormat="1" applyFont="1" applyFill="1" applyBorder="1" applyAlignment="1">
      <alignment horizontal="center"/>
    </xf>
    <xf numFmtId="0" fontId="43" fillId="24" borderId="1" xfId="0" applyFont="1" applyFill="1" applyBorder="1"/>
    <xf numFmtId="0" fontId="42" fillId="0" borderId="1" xfId="0" applyFont="1" applyBorder="1"/>
    <xf numFmtId="14" fontId="43" fillId="0" borderId="1" xfId="0" applyNumberFormat="1" applyFont="1" applyBorder="1" applyAlignment="1">
      <alignment horizontal="center"/>
    </xf>
    <xf numFmtId="49" fontId="44" fillId="0" borderId="1" xfId="0" applyNumberFormat="1" applyFont="1" applyBorder="1" applyAlignment="1">
      <alignment horizontal="center"/>
    </xf>
    <xf numFmtId="49" fontId="42" fillId="0" borderId="1" xfId="0" applyNumberFormat="1" applyFont="1" applyBorder="1"/>
    <xf numFmtId="165" fontId="38" fillId="0" borderId="1" xfId="15" applyNumberFormat="1" applyFont="1" applyBorder="1"/>
    <xf numFmtId="0" fontId="24" fillId="0" borderId="1" xfId="15" applyFont="1" applyBorder="1" applyAlignment="1">
      <alignment horizontal="center"/>
    </xf>
    <xf numFmtId="0" fontId="23" fillId="0" borderId="1" xfId="0" applyFont="1" applyBorder="1"/>
    <xf numFmtId="43" fontId="23" fillId="0" borderId="1" xfId="1" applyFont="1" applyBorder="1"/>
    <xf numFmtId="0" fontId="53" fillId="0" borderId="0" xfId="0" applyFont="1" applyAlignment="1">
      <alignment horizontal="center"/>
    </xf>
    <xf numFmtId="0" fontId="53" fillId="0" borderId="0" xfId="0" applyFont="1"/>
    <xf numFmtId="43" fontId="53" fillId="0" borderId="0" xfId="1" applyFont="1"/>
    <xf numFmtId="0" fontId="0" fillId="0" borderId="0" xfId="0" pivotButton="1"/>
    <xf numFmtId="0" fontId="19" fillId="0" borderId="1" xfId="0" pivotButton="1" applyFont="1" applyBorder="1" applyAlignment="1">
      <alignment horizontal="center"/>
    </xf>
    <xf numFmtId="0" fontId="0" fillId="0" borderId="0" xfId="0" applyFill="1" applyBorder="1"/>
    <xf numFmtId="0" fontId="19" fillId="0" borderId="0" xfId="0" applyFont="1" applyFill="1" applyBorder="1"/>
    <xf numFmtId="0" fontId="16" fillId="0" borderId="0" xfId="0" applyFont="1" applyFill="1" applyProtection="1">
      <protection locked="0"/>
    </xf>
    <xf numFmtId="44" fontId="23" fillId="0" borderId="1" xfId="2" applyFont="1" applyBorder="1"/>
    <xf numFmtId="14" fontId="23" fillId="0" borderId="1" xfId="0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14" fontId="23" fillId="0" borderId="1" xfId="0" applyNumberFormat="1" applyFont="1" applyBorder="1"/>
    <xf numFmtId="14" fontId="23" fillId="14" borderId="1" xfId="0" applyNumberFormat="1" applyFont="1" applyFill="1" applyBorder="1" applyAlignment="1">
      <alignment horizontal="center"/>
    </xf>
    <xf numFmtId="166" fontId="22" fillId="0" borderId="1" xfId="0" applyNumberFormat="1" applyFont="1" applyBorder="1" applyAlignment="1">
      <alignment horizontal="center"/>
    </xf>
    <xf numFmtId="0" fontId="54" fillId="12" borderId="1" xfId="0" applyFont="1" applyFill="1" applyBorder="1" applyAlignment="1" applyProtection="1">
      <alignment horizontal="center"/>
      <protection locked="0"/>
    </xf>
    <xf numFmtId="0" fontId="54" fillId="12" borderId="1" xfId="0" applyFont="1" applyFill="1" applyBorder="1" applyAlignment="1" applyProtection="1">
      <alignment horizontal="center" vertical="center"/>
      <protection locked="0"/>
    </xf>
    <xf numFmtId="0" fontId="14" fillId="0" borderId="0" xfId="0" applyFont="1" applyProtection="1">
      <protection locked="0"/>
    </xf>
    <xf numFmtId="0" fontId="21" fillId="8" borderId="2" xfId="0" applyFont="1" applyFill="1" applyBorder="1" applyAlignment="1" applyProtection="1">
      <alignment horizontal="center"/>
      <protection locked="0"/>
    </xf>
    <xf numFmtId="0" fontId="21" fillId="8" borderId="3" xfId="0" applyFont="1" applyFill="1" applyBorder="1" applyAlignment="1" applyProtection="1">
      <alignment horizontal="center"/>
      <protection locked="0"/>
    </xf>
    <xf numFmtId="0" fontId="15" fillId="8" borderId="32" xfId="0" applyFont="1" applyFill="1" applyBorder="1" applyAlignment="1" applyProtection="1">
      <alignment horizontal="center" vertical="center" wrapText="1"/>
      <protection locked="0"/>
    </xf>
    <xf numFmtId="0" fontId="15" fillId="8" borderId="33" xfId="0" applyFont="1" applyFill="1" applyBorder="1" applyAlignment="1" applyProtection="1">
      <alignment horizontal="center" vertical="center" wrapText="1"/>
      <protection locked="0"/>
    </xf>
    <xf numFmtId="9" fontId="15" fillId="8" borderId="33" xfId="0" applyNumberFormat="1" applyFont="1" applyFill="1" applyBorder="1" applyAlignment="1" applyProtection="1">
      <alignment horizontal="center" vertical="center" wrapText="1"/>
      <protection locked="0"/>
    </xf>
    <xf numFmtId="0" fontId="15" fillId="8" borderId="18" xfId="0" applyFont="1" applyFill="1" applyBorder="1" applyAlignment="1" applyProtection="1">
      <alignment horizontal="center" vertical="center" wrapText="1"/>
      <protection locked="0"/>
    </xf>
    <xf numFmtId="0" fontId="21" fillId="21" borderId="2" xfId="0" applyFont="1" applyFill="1" applyBorder="1" applyAlignment="1" applyProtection="1">
      <alignment horizontal="center" vertical="center"/>
      <protection locked="0"/>
    </xf>
    <xf numFmtId="0" fontId="21" fillId="21" borderId="3" xfId="0" applyFont="1" applyFill="1" applyBorder="1" applyAlignment="1" applyProtection="1">
      <alignment horizontal="center" vertical="center"/>
      <protection locked="0"/>
    </xf>
    <xf numFmtId="0" fontId="19" fillId="8" borderId="0" xfId="0" applyFont="1" applyFill="1"/>
    <xf numFmtId="169" fontId="0" fillId="7" borderId="0" xfId="0" applyNumberFormat="1" applyFill="1"/>
    <xf numFmtId="0" fontId="36" fillId="21" borderId="0" xfId="0" applyFont="1" applyFill="1" applyProtection="1">
      <protection locked="0"/>
    </xf>
    <xf numFmtId="0" fontId="14" fillId="21" borderId="0" xfId="0" applyFont="1" applyFill="1" applyProtection="1">
      <protection locked="0"/>
    </xf>
    <xf numFmtId="0" fontId="19" fillId="8" borderId="1" xfId="0" pivotButton="1" applyFont="1" applyFill="1" applyBorder="1"/>
    <xf numFmtId="0" fontId="19" fillId="8" borderId="1" xfId="0" pivotButton="1" applyFont="1" applyFill="1" applyBorder="1" applyAlignment="1">
      <alignment horizontal="center"/>
    </xf>
    <xf numFmtId="0" fontId="19" fillId="8" borderId="2" xfId="0" pivotButton="1" applyFont="1" applyFill="1" applyBorder="1" applyAlignment="1">
      <alignment horizontal="center"/>
    </xf>
    <xf numFmtId="0" fontId="19" fillId="0" borderId="0" xfId="0" pivotButton="1" applyFont="1" applyFill="1" applyBorder="1" applyAlignment="1">
      <alignment horizontal="center"/>
    </xf>
    <xf numFmtId="14" fontId="23" fillId="8" borderId="1" xfId="0" applyNumberFormat="1" applyFont="1" applyFill="1" applyBorder="1"/>
    <xf numFmtId="0" fontId="31" fillId="0" borderId="1" xfId="0" applyFont="1" applyFill="1" applyBorder="1" applyAlignment="1" applyProtection="1">
      <alignment horizontal="center" vertical="center"/>
      <protection locked="0"/>
    </xf>
    <xf numFmtId="0" fontId="56" fillId="0" borderId="1" xfId="0" applyFont="1" applyFill="1" applyBorder="1" applyAlignment="1" applyProtection="1">
      <alignment horizontal="center" vertical="center"/>
      <protection locked="0"/>
    </xf>
    <xf numFmtId="0" fontId="17" fillId="0" borderId="0" xfId="0" applyFont="1" applyFill="1" applyBorder="1" applyProtection="1">
      <protection locked="0"/>
    </xf>
    <xf numFmtId="44" fontId="14" fillId="25" borderId="0" xfId="2" applyFont="1" applyFill="1" applyAlignment="1" applyProtection="1">
      <alignment horizontal="center" vertical="center"/>
      <protection locked="0"/>
    </xf>
    <xf numFmtId="0" fontId="19" fillId="8" borderId="1" xfId="0" applyFont="1" applyFill="1" applyBorder="1"/>
    <xf numFmtId="0" fontId="19" fillId="8" borderId="1" xfId="0" applyFont="1" applyFill="1" applyBorder="1" applyAlignment="1">
      <alignment horizontal="center"/>
    </xf>
    <xf numFmtId="0" fontId="45" fillId="7" borderId="0" xfId="0" applyFont="1" applyFill="1" applyAlignment="1">
      <alignment horizontal="center"/>
    </xf>
    <xf numFmtId="0" fontId="39" fillId="5" borderId="1" xfId="0" applyFont="1" applyFill="1" applyBorder="1" applyAlignment="1" applyProtection="1">
      <protection locked="0"/>
    </xf>
    <xf numFmtId="0" fontId="36" fillId="7" borderId="0" xfId="0" applyFont="1" applyFill="1" applyAlignment="1" applyProtection="1">
      <protection locked="0"/>
    </xf>
    <xf numFmtId="0" fontId="14" fillId="7" borderId="0" xfId="0" applyFont="1" applyFill="1" applyAlignment="1" applyProtection="1">
      <protection locked="0"/>
    </xf>
    <xf numFmtId="0" fontId="18" fillId="0" borderId="0" xfId="0" applyFont="1" applyFill="1" applyAlignment="1" applyProtection="1">
      <protection locked="0"/>
    </xf>
    <xf numFmtId="9" fontId="15" fillId="0" borderId="2" xfId="0" applyNumberFormat="1" applyFont="1" applyFill="1" applyBorder="1" applyAlignment="1" applyProtection="1">
      <alignment horizontal="center" vertical="center" wrapText="1"/>
      <protection locked="0"/>
    </xf>
    <xf numFmtId="43" fontId="0" fillId="0" borderId="2" xfId="1" applyFont="1" applyFill="1" applyBorder="1" applyAlignment="1" applyProtection="1">
      <alignment horizontal="center" vertical="center"/>
      <protection locked="0"/>
    </xf>
    <xf numFmtId="0" fontId="15" fillId="12" borderId="32" xfId="0" applyFont="1" applyFill="1" applyBorder="1" applyAlignment="1" applyProtection="1">
      <alignment horizontal="center" vertical="center" wrapText="1"/>
      <protection locked="0"/>
    </xf>
    <xf numFmtId="0" fontId="15" fillId="12" borderId="33" xfId="0" applyFont="1" applyFill="1" applyBorder="1" applyAlignment="1" applyProtection="1">
      <alignment horizontal="center" vertical="center" wrapText="1"/>
      <protection locked="0"/>
    </xf>
    <xf numFmtId="0" fontId="15" fillId="12" borderId="18" xfId="0" applyFont="1" applyFill="1" applyBorder="1" applyAlignment="1" applyProtection="1">
      <alignment horizontal="center" vertical="center" wrapText="1"/>
      <protection locked="0"/>
    </xf>
    <xf numFmtId="0" fontId="14" fillId="12" borderId="7" xfId="0" applyFont="1" applyFill="1" applyBorder="1" applyAlignment="1" applyProtection="1">
      <protection locked="0"/>
    </xf>
    <xf numFmtId="0" fontId="14" fillId="12" borderId="1" xfId="0" applyFont="1" applyFill="1" applyBorder="1" applyAlignment="1" applyProtection="1">
      <alignment horizontal="center"/>
      <protection locked="0"/>
    </xf>
    <xf numFmtId="0" fontId="14" fillId="12" borderId="1" xfId="0" applyFont="1" applyFill="1" applyBorder="1" applyAlignment="1" applyProtection="1">
      <alignment horizontal="left"/>
      <protection locked="0"/>
    </xf>
    <xf numFmtId="0" fontId="14" fillId="12" borderId="8" xfId="0" applyFont="1" applyFill="1" applyBorder="1" applyAlignment="1" applyProtection="1">
      <alignment horizontal="center"/>
      <protection locked="0"/>
    </xf>
    <xf numFmtId="0" fontId="14" fillId="23" borderId="1" xfId="0" applyFont="1" applyFill="1" applyBorder="1" applyAlignment="1" applyProtection="1">
      <alignment horizontal="center"/>
      <protection locked="0"/>
    </xf>
    <xf numFmtId="0" fontId="14" fillId="23" borderId="1" xfId="0" applyFont="1" applyFill="1" applyBorder="1" applyAlignment="1" applyProtection="1">
      <alignment horizontal="left"/>
      <protection locked="0"/>
    </xf>
    <xf numFmtId="0" fontId="14" fillId="26" borderId="1" xfId="0" applyFont="1" applyFill="1" applyBorder="1" applyAlignment="1" applyProtection="1">
      <alignment horizontal="center"/>
      <protection locked="0"/>
    </xf>
    <xf numFmtId="0" fontId="14" fillId="26" borderId="1" xfId="0" applyFont="1" applyFill="1" applyBorder="1" applyAlignment="1" applyProtection="1">
      <alignment horizontal="left"/>
      <protection locked="0"/>
    </xf>
    <xf numFmtId="0" fontId="29" fillId="17" borderId="0" xfId="0" applyFont="1" applyFill="1" applyAlignment="1" applyProtection="1">
      <alignment horizontal="center"/>
      <protection locked="0"/>
    </xf>
    <xf numFmtId="0" fontId="29" fillId="18" borderId="0" xfId="0" applyFont="1" applyFill="1" applyAlignment="1" applyProtection="1">
      <alignment horizontal="center"/>
      <protection locked="0"/>
    </xf>
    <xf numFmtId="0" fontId="29" fillId="27" borderId="0" xfId="0" applyFont="1" applyFill="1" applyAlignment="1" applyProtection="1">
      <alignment horizontal="center"/>
      <protection locked="0"/>
    </xf>
    <xf numFmtId="9" fontId="15" fillId="28" borderId="1" xfId="0" applyNumberFormat="1" applyFont="1" applyFill="1" applyBorder="1" applyAlignment="1" applyProtection="1">
      <alignment horizontal="center" vertical="center" wrapText="1"/>
      <protection locked="0"/>
    </xf>
    <xf numFmtId="0" fontId="15" fillId="28" borderId="1" xfId="0" applyFont="1" applyFill="1" applyBorder="1" applyAlignment="1" applyProtection="1">
      <alignment horizontal="center" vertical="center" wrapText="1"/>
      <protection locked="0"/>
    </xf>
    <xf numFmtId="171" fontId="14" fillId="28" borderId="1" xfId="1" applyNumberFormat="1" applyFont="1" applyFill="1" applyBorder="1" applyAlignment="1" applyProtection="1">
      <alignment horizontal="center"/>
      <protection locked="0"/>
    </xf>
    <xf numFmtId="0" fontId="15" fillId="23" borderId="32" xfId="0" applyFont="1" applyFill="1" applyBorder="1" applyAlignment="1" applyProtection="1">
      <alignment horizontal="center" vertical="center" wrapText="1"/>
      <protection locked="0"/>
    </xf>
    <xf numFmtId="0" fontId="15" fillId="23" borderId="33" xfId="0" applyFont="1" applyFill="1" applyBorder="1" applyAlignment="1" applyProtection="1">
      <alignment horizontal="center" vertical="center" wrapText="1"/>
      <protection locked="0"/>
    </xf>
    <xf numFmtId="0" fontId="15" fillId="23" borderId="18" xfId="0" applyFont="1" applyFill="1" applyBorder="1" applyAlignment="1" applyProtection="1">
      <alignment horizontal="center" vertical="center" wrapText="1"/>
      <protection locked="0"/>
    </xf>
    <xf numFmtId="0" fontId="14" fillId="23" borderId="7" xfId="0" applyFont="1" applyFill="1" applyBorder="1" applyAlignment="1" applyProtection="1">
      <protection locked="0"/>
    </xf>
    <xf numFmtId="0" fontId="14" fillId="23" borderId="8" xfId="0" applyFont="1" applyFill="1" applyBorder="1" applyAlignment="1" applyProtection="1">
      <alignment horizontal="center"/>
      <protection locked="0"/>
    </xf>
    <xf numFmtId="43" fontId="15" fillId="0" borderId="3" xfId="1" applyFont="1" applyFill="1" applyBorder="1" applyAlignment="1" applyProtection="1">
      <alignment horizontal="center" vertical="center" wrapText="1"/>
      <protection locked="0"/>
    </xf>
    <xf numFmtId="43" fontId="0" fillId="0" borderId="4" xfId="1" applyFont="1" applyFill="1" applyBorder="1" applyProtection="1">
      <protection locked="0"/>
    </xf>
    <xf numFmtId="0" fontId="15" fillId="26" borderId="32" xfId="0" applyFont="1" applyFill="1" applyBorder="1" applyAlignment="1" applyProtection="1">
      <alignment horizontal="center" vertical="center" wrapText="1"/>
      <protection locked="0"/>
    </xf>
    <xf numFmtId="0" fontId="15" fillId="26" borderId="33" xfId="0" applyFont="1" applyFill="1" applyBorder="1" applyAlignment="1" applyProtection="1">
      <alignment horizontal="center" vertical="center" wrapText="1"/>
      <protection locked="0"/>
    </xf>
    <xf numFmtId="0" fontId="15" fillId="26" borderId="18" xfId="0" applyFont="1" applyFill="1" applyBorder="1" applyAlignment="1" applyProtection="1">
      <alignment horizontal="center" vertical="center" wrapText="1"/>
      <protection locked="0"/>
    </xf>
    <xf numFmtId="0" fontId="14" fillId="26" borderId="7" xfId="0" applyFont="1" applyFill="1" applyBorder="1" applyAlignment="1" applyProtection="1">
      <protection locked="0"/>
    </xf>
    <xf numFmtId="0" fontId="14" fillId="26" borderId="8" xfId="0" applyFont="1" applyFill="1" applyBorder="1" applyAlignment="1" applyProtection="1">
      <alignment horizontal="center"/>
      <protection locked="0"/>
    </xf>
    <xf numFmtId="9" fontId="15" fillId="29" borderId="1" xfId="0" applyNumberFormat="1" applyFont="1" applyFill="1" applyBorder="1" applyAlignment="1" applyProtection="1">
      <alignment horizontal="center" vertical="center" wrapText="1"/>
      <protection locked="0"/>
    </xf>
    <xf numFmtId="0" fontId="15" fillId="29" borderId="1" xfId="0" applyFont="1" applyFill="1" applyBorder="1" applyAlignment="1" applyProtection="1">
      <alignment horizontal="center" vertical="center" wrapText="1"/>
      <protection locked="0"/>
    </xf>
    <xf numFmtId="171" fontId="14" fillId="29" borderId="1" xfId="1" applyNumberFormat="1" applyFont="1" applyFill="1" applyBorder="1" applyAlignment="1" applyProtection="1">
      <alignment horizontal="center" vertical="center"/>
      <protection locked="0"/>
    </xf>
    <xf numFmtId="43" fontId="29" fillId="0" borderId="1" xfId="1" applyFont="1" applyBorder="1" applyAlignment="1" applyProtection="1">
      <alignment horizontal="center" vertical="center" wrapText="1"/>
      <protection locked="0"/>
    </xf>
    <xf numFmtId="13" fontId="14" fillId="0" borderId="1" xfId="1" applyNumberFormat="1" applyFont="1" applyFill="1" applyBorder="1" applyAlignment="1" applyProtection="1">
      <alignment vertical="center"/>
      <protection locked="0"/>
    </xf>
    <xf numFmtId="0" fontId="15" fillId="0" borderId="1" xfId="0" applyFont="1" applyBorder="1" applyAlignment="1" applyProtection="1">
      <alignment horizontal="center" vertical="center" textRotation="90" wrapText="1"/>
      <protection locked="0"/>
    </xf>
    <xf numFmtId="0" fontId="58" fillId="0" borderId="1" xfId="0" applyFont="1" applyBorder="1" applyAlignment="1">
      <alignment horizontal="center"/>
    </xf>
    <xf numFmtId="49" fontId="59" fillId="0" borderId="1" xfId="0" applyNumberFormat="1" applyFont="1" applyBorder="1" applyAlignment="1">
      <alignment horizontal="center"/>
    </xf>
    <xf numFmtId="0" fontId="25" fillId="7" borderId="1" xfId="0" applyFont="1" applyFill="1" applyBorder="1" applyAlignment="1">
      <alignment horizontal="center" vertical="center"/>
    </xf>
    <xf numFmtId="43" fontId="25" fillId="7" borderId="1" xfId="1" applyFont="1" applyFill="1" applyBorder="1" applyAlignment="1">
      <alignment horizontal="center" vertical="center"/>
    </xf>
    <xf numFmtId="0" fontId="25" fillId="7" borderId="1" xfId="0" applyFont="1" applyFill="1" applyBorder="1" applyAlignment="1">
      <alignment horizontal="center" vertical="center" wrapText="1"/>
    </xf>
    <xf numFmtId="0" fontId="17" fillId="21" borderId="0" xfId="0" applyFont="1" applyFill="1" applyProtection="1">
      <protection locked="0"/>
    </xf>
    <xf numFmtId="0" fontId="17" fillId="27" borderId="0" xfId="0" applyFont="1" applyFill="1" applyProtection="1">
      <protection locked="0"/>
    </xf>
    <xf numFmtId="0" fontId="17" fillId="31" borderId="0" xfId="0" applyFont="1" applyFill="1" applyProtection="1">
      <protection locked="0"/>
    </xf>
    <xf numFmtId="0" fontId="17" fillId="30" borderId="0" xfId="0" applyFont="1" applyFill="1" applyProtection="1">
      <protection locked="0"/>
    </xf>
    <xf numFmtId="0" fontId="14" fillId="23" borderId="0" xfId="0" applyFont="1" applyFill="1" applyProtection="1">
      <protection locked="0"/>
    </xf>
    <xf numFmtId="0" fontId="17" fillId="32" borderId="0" xfId="0" applyFont="1" applyFill="1" applyProtection="1">
      <protection locked="0"/>
    </xf>
    <xf numFmtId="44" fontId="23" fillId="14" borderId="1" xfId="2" applyFont="1" applyFill="1" applyBorder="1"/>
    <xf numFmtId="0" fontId="14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Fill="1" applyBorder="1" applyProtection="1"/>
    <xf numFmtId="2" fontId="14" fillId="0" borderId="0" xfId="0" applyNumberFormat="1" applyFont="1" applyFill="1" applyBorder="1" applyProtection="1"/>
    <xf numFmtId="20" fontId="22" fillId="0" borderId="0" xfId="0" applyNumberFormat="1" applyFont="1" applyFill="1" applyBorder="1" applyAlignment="1" applyProtection="1">
      <alignment horizontal="center" vertical="center" wrapText="1"/>
      <protection locked="0"/>
    </xf>
    <xf numFmtId="43" fontId="14" fillId="0" borderId="0" xfId="1" applyFont="1" applyFill="1" applyBorder="1" applyAlignment="1" applyProtection="1">
      <alignment horizontal="center" vertical="center"/>
      <protection locked="0"/>
    </xf>
    <xf numFmtId="0" fontId="22" fillId="0" borderId="44" xfId="0" applyFont="1" applyFill="1" applyBorder="1" applyAlignment="1" applyProtection="1">
      <alignment horizontal="center" vertical="center" wrapText="1"/>
      <protection locked="0"/>
    </xf>
    <xf numFmtId="173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43" fontId="16" fillId="19" borderId="0" xfId="1" applyFont="1" applyFill="1" applyBorder="1" applyAlignment="1" applyProtection="1">
      <alignment horizontal="center" vertical="center"/>
      <protection locked="0"/>
    </xf>
    <xf numFmtId="0" fontId="16" fillId="0" borderId="0" xfId="0" applyFont="1" applyFill="1" applyBorder="1" applyAlignment="1" applyProtection="1">
      <alignment horizontal="center" vertical="center" wrapText="1"/>
      <protection locked="0"/>
    </xf>
    <xf numFmtId="43" fontId="29" fillId="20" borderId="0" xfId="1" applyFont="1" applyFill="1" applyBorder="1" applyAlignment="1" applyProtection="1">
      <alignment horizontal="center" vertical="center"/>
      <protection locked="0"/>
    </xf>
    <xf numFmtId="43" fontId="16" fillId="20" borderId="0" xfId="1" applyFont="1" applyFill="1" applyBorder="1" applyAlignment="1" applyProtection="1">
      <alignment horizontal="center" vertical="center"/>
      <protection locked="0"/>
    </xf>
    <xf numFmtId="0" fontId="23" fillId="8" borderId="1" xfId="0" applyFont="1" applyFill="1" applyBorder="1"/>
    <xf numFmtId="165" fontId="24" fillId="0" borderId="1" xfId="15" applyNumberFormat="1" applyFont="1" applyBorder="1" applyAlignment="1">
      <alignment horizontal="center"/>
    </xf>
    <xf numFmtId="0" fontId="31" fillId="14" borderId="1" xfId="0" applyFont="1" applyFill="1" applyBorder="1" applyAlignment="1" applyProtection="1">
      <alignment horizontal="center" vertical="center"/>
      <protection locked="0"/>
    </xf>
    <xf numFmtId="0" fontId="46" fillId="14" borderId="1" xfId="0" applyFont="1" applyFill="1" applyBorder="1" applyAlignment="1" applyProtection="1">
      <alignment horizontal="center" vertical="center"/>
      <protection locked="0"/>
    </xf>
    <xf numFmtId="0" fontId="3" fillId="21" borderId="0" xfId="3" applyFont="1" applyFill="1" applyAlignment="1" applyProtection="1">
      <alignment horizontal="left"/>
      <protection locked="0"/>
    </xf>
    <xf numFmtId="0" fontId="15" fillId="27" borderId="47" xfId="0" applyFont="1" applyFill="1" applyBorder="1" applyAlignment="1" applyProtection="1">
      <alignment horizontal="center"/>
      <protection locked="0"/>
    </xf>
    <xf numFmtId="0" fontId="15" fillId="27" borderId="48" xfId="0" applyFont="1" applyFill="1" applyBorder="1" applyAlignment="1" applyProtection="1">
      <alignment horizontal="center"/>
      <protection locked="0"/>
    </xf>
    <xf numFmtId="0" fontId="15" fillId="27" borderId="49" xfId="0" applyFont="1" applyFill="1" applyBorder="1" applyAlignment="1" applyProtection="1">
      <alignment horizontal="center"/>
      <protection locked="0"/>
    </xf>
    <xf numFmtId="0" fontId="36" fillId="9" borderId="0" xfId="0" applyFont="1" applyFill="1" applyAlignment="1" applyProtection="1">
      <alignment horizontal="center"/>
      <protection locked="0"/>
    </xf>
    <xf numFmtId="0" fontId="28" fillId="21" borderId="0" xfId="3" applyFont="1" applyFill="1" applyAlignment="1" applyProtection="1">
      <alignment horizontal="left"/>
      <protection locked="0"/>
    </xf>
    <xf numFmtId="0" fontId="5" fillId="21" borderId="0" xfId="3" applyFont="1" applyFill="1" applyAlignment="1" applyProtection="1">
      <alignment horizontal="left" vertical="center"/>
      <protection locked="0"/>
    </xf>
    <xf numFmtId="0" fontId="15" fillId="7" borderId="2" xfId="0" applyFont="1" applyFill="1" applyBorder="1" applyAlignment="1" applyProtection="1">
      <alignment horizontal="center" vertical="center"/>
      <protection locked="0"/>
    </xf>
    <xf numFmtId="0" fontId="15" fillId="7" borderId="4" xfId="0" applyFont="1" applyFill="1" applyBorder="1" applyAlignment="1" applyProtection="1">
      <alignment horizontal="center" vertical="center"/>
      <protection locked="0"/>
    </xf>
    <xf numFmtId="0" fontId="19" fillId="0" borderId="36" xfId="0" applyFont="1" applyFill="1" applyBorder="1" applyAlignment="1" applyProtection="1">
      <alignment horizontal="center"/>
      <protection locked="0"/>
    </xf>
    <xf numFmtId="0" fontId="19" fillId="0" borderId="17" xfId="0" applyFont="1" applyFill="1" applyBorder="1" applyAlignment="1" applyProtection="1">
      <alignment horizontal="center"/>
      <protection locked="0"/>
    </xf>
    <xf numFmtId="0" fontId="29" fillId="6" borderId="2" xfId="0" applyFont="1" applyFill="1" applyBorder="1" applyAlignment="1" applyProtection="1">
      <alignment horizontal="center"/>
      <protection locked="0"/>
    </xf>
    <xf numFmtId="0" fontId="29" fillId="6" borderId="3" xfId="0" applyFont="1" applyFill="1" applyBorder="1" applyAlignment="1" applyProtection="1">
      <alignment horizontal="center"/>
      <protection locked="0"/>
    </xf>
    <xf numFmtId="0" fontId="29" fillId="6" borderId="4" xfId="0" applyFont="1" applyFill="1" applyBorder="1" applyAlignment="1" applyProtection="1">
      <alignment horizontal="center"/>
      <protection locked="0"/>
    </xf>
    <xf numFmtId="0" fontId="15" fillId="17" borderId="47" xfId="0" applyFont="1" applyFill="1" applyBorder="1" applyAlignment="1" applyProtection="1">
      <alignment horizontal="center"/>
      <protection locked="0"/>
    </xf>
    <xf numFmtId="0" fontId="15" fillId="17" borderId="48" xfId="0" applyFont="1" applyFill="1" applyBorder="1" applyAlignment="1" applyProtection="1">
      <alignment horizontal="center"/>
      <protection locked="0"/>
    </xf>
    <xf numFmtId="0" fontId="15" fillId="17" borderId="49" xfId="0" applyFont="1" applyFill="1" applyBorder="1" applyAlignment="1" applyProtection="1">
      <alignment horizontal="center"/>
      <protection locked="0"/>
    </xf>
    <xf numFmtId="0" fontId="15" fillId="18" borderId="47" xfId="0" applyFont="1" applyFill="1" applyBorder="1" applyAlignment="1" applyProtection="1">
      <alignment horizontal="center"/>
      <protection locked="0"/>
    </xf>
    <xf numFmtId="0" fontId="15" fillId="18" borderId="48" xfId="0" applyFont="1" applyFill="1" applyBorder="1" applyAlignment="1" applyProtection="1">
      <alignment horizontal="center"/>
      <protection locked="0"/>
    </xf>
    <xf numFmtId="0" fontId="15" fillId="18" borderId="49" xfId="0" applyFont="1" applyFill="1" applyBorder="1" applyAlignment="1" applyProtection="1">
      <alignment horizontal="center"/>
      <protection locked="0"/>
    </xf>
    <xf numFmtId="0" fontId="18" fillId="7" borderId="50" xfId="0" applyFont="1" applyFill="1" applyBorder="1" applyAlignment="1" applyProtection="1">
      <alignment horizontal="center" vertical="center"/>
      <protection locked="0"/>
    </xf>
    <xf numFmtId="0" fontId="14" fillId="0" borderId="41" xfId="0" applyFont="1" applyFill="1" applyBorder="1" applyAlignment="1" applyProtection="1">
      <alignment horizontal="center" vertical="top" wrapText="1"/>
      <protection locked="0"/>
    </xf>
    <xf numFmtId="0" fontId="14" fillId="0" borderId="42" xfId="0" applyFont="1" applyFill="1" applyBorder="1" applyAlignment="1" applyProtection="1">
      <alignment horizontal="center" vertical="top" wrapText="1"/>
      <protection locked="0"/>
    </xf>
    <xf numFmtId="0" fontId="14" fillId="0" borderId="43" xfId="0" applyFont="1" applyFill="1" applyBorder="1" applyAlignment="1" applyProtection="1">
      <alignment horizontal="center" vertical="top" wrapText="1"/>
      <protection locked="0"/>
    </xf>
    <xf numFmtId="0" fontId="14" fillId="0" borderId="38" xfId="0" applyFont="1" applyFill="1" applyBorder="1" applyAlignment="1" applyProtection="1">
      <alignment horizontal="center" vertical="top" wrapText="1"/>
      <protection locked="0"/>
    </xf>
    <xf numFmtId="0" fontId="14" fillId="0" borderId="0" xfId="0" applyFont="1" applyFill="1" applyBorder="1" applyAlignment="1" applyProtection="1">
      <alignment horizontal="center" vertical="top" wrapText="1"/>
      <protection locked="0"/>
    </xf>
    <xf numFmtId="0" fontId="14" fillId="0" borderId="44" xfId="0" applyFont="1" applyFill="1" applyBorder="1" applyAlignment="1" applyProtection="1">
      <alignment horizontal="center" vertical="top" wrapText="1"/>
      <protection locked="0"/>
    </xf>
    <xf numFmtId="0" fontId="14" fillId="0" borderId="31" xfId="0" applyFont="1" applyFill="1" applyBorder="1" applyAlignment="1" applyProtection="1">
      <alignment horizontal="center" vertical="top" wrapText="1"/>
      <protection locked="0"/>
    </xf>
    <xf numFmtId="0" fontId="14" fillId="0" borderId="30" xfId="0" applyFont="1" applyFill="1" applyBorder="1" applyAlignment="1" applyProtection="1">
      <alignment horizontal="center" vertical="top" wrapText="1"/>
      <protection locked="0"/>
    </xf>
    <xf numFmtId="0" fontId="14" fillId="0" borderId="26" xfId="0" applyFont="1" applyFill="1" applyBorder="1" applyAlignment="1" applyProtection="1">
      <alignment horizontal="center" vertical="top" wrapText="1"/>
      <protection locked="0"/>
    </xf>
    <xf numFmtId="0" fontId="49" fillId="7" borderId="0" xfId="0" applyFont="1" applyFill="1" applyAlignment="1" applyProtection="1">
      <alignment horizontal="left" vertical="center" wrapText="1"/>
      <protection locked="0"/>
    </xf>
    <xf numFmtId="170" fontId="30" fillId="0" borderId="27" xfId="0" applyNumberFormat="1" applyFont="1" applyFill="1" applyBorder="1" applyAlignment="1" applyProtection="1">
      <alignment horizontal="center"/>
      <protection locked="0"/>
    </xf>
    <xf numFmtId="170" fontId="30" fillId="0" borderId="28" xfId="0" applyNumberFormat="1" applyFont="1" applyFill="1" applyBorder="1" applyAlignment="1" applyProtection="1">
      <alignment horizontal="center"/>
      <protection locked="0"/>
    </xf>
    <xf numFmtId="170" fontId="30" fillId="0" borderId="29" xfId="0" applyNumberFormat="1" applyFont="1" applyFill="1" applyBorder="1" applyAlignment="1" applyProtection="1">
      <alignment horizontal="center"/>
      <protection locked="0"/>
    </xf>
    <xf numFmtId="0" fontId="45" fillId="0" borderId="27" xfId="1" applyNumberFormat="1" applyFont="1" applyFill="1" applyBorder="1" applyAlignment="1" applyProtection="1">
      <alignment horizontal="center"/>
      <protection locked="0"/>
    </xf>
    <xf numFmtId="0" fontId="45" fillId="0" borderId="28" xfId="1" applyNumberFormat="1" applyFont="1" applyFill="1" applyBorder="1" applyAlignment="1" applyProtection="1">
      <alignment horizontal="center"/>
      <protection locked="0"/>
    </xf>
    <xf numFmtId="0" fontId="45" fillId="0" borderId="29" xfId="1" applyNumberFormat="1" applyFont="1" applyFill="1" applyBorder="1" applyAlignment="1" applyProtection="1">
      <alignment horizontal="center"/>
      <protection locked="0"/>
    </xf>
    <xf numFmtId="0" fontId="30" fillId="21" borderId="17" xfId="0" applyFont="1" applyFill="1" applyBorder="1" applyAlignment="1" applyProtection="1">
      <alignment horizontal="center"/>
      <protection locked="0"/>
    </xf>
    <xf numFmtId="0" fontId="30" fillId="21" borderId="19" xfId="0" applyFont="1" applyFill="1" applyBorder="1" applyAlignment="1" applyProtection="1">
      <alignment horizontal="center"/>
      <protection locked="0"/>
    </xf>
    <xf numFmtId="0" fontId="52" fillId="17" borderId="27" xfId="0" applyFont="1" applyFill="1" applyBorder="1" applyAlignment="1" applyProtection="1">
      <alignment horizontal="center" vertical="center"/>
      <protection locked="0"/>
    </xf>
    <xf numFmtId="0" fontId="52" fillId="17" borderId="28" xfId="0" applyFont="1" applyFill="1" applyBorder="1" applyAlignment="1" applyProtection="1">
      <alignment horizontal="center" vertical="center"/>
      <protection locked="0"/>
    </xf>
    <xf numFmtId="0" fontId="52" fillId="17" borderId="29" xfId="0" applyFont="1" applyFill="1" applyBorder="1" applyAlignment="1" applyProtection="1">
      <alignment horizontal="center" vertical="center"/>
      <protection locked="0"/>
    </xf>
    <xf numFmtId="0" fontId="52" fillId="18" borderId="27" xfId="0" applyFont="1" applyFill="1" applyBorder="1" applyAlignment="1" applyProtection="1">
      <alignment horizontal="left" vertical="center" wrapText="1"/>
      <protection locked="0"/>
    </xf>
    <xf numFmtId="0" fontId="52" fillId="18" borderId="28" xfId="0" applyFont="1" applyFill="1" applyBorder="1" applyAlignment="1" applyProtection="1">
      <alignment horizontal="left" vertical="center" wrapText="1"/>
      <protection locked="0"/>
    </xf>
    <xf numFmtId="0" fontId="52" fillId="18" borderId="29" xfId="0" applyFont="1" applyFill="1" applyBorder="1" applyAlignment="1" applyProtection="1">
      <alignment horizontal="left" vertical="center" wrapText="1"/>
      <protection locked="0"/>
    </xf>
    <xf numFmtId="0" fontId="28" fillId="21" borderId="0" xfId="3" applyFont="1" applyFill="1" applyAlignment="1" applyProtection="1">
      <alignment horizontal="center"/>
      <protection locked="0"/>
    </xf>
    <xf numFmtId="0" fontId="28" fillId="0" borderId="0" xfId="3" applyFont="1" applyFill="1" applyAlignment="1" applyProtection="1">
      <alignment horizontal="left"/>
      <protection locked="0"/>
    </xf>
    <xf numFmtId="0" fontId="14" fillId="0" borderId="0" xfId="0" applyFont="1" applyFill="1" applyAlignment="1" applyProtection="1">
      <alignment horizontal="center"/>
      <protection locked="0"/>
    </xf>
    <xf numFmtId="0" fontId="21" fillId="21" borderId="2" xfId="0" applyFont="1" applyFill="1" applyBorder="1" applyAlignment="1" applyProtection="1">
      <alignment horizontal="center" vertical="center"/>
      <protection locked="0"/>
    </xf>
    <xf numFmtId="0" fontId="21" fillId="21" borderId="3" xfId="0" applyFont="1" applyFill="1" applyBorder="1" applyAlignment="1" applyProtection="1">
      <alignment horizontal="center" vertical="center"/>
      <protection locked="0"/>
    </xf>
    <xf numFmtId="0" fontId="27" fillId="0" borderId="27" xfId="1" applyNumberFormat="1" applyFont="1" applyFill="1" applyBorder="1" applyAlignment="1" applyProtection="1">
      <alignment horizontal="center"/>
      <protection locked="0"/>
    </xf>
    <xf numFmtId="0" fontId="27" fillId="0" borderId="28" xfId="1" applyNumberFormat="1" applyFont="1" applyFill="1" applyBorder="1" applyAlignment="1" applyProtection="1">
      <alignment horizontal="center"/>
      <protection locked="0"/>
    </xf>
    <xf numFmtId="0" fontId="27" fillId="0" borderId="29" xfId="1" applyNumberFormat="1" applyFont="1" applyFill="1" applyBorder="1" applyAlignment="1" applyProtection="1">
      <alignment horizontal="center"/>
      <protection locked="0"/>
    </xf>
    <xf numFmtId="0" fontId="28" fillId="8" borderId="0" xfId="3" applyFont="1" applyFill="1" applyAlignment="1" applyProtection="1">
      <alignment horizontal="left"/>
      <protection locked="0"/>
    </xf>
    <xf numFmtId="170" fontId="26" fillId="0" borderId="27" xfId="0" applyNumberFormat="1" applyFont="1" applyFill="1" applyBorder="1" applyAlignment="1" applyProtection="1">
      <alignment horizontal="center"/>
      <protection locked="0"/>
    </xf>
    <xf numFmtId="170" fontId="26" fillId="0" borderId="28" xfId="0" applyNumberFormat="1" applyFont="1" applyFill="1" applyBorder="1" applyAlignment="1" applyProtection="1">
      <alignment horizontal="center"/>
      <protection locked="0"/>
    </xf>
    <xf numFmtId="170" fontId="26" fillId="0" borderId="29" xfId="0" applyNumberFormat="1" applyFont="1" applyFill="1" applyBorder="1" applyAlignment="1" applyProtection="1">
      <alignment horizontal="center"/>
      <protection locked="0"/>
    </xf>
    <xf numFmtId="0" fontId="21" fillId="8" borderId="2" xfId="0" applyFont="1" applyFill="1" applyBorder="1" applyAlignment="1" applyProtection="1">
      <alignment horizontal="center"/>
      <protection locked="0"/>
    </xf>
    <xf numFmtId="0" fontId="21" fillId="8" borderId="3" xfId="0" applyFont="1" applyFill="1" applyBorder="1" applyAlignment="1" applyProtection="1">
      <alignment horizontal="center"/>
      <protection locked="0"/>
    </xf>
    <xf numFmtId="0" fontId="15" fillId="8" borderId="27" xfId="0" applyFont="1" applyFill="1" applyBorder="1" applyAlignment="1" applyProtection="1">
      <alignment horizontal="center"/>
      <protection locked="0"/>
    </xf>
    <xf numFmtId="0" fontId="15" fillId="8" borderId="28" xfId="0" applyFont="1" applyFill="1" applyBorder="1" applyAlignment="1" applyProtection="1">
      <alignment horizontal="center"/>
      <protection locked="0"/>
    </xf>
    <xf numFmtId="0" fontId="15" fillId="8" borderId="29" xfId="0" applyFont="1" applyFill="1" applyBorder="1" applyAlignment="1" applyProtection="1">
      <alignment horizontal="center"/>
      <protection locked="0"/>
    </xf>
    <xf numFmtId="0" fontId="15" fillId="8" borderId="27" xfId="0" applyFont="1" applyFill="1" applyBorder="1" applyAlignment="1" applyProtection="1">
      <alignment horizontal="center" wrapText="1"/>
      <protection locked="0"/>
    </xf>
    <xf numFmtId="0" fontId="15" fillId="8" borderId="28" xfId="0" applyFont="1" applyFill="1" applyBorder="1" applyAlignment="1" applyProtection="1">
      <alignment horizontal="center" wrapText="1"/>
      <protection locked="0"/>
    </xf>
    <xf numFmtId="0" fontId="15" fillId="8" borderId="29" xfId="0" applyFont="1" applyFill="1" applyBorder="1" applyAlignment="1" applyProtection="1">
      <alignment horizontal="center" wrapText="1"/>
      <protection locked="0"/>
    </xf>
    <xf numFmtId="0" fontId="21" fillId="8" borderId="36" xfId="0" applyFont="1" applyFill="1" applyBorder="1" applyAlignment="1" applyProtection="1">
      <alignment horizontal="center"/>
      <protection locked="0"/>
    </xf>
    <xf numFmtId="0" fontId="21" fillId="8" borderId="17" xfId="0" applyFont="1" applyFill="1" applyBorder="1" applyAlignment="1" applyProtection="1">
      <alignment horizontal="center"/>
      <protection locked="0"/>
    </xf>
    <xf numFmtId="0" fontId="21" fillId="8" borderId="19" xfId="0" applyFont="1" applyFill="1" applyBorder="1" applyAlignment="1" applyProtection="1">
      <alignment horizontal="center"/>
      <protection locked="0"/>
    </xf>
    <xf numFmtId="0" fontId="14" fillId="0" borderId="20" xfId="0" applyFont="1" applyFill="1" applyBorder="1" applyAlignment="1" applyProtection="1">
      <alignment horizontal="left" vertical="top" wrapText="1"/>
      <protection locked="0"/>
    </xf>
    <xf numFmtId="0" fontId="14" fillId="0" borderId="21" xfId="0" applyFont="1" applyFill="1" applyBorder="1" applyAlignment="1" applyProtection="1">
      <alignment horizontal="left" vertical="top" wrapText="1"/>
      <protection locked="0"/>
    </xf>
    <xf numFmtId="0" fontId="14" fillId="0" borderId="22" xfId="0" applyFont="1" applyFill="1" applyBorder="1" applyAlignment="1" applyProtection="1">
      <alignment horizontal="left" vertical="top" wrapText="1"/>
      <protection locked="0"/>
    </xf>
    <xf numFmtId="0" fontId="52" fillId="8" borderId="0" xfId="0" applyFont="1" applyFill="1" applyAlignment="1" applyProtection="1">
      <alignment horizontal="center" vertical="center"/>
      <protection locked="0"/>
    </xf>
    <xf numFmtId="0" fontId="49" fillId="7" borderId="0" xfId="0" applyFont="1" applyFill="1" applyAlignment="1" applyProtection="1">
      <alignment horizontal="left" wrapText="1"/>
      <protection locked="0"/>
    </xf>
    <xf numFmtId="0" fontId="15" fillId="10" borderId="27" xfId="0" applyFont="1" applyFill="1" applyBorder="1" applyAlignment="1" applyProtection="1">
      <alignment horizontal="center"/>
      <protection locked="0"/>
    </xf>
    <xf numFmtId="0" fontId="15" fillId="10" borderId="28" xfId="0" applyFont="1" applyFill="1" applyBorder="1" applyAlignment="1" applyProtection="1">
      <alignment horizontal="center"/>
      <protection locked="0"/>
    </xf>
    <xf numFmtId="0" fontId="15" fillId="10" borderId="29" xfId="0" applyFont="1" applyFill="1" applyBorder="1" applyAlignment="1" applyProtection="1">
      <alignment horizontal="center"/>
      <protection locked="0"/>
    </xf>
    <xf numFmtId="0" fontId="15" fillId="10" borderId="27" xfId="0" applyFont="1" applyFill="1" applyBorder="1" applyAlignment="1" applyProtection="1">
      <alignment horizontal="center" wrapText="1"/>
      <protection locked="0"/>
    </xf>
    <xf numFmtId="0" fontId="15" fillId="10" borderId="28" xfId="0" applyFont="1" applyFill="1" applyBorder="1" applyAlignment="1" applyProtection="1">
      <alignment horizontal="center" wrapText="1"/>
      <protection locked="0"/>
    </xf>
    <xf numFmtId="0" fontId="15" fillId="10" borderId="29" xfId="0" applyFont="1" applyFill="1" applyBorder="1" applyAlignment="1" applyProtection="1">
      <alignment horizontal="center" wrapText="1"/>
      <protection locked="0"/>
    </xf>
    <xf numFmtId="0" fontId="40" fillId="16" borderId="0" xfId="3" applyFont="1" applyFill="1" applyAlignment="1" applyProtection="1">
      <alignment horizontal="left"/>
      <protection locked="0"/>
    </xf>
    <xf numFmtId="0" fontId="3" fillId="0" borderId="0" xfId="3" applyFont="1" applyFill="1" applyAlignment="1" applyProtection="1">
      <alignment horizontal="left"/>
      <protection locked="0"/>
    </xf>
    <xf numFmtId="0" fontId="21" fillId="10" borderId="17" xfId="0" applyFont="1" applyFill="1" applyBorder="1" applyAlignment="1" applyProtection="1">
      <alignment horizontal="center"/>
      <protection locked="0"/>
    </xf>
    <xf numFmtId="0" fontId="21" fillId="10" borderId="19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57" fillId="7" borderId="0" xfId="0" applyFont="1" applyFill="1" applyAlignment="1">
      <alignment horizontal="center" vertical="center"/>
    </xf>
    <xf numFmtId="0" fontId="15" fillId="0" borderId="0" xfId="0" applyFont="1" applyFill="1" applyAlignment="1" applyProtection="1">
      <alignment horizontal="center"/>
      <protection locked="0"/>
    </xf>
    <xf numFmtId="0" fontId="15" fillId="7" borderId="27" xfId="0" applyFont="1" applyFill="1" applyBorder="1" applyAlignment="1" applyProtection="1">
      <alignment horizontal="center"/>
      <protection locked="0"/>
    </xf>
    <xf numFmtId="0" fontId="15" fillId="7" borderId="28" xfId="0" applyFont="1" applyFill="1" applyBorder="1" applyAlignment="1" applyProtection="1">
      <alignment horizontal="center"/>
      <protection locked="0"/>
    </xf>
    <xf numFmtId="0" fontId="15" fillId="7" borderId="29" xfId="0" applyFont="1" applyFill="1" applyBorder="1" applyAlignment="1" applyProtection="1">
      <alignment horizontal="center"/>
      <protection locked="0"/>
    </xf>
    <xf numFmtId="0" fontId="15" fillId="6" borderId="27" xfId="0" applyFont="1" applyFill="1" applyBorder="1" applyAlignment="1" applyProtection="1">
      <alignment horizontal="center"/>
      <protection locked="0"/>
    </xf>
    <xf numFmtId="0" fontId="15" fillId="6" borderId="28" xfId="0" applyFont="1" applyFill="1" applyBorder="1" applyAlignment="1" applyProtection="1">
      <alignment horizontal="center"/>
      <protection locked="0"/>
    </xf>
    <xf numFmtId="0" fontId="15" fillId="6" borderId="29" xfId="0" applyFont="1" applyFill="1" applyBorder="1" applyAlignment="1" applyProtection="1">
      <alignment horizontal="center"/>
      <protection locked="0"/>
    </xf>
    <xf numFmtId="0" fontId="15" fillId="7" borderId="15" xfId="0" applyFont="1" applyFill="1" applyBorder="1" applyAlignment="1" applyProtection="1">
      <alignment horizontal="center"/>
      <protection locked="0"/>
    </xf>
    <xf numFmtId="0" fontId="15" fillId="7" borderId="3" xfId="0" applyFont="1" applyFill="1" applyBorder="1" applyAlignment="1" applyProtection="1">
      <alignment horizontal="center"/>
      <protection locked="0"/>
    </xf>
    <xf numFmtId="0" fontId="15" fillId="7" borderId="4" xfId="0" applyFont="1" applyFill="1" applyBorder="1" applyAlignment="1" applyProtection="1">
      <alignment horizontal="center"/>
      <protection locked="0"/>
    </xf>
    <xf numFmtId="0" fontId="21" fillId="6" borderId="2" xfId="0" applyFont="1" applyFill="1" applyBorder="1" applyAlignment="1" applyProtection="1">
      <alignment horizontal="center"/>
      <protection locked="0"/>
    </xf>
    <xf numFmtId="0" fontId="21" fillId="6" borderId="3" xfId="0" applyFont="1" applyFill="1" applyBorder="1" applyAlignment="1" applyProtection="1">
      <alignment horizontal="center"/>
      <protection locked="0"/>
    </xf>
    <xf numFmtId="0" fontId="21" fillId="6" borderId="16" xfId="0" applyFont="1" applyFill="1" applyBorder="1" applyAlignment="1" applyProtection="1">
      <alignment horizontal="center"/>
      <protection locked="0"/>
    </xf>
    <xf numFmtId="170" fontId="26" fillId="0" borderId="24" xfId="0" applyNumberFormat="1" applyFont="1" applyFill="1" applyBorder="1" applyAlignment="1" applyProtection="1">
      <alignment horizontal="center"/>
      <protection locked="0"/>
    </xf>
    <xf numFmtId="170" fontId="26" fillId="0" borderId="25" xfId="0" applyNumberFormat="1" applyFont="1" applyFill="1" applyBorder="1" applyAlignment="1" applyProtection="1">
      <alignment horizontal="center"/>
      <protection locked="0"/>
    </xf>
    <xf numFmtId="170" fontId="26" fillId="0" borderId="23" xfId="0" applyNumberFormat="1" applyFont="1" applyFill="1" applyBorder="1" applyAlignment="1" applyProtection="1">
      <alignment horizontal="center"/>
      <protection locked="0"/>
    </xf>
    <xf numFmtId="0" fontId="15" fillId="7" borderId="31" xfId="0" applyFont="1" applyFill="1" applyBorder="1" applyAlignment="1" applyProtection="1">
      <alignment horizontal="center"/>
      <protection locked="0"/>
    </xf>
    <xf numFmtId="0" fontId="15" fillId="7" borderId="30" xfId="0" applyFont="1" applyFill="1" applyBorder="1" applyAlignment="1" applyProtection="1">
      <alignment horizontal="center"/>
      <protection locked="0"/>
    </xf>
    <xf numFmtId="0" fontId="15" fillId="7" borderId="26" xfId="0" applyFont="1" applyFill="1" applyBorder="1" applyAlignment="1" applyProtection="1">
      <alignment horizontal="center"/>
      <protection locked="0"/>
    </xf>
    <xf numFmtId="0" fontId="21" fillId="6" borderId="17" xfId="0" applyFont="1" applyFill="1" applyBorder="1" applyAlignment="1" applyProtection="1">
      <alignment horizontal="center"/>
      <protection locked="0"/>
    </xf>
    <xf numFmtId="0" fontId="21" fillId="6" borderId="19" xfId="0" applyFont="1" applyFill="1" applyBorder="1" applyAlignment="1" applyProtection="1">
      <alignment horizontal="center"/>
      <protection locked="0"/>
    </xf>
    <xf numFmtId="0" fontId="27" fillId="0" borderId="13" xfId="1" applyNumberFormat="1" applyFont="1" applyFill="1" applyBorder="1" applyAlignment="1" applyProtection="1">
      <alignment horizontal="center"/>
      <protection locked="0"/>
    </xf>
    <xf numFmtId="0" fontId="27" fillId="0" borderId="12" xfId="1" applyNumberFormat="1" applyFont="1" applyFill="1" applyBorder="1" applyAlignment="1" applyProtection="1">
      <alignment horizontal="center"/>
      <protection locked="0"/>
    </xf>
    <xf numFmtId="0" fontId="27" fillId="0" borderId="14" xfId="1" applyNumberFormat="1" applyFont="1" applyFill="1" applyBorder="1" applyAlignment="1" applyProtection="1">
      <alignment horizontal="center"/>
      <protection locked="0"/>
    </xf>
    <xf numFmtId="0" fontId="28" fillId="9" borderId="0" xfId="3" applyFont="1" applyFill="1" applyAlignment="1" applyProtection="1">
      <alignment horizontal="left"/>
      <protection locked="0"/>
    </xf>
  </cellXfs>
  <cellStyles count="16">
    <cellStyle name="20% - Énfasis3 2" xfId="7"/>
    <cellStyle name="Cálculo 2" xfId="9"/>
    <cellStyle name="Entrada 2" xfId="8"/>
    <cellStyle name="Millares" xfId="1" builtinId="3"/>
    <cellStyle name="Moneda" xfId="2" builtinId="4"/>
    <cellStyle name="Moneda 2" xfId="6"/>
    <cellStyle name="Normal" xfId="0" builtinId="0"/>
    <cellStyle name="Normal 2" xfId="3"/>
    <cellStyle name="Normal 2 2" xfId="13"/>
    <cellStyle name="Normal 3" xfId="4"/>
    <cellStyle name="Normal 3 2" xfId="14"/>
    <cellStyle name="Normal 4" xfId="5"/>
    <cellStyle name="Normal 5" xfId="10"/>
    <cellStyle name="Normal 6" xfId="11"/>
    <cellStyle name="Normal 7" xfId="12"/>
    <cellStyle name="Normal 7 2" xfId="15"/>
  </cellStyles>
  <dxfs count="1748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68035</xdr:colOff>
      <xdr:row>0</xdr:row>
      <xdr:rowOff>31749</xdr:rowOff>
    </xdr:from>
    <xdr:to>
      <xdr:col>2</xdr:col>
      <xdr:colOff>2619375</xdr:colOff>
      <xdr:row>0</xdr:row>
      <xdr:rowOff>1000125</xdr:rowOff>
    </xdr:to>
    <xdr:sp macro="" textlink="">
      <xdr:nvSpPr>
        <xdr:cNvPr id="2" name="Globo: línea doblada 1">
          <a:extLst>
            <a:ext uri="{FF2B5EF4-FFF2-40B4-BE49-F238E27FC236}">
              <a16:creationId xmlns="" xmlns:a16="http://schemas.microsoft.com/office/drawing/2014/main" id="{220B6050-69B8-4F95-8B3B-A0C3A48DE93A}"/>
            </a:ext>
          </a:extLst>
        </xdr:cNvPr>
        <xdr:cNvSpPr/>
      </xdr:nvSpPr>
      <xdr:spPr>
        <a:xfrm>
          <a:off x="598714" y="31749"/>
          <a:ext cx="2551340" cy="968376"/>
        </a:xfrm>
        <a:prstGeom prst="borderCallout2">
          <a:avLst>
            <a:gd name="adj1" fmla="val 60610"/>
            <a:gd name="adj2" fmla="val 103880"/>
            <a:gd name="adj3" fmla="val 69913"/>
            <a:gd name="adj4" fmla="val 142875"/>
            <a:gd name="adj5" fmla="val 204341"/>
            <a:gd name="adj6" fmla="val 104420"/>
          </a:avLst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C" sz="1500" b="1">
              <a:solidFill>
                <a:srgbClr val="FF0000"/>
              </a:solidFill>
            </a:rPr>
            <a:t>SE INGRESA LA FECHA</a:t>
          </a:r>
          <a:r>
            <a:rPr lang="es-EC" sz="1500" b="1" baseline="0">
              <a:solidFill>
                <a:srgbClr val="FF0000"/>
              </a:solidFill>
            </a:rPr>
            <a:t> DEL PRIMER DIA DE LA QUINCENA POR EJEM: 01-01-19</a:t>
          </a:r>
          <a:endParaRPr lang="es-EC" sz="1500" b="1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40821</xdr:colOff>
      <xdr:row>6</xdr:row>
      <xdr:rowOff>215899</xdr:rowOff>
    </xdr:from>
    <xdr:to>
      <xdr:col>2</xdr:col>
      <xdr:colOff>2651125</xdr:colOff>
      <xdr:row>7</xdr:row>
      <xdr:rowOff>870857</xdr:rowOff>
    </xdr:to>
    <xdr:sp macro="" textlink="">
      <xdr:nvSpPr>
        <xdr:cNvPr id="3" name="Globo: línea doblada 2">
          <a:extLst>
            <a:ext uri="{FF2B5EF4-FFF2-40B4-BE49-F238E27FC236}">
              <a16:creationId xmlns="" xmlns:a16="http://schemas.microsoft.com/office/drawing/2014/main" id="{45B3E1BE-7C75-4267-97E9-AC8B7A366917}"/>
            </a:ext>
          </a:extLst>
        </xdr:cNvPr>
        <xdr:cNvSpPr/>
      </xdr:nvSpPr>
      <xdr:spPr>
        <a:xfrm>
          <a:off x="571500" y="2733220"/>
          <a:ext cx="2610304" cy="954316"/>
        </a:xfrm>
        <a:prstGeom prst="borderCallout2">
          <a:avLst>
            <a:gd name="adj1" fmla="val 33836"/>
            <a:gd name="adj2" fmla="val 104762"/>
            <a:gd name="adj3" fmla="val -143"/>
            <a:gd name="adj4" fmla="val 124451"/>
            <a:gd name="adj5" fmla="val -35365"/>
            <a:gd name="adj6" fmla="val 103042"/>
          </a:avLst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C" sz="1500" b="1">
              <a:solidFill>
                <a:srgbClr val="FF0000"/>
              </a:solidFill>
            </a:rPr>
            <a:t>SE INGRESA LA FECHA</a:t>
          </a:r>
          <a:r>
            <a:rPr lang="es-EC" sz="1500" b="1" baseline="0">
              <a:solidFill>
                <a:srgbClr val="FF0000"/>
              </a:solidFill>
            </a:rPr>
            <a:t> DEL ULTIMO  DIA DE LA QUINCENA POR EJEM: 15-01-19</a:t>
          </a:r>
          <a:endParaRPr lang="es-EC" sz="1500" b="1">
            <a:solidFill>
              <a:srgbClr val="FF0000"/>
            </a:solidFill>
          </a:endParaRPr>
        </a:p>
      </xdr:txBody>
    </xdr:sp>
    <xdr:clientData/>
  </xdr:twoCellAnchor>
  <xdr:twoCellAnchor>
    <xdr:from>
      <xdr:col>5</xdr:col>
      <xdr:colOff>349252</xdr:colOff>
      <xdr:row>0</xdr:row>
      <xdr:rowOff>746125</xdr:rowOff>
    </xdr:from>
    <xdr:to>
      <xdr:col>6</xdr:col>
      <xdr:colOff>365125</xdr:colOff>
      <xdr:row>3</xdr:row>
      <xdr:rowOff>47625</xdr:rowOff>
    </xdr:to>
    <xdr:cxnSp macro="">
      <xdr:nvCxnSpPr>
        <xdr:cNvPr id="5" name="Conector recto de flecha 4">
          <a:extLst>
            <a:ext uri="{FF2B5EF4-FFF2-40B4-BE49-F238E27FC236}">
              <a16:creationId xmlns="" xmlns:a16="http://schemas.microsoft.com/office/drawing/2014/main" id="{A169CA21-5974-4007-8CD6-37156B403C61}"/>
            </a:ext>
          </a:extLst>
        </xdr:cNvPr>
        <xdr:cNvCxnSpPr/>
      </xdr:nvCxnSpPr>
      <xdr:spPr>
        <a:xfrm flipH="1">
          <a:off x="4699002" y="746125"/>
          <a:ext cx="523873" cy="904875"/>
        </a:xfrm>
        <a:prstGeom prst="straightConnector1">
          <a:avLst/>
        </a:prstGeom>
        <a:ln>
          <a:headEnd type="none" w="med" len="med"/>
          <a:tailEnd type="arrow" w="med" len="med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95251</xdr:colOff>
      <xdr:row>1</xdr:row>
      <xdr:rowOff>15875</xdr:rowOff>
    </xdr:from>
    <xdr:to>
      <xdr:col>8</xdr:col>
      <xdr:colOff>0</xdr:colOff>
      <xdr:row>2</xdr:row>
      <xdr:rowOff>206375</xdr:rowOff>
    </xdr:to>
    <xdr:cxnSp macro="">
      <xdr:nvCxnSpPr>
        <xdr:cNvPr id="3" name="Conector recto de flecha 2">
          <a:extLst>
            <a:ext uri="{FF2B5EF4-FFF2-40B4-BE49-F238E27FC236}">
              <a16:creationId xmlns="" xmlns:a16="http://schemas.microsoft.com/office/drawing/2014/main" id="{FB17BE5D-B7B6-4715-B98A-41C0E387E813}"/>
            </a:ext>
          </a:extLst>
        </xdr:cNvPr>
        <xdr:cNvCxnSpPr/>
      </xdr:nvCxnSpPr>
      <xdr:spPr>
        <a:xfrm flipH="1">
          <a:off x="4953001" y="746125"/>
          <a:ext cx="936624" cy="476250"/>
        </a:xfrm>
        <a:prstGeom prst="straightConnector1">
          <a:avLst/>
        </a:prstGeom>
        <a:ln>
          <a:headEnd type="none" w="med" len="med"/>
          <a:tailEnd type="arrow" w="med" len="med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174625</xdr:colOff>
      <xdr:row>6</xdr:row>
      <xdr:rowOff>215899</xdr:rowOff>
    </xdr:from>
    <xdr:to>
      <xdr:col>2</xdr:col>
      <xdr:colOff>2651125</xdr:colOff>
      <xdr:row>7</xdr:row>
      <xdr:rowOff>873125</xdr:rowOff>
    </xdr:to>
    <xdr:sp macro="" textlink="">
      <xdr:nvSpPr>
        <xdr:cNvPr id="4" name="Globo: línea doblada 3">
          <a:extLst>
            <a:ext uri="{FF2B5EF4-FFF2-40B4-BE49-F238E27FC236}">
              <a16:creationId xmlns="" xmlns:a16="http://schemas.microsoft.com/office/drawing/2014/main" id="{55003E32-791B-4D01-AD47-6291AD98DCFE}"/>
            </a:ext>
          </a:extLst>
        </xdr:cNvPr>
        <xdr:cNvSpPr/>
      </xdr:nvSpPr>
      <xdr:spPr>
        <a:xfrm>
          <a:off x="698500" y="2740024"/>
          <a:ext cx="2476500" cy="962026"/>
        </a:xfrm>
        <a:prstGeom prst="borderCallout2">
          <a:avLst>
            <a:gd name="adj1" fmla="val 33836"/>
            <a:gd name="adj2" fmla="val 104762"/>
            <a:gd name="adj3" fmla="val -143"/>
            <a:gd name="adj4" fmla="val 124451"/>
            <a:gd name="adj5" fmla="val -35365"/>
            <a:gd name="adj6" fmla="val 103042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C" sz="1400" b="1"/>
            <a:t>SE INGRESA LA FECHA</a:t>
          </a:r>
          <a:r>
            <a:rPr lang="es-EC" sz="1400" b="1" baseline="0"/>
            <a:t> DEL ULTIMO  DIA DE LA QUINCENA POR EJEM: 15-01-19</a:t>
          </a:r>
          <a:endParaRPr lang="es-EC" sz="14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189442</xdr:colOff>
      <xdr:row>7</xdr:row>
      <xdr:rowOff>161924</xdr:rowOff>
    </xdr:from>
    <xdr:to>
      <xdr:col>11</xdr:col>
      <xdr:colOff>73025</xdr:colOff>
      <xdr:row>18</xdr:row>
      <xdr:rowOff>180975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91" t="25915" r="38007" b="45175"/>
        <a:stretch/>
      </xdr:blipFill>
      <xdr:spPr>
        <a:xfrm>
          <a:off x="189442" y="1506007"/>
          <a:ext cx="7810500" cy="2114551"/>
        </a:xfrm>
        <a:prstGeom prst="rect">
          <a:avLst/>
        </a:prstGeom>
      </xdr:spPr>
    </xdr:pic>
    <xdr:clientData/>
  </xdr:twoCellAnchor>
  <xdr:twoCellAnchor editAs="oneCell">
    <xdr:from>
      <xdr:col>0</xdr:col>
      <xdr:colOff>338667</xdr:colOff>
      <xdr:row>29</xdr:row>
      <xdr:rowOff>32808</xdr:rowOff>
    </xdr:from>
    <xdr:to>
      <xdr:col>11</xdr:col>
      <xdr:colOff>231775</xdr:colOff>
      <xdr:row>41</xdr:row>
      <xdr:rowOff>166158</xdr:rowOff>
    </xdr:to>
    <xdr:pic>
      <xdr:nvPicPr>
        <xdr:cNvPr id="6" name="Imagen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17" t="25915" r="38007" b="41008"/>
        <a:stretch/>
      </xdr:blipFill>
      <xdr:spPr>
        <a:xfrm>
          <a:off x="338667" y="5567891"/>
          <a:ext cx="7820025" cy="24193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1</xdr:rowOff>
    </xdr:from>
    <xdr:to>
      <xdr:col>10</xdr:col>
      <xdr:colOff>1026583</xdr:colOff>
      <xdr:row>74</xdr:row>
      <xdr:rowOff>167217</xdr:rowOff>
    </xdr:to>
    <xdr:pic>
      <xdr:nvPicPr>
        <xdr:cNvPr id="8" name="Imagen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551" t="26624" r="36676" b="8842"/>
        <a:stretch/>
      </xdr:blipFill>
      <xdr:spPr>
        <a:xfrm>
          <a:off x="0" y="9535584"/>
          <a:ext cx="7757583" cy="4739216"/>
        </a:xfrm>
        <a:prstGeom prst="rect">
          <a:avLst/>
        </a:prstGeom>
      </xdr:spPr>
    </xdr:pic>
    <xdr:clientData/>
  </xdr:twoCellAnchor>
  <xdr:twoCellAnchor>
    <xdr:from>
      <xdr:col>4</xdr:col>
      <xdr:colOff>684633</xdr:colOff>
      <xdr:row>54</xdr:row>
      <xdr:rowOff>10583</xdr:rowOff>
    </xdr:from>
    <xdr:to>
      <xdr:col>10</xdr:col>
      <xdr:colOff>617110</xdr:colOff>
      <xdr:row>54</xdr:row>
      <xdr:rowOff>10583</xdr:rowOff>
    </xdr:to>
    <xdr:cxnSp macro="">
      <xdr:nvCxnSpPr>
        <xdr:cNvPr id="12" name="Conector recto de flecha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CxnSpPr/>
      </xdr:nvCxnSpPr>
      <xdr:spPr>
        <a:xfrm flipH="1">
          <a:off x="2843633" y="10308166"/>
          <a:ext cx="4504477" cy="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613191</xdr:colOff>
      <xdr:row>55</xdr:row>
      <xdr:rowOff>84667</xdr:rowOff>
    </xdr:from>
    <xdr:to>
      <xdr:col>10</xdr:col>
      <xdr:colOff>840953</xdr:colOff>
      <xdr:row>56</xdr:row>
      <xdr:rowOff>4233</xdr:rowOff>
    </xdr:to>
    <xdr:cxnSp macro="">
      <xdr:nvCxnSpPr>
        <xdr:cNvPr id="13" name="Conector recto de flecha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CxnSpPr/>
      </xdr:nvCxnSpPr>
      <xdr:spPr>
        <a:xfrm flipH="1" flipV="1">
          <a:off x="5058191" y="10572750"/>
          <a:ext cx="2513762" cy="110066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627379</xdr:colOff>
      <xdr:row>57</xdr:row>
      <xdr:rowOff>188383</xdr:rowOff>
    </xdr:from>
    <xdr:to>
      <xdr:col>10</xdr:col>
      <xdr:colOff>619334</xdr:colOff>
      <xdr:row>63</xdr:row>
      <xdr:rowOff>158750</xdr:rowOff>
    </xdr:to>
    <xdr:cxnSp macro="">
      <xdr:nvCxnSpPr>
        <xdr:cNvPr id="14" name="Conector recto de flecha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CxnSpPr/>
      </xdr:nvCxnSpPr>
      <xdr:spPr>
        <a:xfrm flipH="1">
          <a:off x="2786379" y="11057466"/>
          <a:ext cx="4563955" cy="1113367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289166</xdr:colOff>
      <xdr:row>59</xdr:row>
      <xdr:rowOff>12700</xdr:rowOff>
    </xdr:from>
    <xdr:to>
      <xdr:col>10</xdr:col>
      <xdr:colOff>644280</xdr:colOff>
      <xdr:row>64</xdr:row>
      <xdr:rowOff>52917</xdr:rowOff>
    </xdr:to>
    <xdr:cxnSp macro="">
      <xdr:nvCxnSpPr>
        <xdr:cNvPr id="15" name="Conector recto de flecha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CxnSpPr/>
      </xdr:nvCxnSpPr>
      <xdr:spPr>
        <a:xfrm flipH="1">
          <a:off x="3210166" y="11262783"/>
          <a:ext cx="4165114" cy="992717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645667</xdr:colOff>
      <xdr:row>60</xdr:row>
      <xdr:rowOff>10583</xdr:rowOff>
    </xdr:from>
    <xdr:to>
      <xdr:col>10</xdr:col>
      <xdr:colOff>666659</xdr:colOff>
      <xdr:row>64</xdr:row>
      <xdr:rowOff>105833</xdr:rowOff>
    </xdr:to>
    <xdr:cxnSp macro="">
      <xdr:nvCxnSpPr>
        <xdr:cNvPr id="16" name="Conector recto de flecha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CxnSpPr/>
      </xdr:nvCxnSpPr>
      <xdr:spPr>
        <a:xfrm flipH="1">
          <a:off x="3566667" y="11451166"/>
          <a:ext cx="3830992" cy="8572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369671</xdr:colOff>
      <xdr:row>61</xdr:row>
      <xdr:rowOff>42334</xdr:rowOff>
    </xdr:from>
    <xdr:to>
      <xdr:col>10</xdr:col>
      <xdr:colOff>814917</xdr:colOff>
      <xdr:row>64</xdr:row>
      <xdr:rowOff>127000</xdr:rowOff>
    </xdr:to>
    <xdr:cxnSp macro="">
      <xdr:nvCxnSpPr>
        <xdr:cNvPr id="17" name="Conector recto de flecha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CxnSpPr/>
      </xdr:nvCxnSpPr>
      <xdr:spPr>
        <a:xfrm flipH="1">
          <a:off x="4052671" y="11673417"/>
          <a:ext cx="3493246" cy="656166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634376</xdr:colOff>
      <xdr:row>62</xdr:row>
      <xdr:rowOff>83609</xdr:rowOff>
    </xdr:from>
    <xdr:to>
      <xdr:col>10</xdr:col>
      <xdr:colOff>1026583</xdr:colOff>
      <xdr:row>64</xdr:row>
      <xdr:rowOff>25400</xdr:rowOff>
    </xdr:to>
    <xdr:cxnSp macro="">
      <xdr:nvCxnSpPr>
        <xdr:cNvPr id="18" name="Conector recto de flecha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CxnSpPr>
          <a:stCxn id="8" idx="3"/>
        </xdr:cNvCxnSpPr>
      </xdr:nvCxnSpPr>
      <xdr:spPr>
        <a:xfrm flipH="1">
          <a:off x="6603376" y="11905192"/>
          <a:ext cx="1154207" cy="322791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12</xdr:row>
      <xdr:rowOff>0</xdr:rowOff>
    </xdr:from>
    <xdr:to>
      <xdr:col>12</xdr:col>
      <xdr:colOff>304800</xdr:colOff>
      <xdr:row>13</xdr:row>
      <xdr:rowOff>114300</xdr:rowOff>
    </xdr:to>
    <xdr:sp macro="" textlink="">
      <xdr:nvSpPr>
        <xdr:cNvPr id="2" name="AutoShape 5" descr="Imagen relacionada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395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108851</xdr:rowOff>
    </xdr:from>
    <xdr:to>
      <xdr:col>2</xdr:col>
      <xdr:colOff>285750</xdr:colOff>
      <xdr:row>67</xdr:row>
      <xdr:rowOff>11071</xdr:rowOff>
    </xdr:to>
    <xdr:pic macro="[0]!BORRA_DATOS">
      <xdr:nvPicPr>
        <xdr:cNvPr id="3" name="Imagen 2" descr="http://www.puntogeek.com/wp-content/uploads/2011/06/free-file-wiper.png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606276"/>
          <a:ext cx="666750" cy="664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0</xdr:colOff>
      <xdr:row>13</xdr:row>
      <xdr:rowOff>0</xdr:rowOff>
    </xdr:from>
    <xdr:ext cx="304800" cy="304800"/>
    <xdr:sp macro="" textlink="">
      <xdr:nvSpPr>
        <xdr:cNvPr id="5" name="AutoShape 5" descr="Imagen relacionada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433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14</xdr:row>
      <xdr:rowOff>0</xdr:rowOff>
    </xdr:from>
    <xdr:ext cx="304800" cy="304800"/>
    <xdr:sp macro="" textlink="">
      <xdr:nvSpPr>
        <xdr:cNvPr id="6" name="AutoShape 5" descr="Imagen relacionada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471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15</xdr:row>
      <xdr:rowOff>0</xdr:rowOff>
    </xdr:from>
    <xdr:ext cx="304800" cy="304800"/>
    <xdr:sp macro="" textlink="">
      <xdr:nvSpPr>
        <xdr:cNvPr id="7" name="AutoShape 5" descr="Imagen relacionada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509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16</xdr:row>
      <xdr:rowOff>0</xdr:rowOff>
    </xdr:from>
    <xdr:ext cx="304800" cy="304800"/>
    <xdr:sp macro="" textlink="">
      <xdr:nvSpPr>
        <xdr:cNvPr id="8" name="AutoShape 5" descr="Imagen relacionada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547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9" name="AutoShape 5" descr="Imagen relacionada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585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18</xdr:row>
      <xdr:rowOff>0</xdr:rowOff>
    </xdr:from>
    <xdr:ext cx="304800" cy="304800"/>
    <xdr:sp macro="" textlink="">
      <xdr:nvSpPr>
        <xdr:cNvPr id="10" name="AutoShape 5" descr="Imagen relacionada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623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19</xdr:row>
      <xdr:rowOff>0</xdr:rowOff>
    </xdr:from>
    <xdr:ext cx="304800" cy="304800"/>
    <xdr:sp macro="" textlink="">
      <xdr:nvSpPr>
        <xdr:cNvPr id="11" name="AutoShape 5" descr="Imagen relacionada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661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20</xdr:row>
      <xdr:rowOff>0</xdr:rowOff>
    </xdr:from>
    <xdr:ext cx="304800" cy="304800"/>
    <xdr:sp macro="" textlink="">
      <xdr:nvSpPr>
        <xdr:cNvPr id="12" name="AutoShape 5" descr="Imagen relacionada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700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21</xdr:row>
      <xdr:rowOff>0</xdr:rowOff>
    </xdr:from>
    <xdr:ext cx="304800" cy="304800"/>
    <xdr:sp macro="" textlink="">
      <xdr:nvSpPr>
        <xdr:cNvPr id="13" name="AutoShape 5" descr="Imagen relacionada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738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22</xdr:row>
      <xdr:rowOff>0</xdr:rowOff>
    </xdr:from>
    <xdr:ext cx="304800" cy="304800"/>
    <xdr:sp macro="" textlink="">
      <xdr:nvSpPr>
        <xdr:cNvPr id="14" name="AutoShape 5" descr="Imagen relacionada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776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23</xdr:row>
      <xdr:rowOff>0</xdr:rowOff>
    </xdr:from>
    <xdr:ext cx="304800" cy="304800"/>
    <xdr:sp macro="" textlink="">
      <xdr:nvSpPr>
        <xdr:cNvPr id="15" name="AutoShape 5" descr="Imagen relacionada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814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24</xdr:row>
      <xdr:rowOff>0</xdr:rowOff>
    </xdr:from>
    <xdr:ext cx="304800" cy="304800"/>
    <xdr:sp macro="" textlink="">
      <xdr:nvSpPr>
        <xdr:cNvPr id="16" name="AutoShape 5" descr="Imagen relacionada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852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25</xdr:row>
      <xdr:rowOff>0</xdr:rowOff>
    </xdr:from>
    <xdr:ext cx="304800" cy="304800"/>
    <xdr:sp macro="" textlink="">
      <xdr:nvSpPr>
        <xdr:cNvPr id="17" name="AutoShape 5" descr="Imagen relacionada"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26</xdr:row>
      <xdr:rowOff>0</xdr:rowOff>
    </xdr:from>
    <xdr:ext cx="304800" cy="304800"/>
    <xdr:sp macro="" textlink="">
      <xdr:nvSpPr>
        <xdr:cNvPr id="18" name="AutoShape 5" descr="Imagen relacionada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928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27</xdr:row>
      <xdr:rowOff>0</xdr:rowOff>
    </xdr:from>
    <xdr:ext cx="304800" cy="304800"/>
    <xdr:sp macro="" textlink="">
      <xdr:nvSpPr>
        <xdr:cNvPr id="19" name="AutoShape 5" descr="Imagen relacionada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96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28</xdr:row>
      <xdr:rowOff>0</xdr:rowOff>
    </xdr:from>
    <xdr:ext cx="304800" cy="304800"/>
    <xdr:sp macro="" textlink="">
      <xdr:nvSpPr>
        <xdr:cNvPr id="20" name="AutoShape 5" descr="Imagen relacionada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1004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29</xdr:row>
      <xdr:rowOff>0</xdr:rowOff>
    </xdr:from>
    <xdr:ext cx="304800" cy="304800"/>
    <xdr:sp macro="" textlink="">
      <xdr:nvSpPr>
        <xdr:cNvPr id="21" name="AutoShape 5" descr="Imagen relacionada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1042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30</xdr:row>
      <xdr:rowOff>0</xdr:rowOff>
    </xdr:from>
    <xdr:ext cx="304800" cy="304800"/>
    <xdr:sp macro="" textlink="">
      <xdr:nvSpPr>
        <xdr:cNvPr id="22" name="AutoShape 5" descr="Imagen relacionada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108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92D050"/>
  </sheetPr>
  <dimension ref="A1:AE15"/>
  <sheetViews>
    <sheetView zoomScaleNormal="100" workbookViewId="0">
      <pane xSplit="4" ySplit="4" topLeftCell="T5" activePane="bottomRight" state="frozen"/>
      <selection pane="topRight" activeCell="E1" sqref="E1"/>
      <selection pane="bottomLeft" activeCell="A5" sqref="A5"/>
      <selection pane="bottomRight" activeCell="D22" sqref="D22"/>
    </sheetView>
  </sheetViews>
  <sheetFormatPr baseColWidth="10" defaultRowHeight="15" x14ac:dyDescent="0.25"/>
  <cols>
    <col min="1" max="1" width="5.140625" style="18" customWidth="1"/>
    <col min="2" max="2" width="33.42578125" style="19" bestFit="1" customWidth="1"/>
    <col min="3" max="3" width="11.42578125" style="19"/>
    <col min="4" max="4" width="12.85546875" style="19" bestFit="1" customWidth="1"/>
    <col min="5" max="5" width="11.42578125" style="24"/>
    <col min="6" max="6" width="9.7109375" style="24" customWidth="1"/>
    <col min="7" max="7" width="9.5703125" style="19" bestFit="1" customWidth="1"/>
    <col min="8" max="8" width="10.7109375" style="19" customWidth="1"/>
    <col min="9" max="9" width="33" style="19" customWidth="1"/>
    <col min="10" max="10" width="8.7109375" style="19" customWidth="1"/>
    <col min="11" max="11" width="9.85546875" style="19" customWidth="1"/>
    <col min="12" max="12" width="11.42578125" style="19"/>
    <col min="13" max="13" width="9.85546875" style="19" customWidth="1"/>
    <col min="14" max="14" width="8.5703125" style="19" customWidth="1"/>
    <col min="15" max="15" width="8.28515625" style="19" customWidth="1"/>
    <col min="16" max="16" width="9.85546875" style="19" customWidth="1"/>
    <col min="17" max="17" width="29.7109375" bestFit="1" customWidth="1"/>
    <col min="18" max="18" width="10" bestFit="1" customWidth="1"/>
    <col min="21" max="21" width="12.28515625" customWidth="1"/>
    <col min="23" max="23" width="13.85546875" customWidth="1"/>
    <col min="24" max="24" width="13" customWidth="1"/>
    <col min="26" max="26" width="12.85546875" customWidth="1"/>
    <col min="27" max="28" width="13" customWidth="1"/>
    <col min="29" max="29" width="13.7109375" bestFit="1" customWidth="1"/>
  </cols>
  <sheetData>
    <row r="1" spans="1:31" ht="28.5" customHeight="1" x14ac:dyDescent="0.4">
      <c r="B1" s="320" t="s">
        <v>183</v>
      </c>
      <c r="C1" s="320"/>
      <c r="D1" s="320"/>
    </row>
    <row r="2" spans="1:31" ht="18.75" x14ac:dyDescent="0.3">
      <c r="B2" s="20" t="s">
        <v>90</v>
      </c>
      <c r="R2" s="26"/>
    </row>
    <row r="3" spans="1:31" s="212" customFormat="1" ht="20.25" customHeight="1" x14ac:dyDescent="0.3">
      <c r="A3" s="211"/>
      <c r="B3" s="20" t="s">
        <v>181</v>
      </c>
      <c r="E3" s="213"/>
      <c r="F3" s="213"/>
    </row>
    <row r="4" spans="1:31" ht="23.25" customHeight="1" x14ac:dyDescent="0.25">
      <c r="A4" s="21" t="s">
        <v>67</v>
      </c>
      <c r="B4" s="295" t="s">
        <v>59</v>
      </c>
      <c r="C4" s="295" t="s">
        <v>51</v>
      </c>
      <c r="D4" s="295" t="s">
        <v>1</v>
      </c>
      <c r="E4" s="296" t="s">
        <v>60</v>
      </c>
      <c r="F4" s="25" t="s">
        <v>52</v>
      </c>
      <c r="G4" s="22" t="s">
        <v>86</v>
      </c>
      <c r="H4" s="295" t="s">
        <v>61</v>
      </c>
      <c r="I4" s="295" t="s">
        <v>62</v>
      </c>
      <c r="J4" s="297" t="s">
        <v>65</v>
      </c>
      <c r="K4" s="21" t="s">
        <v>57</v>
      </c>
      <c r="L4" s="295" t="s">
        <v>66</v>
      </c>
      <c r="M4" s="21" t="s">
        <v>57</v>
      </c>
      <c r="N4" s="197" t="s">
        <v>63</v>
      </c>
      <c r="O4" s="22" t="s">
        <v>85</v>
      </c>
      <c r="P4" s="22" t="s">
        <v>64</v>
      </c>
      <c r="Q4" s="22" t="s">
        <v>89</v>
      </c>
      <c r="R4" s="22"/>
      <c r="S4" s="22"/>
      <c r="T4" s="22" t="s">
        <v>68</v>
      </c>
      <c r="U4" s="22" t="s">
        <v>69</v>
      </c>
      <c r="V4" s="22" t="s">
        <v>70</v>
      </c>
      <c r="W4" s="22" t="s">
        <v>71</v>
      </c>
      <c r="X4" s="22" t="s">
        <v>72</v>
      </c>
      <c r="Y4" s="22" t="s">
        <v>73</v>
      </c>
      <c r="Z4" s="22" t="s">
        <v>74</v>
      </c>
      <c r="AA4" s="22" t="s">
        <v>75</v>
      </c>
      <c r="AB4" s="22" t="s">
        <v>30</v>
      </c>
      <c r="AC4" s="22" t="s">
        <v>76</v>
      </c>
      <c r="AD4" s="297" t="s">
        <v>201</v>
      </c>
      <c r="AE4" s="14"/>
    </row>
    <row r="5" spans="1:31" ht="18" customHeight="1" x14ac:dyDescent="0.25">
      <c r="A5" s="198">
        <v>1</v>
      </c>
      <c r="B5" s="209" t="s">
        <v>184</v>
      </c>
      <c r="C5" s="209" t="s">
        <v>185</v>
      </c>
      <c r="D5" s="209" t="s">
        <v>17</v>
      </c>
      <c r="E5" s="304">
        <v>476.58</v>
      </c>
      <c r="F5" s="210">
        <v>76.52</v>
      </c>
      <c r="G5" s="209"/>
      <c r="H5" s="220">
        <v>41352</v>
      </c>
      <c r="I5" s="209" t="s">
        <v>180</v>
      </c>
      <c r="J5" s="221" t="s">
        <v>58</v>
      </c>
      <c r="K5" s="222"/>
      <c r="L5" s="221" t="s">
        <v>58</v>
      </c>
      <c r="M5" s="222"/>
      <c r="N5" s="223" t="str">
        <f ca="1">IF(TODAY()&gt;=(H5+365),"SI","NO")</f>
        <v>SI</v>
      </c>
      <c r="O5" s="221"/>
      <c r="P5" s="222"/>
      <c r="Q5" s="202" t="str">
        <f t="shared" ref="Q5:Q15" si="0">IF(AND(ISTEXT(B5)),B5,"")</f>
        <v>MATAILO PINTA MIGUEL ANGEL</v>
      </c>
      <c r="R5" s="14"/>
      <c r="S5" s="14"/>
      <c r="T5" s="224"/>
      <c r="U5" s="203"/>
      <c r="V5" s="204"/>
      <c r="W5" s="205"/>
      <c r="X5" s="205"/>
      <c r="Y5" s="205"/>
      <c r="Z5" s="205"/>
      <c r="AA5" s="205"/>
      <c r="AB5" s="205"/>
      <c r="AC5" s="205"/>
      <c r="AD5" s="294" t="s">
        <v>203</v>
      </c>
      <c r="AE5" s="206"/>
    </row>
    <row r="6" spans="1:31" ht="18" customHeight="1" x14ac:dyDescent="0.25">
      <c r="A6" s="198">
        <f t="shared" ref="A6:A15" si="1">IF(AND(ISTEXT(B6)),A5+1,"")</f>
        <v>2</v>
      </c>
      <c r="B6" s="209" t="s">
        <v>186</v>
      </c>
      <c r="C6" s="209" t="s">
        <v>187</v>
      </c>
      <c r="D6" s="209" t="s">
        <v>23</v>
      </c>
      <c r="E6" s="304">
        <v>488.08</v>
      </c>
      <c r="F6" s="210"/>
      <c r="G6" s="209"/>
      <c r="H6" s="220">
        <v>42430</v>
      </c>
      <c r="I6" s="209" t="s">
        <v>190</v>
      </c>
      <c r="J6" s="221" t="s">
        <v>58</v>
      </c>
      <c r="K6" s="222"/>
      <c r="L6" s="221" t="s">
        <v>58</v>
      </c>
      <c r="M6" s="222"/>
      <c r="N6" s="223" t="str">
        <f ca="1">IF(TODAY()&gt;=(H6+365),"SI","NO")</f>
        <v>SI</v>
      </c>
      <c r="O6" s="221"/>
      <c r="P6" s="222"/>
      <c r="Q6" s="202" t="str">
        <f t="shared" si="0"/>
        <v>HELGUERO MARTINEZ CARLOS RENE</v>
      </c>
      <c r="R6" s="14"/>
      <c r="S6" s="14"/>
      <c r="T6" s="224"/>
      <c r="U6" s="203"/>
      <c r="V6" s="204"/>
      <c r="W6" s="205"/>
      <c r="X6" s="205"/>
      <c r="Y6" s="205"/>
      <c r="Z6" s="205"/>
      <c r="AA6" s="205"/>
      <c r="AB6" s="205"/>
      <c r="AC6" s="205"/>
      <c r="AD6" s="294" t="s">
        <v>202</v>
      </c>
      <c r="AE6" s="206"/>
    </row>
    <row r="7" spans="1:31" ht="18" customHeight="1" x14ac:dyDescent="0.25">
      <c r="A7" s="198">
        <f t="shared" si="1"/>
        <v>3</v>
      </c>
      <c r="B7" s="209" t="s">
        <v>206</v>
      </c>
      <c r="C7" s="207" t="s">
        <v>207</v>
      </c>
      <c r="D7" s="209" t="s">
        <v>188</v>
      </c>
      <c r="E7" s="304">
        <v>476.58</v>
      </c>
      <c r="F7" s="210"/>
      <c r="G7" s="199"/>
      <c r="H7" s="244">
        <v>44216</v>
      </c>
      <c r="I7" s="200" t="s">
        <v>208</v>
      </c>
      <c r="J7" s="198" t="s">
        <v>161</v>
      </c>
      <c r="K7" s="208"/>
      <c r="L7" s="208" t="s">
        <v>161</v>
      </c>
      <c r="M7" s="208"/>
      <c r="N7" s="201" t="s">
        <v>161</v>
      </c>
      <c r="O7" s="209"/>
      <c r="P7" s="209"/>
      <c r="Q7" s="202" t="str">
        <f t="shared" si="0"/>
        <v>ACARO HERRERA ESTALIN RODRIGO</v>
      </c>
      <c r="R7" s="14"/>
      <c r="S7" s="14"/>
      <c r="T7" s="14"/>
      <c r="U7" s="203"/>
      <c r="V7" s="204"/>
      <c r="W7" s="205"/>
      <c r="X7" s="205"/>
      <c r="Y7" s="205"/>
      <c r="Z7" s="205"/>
      <c r="AA7" s="205"/>
      <c r="AB7" s="205"/>
      <c r="AC7" s="205"/>
      <c r="AD7" s="294" t="s">
        <v>202</v>
      </c>
      <c r="AE7" s="206"/>
    </row>
    <row r="8" spans="1:31" ht="18" customHeight="1" x14ac:dyDescent="0.25">
      <c r="A8" s="198">
        <f t="shared" si="1"/>
        <v>4</v>
      </c>
      <c r="B8" s="209" t="s">
        <v>210</v>
      </c>
      <c r="C8" s="207" t="s">
        <v>211</v>
      </c>
      <c r="D8" s="209" t="s">
        <v>17</v>
      </c>
      <c r="E8" s="304">
        <v>476.58</v>
      </c>
      <c r="F8" s="210"/>
      <c r="G8" s="199"/>
      <c r="H8" s="244">
        <v>44650</v>
      </c>
      <c r="I8" s="200" t="s">
        <v>209</v>
      </c>
      <c r="J8" s="198" t="s">
        <v>161</v>
      </c>
      <c r="K8" s="208"/>
      <c r="L8" s="208" t="s">
        <v>161</v>
      </c>
      <c r="M8" s="208"/>
      <c r="N8" s="201" t="s">
        <v>161</v>
      </c>
      <c r="O8" s="209"/>
      <c r="P8" s="209"/>
      <c r="Q8" s="202" t="str">
        <f t="shared" si="0"/>
        <v>ZHANAY CABRERA ELVIS WLADIMIR</v>
      </c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294" t="s">
        <v>203</v>
      </c>
      <c r="AE8" s="14"/>
    </row>
    <row r="9" spans="1:31" ht="18" customHeight="1" x14ac:dyDescent="0.25">
      <c r="A9" s="198">
        <f t="shared" si="1"/>
        <v>5</v>
      </c>
      <c r="B9" s="209" t="s">
        <v>212</v>
      </c>
      <c r="C9" s="209" t="s">
        <v>213</v>
      </c>
      <c r="D9" s="209" t="s">
        <v>17</v>
      </c>
      <c r="E9" s="304">
        <v>476.58</v>
      </c>
      <c r="F9" s="210"/>
      <c r="G9" s="199"/>
      <c r="H9" s="244">
        <v>45083</v>
      </c>
      <c r="I9" s="316" t="s">
        <v>208</v>
      </c>
      <c r="J9" s="198" t="s">
        <v>161</v>
      </c>
      <c r="K9" s="208"/>
      <c r="L9" s="208" t="s">
        <v>161</v>
      </c>
      <c r="M9" s="209"/>
      <c r="N9" s="201" t="s">
        <v>161</v>
      </c>
      <c r="O9" s="317"/>
      <c r="P9" s="209"/>
      <c r="Q9" s="202" t="str">
        <f t="shared" si="0"/>
        <v>GUEVARA HERRERA VICENTE PATRICIO</v>
      </c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294" t="s">
        <v>203</v>
      </c>
      <c r="AE9" s="14"/>
    </row>
    <row r="10" spans="1:31" x14ac:dyDescent="0.25">
      <c r="A10" s="198">
        <f t="shared" si="1"/>
        <v>6</v>
      </c>
      <c r="B10" s="209" t="s">
        <v>215</v>
      </c>
      <c r="C10" s="209" t="s">
        <v>216</v>
      </c>
      <c r="D10" s="209" t="s">
        <v>17</v>
      </c>
      <c r="E10" s="304">
        <v>476.58</v>
      </c>
      <c r="F10" s="210"/>
      <c r="G10" s="209"/>
      <c r="H10" s="220">
        <v>45406</v>
      </c>
      <c r="I10" s="209" t="s">
        <v>217</v>
      </c>
      <c r="J10" s="221" t="s">
        <v>161</v>
      </c>
      <c r="K10" s="222"/>
      <c r="L10" s="221" t="s">
        <v>161</v>
      </c>
      <c r="M10" s="222"/>
      <c r="N10" s="223" t="s">
        <v>161</v>
      </c>
      <c r="O10" s="221"/>
      <c r="P10" s="222"/>
      <c r="Q10" s="202" t="str">
        <f t="shared" si="0"/>
        <v>PINARGOTE BERMELLO ANGEL EUGENIO</v>
      </c>
      <c r="R10" s="14"/>
      <c r="S10" s="14"/>
      <c r="T10" s="224"/>
      <c r="U10" s="203"/>
      <c r="V10" s="204"/>
      <c r="W10" s="205"/>
      <c r="X10" s="205"/>
      <c r="Y10" s="205"/>
      <c r="Z10" s="205"/>
      <c r="AA10" s="205"/>
      <c r="AB10" s="205"/>
      <c r="AC10" s="205"/>
      <c r="AD10" s="294" t="s">
        <v>202</v>
      </c>
      <c r="AE10" s="206"/>
    </row>
    <row r="11" spans="1:31" x14ac:dyDescent="0.25">
      <c r="A11" s="198">
        <f t="shared" si="1"/>
        <v>7</v>
      </c>
      <c r="B11" s="209" t="s">
        <v>218</v>
      </c>
      <c r="C11" s="207" t="s">
        <v>219</v>
      </c>
      <c r="D11" s="209" t="s">
        <v>17</v>
      </c>
      <c r="E11" s="304">
        <v>476.58</v>
      </c>
      <c r="F11" s="210"/>
      <c r="G11" s="209"/>
      <c r="H11" s="220">
        <v>45406</v>
      </c>
      <c r="I11" s="209" t="s">
        <v>220</v>
      </c>
      <c r="J11" s="221" t="s">
        <v>161</v>
      </c>
      <c r="K11" s="222"/>
      <c r="L11" s="221" t="s">
        <v>161</v>
      </c>
      <c r="M11" s="222"/>
      <c r="N11" s="223" t="s">
        <v>161</v>
      </c>
      <c r="O11" s="209"/>
      <c r="P11" s="209"/>
      <c r="Q11" s="202" t="str">
        <f t="shared" si="0"/>
        <v>MARQUEZ FERNANDEZ AUGUSTO ANTONIO</v>
      </c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294" t="s">
        <v>202</v>
      </c>
      <c r="AE11" s="14"/>
    </row>
    <row r="12" spans="1:31" x14ac:dyDescent="0.25">
      <c r="A12" s="198">
        <f t="shared" si="1"/>
        <v>8</v>
      </c>
      <c r="B12" s="209" t="s">
        <v>221</v>
      </c>
      <c r="C12" s="207" t="s">
        <v>222</v>
      </c>
      <c r="D12" s="209" t="s">
        <v>17</v>
      </c>
      <c r="E12" s="304">
        <v>476.58</v>
      </c>
      <c r="F12" s="210"/>
      <c r="G12" s="199"/>
      <c r="H12" s="244">
        <v>45846</v>
      </c>
      <c r="I12" s="200" t="s">
        <v>223</v>
      </c>
      <c r="J12" s="221" t="s">
        <v>161</v>
      </c>
      <c r="K12" s="222"/>
      <c r="L12" s="221" t="s">
        <v>161</v>
      </c>
      <c r="M12" s="222"/>
      <c r="N12" s="223" t="s">
        <v>161</v>
      </c>
      <c r="O12" s="209"/>
      <c r="P12" s="209"/>
      <c r="Q12" s="202" t="str">
        <f t="shared" si="0"/>
        <v>CARRION CORONEL JORGE LUIS</v>
      </c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294" t="s">
        <v>202</v>
      </c>
      <c r="AE12" s="14"/>
    </row>
    <row r="13" spans="1:31" x14ac:dyDescent="0.25">
      <c r="A13" s="198" t="str">
        <f t="shared" si="1"/>
        <v/>
      </c>
      <c r="B13" s="209"/>
      <c r="C13" s="207"/>
      <c r="D13" s="209"/>
      <c r="E13" s="304"/>
      <c r="F13" s="210"/>
      <c r="G13" s="199"/>
      <c r="H13" s="244"/>
      <c r="I13" s="200"/>
      <c r="J13" s="221"/>
      <c r="K13" s="222"/>
      <c r="L13" s="221"/>
      <c r="M13" s="222"/>
      <c r="N13" s="223"/>
      <c r="O13" s="209"/>
      <c r="P13" s="209"/>
      <c r="Q13" s="202" t="str">
        <f t="shared" si="0"/>
        <v/>
      </c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294"/>
      <c r="AE13" s="14"/>
    </row>
    <row r="14" spans="1:31" x14ac:dyDescent="0.25">
      <c r="A14" s="198" t="str">
        <f t="shared" si="1"/>
        <v/>
      </c>
      <c r="B14" s="209"/>
      <c r="C14" s="207"/>
      <c r="D14" s="209"/>
      <c r="E14" s="304"/>
      <c r="F14" s="210"/>
      <c r="G14" s="199"/>
      <c r="H14" s="244"/>
      <c r="I14" s="200"/>
      <c r="J14" s="221"/>
      <c r="K14" s="222"/>
      <c r="L14" s="221"/>
      <c r="M14" s="222"/>
      <c r="N14" s="223"/>
      <c r="O14" s="209"/>
      <c r="P14" s="209"/>
      <c r="Q14" s="202" t="str">
        <f t="shared" si="0"/>
        <v/>
      </c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294"/>
      <c r="AE14" s="14"/>
    </row>
    <row r="15" spans="1:31" x14ac:dyDescent="0.25">
      <c r="A15" s="198" t="str">
        <f t="shared" si="1"/>
        <v/>
      </c>
      <c r="B15" s="209"/>
      <c r="C15" s="207"/>
      <c r="D15" s="209"/>
      <c r="E15" s="219"/>
      <c r="F15" s="210"/>
      <c r="G15" s="199"/>
      <c r="H15" s="244"/>
      <c r="I15" s="200"/>
      <c r="J15" s="198"/>
      <c r="K15" s="208"/>
      <c r="L15" s="208"/>
      <c r="M15" s="208"/>
      <c r="N15" s="201"/>
      <c r="O15" s="209"/>
      <c r="P15" s="209"/>
      <c r="Q15" s="202" t="str">
        <f t="shared" si="0"/>
        <v/>
      </c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294"/>
      <c r="AE15" s="14"/>
    </row>
  </sheetData>
  <sheetProtection formatCells="0" formatColumns="0" formatRows="0" insertColumns="0" insertRows="0" insertHyperlinks="0" deleteColumns="0" deleteRows="0"/>
  <autoFilter ref="A4:AE4">
    <sortState ref="A5:AE16">
      <sortCondition ref="H4"/>
    </sortState>
  </autoFilter>
  <mergeCells count="1">
    <mergeCell ref="B1:D1"/>
  </mergeCells>
  <conditionalFormatting sqref="H9:H11 I10:I11 H5:I8 N4:N11 E5:E6 E11 Q5:Q15">
    <cfRule type="containsBlanks" dxfId="1747" priority="9613">
      <formula>LEN(TRIM(E4))=0</formula>
    </cfRule>
  </conditionalFormatting>
  <conditionalFormatting sqref="AD5:AD11 AD14:AD15">
    <cfRule type="containsText" dxfId="1746" priority="9581" operator="containsText" text="GP2">
      <formula>NOT(ISERROR(SEARCH("GP2",AD5)))</formula>
    </cfRule>
    <cfRule type="containsText" dxfId="1745" priority="9582" operator="containsText" text="GP1">
      <formula>NOT(ISERROR(SEARCH("GP1",AD5)))</formula>
    </cfRule>
  </conditionalFormatting>
  <conditionalFormatting sqref="N15 E15">
    <cfRule type="containsBlanks" dxfId="1744" priority="2410">
      <formula>LEN(TRIM(E15))=0</formula>
    </cfRule>
  </conditionalFormatting>
  <conditionalFormatting sqref="H15">
    <cfRule type="containsBlanks" dxfId="1743" priority="2409">
      <formula>LEN(TRIM(H15))=0</formula>
    </cfRule>
  </conditionalFormatting>
  <conditionalFormatting sqref="I15">
    <cfRule type="containsBlanks" dxfId="1742" priority="2406">
      <formula>LEN(TRIM(I15))=0</formula>
    </cfRule>
  </conditionalFormatting>
  <conditionalFormatting sqref="I15">
    <cfRule type="containsBlanks" dxfId="1741" priority="2405">
      <formula>LEN(TRIM(I15))=0</formula>
    </cfRule>
  </conditionalFormatting>
  <conditionalFormatting sqref="AD8">
    <cfRule type="containsText" dxfId="1740" priority="2387" operator="containsText" text="GP2">
      <formula>NOT(ISERROR(SEARCH("GP2",AD8)))</formula>
    </cfRule>
    <cfRule type="containsText" dxfId="1739" priority="2388" operator="containsText" text="GP1">
      <formula>NOT(ISERROR(SEARCH("GP1",AD8)))</formula>
    </cfRule>
  </conditionalFormatting>
  <conditionalFormatting sqref="AD8">
    <cfRule type="containsText" dxfId="1738" priority="2385" operator="containsText" text="GP2">
      <formula>NOT(ISERROR(SEARCH("GP2",AD8)))</formula>
    </cfRule>
    <cfRule type="containsText" dxfId="1737" priority="2386" operator="containsText" text="GP1">
      <formula>NOT(ISERROR(SEARCH("GP1",AD8)))</formula>
    </cfRule>
  </conditionalFormatting>
  <conditionalFormatting sqref="AD8">
    <cfRule type="containsText" dxfId="1736" priority="2383" operator="containsText" text="GP2">
      <formula>NOT(ISERROR(SEARCH("GP2",AD8)))</formula>
    </cfRule>
    <cfRule type="containsText" dxfId="1735" priority="2384" operator="containsText" text="GP1">
      <formula>NOT(ISERROR(SEARCH("GP1",AD8)))</formula>
    </cfRule>
  </conditionalFormatting>
  <conditionalFormatting sqref="AD8">
    <cfRule type="containsText" dxfId="1734" priority="2381" operator="containsText" text="GP2">
      <formula>NOT(ISERROR(SEARCH("GP2",AD8)))</formula>
    </cfRule>
    <cfRule type="containsText" dxfId="1733" priority="2382" operator="containsText" text="GP1">
      <formula>NOT(ISERROR(SEARCH("GP1",AD8)))</formula>
    </cfRule>
  </conditionalFormatting>
  <conditionalFormatting sqref="AD8">
    <cfRule type="containsText" dxfId="1732" priority="2379" operator="containsText" text="GP2">
      <formula>NOT(ISERROR(SEARCH("GP2",AD8)))</formula>
    </cfRule>
    <cfRule type="containsText" dxfId="1731" priority="2380" operator="containsText" text="GP1">
      <formula>NOT(ISERROR(SEARCH("GP1",AD8)))</formula>
    </cfRule>
  </conditionalFormatting>
  <conditionalFormatting sqref="AD8">
    <cfRule type="containsText" dxfId="1730" priority="2377" operator="containsText" text="GP2">
      <formula>NOT(ISERROR(SEARCH("GP2",AD8)))</formula>
    </cfRule>
    <cfRule type="containsText" dxfId="1729" priority="2378" operator="containsText" text="GP1">
      <formula>NOT(ISERROR(SEARCH("GP1",AD8)))</formula>
    </cfRule>
  </conditionalFormatting>
  <conditionalFormatting sqref="AD8">
    <cfRule type="containsText" dxfId="1728" priority="2375" operator="containsText" text="GP2">
      <formula>NOT(ISERROR(SEARCH("GP2",AD8)))</formula>
    </cfRule>
    <cfRule type="containsText" dxfId="1727" priority="2376" operator="containsText" text="GP1">
      <formula>NOT(ISERROR(SEARCH("GP1",AD8)))</formula>
    </cfRule>
  </conditionalFormatting>
  <conditionalFormatting sqref="AD8">
    <cfRule type="containsText" dxfId="1726" priority="2373" operator="containsText" text="GP2">
      <formula>NOT(ISERROR(SEARCH("GP2",AD8)))</formula>
    </cfRule>
    <cfRule type="containsText" dxfId="1725" priority="2374" operator="containsText" text="GP1">
      <formula>NOT(ISERROR(SEARCH("GP1",AD8)))</formula>
    </cfRule>
  </conditionalFormatting>
  <conditionalFormatting sqref="AD8">
    <cfRule type="containsText" dxfId="1724" priority="2371" operator="containsText" text="GP2">
      <formula>NOT(ISERROR(SEARCH("GP2",AD8)))</formula>
    </cfRule>
    <cfRule type="containsText" dxfId="1723" priority="2372" operator="containsText" text="GP1">
      <formula>NOT(ISERROR(SEARCH("GP1",AD8)))</formula>
    </cfRule>
  </conditionalFormatting>
  <conditionalFormatting sqref="AD8">
    <cfRule type="containsText" dxfId="1722" priority="2369" operator="containsText" text="GP2">
      <formula>NOT(ISERROR(SEARCH("GP2",AD8)))</formula>
    </cfRule>
    <cfRule type="containsText" dxfId="1721" priority="2370" operator="containsText" text="GP1">
      <formula>NOT(ISERROR(SEARCH("GP1",AD8)))</formula>
    </cfRule>
  </conditionalFormatting>
  <conditionalFormatting sqref="AD8">
    <cfRule type="containsText" dxfId="1720" priority="2367" operator="containsText" text="GP2">
      <formula>NOT(ISERROR(SEARCH("GP2",AD8)))</formula>
    </cfRule>
    <cfRule type="containsText" dxfId="1719" priority="2368" operator="containsText" text="GP1">
      <formula>NOT(ISERROR(SEARCH("GP1",AD8)))</formula>
    </cfRule>
  </conditionalFormatting>
  <conditionalFormatting sqref="AD8">
    <cfRule type="containsText" dxfId="1718" priority="2365" operator="containsText" text="GP2">
      <formula>NOT(ISERROR(SEARCH("GP2",AD8)))</formula>
    </cfRule>
    <cfRule type="containsText" dxfId="1717" priority="2366" operator="containsText" text="GP1">
      <formula>NOT(ISERROR(SEARCH("GP1",AD8)))</formula>
    </cfRule>
  </conditionalFormatting>
  <conditionalFormatting sqref="AD8">
    <cfRule type="containsText" dxfId="1716" priority="2363" operator="containsText" text="GP2">
      <formula>NOT(ISERROR(SEARCH("GP2",AD8)))</formula>
    </cfRule>
    <cfRule type="containsText" dxfId="1715" priority="2364" operator="containsText" text="GP1">
      <formula>NOT(ISERROR(SEARCH("GP1",AD8)))</formula>
    </cfRule>
  </conditionalFormatting>
  <conditionalFormatting sqref="AD8">
    <cfRule type="containsText" dxfId="1714" priority="2361" operator="containsText" text="GP2">
      <formula>NOT(ISERROR(SEARCH("GP2",AD8)))</formula>
    </cfRule>
    <cfRule type="containsText" dxfId="1713" priority="2362" operator="containsText" text="GP1">
      <formula>NOT(ISERROR(SEARCH("GP1",AD8)))</formula>
    </cfRule>
  </conditionalFormatting>
  <conditionalFormatting sqref="AD8">
    <cfRule type="containsText" dxfId="1712" priority="2359" operator="containsText" text="GP2">
      <formula>NOT(ISERROR(SEARCH("GP2",AD8)))</formula>
    </cfRule>
    <cfRule type="containsText" dxfId="1711" priority="2360" operator="containsText" text="GP1">
      <formula>NOT(ISERROR(SEARCH("GP1",AD8)))</formula>
    </cfRule>
  </conditionalFormatting>
  <conditionalFormatting sqref="AD8">
    <cfRule type="containsText" dxfId="1710" priority="2357" operator="containsText" text="GP2">
      <formula>NOT(ISERROR(SEARCH("GP2",AD8)))</formula>
    </cfRule>
    <cfRule type="containsText" dxfId="1709" priority="2358" operator="containsText" text="GP1">
      <formula>NOT(ISERROR(SEARCH("GP1",AD8)))</formula>
    </cfRule>
  </conditionalFormatting>
  <conditionalFormatting sqref="AD8">
    <cfRule type="containsText" dxfId="1708" priority="2355" operator="containsText" text="GP2">
      <formula>NOT(ISERROR(SEARCH("GP2",AD8)))</formula>
    </cfRule>
    <cfRule type="containsText" dxfId="1707" priority="2356" operator="containsText" text="GP1">
      <formula>NOT(ISERROR(SEARCH("GP1",AD8)))</formula>
    </cfRule>
  </conditionalFormatting>
  <conditionalFormatting sqref="AD8">
    <cfRule type="containsText" dxfId="1706" priority="2353" operator="containsText" text="GP2">
      <formula>NOT(ISERROR(SEARCH("GP2",AD8)))</formula>
    </cfRule>
    <cfRule type="containsText" dxfId="1705" priority="2354" operator="containsText" text="GP1">
      <formula>NOT(ISERROR(SEARCH("GP1",AD8)))</formula>
    </cfRule>
  </conditionalFormatting>
  <conditionalFormatting sqref="AD8">
    <cfRule type="containsText" dxfId="1704" priority="2351" operator="containsText" text="GP2">
      <formula>NOT(ISERROR(SEARCH("GP2",AD8)))</formula>
    </cfRule>
    <cfRule type="containsText" dxfId="1703" priority="2352" operator="containsText" text="GP1">
      <formula>NOT(ISERROR(SEARCH("GP1",AD8)))</formula>
    </cfRule>
  </conditionalFormatting>
  <conditionalFormatting sqref="AD8">
    <cfRule type="containsText" dxfId="1702" priority="2293" operator="containsText" text="GP2">
      <formula>NOT(ISERROR(SEARCH("GP2",AD8)))</formula>
    </cfRule>
    <cfRule type="containsText" dxfId="1701" priority="2294" operator="containsText" text="GP1">
      <formula>NOT(ISERROR(SEARCH("GP1",AD8)))</formula>
    </cfRule>
  </conditionalFormatting>
  <conditionalFormatting sqref="AD8">
    <cfRule type="containsText" dxfId="1700" priority="2291" operator="containsText" text="GP2">
      <formula>NOT(ISERROR(SEARCH("GP2",AD8)))</formula>
    </cfRule>
    <cfRule type="containsText" dxfId="1699" priority="2292" operator="containsText" text="GP1">
      <formula>NOT(ISERROR(SEARCH("GP1",AD8)))</formula>
    </cfRule>
  </conditionalFormatting>
  <conditionalFormatting sqref="AD8">
    <cfRule type="containsText" dxfId="1698" priority="2289" operator="containsText" text="GP2">
      <formula>NOT(ISERROR(SEARCH("GP2",AD8)))</formula>
    </cfRule>
    <cfRule type="containsText" dxfId="1697" priority="2290" operator="containsText" text="GP1">
      <formula>NOT(ISERROR(SEARCH("GP1",AD8)))</formula>
    </cfRule>
  </conditionalFormatting>
  <conditionalFormatting sqref="AD8">
    <cfRule type="containsText" dxfId="1696" priority="2287" operator="containsText" text="GP2">
      <formula>NOT(ISERROR(SEARCH("GP2",AD8)))</formula>
    </cfRule>
    <cfRule type="containsText" dxfId="1695" priority="2288" operator="containsText" text="GP1">
      <formula>NOT(ISERROR(SEARCH("GP1",AD8)))</formula>
    </cfRule>
  </conditionalFormatting>
  <conditionalFormatting sqref="AD8">
    <cfRule type="containsText" dxfId="1694" priority="2285" operator="containsText" text="GP2">
      <formula>NOT(ISERROR(SEARCH("GP2",AD8)))</formula>
    </cfRule>
    <cfRule type="containsText" dxfId="1693" priority="2286" operator="containsText" text="GP1">
      <formula>NOT(ISERROR(SEARCH("GP1",AD8)))</formula>
    </cfRule>
  </conditionalFormatting>
  <conditionalFormatting sqref="AD8">
    <cfRule type="containsText" dxfId="1692" priority="2283" operator="containsText" text="GP2">
      <formula>NOT(ISERROR(SEARCH("GP2",AD8)))</formula>
    </cfRule>
    <cfRule type="containsText" dxfId="1691" priority="2284" operator="containsText" text="GP1">
      <formula>NOT(ISERROR(SEARCH("GP1",AD8)))</formula>
    </cfRule>
  </conditionalFormatting>
  <conditionalFormatting sqref="AD8">
    <cfRule type="containsText" dxfId="1690" priority="2281" operator="containsText" text="GP2">
      <formula>NOT(ISERROR(SEARCH("GP2",AD8)))</formula>
    </cfRule>
    <cfRule type="containsText" dxfId="1689" priority="2282" operator="containsText" text="GP1">
      <formula>NOT(ISERROR(SEARCH("GP1",AD8)))</formula>
    </cfRule>
  </conditionalFormatting>
  <conditionalFormatting sqref="AD8">
    <cfRule type="containsText" dxfId="1688" priority="2279" operator="containsText" text="GP2">
      <formula>NOT(ISERROR(SEARCH("GP2",AD8)))</formula>
    </cfRule>
    <cfRule type="containsText" dxfId="1687" priority="2280" operator="containsText" text="GP1">
      <formula>NOT(ISERROR(SEARCH("GP1",AD8)))</formula>
    </cfRule>
  </conditionalFormatting>
  <conditionalFormatting sqref="AD8">
    <cfRule type="containsText" dxfId="1686" priority="2277" operator="containsText" text="GP2">
      <formula>NOT(ISERROR(SEARCH("GP2",AD8)))</formula>
    </cfRule>
    <cfRule type="containsText" dxfId="1685" priority="2278" operator="containsText" text="GP1">
      <formula>NOT(ISERROR(SEARCH("GP1",AD8)))</formula>
    </cfRule>
  </conditionalFormatting>
  <conditionalFormatting sqref="AD8">
    <cfRule type="containsText" dxfId="1684" priority="2275" operator="containsText" text="GP2">
      <formula>NOT(ISERROR(SEARCH("GP2",AD8)))</formula>
    </cfRule>
    <cfRule type="containsText" dxfId="1683" priority="2276" operator="containsText" text="GP1">
      <formula>NOT(ISERROR(SEARCH("GP1",AD8)))</formula>
    </cfRule>
  </conditionalFormatting>
  <conditionalFormatting sqref="AD8">
    <cfRule type="containsText" dxfId="1682" priority="2273" operator="containsText" text="GP2">
      <formula>NOT(ISERROR(SEARCH("GP2",AD8)))</formula>
    </cfRule>
    <cfRule type="containsText" dxfId="1681" priority="2274" operator="containsText" text="GP1">
      <formula>NOT(ISERROR(SEARCH("GP1",AD8)))</formula>
    </cfRule>
  </conditionalFormatting>
  <conditionalFormatting sqref="AD8">
    <cfRule type="containsText" dxfId="1680" priority="2217" operator="containsText" text="GP2">
      <formula>NOT(ISERROR(SEARCH("GP2",AD8)))</formula>
    </cfRule>
    <cfRule type="containsText" dxfId="1679" priority="2218" operator="containsText" text="GP1">
      <formula>NOT(ISERROR(SEARCH("GP1",AD8)))</formula>
    </cfRule>
  </conditionalFormatting>
  <conditionalFormatting sqref="AD8">
    <cfRule type="containsText" dxfId="1678" priority="2215" operator="containsText" text="GP2">
      <formula>NOT(ISERROR(SEARCH("GP2",AD8)))</formula>
    </cfRule>
    <cfRule type="containsText" dxfId="1677" priority="2216" operator="containsText" text="GP1">
      <formula>NOT(ISERROR(SEARCH("GP1",AD8)))</formula>
    </cfRule>
  </conditionalFormatting>
  <conditionalFormatting sqref="AD8">
    <cfRule type="containsText" dxfId="1676" priority="2213" operator="containsText" text="GP2">
      <formula>NOT(ISERROR(SEARCH("GP2",AD8)))</formula>
    </cfRule>
    <cfRule type="containsText" dxfId="1675" priority="2214" operator="containsText" text="GP1">
      <formula>NOT(ISERROR(SEARCH("GP1",AD8)))</formula>
    </cfRule>
  </conditionalFormatting>
  <conditionalFormatting sqref="AD8">
    <cfRule type="containsText" dxfId="1674" priority="2211" operator="containsText" text="GP2">
      <formula>NOT(ISERROR(SEARCH("GP2",AD8)))</formula>
    </cfRule>
    <cfRule type="containsText" dxfId="1673" priority="2212" operator="containsText" text="GP1">
      <formula>NOT(ISERROR(SEARCH("GP1",AD8)))</formula>
    </cfRule>
  </conditionalFormatting>
  <conditionalFormatting sqref="AD8">
    <cfRule type="containsText" dxfId="1672" priority="2209" operator="containsText" text="GP2">
      <formula>NOT(ISERROR(SEARCH("GP2",AD8)))</formula>
    </cfRule>
    <cfRule type="containsText" dxfId="1671" priority="2210" operator="containsText" text="GP1">
      <formula>NOT(ISERROR(SEARCH("GP1",AD8)))</formula>
    </cfRule>
  </conditionalFormatting>
  <conditionalFormatting sqref="AD8">
    <cfRule type="containsText" dxfId="1670" priority="2207" operator="containsText" text="GP2">
      <formula>NOT(ISERROR(SEARCH("GP2",AD8)))</formula>
    </cfRule>
    <cfRule type="containsText" dxfId="1669" priority="2208" operator="containsText" text="GP1">
      <formula>NOT(ISERROR(SEARCH("GP1",AD8)))</formula>
    </cfRule>
  </conditionalFormatting>
  <conditionalFormatting sqref="AD8">
    <cfRule type="containsText" dxfId="1668" priority="2205" operator="containsText" text="GP2">
      <formula>NOT(ISERROR(SEARCH("GP2",AD8)))</formula>
    </cfRule>
    <cfRule type="containsText" dxfId="1667" priority="2206" operator="containsText" text="GP1">
      <formula>NOT(ISERROR(SEARCH("GP1",AD8)))</formula>
    </cfRule>
  </conditionalFormatting>
  <conditionalFormatting sqref="AD8">
    <cfRule type="containsText" dxfId="1666" priority="2203" operator="containsText" text="GP2">
      <formula>NOT(ISERROR(SEARCH("GP2",AD8)))</formula>
    </cfRule>
    <cfRule type="containsText" dxfId="1665" priority="2204" operator="containsText" text="GP1">
      <formula>NOT(ISERROR(SEARCH("GP1",AD8)))</formula>
    </cfRule>
  </conditionalFormatting>
  <conditionalFormatting sqref="AD8">
    <cfRule type="containsText" dxfId="1664" priority="2201" operator="containsText" text="GP2">
      <formula>NOT(ISERROR(SEARCH("GP2",AD8)))</formula>
    </cfRule>
    <cfRule type="containsText" dxfId="1663" priority="2202" operator="containsText" text="GP1">
      <formula>NOT(ISERROR(SEARCH("GP1",AD8)))</formula>
    </cfRule>
  </conditionalFormatting>
  <conditionalFormatting sqref="AD8">
    <cfRule type="containsText" dxfId="1662" priority="2199" operator="containsText" text="GP2">
      <formula>NOT(ISERROR(SEARCH("GP2",AD8)))</formula>
    </cfRule>
    <cfRule type="containsText" dxfId="1661" priority="2200" operator="containsText" text="GP1">
      <formula>NOT(ISERROR(SEARCH("GP1",AD8)))</formula>
    </cfRule>
  </conditionalFormatting>
  <conditionalFormatting sqref="AD8">
    <cfRule type="containsText" dxfId="1660" priority="2197" operator="containsText" text="GP2">
      <formula>NOT(ISERROR(SEARCH("GP2",AD8)))</formula>
    </cfRule>
    <cfRule type="containsText" dxfId="1659" priority="2198" operator="containsText" text="GP1">
      <formula>NOT(ISERROR(SEARCH("GP1",AD8)))</formula>
    </cfRule>
  </conditionalFormatting>
  <conditionalFormatting sqref="AD8">
    <cfRule type="containsText" dxfId="1658" priority="2195" operator="containsText" text="GP2">
      <formula>NOT(ISERROR(SEARCH("GP2",AD8)))</formula>
    </cfRule>
    <cfRule type="containsText" dxfId="1657" priority="2196" operator="containsText" text="GP1">
      <formula>NOT(ISERROR(SEARCH("GP1",AD8)))</formula>
    </cfRule>
  </conditionalFormatting>
  <conditionalFormatting sqref="AD8">
    <cfRule type="containsText" dxfId="1656" priority="2193" operator="containsText" text="GP2">
      <formula>NOT(ISERROR(SEARCH("GP2",AD8)))</formula>
    </cfRule>
    <cfRule type="containsText" dxfId="1655" priority="2194" operator="containsText" text="GP1">
      <formula>NOT(ISERROR(SEARCH("GP1",AD8)))</formula>
    </cfRule>
  </conditionalFormatting>
  <conditionalFormatting sqref="AD8">
    <cfRule type="containsText" dxfId="1654" priority="2191" operator="containsText" text="GP2">
      <formula>NOT(ISERROR(SEARCH("GP2",AD8)))</formula>
    </cfRule>
    <cfRule type="containsText" dxfId="1653" priority="2192" operator="containsText" text="GP1">
      <formula>NOT(ISERROR(SEARCH("GP1",AD8)))</formula>
    </cfRule>
  </conditionalFormatting>
  <conditionalFormatting sqref="AD8">
    <cfRule type="containsText" dxfId="1652" priority="2189" operator="containsText" text="GP2">
      <formula>NOT(ISERROR(SEARCH("GP2",AD8)))</formula>
    </cfRule>
    <cfRule type="containsText" dxfId="1651" priority="2190" operator="containsText" text="GP1">
      <formula>NOT(ISERROR(SEARCH("GP1",AD8)))</formula>
    </cfRule>
  </conditionalFormatting>
  <conditionalFormatting sqref="AD8">
    <cfRule type="containsText" dxfId="1650" priority="2187" operator="containsText" text="GP2">
      <formula>NOT(ISERROR(SEARCH("GP2",AD8)))</formula>
    </cfRule>
    <cfRule type="containsText" dxfId="1649" priority="2188" operator="containsText" text="GP1">
      <formula>NOT(ISERROR(SEARCH("GP1",AD8)))</formula>
    </cfRule>
  </conditionalFormatting>
  <conditionalFormatting sqref="AD8">
    <cfRule type="containsText" dxfId="1648" priority="2185" operator="containsText" text="GP2">
      <formula>NOT(ISERROR(SEARCH("GP2",AD8)))</formula>
    </cfRule>
    <cfRule type="containsText" dxfId="1647" priority="2186" operator="containsText" text="GP1">
      <formula>NOT(ISERROR(SEARCH("GP1",AD8)))</formula>
    </cfRule>
  </conditionalFormatting>
  <conditionalFormatting sqref="AD8">
    <cfRule type="containsText" dxfId="1646" priority="2183" operator="containsText" text="GP2">
      <formula>NOT(ISERROR(SEARCH("GP2",AD8)))</formula>
    </cfRule>
    <cfRule type="containsText" dxfId="1645" priority="2184" operator="containsText" text="GP1">
      <formula>NOT(ISERROR(SEARCH("GP1",AD8)))</formula>
    </cfRule>
  </conditionalFormatting>
  <conditionalFormatting sqref="AD8">
    <cfRule type="containsText" dxfId="1644" priority="2181" operator="containsText" text="GP2">
      <formula>NOT(ISERROR(SEARCH("GP2",AD8)))</formula>
    </cfRule>
    <cfRule type="containsText" dxfId="1643" priority="2182" operator="containsText" text="GP1">
      <formula>NOT(ISERROR(SEARCH("GP1",AD8)))</formula>
    </cfRule>
  </conditionalFormatting>
  <conditionalFormatting sqref="AD8">
    <cfRule type="containsText" dxfId="1642" priority="2179" operator="containsText" text="GP2">
      <formula>NOT(ISERROR(SEARCH("GP2",AD8)))</formula>
    </cfRule>
    <cfRule type="containsText" dxfId="1641" priority="2180" operator="containsText" text="GP1">
      <formula>NOT(ISERROR(SEARCH("GP1",AD8)))</formula>
    </cfRule>
  </conditionalFormatting>
  <conditionalFormatting sqref="AD8">
    <cfRule type="containsText" dxfId="1640" priority="2177" operator="containsText" text="GP2">
      <formula>NOT(ISERROR(SEARCH("GP2",AD8)))</formula>
    </cfRule>
    <cfRule type="containsText" dxfId="1639" priority="2178" operator="containsText" text="GP1">
      <formula>NOT(ISERROR(SEARCH("GP1",AD8)))</formula>
    </cfRule>
  </conditionalFormatting>
  <conditionalFormatting sqref="AD8">
    <cfRule type="containsText" dxfId="1638" priority="2175" operator="containsText" text="GP2">
      <formula>NOT(ISERROR(SEARCH("GP2",AD8)))</formula>
    </cfRule>
    <cfRule type="containsText" dxfId="1637" priority="2176" operator="containsText" text="GP1">
      <formula>NOT(ISERROR(SEARCH("GP1",AD8)))</formula>
    </cfRule>
  </conditionalFormatting>
  <conditionalFormatting sqref="AD8">
    <cfRule type="containsText" dxfId="1636" priority="2065" operator="containsText" text="GP2">
      <formula>NOT(ISERROR(SEARCH("GP2",AD8)))</formula>
    </cfRule>
    <cfRule type="containsText" dxfId="1635" priority="2066" operator="containsText" text="GP1">
      <formula>NOT(ISERROR(SEARCH("GP1",AD8)))</formula>
    </cfRule>
  </conditionalFormatting>
  <conditionalFormatting sqref="AD8">
    <cfRule type="containsText" dxfId="1634" priority="2063" operator="containsText" text="GP2">
      <formula>NOT(ISERROR(SEARCH("GP2",AD8)))</formula>
    </cfRule>
    <cfRule type="containsText" dxfId="1633" priority="2064" operator="containsText" text="GP1">
      <formula>NOT(ISERROR(SEARCH("GP1",AD8)))</formula>
    </cfRule>
  </conditionalFormatting>
  <conditionalFormatting sqref="AD8">
    <cfRule type="containsText" dxfId="1632" priority="2061" operator="containsText" text="GP2">
      <formula>NOT(ISERROR(SEARCH("GP2",AD8)))</formula>
    </cfRule>
    <cfRule type="containsText" dxfId="1631" priority="2062" operator="containsText" text="GP1">
      <formula>NOT(ISERROR(SEARCH("GP1",AD8)))</formula>
    </cfRule>
  </conditionalFormatting>
  <conditionalFormatting sqref="AD8">
    <cfRule type="containsText" dxfId="1630" priority="2059" operator="containsText" text="GP2">
      <formula>NOT(ISERROR(SEARCH("GP2",AD8)))</formula>
    </cfRule>
    <cfRule type="containsText" dxfId="1629" priority="2060" operator="containsText" text="GP1">
      <formula>NOT(ISERROR(SEARCH("GP1",AD8)))</formula>
    </cfRule>
  </conditionalFormatting>
  <conditionalFormatting sqref="AD8">
    <cfRule type="containsText" dxfId="1628" priority="2057" operator="containsText" text="GP2">
      <formula>NOT(ISERROR(SEARCH("GP2",AD8)))</formula>
    </cfRule>
    <cfRule type="containsText" dxfId="1627" priority="2058" operator="containsText" text="GP1">
      <formula>NOT(ISERROR(SEARCH("GP1",AD8)))</formula>
    </cfRule>
  </conditionalFormatting>
  <conditionalFormatting sqref="AD8">
    <cfRule type="containsText" dxfId="1626" priority="2055" operator="containsText" text="GP2">
      <formula>NOT(ISERROR(SEARCH("GP2",AD8)))</formula>
    </cfRule>
    <cfRule type="containsText" dxfId="1625" priority="2056" operator="containsText" text="GP1">
      <formula>NOT(ISERROR(SEARCH("GP1",AD8)))</formula>
    </cfRule>
  </conditionalFormatting>
  <conditionalFormatting sqref="AD8">
    <cfRule type="containsText" dxfId="1624" priority="2053" operator="containsText" text="GP2">
      <formula>NOT(ISERROR(SEARCH("GP2",AD8)))</formula>
    </cfRule>
    <cfRule type="containsText" dxfId="1623" priority="2054" operator="containsText" text="GP1">
      <formula>NOT(ISERROR(SEARCH("GP1",AD8)))</formula>
    </cfRule>
  </conditionalFormatting>
  <conditionalFormatting sqref="AD8">
    <cfRule type="containsText" dxfId="1622" priority="2051" operator="containsText" text="GP2">
      <formula>NOT(ISERROR(SEARCH("GP2",AD8)))</formula>
    </cfRule>
    <cfRule type="containsText" dxfId="1621" priority="2052" operator="containsText" text="GP1">
      <formula>NOT(ISERROR(SEARCH("GP1",AD8)))</formula>
    </cfRule>
  </conditionalFormatting>
  <conditionalFormatting sqref="AD8">
    <cfRule type="containsText" dxfId="1620" priority="2049" operator="containsText" text="GP2">
      <formula>NOT(ISERROR(SEARCH("GP2",AD8)))</formula>
    </cfRule>
    <cfRule type="containsText" dxfId="1619" priority="2050" operator="containsText" text="GP1">
      <formula>NOT(ISERROR(SEARCH("GP1",AD8)))</formula>
    </cfRule>
  </conditionalFormatting>
  <conditionalFormatting sqref="AD8">
    <cfRule type="containsText" dxfId="1618" priority="2047" operator="containsText" text="GP2">
      <formula>NOT(ISERROR(SEARCH("GP2",AD8)))</formula>
    </cfRule>
    <cfRule type="containsText" dxfId="1617" priority="2048" operator="containsText" text="GP1">
      <formula>NOT(ISERROR(SEARCH("GP1",AD8)))</formula>
    </cfRule>
  </conditionalFormatting>
  <conditionalFormatting sqref="AD8">
    <cfRule type="containsText" dxfId="1616" priority="2045" operator="containsText" text="GP2">
      <formula>NOT(ISERROR(SEARCH("GP2",AD8)))</formula>
    </cfRule>
    <cfRule type="containsText" dxfId="1615" priority="2046" operator="containsText" text="GP1">
      <formula>NOT(ISERROR(SEARCH("GP1",AD8)))</formula>
    </cfRule>
  </conditionalFormatting>
  <conditionalFormatting sqref="AD8">
    <cfRule type="containsText" dxfId="1614" priority="2043" operator="containsText" text="GP2">
      <formula>NOT(ISERROR(SEARCH("GP2",AD8)))</formula>
    </cfRule>
    <cfRule type="containsText" dxfId="1613" priority="2044" operator="containsText" text="GP1">
      <formula>NOT(ISERROR(SEARCH("GP1",AD8)))</formula>
    </cfRule>
  </conditionalFormatting>
  <conditionalFormatting sqref="AD8">
    <cfRule type="containsText" dxfId="1612" priority="2041" operator="containsText" text="GP2">
      <formula>NOT(ISERROR(SEARCH("GP2",AD8)))</formula>
    </cfRule>
    <cfRule type="containsText" dxfId="1611" priority="2042" operator="containsText" text="GP1">
      <formula>NOT(ISERROR(SEARCH("GP1",AD8)))</formula>
    </cfRule>
  </conditionalFormatting>
  <conditionalFormatting sqref="AD8">
    <cfRule type="containsText" dxfId="1610" priority="2039" operator="containsText" text="GP2">
      <formula>NOT(ISERROR(SEARCH("GP2",AD8)))</formula>
    </cfRule>
    <cfRule type="containsText" dxfId="1609" priority="2040" operator="containsText" text="GP1">
      <formula>NOT(ISERROR(SEARCH("GP1",AD8)))</formula>
    </cfRule>
  </conditionalFormatting>
  <conditionalFormatting sqref="AD8">
    <cfRule type="containsText" dxfId="1608" priority="2037" operator="containsText" text="GP2">
      <formula>NOT(ISERROR(SEARCH("GP2",AD8)))</formula>
    </cfRule>
    <cfRule type="containsText" dxfId="1607" priority="2038" operator="containsText" text="GP1">
      <formula>NOT(ISERROR(SEARCH("GP1",AD8)))</formula>
    </cfRule>
  </conditionalFormatting>
  <conditionalFormatting sqref="AD8">
    <cfRule type="containsText" dxfId="1606" priority="2035" operator="containsText" text="GP2">
      <formula>NOT(ISERROR(SEARCH("GP2",AD8)))</formula>
    </cfRule>
    <cfRule type="containsText" dxfId="1605" priority="2036" operator="containsText" text="GP1">
      <formula>NOT(ISERROR(SEARCH("GP1",AD8)))</formula>
    </cfRule>
  </conditionalFormatting>
  <conditionalFormatting sqref="AD8">
    <cfRule type="containsText" dxfId="1604" priority="2033" operator="containsText" text="GP2">
      <formula>NOT(ISERROR(SEARCH("GP2",AD8)))</formula>
    </cfRule>
    <cfRule type="containsText" dxfId="1603" priority="2034" operator="containsText" text="GP1">
      <formula>NOT(ISERROR(SEARCH("GP1",AD8)))</formula>
    </cfRule>
  </conditionalFormatting>
  <conditionalFormatting sqref="AD8">
    <cfRule type="containsText" dxfId="1602" priority="2031" operator="containsText" text="GP2">
      <formula>NOT(ISERROR(SEARCH("GP2",AD8)))</formula>
    </cfRule>
    <cfRule type="containsText" dxfId="1601" priority="2032" operator="containsText" text="GP1">
      <formula>NOT(ISERROR(SEARCH("GP1",AD8)))</formula>
    </cfRule>
  </conditionalFormatting>
  <conditionalFormatting sqref="AD8">
    <cfRule type="containsText" dxfId="1600" priority="2029" operator="containsText" text="GP2">
      <formula>NOT(ISERROR(SEARCH("GP2",AD8)))</formula>
    </cfRule>
    <cfRule type="containsText" dxfId="1599" priority="2030" operator="containsText" text="GP1">
      <formula>NOT(ISERROR(SEARCH("GP1",AD8)))</formula>
    </cfRule>
  </conditionalFormatting>
  <conditionalFormatting sqref="AD8">
    <cfRule type="containsText" dxfId="1598" priority="2027" operator="containsText" text="GP2">
      <formula>NOT(ISERROR(SEARCH("GP2",AD8)))</formula>
    </cfRule>
    <cfRule type="containsText" dxfId="1597" priority="2028" operator="containsText" text="GP1">
      <formula>NOT(ISERROR(SEARCH("GP1",AD8)))</formula>
    </cfRule>
  </conditionalFormatting>
  <conditionalFormatting sqref="AD8">
    <cfRule type="containsText" dxfId="1596" priority="2025" operator="containsText" text="GP2">
      <formula>NOT(ISERROR(SEARCH("GP2",AD8)))</formula>
    </cfRule>
    <cfRule type="containsText" dxfId="1595" priority="2026" operator="containsText" text="GP1">
      <formula>NOT(ISERROR(SEARCH("GP1",AD8)))</formula>
    </cfRule>
  </conditionalFormatting>
  <conditionalFormatting sqref="AD8">
    <cfRule type="containsText" dxfId="1594" priority="2023" operator="containsText" text="GP2">
      <formula>NOT(ISERROR(SEARCH("GP2",AD8)))</formula>
    </cfRule>
    <cfRule type="containsText" dxfId="1593" priority="2024" operator="containsText" text="GP1">
      <formula>NOT(ISERROR(SEARCH("GP1",AD8)))</formula>
    </cfRule>
  </conditionalFormatting>
  <conditionalFormatting sqref="AD8">
    <cfRule type="containsText" dxfId="1592" priority="1913" operator="containsText" text="GP2">
      <formula>NOT(ISERROR(SEARCH("GP2",AD8)))</formula>
    </cfRule>
    <cfRule type="containsText" dxfId="1591" priority="1914" operator="containsText" text="GP1">
      <formula>NOT(ISERROR(SEARCH("GP1",AD8)))</formula>
    </cfRule>
  </conditionalFormatting>
  <conditionalFormatting sqref="AD8">
    <cfRule type="containsText" dxfId="1590" priority="1911" operator="containsText" text="GP2">
      <formula>NOT(ISERROR(SEARCH("GP2",AD8)))</formula>
    </cfRule>
    <cfRule type="containsText" dxfId="1589" priority="1912" operator="containsText" text="GP1">
      <formula>NOT(ISERROR(SEARCH("GP1",AD8)))</formula>
    </cfRule>
  </conditionalFormatting>
  <conditionalFormatting sqref="AD8">
    <cfRule type="containsText" dxfId="1588" priority="1909" operator="containsText" text="GP2">
      <formula>NOT(ISERROR(SEARCH("GP2",AD8)))</formula>
    </cfRule>
    <cfRule type="containsText" dxfId="1587" priority="1910" operator="containsText" text="GP1">
      <formula>NOT(ISERROR(SEARCH("GP1",AD8)))</formula>
    </cfRule>
  </conditionalFormatting>
  <conditionalFormatting sqref="AD8">
    <cfRule type="containsText" dxfId="1586" priority="1907" operator="containsText" text="GP2">
      <formula>NOT(ISERROR(SEARCH("GP2",AD8)))</formula>
    </cfRule>
    <cfRule type="containsText" dxfId="1585" priority="1908" operator="containsText" text="GP1">
      <formula>NOT(ISERROR(SEARCH("GP1",AD8)))</formula>
    </cfRule>
  </conditionalFormatting>
  <conditionalFormatting sqref="AD8">
    <cfRule type="containsText" dxfId="1584" priority="1905" operator="containsText" text="GP2">
      <formula>NOT(ISERROR(SEARCH("GP2",AD8)))</formula>
    </cfRule>
    <cfRule type="containsText" dxfId="1583" priority="1906" operator="containsText" text="GP1">
      <formula>NOT(ISERROR(SEARCH("GP1",AD8)))</formula>
    </cfRule>
  </conditionalFormatting>
  <conditionalFormatting sqref="AD8">
    <cfRule type="containsText" dxfId="1582" priority="1903" operator="containsText" text="GP2">
      <formula>NOT(ISERROR(SEARCH("GP2",AD8)))</formula>
    </cfRule>
    <cfRule type="containsText" dxfId="1581" priority="1904" operator="containsText" text="GP1">
      <formula>NOT(ISERROR(SEARCH("GP1",AD8)))</formula>
    </cfRule>
  </conditionalFormatting>
  <conditionalFormatting sqref="AD8">
    <cfRule type="containsText" dxfId="1580" priority="1901" operator="containsText" text="GP2">
      <formula>NOT(ISERROR(SEARCH("GP2",AD8)))</formula>
    </cfRule>
    <cfRule type="containsText" dxfId="1579" priority="1902" operator="containsText" text="GP1">
      <formula>NOT(ISERROR(SEARCH("GP1",AD8)))</formula>
    </cfRule>
  </conditionalFormatting>
  <conditionalFormatting sqref="AD8">
    <cfRule type="containsText" dxfId="1578" priority="1899" operator="containsText" text="GP2">
      <formula>NOT(ISERROR(SEARCH("GP2",AD8)))</formula>
    </cfRule>
    <cfRule type="containsText" dxfId="1577" priority="1900" operator="containsText" text="GP1">
      <formula>NOT(ISERROR(SEARCH("GP1",AD8)))</formula>
    </cfRule>
  </conditionalFormatting>
  <conditionalFormatting sqref="AD8">
    <cfRule type="containsText" dxfId="1576" priority="1897" operator="containsText" text="GP2">
      <formula>NOT(ISERROR(SEARCH("GP2",AD8)))</formula>
    </cfRule>
    <cfRule type="containsText" dxfId="1575" priority="1898" operator="containsText" text="GP1">
      <formula>NOT(ISERROR(SEARCH("GP1",AD8)))</formula>
    </cfRule>
  </conditionalFormatting>
  <conditionalFormatting sqref="AD8">
    <cfRule type="containsText" dxfId="1574" priority="1895" operator="containsText" text="GP2">
      <formula>NOT(ISERROR(SEARCH("GP2",AD8)))</formula>
    </cfRule>
    <cfRule type="containsText" dxfId="1573" priority="1896" operator="containsText" text="GP1">
      <formula>NOT(ISERROR(SEARCH("GP1",AD8)))</formula>
    </cfRule>
  </conditionalFormatting>
  <conditionalFormatting sqref="AD8">
    <cfRule type="containsText" dxfId="1572" priority="1893" operator="containsText" text="GP2">
      <formula>NOT(ISERROR(SEARCH("GP2",AD8)))</formula>
    </cfRule>
    <cfRule type="containsText" dxfId="1571" priority="1894" operator="containsText" text="GP1">
      <formula>NOT(ISERROR(SEARCH("GP1",AD8)))</formula>
    </cfRule>
  </conditionalFormatting>
  <conditionalFormatting sqref="AD8">
    <cfRule type="containsText" dxfId="1570" priority="1891" operator="containsText" text="GP2">
      <formula>NOT(ISERROR(SEARCH("GP2",AD8)))</formula>
    </cfRule>
    <cfRule type="containsText" dxfId="1569" priority="1892" operator="containsText" text="GP1">
      <formula>NOT(ISERROR(SEARCH("GP1",AD8)))</formula>
    </cfRule>
  </conditionalFormatting>
  <conditionalFormatting sqref="AD8">
    <cfRule type="containsText" dxfId="1568" priority="1889" operator="containsText" text="GP2">
      <formula>NOT(ISERROR(SEARCH("GP2",AD8)))</formula>
    </cfRule>
    <cfRule type="containsText" dxfId="1567" priority="1890" operator="containsText" text="GP1">
      <formula>NOT(ISERROR(SEARCH("GP1",AD8)))</formula>
    </cfRule>
  </conditionalFormatting>
  <conditionalFormatting sqref="AD8">
    <cfRule type="containsText" dxfId="1566" priority="1887" operator="containsText" text="GP2">
      <formula>NOT(ISERROR(SEARCH("GP2",AD8)))</formula>
    </cfRule>
    <cfRule type="containsText" dxfId="1565" priority="1888" operator="containsText" text="GP1">
      <formula>NOT(ISERROR(SEARCH("GP1",AD8)))</formula>
    </cfRule>
  </conditionalFormatting>
  <conditionalFormatting sqref="AD8">
    <cfRule type="containsText" dxfId="1564" priority="1885" operator="containsText" text="GP2">
      <formula>NOT(ISERROR(SEARCH("GP2",AD8)))</formula>
    </cfRule>
    <cfRule type="containsText" dxfId="1563" priority="1886" operator="containsText" text="GP1">
      <formula>NOT(ISERROR(SEARCH("GP1",AD8)))</formula>
    </cfRule>
  </conditionalFormatting>
  <conditionalFormatting sqref="AD8">
    <cfRule type="containsText" dxfId="1562" priority="1883" operator="containsText" text="GP2">
      <formula>NOT(ISERROR(SEARCH("GP2",AD8)))</formula>
    </cfRule>
    <cfRule type="containsText" dxfId="1561" priority="1884" operator="containsText" text="GP1">
      <formula>NOT(ISERROR(SEARCH("GP1",AD8)))</formula>
    </cfRule>
  </conditionalFormatting>
  <conditionalFormatting sqref="AD8">
    <cfRule type="containsText" dxfId="1560" priority="1881" operator="containsText" text="GP2">
      <formula>NOT(ISERROR(SEARCH("GP2",AD8)))</formula>
    </cfRule>
    <cfRule type="containsText" dxfId="1559" priority="1882" operator="containsText" text="GP1">
      <formula>NOT(ISERROR(SEARCH("GP1",AD8)))</formula>
    </cfRule>
  </conditionalFormatting>
  <conditionalFormatting sqref="AD8">
    <cfRule type="containsText" dxfId="1558" priority="1879" operator="containsText" text="GP2">
      <formula>NOT(ISERROR(SEARCH("GP2",AD8)))</formula>
    </cfRule>
    <cfRule type="containsText" dxfId="1557" priority="1880" operator="containsText" text="GP1">
      <formula>NOT(ISERROR(SEARCH("GP1",AD8)))</formula>
    </cfRule>
  </conditionalFormatting>
  <conditionalFormatting sqref="AD8">
    <cfRule type="containsText" dxfId="1556" priority="1877" operator="containsText" text="GP2">
      <formula>NOT(ISERROR(SEARCH("GP2",AD8)))</formula>
    </cfRule>
    <cfRule type="containsText" dxfId="1555" priority="1878" operator="containsText" text="GP1">
      <formula>NOT(ISERROR(SEARCH("GP1",AD8)))</formula>
    </cfRule>
  </conditionalFormatting>
  <conditionalFormatting sqref="AD8">
    <cfRule type="containsText" dxfId="1554" priority="1875" operator="containsText" text="GP2">
      <formula>NOT(ISERROR(SEARCH("GP2",AD8)))</formula>
    </cfRule>
    <cfRule type="containsText" dxfId="1553" priority="1876" operator="containsText" text="GP1">
      <formula>NOT(ISERROR(SEARCH("GP1",AD8)))</formula>
    </cfRule>
  </conditionalFormatting>
  <conditionalFormatting sqref="AD8">
    <cfRule type="containsText" dxfId="1552" priority="1873" operator="containsText" text="GP2">
      <formula>NOT(ISERROR(SEARCH("GP2",AD8)))</formula>
    </cfRule>
    <cfRule type="containsText" dxfId="1551" priority="1874" operator="containsText" text="GP1">
      <formula>NOT(ISERROR(SEARCH("GP1",AD8)))</formula>
    </cfRule>
  </conditionalFormatting>
  <conditionalFormatting sqref="AD8">
    <cfRule type="containsText" dxfId="1550" priority="1871" operator="containsText" text="GP2">
      <formula>NOT(ISERROR(SEARCH("GP2",AD8)))</formula>
    </cfRule>
    <cfRule type="containsText" dxfId="1549" priority="1872" operator="containsText" text="GP1">
      <formula>NOT(ISERROR(SEARCH("GP1",AD8)))</formula>
    </cfRule>
  </conditionalFormatting>
  <conditionalFormatting sqref="AD8">
    <cfRule type="containsText" dxfId="1548" priority="1869" operator="containsText" text="GP2">
      <formula>NOT(ISERROR(SEARCH("GP2",AD8)))</formula>
    </cfRule>
    <cfRule type="containsText" dxfId="1547" priority="1870" operator="containsText" text="GP1">
      <formula>NOT(ISERROR(SEARCH("GP1",AD8)))</formula>
    </cfRule>
  </conditionalFormatting>
  <conditionalFormatting sqref="AD8">
    <cfRule type="containsText" dxfId="1546" priority="1867" operator="containsText" text="GP2">
      <formula>NOT(ISERROR(SEARCH("GP2",AD8)))</formula>
    </cfRule>
    <cfRule type="containsText" dxfId="1545" priority="1868" operator="containsText" text="GP1">
      <formula>NOT(ISERROR(SEARCH("GP1",AD8)))</formula>
    </cfRule>
  </conditionalFormatting>
  <conditionalFormatting sqref="AD8">
    <cfRule type="containsText" dxfId="1544" priority="1865" operator="containsText" text="GP2">
      <formula>NOT(ISERROR(SEARCH("GP2",AD8)))</formula>
    </cfRule>
    <cfRule type="containsText" dxfId="1543" priority="1866" operator="containsText" text="GP1">
      <formula>NOT(ISERROR(SEARCH("GP1",AD8)))</formula>
    </cfRule>
  </conditionalFormatting>
  <conditionalFormatting sqref="AD8">
    <cfRule type="containsText" dxfId="1542" priority="1863" operator="containsText" text="GP2">
      <formula>NOT(ISERROR(SEARCH("GP2",AD8)))</formula>
    </cfRule>
    <cfRule type="containsText" dxfId="1541" priority="1864" operator="containsText" text="GP1">
      <formula>NOT(ISERROR(SEARCH("GP1",AD8)))</formula>
    </cfRule>
  </conditionalFormatting>
  <conditionalFormatting sqref="AD8">
    <cfRule type="containsText" dxfId="1540" priority="1861" operator="containsText" text="GP2">
      <formula>NOT(ISERROR(SEARCH("GP2",AD8)))</formula>
    </cfRule>
    <cfRule type="containsText" dxfId="1539" priority="1862" operator="containsText" text="GP1">
      <formula>NOT(ISERROR(SEARCH("GP1",AD8)))</formula>
    </cfRule>
  </conditionalFormatting>
  <conditionalFormatting sqref="AD8">
    <cfRule type="containsText" dxfId="1538" priority="1859" operator="containsText" text="GP2">
      <formula>NOT(ISERROR(SEARCH("GP2",AD8)))</formula>
    </cfRule>
    <cfRule type="containsText" dxfId="1537" priority="1860" operator="containsText" text="GP1">
      <formula>NOT(ISERROR(SEARCH("GP1",AD8)))</formula>
    </cfRule>
  </conditionalFormatting>
  <conditionalFormatting sqref="AD8">
    <cfRule type="containsText" dxfId="1536" priority="1857" operator="containsText" text="GP2">
      <formula>NOT(ISERROR(SEARCH("GP2",AD8)))</formula>
    </cfRule>
    <cfRule type="containsText" dxfId="1535" priority="1858" operator="containsText" text="GP1">
      <formula>NOT(ISERROR(SEARCH("GP1",AD8)))</formula>
    </cfRule>
  </conditionalFormatting>
  <conditionalFormatting sqref="AD8">
    <cfRule type="containsText" dxfId="1534" priority="1855" operator="containsText" text="GP2">
      <formula>NOT(ISERROR(SEARCH("GP2",AD8)))</formula>
    </cfRule>
    <cfRule type="containsText" dxfId="1533" priority="1856" operator="containsText" text="GP1">
      <formula>NOT(ISERROR(SEARCH("GP1",AD8)))</formula>
    </cfRule>
  </conditionalFormatting>
  <conditionalFormatting sqref="AD8">
    <cfRule type="containsText" dxfId="1532" priority="1853" operator="containsText" text="GP2">
      <formula>NOT(ISERROR(SEARCH("GP2",AD8)))</formula>
    </cfRule>
    <cfRule type="containsText" dxfId="1531" priority="1854" operator="containsText" text="GP1">
      <formula>NOT(ISERROR(SEARCH("GP1",AD8)))</formula>
    </cfRule>
  </conditionalFormatting>
  <conditionalFormatting sqref="AD8">
    <cfRule type="containsText" dxfId="1530" priority="1851" operator="containsText" text="GP2">
      <formula>NOT(ISERROR(SEARCH("GP2",AD8)))</formula>
    </cfRule>
    <cfRule type="containsText" dxfId="1529" priority="1852" operator="containsText" text="GP1">
      <formula>NOT(ISERROR(SEARCH("GP1",AD8)))</formula>
    </cfRule>
  </conditionalFormatting>
  <conditionalFormatting sqref="AD8">
    <cfRule type="containsText" dxfId="1528" priority="1849" operator="containsText" text="GP2">
      <formula>NOT(ISERROR(SEARCH("GP2",AD8)))</formula>
    </cfRule>
    <cfRule type="containsText" dxfId="1527" priority="1850" operator="containsText" text="GP1">
      <formula>NOT(ISERROR(SEARCH("GP1",AD8)))</formula>
    </cfRule>
  </conditionalFormatting>
  <conditionalFormatting sqref="AD8">
    <cfRule type="containsText" dxfId="1526" priority="1847" operator="containsText" text="GP2">
      <formula>NOT(ISERROR(SEARCH("GP2",AD8)))</formula>
    </cfRule>
    <cfRule type="containsText" dxfId="1525" priority="1848" operator="containsText" text="GP1">
      <formula>NOT(ISERROR(SEARCH("GP1",AD8)))</formula>
    </cfRule>
  </conditionalFormatting>
  <conditionalFormatting sqref="AD8">
    <cfRule type="containsText" dxfId="1524" priority="1845" operator="containsText" text="GP2">
      <formula>NOT(ISERROR(SEARCH("GP2",AD8)))</formula>
    </cfRule>
    <cfRule type="containsText" dxfId="1523" priority="1846" operator="containsText" text="GP1">
      <formula>NOT(ISERROR(SEARCH("GP1",AD8)))</formula>
    </cfRule>
  </conditionalFormatting>
  <conditionalFormatting sqref="AD8">
    <cfRule type="containsText" dxfId="1522" priority="1843" operator="containsText" text="GP2">
      <formula>NOT(ISERROR(SEARCH("GP2",AD8)))</formula>
    </cfRule>
    <cfRule type="containsText" dxfId="1521" priority="1844" operator="containsText" text="GP1">
      <formula>NOT(ISERROR(SEARCH("GP1",AD8)))</formula>
    </cfRule>
  </conditionalFormatting>
  <conditionalFormatting sqref="AD8">
    <cfRule type="containsText" dxfId="1520" priority="1841" operator="containsText" text="GP2">
      <formula>NOT(ISERROR(SEARCH("GP2",AD8)))</formula>
    </cfRule>
    <cfRule type="containsText" dxfId="1519" priority="1842" operator="containsText" text="GP1">
      <formula>NOT(ISERROR(SEARCH("GP1",AD8)))</formula>
    </cfRule>
  </conditionalFormatting>
  <conditionalFormatting sqref="AD8">
    <cfRule type="containsText" dxfId="1518" priority="1839" operator="containsText" text="GP2">
      <formula>NOT(ISERROR(SEARCH("GP2",AD8)))</formula>
    </cfRule>
    <cfRule type="containsText" dxfId="1517" priority="1840" operator="containsText" text="GP1">
      <formula>NOT(ISERROR(SEARCH("GP1",AD8)))</formula>
    </cfRule>
  </conditionalFormatting>
  <conditionalFormatting sqref="N8">
    <cfRule type="containsBlanks" dxfId="1516" priority="1825">
      <formula>LEN(TRIM(N8))=0</formula>
    </cfRule>
  </conditionalFormatting>
  <conditionalFormatting sqref="N8">
    <cfRule type="containsBlanks" dxfId="1515" priority="1807">
      <formula>LEN(TRIM(N8))=0</formula>
    </cfRule>
  </conditionalFormatting>
  <conditionalFormatting sqref="N8">
    <cfRule type="containsBlanks" dxfId="1514" priority="1806">
      <formula>LEN(TRIM(N8))=0</formula>
    </cfRule>
  </conditionalFormatting>
  <conditionalFormatting sqref="N8">
    <cfRule type="containsBlanks" dxfId="1513" priority="1805">
      <formula>LEN(TRIM(N8))=0</formula>
    </cfRule>
  </conditionalFormatting>
  <conditionalFormatting sqref="N8">
    <cfRule type="containsBlanks" dxfId="1512" priority="1804">
      <formula>LEN(TRIM(N8))=0</formula>
    </cfRule>
  </conditionalFormatting>
  <conditionalFormatting sqref="N8">
    <cfRule type="containsBlanks" dxfId="1511" priority="1803">
      <formula>LEN(TRIM(N8))=0</formula>
    </cfRule>
  </conditionalFormatting>
  <conditionalFormatting sqref="N8">
    <cfRule type="containsBlanks" dxfId="1510" priority="1802">
      <formula>LEN(TRIM(N8))=0</formula>
    </cfRule>
  </conditionalFormatting>
  <conditionalFormatting sqref="N8">
    <cfRule type="containsBlanks" dxfId="1509" priority="1801">
      <formula>LEN(TRIM(N8))=0</formula>
    </cfRule>
  </conditionalFormatting>
  <conditionalFormatting sqref="N8">
    <cfRule type="containsBlanks" dxfId="1508" priority="1800">
      <formula>LEN(TRIM(N8))=0</formula>
    </cfRule>
  </conditionalFormatting>
  <conditionalFormatting sqref="N8">
    <cfRule type="containsBlanks" dxfId="1507" priority="1799">
      <formula>LEN(TRIM(N8))=0</formula>
    </cfRule>
  </conditionalFormatting>
  <conditionalFormatting sqref="N8">
    <cfRule type="containsBlanks" dxfId="1506" priority="1798">
      <formula>LEN(TRIM(N8))=0</formula>
    </cfRule>
  </conditionalFormatting>
  <conditionalFormatting sqref="N8">
    <cfRule type="containsBlanks" dxfId="1505" priority="1797">
      <formula>LEN(TRIM(N8))=0</formula>
    </cfRule>
  </conditionalFormatting>
  <conditionalFormatting sqref="N8">
    <cfRule type="containsBlanks" dxfId="1504" priority="1796">
      <formula>LEN(TRIM(N8))=0</formula>
    </cfRule>
  </conditionalFormatting>
  <conditionalFormatting sqref="N8">
    <cfRule type="containsBlanks" dxfId="1503" priority="1783">
      <formula>LEN(TRIM(N8))=0</formula>
    </cfRule>
  </conditionalFormatting>
  <conditionalFormatting sqref="N8">
    <cfRule type="containsBlanks" dxfId="1502" priority="1782">
      <formula>LEN(TRIM(N8))=0</formula>
    </cfRule>
  </conditionalFormatting>
  <conditionalFormatting sqref="N8">
    <cfRule type="containsBlanks" dxfId="1501" priority="1781">
      <formula>LEN(TRIM(N8))=0</formula>
    </cfRule>
  </conditionalFormatting>
  <conditionalFormatting sqref="N8">
    <cfRule type="containsBlanks" dxfId="1500" priority="1780">
      <formula>LEN(TRIM(N8))=0</formula>
    </cfRule>
  </conditionalFormatting>
  <conditionalFormatting sqref="N8">
    <cfRule type="containsBlanks" dxfId="1499" priority="1779">
      <formula>LEN(TRIM(N8))=0</formula>
    </cfRule>
  </conditionalFormatting>
  <conditionalFormatting sqref="N8">
    <cfRule type="containsBlanks" dxfId="1498" priority="1778">
      <formula>LEN(TRIM(N8))=0</formula>
    </cfRule>
  </conditionalFormatting>
  <conditionalFormatting sqref="N8">
    <cfRule type="containsBlanks" dxfId="1497" priority="1777">
      <formula>LEN(TRIM(N8))=0</formula>
    </cfRule>
  </conditionalFormatting>
  <conditionalFormatting sqref="N8">
    <cfRule type="containsBlanks" dxfId="1496" priority="1776">
      <formula>LEN(TRIM(N8))=0</formula>
    </cfRule>
  </conditionalFormatting>
  <conditionalFormatting sqref="N8">
    <cfRule type="containsBlanks" dxfId="1495" priority="1775">
      <formula>LEN(TRIM(N8))=0</formula>
    </cfRule>
  </conditionalFormatting>
  <conditionalFormatting sqref="N8">
    <cfRule type="containsBlanks" dxfId="1494" priority="1774">
      <formula>LEN(TRIM(N8))=0</formula>
    </cfRule>
  </conditionalFormatting>
  <conditionalFormatting sqref="N8">
    <cfRule type="containsBlanks" dxfId="1493" priority="1773">
      <formula>LEN(TRIM(N8))=0</formula>
    </cfRule>
  </conditionalFormatting>
  <conditionalFormatting sqref="N8">
    <cfRule type="containsBlanks" dxfId="1492" priority="1772">
      <formula>LEN(TRIM(N8))=0</formula>
    </cfRule>
  </conditionalFormatting>
  <conditionalFormatting sqref="N8">
    <cfRule type="containsBlanks" dxfId="1491" priority="1771">
      <formula>LEN(TRIM(N8))=0</formula>
    </cfRule>
  </conditionalFormatting>
  <conditionalFormatting sqref="N8">
    <cfRule type="containsBlanks" dxfId="1490" priority="1770">
      <formula>LEN(TRIM(N8))=0</formula>
    </cfRule>
  </conditionalFormatting>
  <conditionalFormatting sqref="N8">
    <cfRule type="containsBlanks" dxfId="1489" priority="1769">
      <formula>LEN(TRIM(N8))=0</formula>
    </cfRule>
  </conditionalFormatting>
  <conditionalFormatting sqref="N8">
    <cfRule type="containsBlanks" dxfId="1488" priority="1768">
      <formula>LEN(TRIM(N8))=0</formula>
    </cfRule>
  </conditionalFormatting>
  <conditionalFormatting sqref="N8">
    <cfRule type="containsBlanks" dxfId="1487" priority="1767">
      <formula>LEN(TRIM(N8))=0</formula>
    </cfRule>
  </conditionalFormatting>
  <conditionalFormatting sqref="N8">
    <cfRule type="containsBlanks" dxfId="1486" priority="1766">
      <formula>LEN(TRIM(N8))=0</formula>
    </cfRule>
  </conditionalFormatting>
  <conditionalFormatting sqref="N8">
    <cfRule type="containsBlanks" dxfId="1485" priority="1765">
      <formula>LEN(TRIM(N8))=0</formula>
    </cfRule>
  </conditionalFormatting>
  <conditionalFormatting sqref="N8">
    <cfRule type="containsBlanks" dxfId="1484" priority="1764">
      <formula>LEN(TRIM(N8))=0</formula>
    </cfRule>
  </conditionalFormatting>
  <conditionalFormatting sqref="N8">
    <cfRule type="containsBlanks" dxfId="1483" priority="1763">
      <formula>LEN(TRIM(N8))=0</formula>
    </cfRule>
  </conditionalFormatting>
  <conditionalFormatting sqref="N8">
    <cfRule type="containsBlanks" dxfId="1482" priority="1762">
      <formula>LEN(TRIM(N8))=0</formula>
    </cfRule>
  </conditionalFormatting>
  <conditionalFormatting sqref="N8">
    <cfRule type="containsBlanks" dxfId="1481" priority="1761">
      <formula>LEN(TRIM(N8))=0</formula>
    </cfRule>
  </conditionalFormatting>
  <conditionalFormatting sqref="N8">
    <cfRule type="containsBlanks" dxfId="1480" priority="1760">
      <formula>LEN(TRIM(N8))=0</formula>
    </cfRule>
  </conditionalFormatting>
  <conditionalFormatting sqref="N8">
    <cfRule type="containsBlanks" dxfId="1479" priority="1759">
      <formula>LEN(TRIM(N8))=0</formula>
    </cfRule>
  </conditionalFormatting>
  <conditionalFormatting sqref="N8">
    <cfRule type="containsBlanks" dxfId="1478" priority="1758">
      <formula>LEN(TRIM(N8))=0</formula>
    </cfRule>
  </conditionalFormatting>
  <conditionalFormatting sqref="N8">
    <cfRule type="containsBlanks" dxfId="1477" priority="1757">
      <formula>LEN(TRIM(N8))=0</formula>
    </cfRule>
  </conditionalFormatting>
  <conditionalFormatting sqref="N8">
    <cfRule type="containsBlanks" dxfId="1476" priority="1756">
      <formula>LEN(TRIM(N8))=0</formula>
    </cfRule>
  </conditionalFormatting>
  <conditionalFormatting sqref="N8">
    <cfRule type="containsBlanks" dxfId="1475" priority="1755">
      <formula>LEN(TRIM(N8))=0</formula>
    </cfRule>
  </conditionalFormatting>
  <conditionalFormatting sqref="N8">
    <cfRule type="containsBlanks" dxfId="1474" priority="1754">
      <formula>LEN(TRIM(N8))=0</formula>
    </cfRule>
  </conditionalFormatting>
  <conditionalFormatting sqref="N8">
    <cfRule type="containsBlanks" dxfId="1473" priority="1753">
      <formula>LEN(TRIM(N8))=0</formula>
    </cfRule>
  </conditionalFormatting>
  <conditionalFormatting sqref="N8">
    <cfRule type="containsBlanks" dxfId="1472" priority="1752">
      <formula>LEN(TRIM(N8))=0</formula>
    </cfRule>
  </conditionalFormatting>
  <conditionalFormatting sqref="N8">
    <cfRule type="containsBlanks" dxfId="1471" priority="1751">
      <formula>LEN(TRIM(N8))=0</formula>
    </cfRule>
  </conditionalFormatting>
  <conditionalFormatting sqref="N8">
    <cfRule type="containsBlanks" dxfId="1470" priority="1750">
      <formula>LEN(TRIM(N8))=0</formula>
    </cfRule>
  </conditionalFormatting>
  <conditionalFormatting sqref="N8">
    <cfRule type="containsBlanks" dxfId="1469" priority="1749">
      <formula>LEN(TRIM(N8))=0</formula>
    </cfRule>
  </conditionalFormatting>
  <conditionalFormatting sqref="N8">
    <cfRule type="containsBlanks" dxfId="1468" priority="1748">
      <formula>LEN(TRIM(N8))=0</formula>
    </cfRule>
  </conditionalFormatting>
  <conditionalFormatting sqref="N8">
    <cfRule type="containsBlanks" dxfId="1467" priority="1747">
      <formula>LEN(TRIM(N8))=0</formula>
    </cfRule>
  </conditionalFormatting>
  <conditionalFormatting sqref="N8">
    <cfRule type="containsBlanks" dxfId="1466" priority="1746">
      <formula>LEN(TRIM(N8))=0</formula>
    </cfRule>
  </conditionalFormatting>
  <conditionalFormatting sqref="N8">
    <cfRule type="containsBlanks" dxfId="1465" priority="1745">
      <formula>LEN(TRIM(N8))=0</formula>
    </cfRule>
  </conditionalFormatting>
  <conditionalFormatting sqref="N8">
    <cfRule type="containsBlanks" dxfId="1464" priority="1744">
      <formula>LEN(TRIM(N8))=0</formula>
    </cfRule>
  </conditionalFormatting>
  <conditionalFormatting sqref="N8">
    <cfRule type="containsBlanks" dxfId="1463" priority="1743">
      <formula>LEN(TRIM(N8))=0</formula>
    </cfRule>
  </conditionalFormatting>
  <conditionalFormatting sqref="N8">
    <cfRule type="containsBlanks" dxfId="1462" priority="1742">
      <formula>LEN(TRIM(N8))=0</formula>
    </cfRule>
  </conditionalFormatting>
  <conditionalFormatting sqref="N8">
    <cfRule type="containsBlanks" dxfId="1461" priority="1741">
      <formula>LEN(TRIM(N8))=0</formula>
    </cfRule>
  </conditionalFormatting>
  <conditionalFormatting sqref="N8">
    <cfRule type="containsBlanks" dxfId="1460" priority="1740">
      <formula>LEN(TRIM(N8))=0</formula>
    </cfRule>
  </conditionalFormatting>
  <conditionalFormatting sqref="N8">
    <cfRule type="containsBlanks" dxfId="1459" priority="1739">
      <formula>LEN(TRIM(N8))=0</formula>
    </cfRule>
  </conditionalFormatting>
  <conditionalFormatting sqref="N8">
    <cfRule type="containsBlanks" dxfId="1458" priority="1738">
      <formula>LEN(TRIM(N8))=0</formula>
    </cfRule>
  </conditionalFormatting>
  <conditionalFormatting sqref="N8">
    <cfRule type="containsBlanks" dxfId="1457" priority="1737">
      <formula>LEN(TRIM(N8))=0</formula>
    </cfRule>
  </conditionalFormatting>
  <conditionalFormatting sqref="N8">
    <cfRule type="containsBlanks" dxfId="1456" priority="1736">
      <formula>LEN(TRIM(N8))=0</formula>
    </cfRule>
  </conditionalFormatting>
  <conditionalFormatting sqref="N8">
    <cfRule type="containsBlanks" dxfId="1455" priority="1735">
      <formula>LEN(TRIM(N8))=0</formula>
    </cfRule>
  </conditionalFormatting>
  <conditionalFormatting sqref="N8">
    <cfRule type="containsBlanks" dxfId="1454" priority="1692">
      <formula>LEN(TRIM(N8))=0</formula>
    </cfRule>
  </conditionalFormatting>
  <conditionalFormatting sqref="N8">
    <cfRule type="containsBlanks" dxfId="1453" priority="1691">
      <formula>LEN(TRIM(N8))=0</formula>
    </cfRule>
  </conditionalFormatting>
  <conditionalFormatting sqref="N8">
    <cfRule type="containsBlanks" dxfId="1452" priority="1690">
      <formula>LEN(TRIM(N8))=0</formula>
    </cfRule>
  </conditionalFormatting>
  <conditionalFormatting sqref="N8">
    <cfRule type="containsBlanks" dxfId="1451" priority="1689">
      <formula>LEN(TRIM(N8))=0</formula>
    </cfRule>
  </conditionalFormatting>
  <conditionalFormatting sqref="N8">
    <cfRule type="containsBlanks" dxfId="1450" priority="1688">
      <formula>LEN(TRIM(N8))=0</formula>
    </cfRule>
  </conditionalFormatting>
  <conditionalFormatting sqref="N8">
    <cfRule type="containsBlanks" dxfId="1449" priority="1604">
      <formula>LEN(TRIM(N8))=0</formula>
    </cfRule>
  </conditionalFormatting>
  <conditionalFormatting sqref="N8">
    <cfRule type="containsBlanks" dxfId="1448" priority="1603">
      <formula>LEN(TRIM(N8))=0</formula>
    </cfRule>
  </conditionalFormatting>
  <conditionalFormatting sqref="H8:I8">
    <cfRule type="containsBlanks" dxfId="1447" priority="1602">
      <formula>LEN(TRIM(H8))=0</formula>
    </cfRule>
  </conditionalFormatting>
  <conditionalFormatting sqref="N8">
    <cfRule type="containsBlanks" dxfId="1446" priority="1601">
      <formula>LEN(TRIM(N8))=0</formula>
    </cfRule>
  </conditionalFormatting>
  <conditionalFormatting sqref="N8">
    <cfRule type="containsBlanks" dxfId="1445" priority="1600">
      <formula>LEN(TRIM(N8))=0</formula>
    </cfRule>
  </conditionalFormatting>
  <conditionalFormatting sqref="H8">
    <cfRule type="containsBlanks" dxfId="1444" priority="1599">
      <formula>LEN(TRIM(H8))=0</formula>
    </cfRule>
  </conditionalFormatting>
  <conditionalFormatting sqref="N8">
    <cfRule type="containsBlanks" dxfId="1443" priority="1589">
      <formula>LEN(TRIM(N8))=0</formula>
    </cfRule>
  </conditionalFormatting>
  <conditionalFormatting sqref="N8 H8">
    <cfRule type="containsBlanks" dxfId="1442" priority="1588">
      <formula>LEN(TRIM(H8))=0</formula>
    </cfRule>
  </conditionalFormatting>
  <conditionalFormatting sqref="H8">
    <cfRule type="containsBlanks" dxfId="1441" priority="1587">
      <formula>LEN(TRIM(H8))=0</formula>
    </cfRule>
  </conditionalFormatting>
  <conditionalFormatting sqref="N8">
    <cfRule type="containsBlanks" dxfId="1440" priority="1586">
      <formula>LEN(TRIM(N8))=0</formula>
    </cfRule>
  </conditionalFormatting>
  <conditionalFormatting sqref="N8">
    <cfRule type="containsBlanks" dxfId="1439" priority="1585">
      <formula>LEN(TRIM(N8))=0</formula>
    </cfRule>
  </conditionalFormatting>
  <conditionalFormatting sqref="N8">
    <cfRule type="containsBlanks" dxfId="1438" priority="1584">
      <formula>LEN(TRIM(N8))=0</formula>
    </cfRule>
  </conditionalFormatting>
  <conditionalFormatting sqref="N8">
    <cfRule type="containsBlanks" dxfId="1437" priority="1583">
      <formula>LEN(TRIM(N8))=0</formula>
    </cfRule>
  </conditionalFormatting>
  <conditionalFormatting sqref="N8">
    <cfRule type="containsBlanks" dxfId="1436" priority="1582">
      <formula>LEN(TRIM(N8))=0</formula>
    </cfRule>
  </conditionalFormatting>
  <conditionalFormatting sqref="N8">
    <cfRule type="containsBlanks" dxfId="1435" priority="1581">
      <formula>LEN(TRIM(N8))=0</formula>
    </cfRule>
  </conditionalFormatting>
  <conditionalFormatting sqref="N8">
    <cfRule type="containsBlanks" dxfId="1434" priority="1580">
      <formula>LEN(TRIM(N8))=0</formula>
    </cfRule>
  </conditionalFormatting>
  <conditionalFormatting sqref="N8">
    <cfRule type="containsBlanks" dxfId="1433" priority="1579">
      <formula>LEN(TRIM(N8))=0</formula>
    </cfRule>
  </conditionalFormatting>
  <conditionalFormatting sqref="N8">
    <cfRule type="containsBlanks" dxfId="1432" priority="1578">
      <formula>LEN(TRIM(N8))=0</formula>
    </cfRule>
  </conditionalFormatting>
  <conditionalFormatting sqref="N8">
    <cfRule type="containsBlanks" dxfId="1431" priority="1577">
      <formula>LEN(TRIM(N8))=0</formula>
    </cfRule>
  </conditionalFormatting>
  <conditionalFormatting sqref="N8">
    <cfRule type="containsBlanks" dxfId="1430" priority="1576">
      <formula>LEN(TRIM(N8))=0</formula>
    </cfRule>
  </conditionalFormatting>
  <conditionalFormatting sqref="N8">
    <cfRule type="containsBlanks" dxfId="1429" priority="1575">
      <formula>LEN(TRIM(N8))=0</formula>
    </cfRule>
  </conditionalFormatting>
  <conditionalFormatting sqref="N8">
    <cfRule type="containsBlanks" dxfId="1428" priority="1574">
      <formula>LEN(TRIM(N8))=0</formula>
    </cfRule>
  </conditionalFormatting>
  <conditionalFormatting sqref="N8">
    <cfRule type="containsBlanks" dxfId="1427" priority="1573">
      <formula>LEN(TRIM(N8))=0</formula>
    </cfRule>
  </conditionalFormatting>
  <conditionalFormatting sqref="N8">
    <cfRule type="containsBlanks" dxfId="1426" priority="1572">
      <formula>LEN(TRIM(N8))=0</formula>
    </cfRule>
  </conditionalFormatting>
  <conditionalFormatting sqref="N8">
    <cfRule type="containsBlanks" dxfId="1425" priority="1571">
      <formula>LEN(TRIM(N8))=0</formula>
    </cfRule>
  </conditionalFormatting>
  <conditionalFormatting sqref="N8">
    <cfRule type="containsBlanks" dxfId="1424" priority="1570">
      <formula>LEN(TRIM(N8))=0</formula>
    </cfRule>
  </conditionalFormatting>
  <conditionalFormatting sqref="N8">
    <cfRule type="containsBlanks" dxfId="1423" priority="1569">
      <formula>LEN(TRIM(N8))=0</formula>
    </cfRule>
  </conditionalFormatting>
  <conditionalFormatting sqref="N8">
    <cfRule type="containsBlanks" dxfId="1422" priority="1568">
      <formula>LEN(TRIM(N8))=0</formula>
    </cfRule>
  </conditionalFormatting>
  <conditionalFormatting sqref="N8">
    <cfRule type="containsBlanks" dxfId="1421" priority="1567">
      <formula>LEN(TRIM(N8))=0</formula>
    </cfRule>
  </conditionalFormatting>
  <conditionalFormatting sqref="N8">
    <cfRule type="containsBlanks" dxfId="1420" priority="1566">
      <formula>LEN(TRIM(N8))=0</formula>
    </cfRule>
  </conditionalFormatting>
  <conditionalFormatting sqref="N8">
    <cfRule type="containsBlanks" dxfId="1419" priority="1565">
      <formula>LEN(TRIM(N8))=0</formula>
    </cfRule>
  </conditionalFormatting>
  <conditionalFormatting sqref="N8">
    <cfRule type="containsBlanks" dxfId="1418" priority="1564">
      <formula>LEN(TRIM(N8))=0</formula>
    </cfRule>
  </conditionalFormatting>
  <conditionalFormatting sqref="N8">
    <cfRule type="containsBlanks" dxfId="1417" priority="1563">
      <formula>LEN(TRIM(N8))=0</formula>
    </cfRule>
  </conditionalFormatting>
  <conditionalFormatting sqref="N8">
    <cfRule type="containsBlanks" dxfId="1416" priority="1562">
      <formula>LEN(TRIM(N8))=0</formula>
    </cfRule>
  </conditionalFormatting>
  <conditionalFormatting sqref="N8">
    <cfRule type="containsBlanks" dxfId="1415" priority="1561">
      <formula>LEN(TRIM(N8))=0</formula>
    </cfRule>
  </conditionalFormatting>
  <conditionalFormatting sqref="N8">
    <cfRule type="containsBlanks" dxfId="1414" priority="1560">
      <formula>LEN(TRIM(N8))=0</formula>
    </cfRule>
  </conditionalFormatting>
  <conditionalFormatting sqref="N8">
    <cfRule type="containsBlanks" dxfId="1413" priority="1559">
      <formula>LEN(TRIM(N8))=0</formula>
    </cfRule>
  </conditionalFormatting>
  <conditionalFormatting sqref="N8">
    <cfRule type="containsBlanks" dxfId="1412" priority="1558">
      <formula>LEN(TRIM(N8))=0</formula>
    </cfRule>
  </conditionalFormatting>
  <conditionalFormatting sqref="N8">
    <cfRule type="containsBlanks" dxfId="1411" priority="1557">
      <formula>LEN(TRIM(N8))=0</formula>
    </cfRule>
  </conditionalFormatting>
  <conditionalFormatting sqref="N8">
    <cfRule type="containsBlanks" dxfId="1410" priority="1556">
      <formula>LEN(TRIM(N8))=0</formula>
    </cfRule>
  </conditionalFormatting>
  <conditionalFormatting sqref="N8">
    <cfRule type="containsBlanks" dxfId="1409" priority="1555">
      <formula>LEN(TRIM(N8))=0</formula>
    </cfRule>
  </conditionalFormatting>
  <conditionalFormatting sqref="N8">
    <cfRule type="containsBlanks" dxfId="1408" priority="1554">
      <formula>LEN(TRIM(N8))=0</formula>
    </cfRule>
  </conditionalFormatting>
  <conditionalFormatting sqref="N8">
    <cfRule type="containsBlanks" dxfId="1407" priority="1553">
      <formula>LEN(TRIM(N8))=0</formula>
    </cfRule>
  </conditionalFormatting>
  <conditionalFormatting sqref="N8">
    <cfRule type="containsBlanks" dxfId="1406" priority="1552">
      <formula>LEN(TRIM(N8))=0</formula>
    </cfRule>
  </conditionalFormatting>
  <conditionalFormatting sqref="N8">
    <cfRule type="containsBlanks" dxfId="1405" priority="1551">
      <formula>LEN(TRIM(N8))=0</formula>
    </cfRule>
  </conditionalFormatting>
  <conditionalFormatting sqref="N8">
    <cfRule type="containsBlanks" dxfId="1404" priority="1550">
      <formula>LEN(TRIM(N8))=0</formula>
    </cfRule>
  </conditionalFormatting>
  <conditionalFormatting sqref="N8">
    <cfRule type="containsBlanks" dxfId="1403" priority="1549">
      <formula>LEN(TRIM(N8))=0</formula>
    </cfRule>
  </conditionalFormatting>
  <conditionalFormatting sqref="N8">
    <cfRule type="containsBlanks" dxfId="1402" priority="1548">
      <formula>LEN(TRIM(N8))=0</formula>
    </cfRule>
  </conditionalFormatting>
  <conditionalFormatting sqref="N8">
    <cfRule type="containsBlanks" dxfId="1401" priority="1547">
      <formula>LEN(TRIM(N8))=0</formula>
    </cfRule>
  </conditionalFormatting>
  <conditionalFormatting sqref="N8">
    <cfRule type="containsBlanks" dxfId="1400" priority="1546">
      <formula>LEN(TRIM(N8))=0</formula>
    </cfRule>
  </conditionalFormatting>
  <conditionalFormatting sqref="N8">
    <cfRule type="containsBlanks" dxfId="1399" priority="1545">
      <formula>LEN(TRIM(N8))=0</formula>
    </cfRule>
  </conditionalFormatting>
  <conditionalFormatting sqref="N8">
    <cfRule type="containsBlanks" dxfId="1398" priority="1544">
      <formula>LEN(TRIM(N8))=0</formula>
    </cfRule>
  </conditionalFormatting>
  <conditionalFormatting sqref="H8">
    <cfRule type="containsBlanks" dxfId="1397" priority="1543">
      <formula>LEN(TRIM(H8))=0</formula>
    </cfRule>
  </conditionalFormatting>
  <conditionalFormatting sqref="N8">
    <cfRule type="containsBlanks" dxfId="1396" priority="1542">
      <formula>LEN(TRIM(N8))=0</formula>
    </cfRule>
  </conditionalFormatting>
  <conditionalFormatting sqref="N8">
    <cfRule type="containsBlanks" dxfId="1395" priority="1541">
      <formula>LEN(TRIM(N8))=0</formula>
    </cfRule>
  </conditionalFormatting>
  <conditionalFormatting sqref="N8">
    <cfRule type="containsBlanks" dxfId="1394" priority="1540">
      <formula>LEN(TRIM(N8))=0</formula>
    </cfRule>
  </conditionalFormatting>
  <conditionalFormatting sqref="N8">
    <cfRule type="containsBlanks" dxfId="1393" priority="1539">
      <formula>LEN(TRIM(N8))=0</formula>
    </cfRule>
  </conditionalFormatting>
  <conditionalFormatting sqref="N8">
    <cfRule type="containsBlanks" dxfId="1392" priority="1538">
      <formula>LEN(TRIM(N8))=0</formula>
    </cfRule>
  </conditionalFormatting>
  <conditionalFormatting sqref="N8">
    <cfRule type="containsBlanks" dxfId="1391" priority="1537">
      <formula>LEN(TRIM(N8))=0</formula>
    </cfRule>
  </conditionalFormatting>
  <conditionalFormatting sqref="N8">
    <cfRule type="containsBlanks" dxfId="1390" priority="1536">
      <formula>LEN(TRIM(N8))=0</formula>
    </cfRule>
  </conditionalFormatting>
  <conditionalFormatting sqref="N8">
    <cfRule type="containsBlanks" dxfId="1389" priority="1535">
      <formula>LEN(TRIM(N8))=0</formula>
    </cfRule>
  </conditionalFormatting>
  <conditionalFormatting sqref="N8">
    <cfRule type="containsBlanks" dxfId="1388" priority="1534">
      <formula>LEN(TRIM(N8))=0</formula>
    </cfRule>
  </conditionalFormatting>
  <conditionalFormatting sqref="N8">
    <cfRule type="containsBlanks" dxfId="1387" priority="1533">
      <formula>LEN(TRIM(N8))=0</formula>
    </cfRule>
  </conditionalFormatting>
  <conditionalFormatting sqref="N8">
    <cfRule type="containsBlanks" dxfId="1386" priority="1532">
      <formula>LEN(TRIM(N8))=0</formula>
    </cfRule>
  </conditionalFormatting>
  <conditionalFormatting sqref="N8">
    <cfRule type="containsBlanks" dxfId="1385" priority="1531">
      <formula>LEN(TRIM(N8))=0</formula>
    </cfRule>
  </conditionalFormatting>
  <conditionalFormatting sqref="N8">
    <cfRule type="containsBlanks" dxfId="1384" priority="1530">
      <formula>LEN(TRIM(N8))=0</formula>
    </cfRule>
  </conditionalFormatting>
  <conditionalFormatting sqref="N8">
    <cfRule type="containsBlanks" dxfId="1383" priority="1529">
      <formula>LEN(TRIM(N8))=0</formula>
    </cfRule>
  </conditionalFormatting>
  <conditionalFormatting sqref="N8">
    <cfRule type="containsBlanks" dxfId="1382" priority="1528">
      <formula>LEN(TRIM(N8))=0</formula>
    </cfRule>
  </conditionalFormatting>
  <conditionalFormatting sqref="N8">
    <cfRule type="containsBlanks" dxfId="1381" priority="1527">
      <formula>LEN(TRIM(N8))=0</formula>
    </cfRule>
  </conditionalFormatting>
  <conditionalFormatting sqref="N8">
    <cfRule type="containsBlanks" dxfId="1380" priority="1526">
      <formula>LEN(TRIM(N8))=0</formula>
    </cfRule>
  </conditionalFormatting>
  <conditionalFormatting sqref="N8">
    <cfRule type="containsBlanks" dxfId="1379" priority="1525">
      <formula>LEN(TRIM(N8))=0</formula>
    </cfRule>
  </conditionalFormatting>
  <conditionalFormatting sqref="N8">
    <cfRule type="containsBlanks" dxfId="1378" priority="1524">
      <formula>LEN(TRIM(N8))=0</formula>
    </cfRule>
  </conditionalFormatting>
  <conditionalFormatting sqref="N8">
    <cfRule type="containsBlanks" dxfId="1377" priority="1523">
      <formula>LEN(TRIM(N8))=0</formula>
    </cfRule>
  </conditionalFormatting>
  <conditionalFormatting sqref="N8">
    <cfRule type="containsBlanks" dxfId="1376" priority="1522">
      <formula>LEN(TRIM(N8))=0</formula>
    </cfRule>
  </conditionalFormatting>
  <conditionalFormatting sqref="N8">
    <cfRule type="containsBlanks" dxfId="1375" priority="1521">
      <formula>LEN(TRIM(N8))=0</formula>
    </cfRule>
  </conditionalFormatting>
  <conditionalFormatting sqref="N8">
    <cfRule type="containsBlanks" dxfId="1374" priority="1520">
      <formula>LEN(TRIM(N8))=0</formula>
    </cfRule>
  </conditionalFormatting>
  <conditionalFormatting sqref="N8">
    <cfRule type="containsBlanks" dxfId="1373" priority="1519">
      <formula>LEN(TRIM(N8))=0</formula>
    </cfRule>
  </conditionalFormatting>
  <conditionalFormatting sqref="N8">
    <cfRule type="containsBlanks" dxfId="1372" priority="1518">
      <formula>LEN(TRIM(N8))=0</formula>
    </cfRule>
  </conditionalFormatting>
  <conditionalFormatting sqref="H8">
    <cfRule type="containsBlanks" dxfId="1371" priority="1517">
      <formula>LEN(TRIM(H8))=0</formula>
    </cfRule>
  </conditionalFormatting>
  <conditionalFormatting sqref="N8">
    <cfRule type="containsBlanks" dxfId="1370" priority="1516">
      <formula>LEN(TRIM(N8))=0</formula>
    </cfRule>
  </conditionalFormatting>
  <conditionalFormatting sqref="N8">
    <cfRule type="containsBlanks" dxfId="1369" priority="1515">
      <formula>LEN(TRIM(N8))=0</formula>
    </cfRule>
  </conditionalFormatting>
  <conditionalFormatting sqref="H8">
    <cfRule type="containsBlanks" dxfId="1368" priority="1514">
      <formula>LEN(TRIM(H8))=0</formula>
    </cfRule>
  </conditionalFormatting>
  <conditionalFormatting sqref="N8">
    <cfRule type="containsBlanks" dxfId="1367" priority="1513">
      <formula>LEN(TRIM(N8))=0</formula>
    </cfRule>
  </conditionalFormatting>
  <conditionalFormatting sqref="N8">
    <cfRule type="containsBlanks" dxfId="1366" priority="1512">
      <formula>LEN(TRIM(N8))=0</formula>
    </cfRule>
  </conditionalFormatting>
  <conditionalFormatting sqref="N8">
    <cfRule type="containsBlanks" dxfId="1365" priority="1511">
      <formula>LEN(TRIM(N8))=0</formula>
    </cfRule>
  </conditionalFormatting>
  <conditionalFormatting sqref="N8">
    <cfRule type="containsBlanks" dxfId="1364" priority="945">
      <formula>LEN(TRIM(N8))=0</formula>
    </cfRule>
  </conditionalFormatting>
  <conditionalFormatting sqref="N8">
    <cfRule type="containsBlanks" dxfId="1363" priority="944">
      <formula>LEN(TRIM(N8))=0</formula>
    </cfRule>
  </conditionalFormatting>
  <conditionalFormatting sqref="N8">
    <cfRule type="containsBlanks" dxfId="1362" priority="943">
      <formula>LEN(TRIM(N8))=0</formula>
    </cfRule>
  </conditionalFormatting>
  <conditionalFormatting sqref="N8">
    <cfRule type="containsBlanks" dxfId="1361" priority="921">
      <formula>LEN(TRIM(N8))=0</formula>
    </cfRule>
  </conditionalFormatting>
  <conditionalFormatting sqref="N8">
    <cfRule type="containsBlanks" dxfId="1360" priority="920">
      <formula>LEN(TRIM(N8))=0</formula>
    </cfRule>
  </conditionalFormatting>
  <conditionalFormatting sqref="N8">
    <cfRule type="containsBlanks" dxfId="1359" priority="919">
      <formula>LEN(TRIM(N8))=0</formula>
    </cfRule>
  </conditionalFormatting>
  <conditionalFormatting sqref="N8">
    <cfRule type="containsBlanks" dxfId="1358" priority="918">
      <formula>LEN(TRIM(N8))=0</formula>
    </cfRule>
  </conditionalFormatting>
  <conditionalFormatting sqref="N8">
    <cfRule type="containsBlanks" dxfId="1357" priority="917">
      <formula>LEN(TRIM(N8))=0</formula>
    </cfRule>
  </conditionalFormatting>
  <conditionalFormatting sqref="H8">
    <cfRule type="containsBlanks" dxfId="1356" priority="916">
      <formula>LEN(TRIM(H8))=0</formula>
    </cfRule>
  </conditionalFormatting>
  <conditionalFormatting sqref="N8">
    <cfRule type="containsBlanks" dxfId="1355" priority="915">
      <formula>LEN(TRIM(N8))=0</formula>
    </cfRule>
  </conditionalFormatting>
  <conditionalFormatting sqref="N8">
    <cfRule type="containsBlanks" dxfId="1354" priority="914">
      <formula>LEN(TRIM(N8))=0</formula>
    </cfRule>
  </conditionalFormatting>
  <conditionalFormatting sqref="N8">
    <cfRule type="containsBlanks" dxfId="1353" priority="913">
      <formula>LEN(TRIM(N8))=0</formula>
    </cfRule>
  </conditionalFormatting>
  <conditionalFormatting sqref="N8">
    <cfRule type="containsBlanks" dxfId="1352" priority="912">
      <formula>LEN(TRIM(N8))=0</formula>
    </cfRule>
  </conditionalFormatting>
  <conditionalFormatting sqref="N8">
    <cfRule type="containsBlanks" dxfId="1351" priority="911">
      <formula>LEN(TRIM(N8))=0</formula>
    </cfRule>
  </conditionalFormatting>
  <conditionalFormatting sqref="N8">
    <cfRule type="containsBlanks" dxfId="1350" priority="910">
      <formula>LEN(TRIM(N8))=0</formula>
    </cfRule>
  </conditionalFormatting>
  <conditionalFormatting sqref="N8">
    <cfRule type="containsBlanks" dxfId="1349" priority="909">
      <formula>LEN(TRIM(N8))=0</formula>
    </cfRule>
  </conditionalFormatting>
  <conditionalFormatting sqref="N8">
    <cfRule type="containsBlanks" dxfId="1348" priority="908">
      <formula>LEN(TRIM(N8))=0</formula>
    </cfRule>
  </conditionalFormatting>
  <conditionalFormatting sqref="N8">
    <cfRule type="containsBlanks" dxfId="1347" priority="907">
      <formula>LEN(TRIM(N8))=0</formula>
    </cfRule>
  </conditionalFormatting>
  <conditionalFormatting sqref="N8">
    <cfRule type="containsBlanks" dxfId="1346" priority="906">
      <formula>LEN(TRIM(N8))=0</formula>
    </cfRule>
  </conditionalFormatting>
  <conditionalFormatting sqref="N8">
    <cfRule type="containsBlanks" dxfId="1345" priority="905">
      <formula>LEN(TRIM(N8))=0</formula>
    </cfRule>
  </conditionalFormatting>
  <conditionalFormatting sqref="N8">
    <cfRule type="containsBlanks" dxfId="1344" priority="904">
      <formula>LEN(TRIM(N8))=0</formula>
    </cfRule>
  </conditionalFormatting>
  <conditionalFormatting sqref="N8">
    <cfRule type="containsBlanks" dxfId="1343" priority="903">
      <formula>LEN(TRIM(N8))=0</formula>
    </cfRule>
  </conditionalFormatting>
  <conditionalFormatting sqref="N8">
    <cfRule type="containsBlanks" dxfId="1342" priority="902">
      <formula>LEN(TRIM(N8))=0</formula>
    </cfRule>
  </conditionalFormatting>
  <conditionalFormatting sqref="N8">
    <cfRule type="containsBlanks" dxfId="1341" priority="901">
      <formula>LEN(TRIM(N8))=0</formula>
    </cfRule>
  </conditionalFormatting>
  <conditionalFormatting sqref="N8">
    <cfRule type="containsBlanks" dxfId="1340" priority="900">
      <formula>LEN(TRIM(N8))=0</formula>
    </cfRule>
  </conditionalFormatting>
  <conditionalFormatting sqref="N8">
    <cfRule type="containsBlanks" dxfId="1339" priority="899">
      <formula>LEN(TRIM(N8))=0</formula>
    </cfRule>
  </conditionalFormatting>
  <conditionalFormatting sqref="N8">
    <cfRule type="containsBlanks" dxfId="1338" priority="898">
      <formula>LEN(TRIM(N8))=0</formula>
    </cfRule>
  </conditionalFormatting>
  <conditionalFormatting sqref="N8">
    <cfRule type="containsBlanks" dxfId="1337" priority="897">
      <formula>LEN(TRIM(N8))=0</formula>
    </cfRule>
  </conditionalFormatting>
  <conditionalFormatting sqref="N8">
    <cfRule type="containsBlanks" dxfId="1336" priority="896">
      <formula>LEN(TRIM(N8))=0</formula>
    </cfRule>
  </conditionalFormatting>
  <conditionalFormatting sqref="N8">
    <cfRule type="containsBlanks" dxfId="1335" priority="895">
      <formula>LEN(TRIM(N8))=0</formula>
    </cfRule>
  </conditionalFormatting>
  <conditionalFormatting sqref="N8">
    <cfRule type="containsBlanks" dxfId="1334" priority="894">
      <formula>LEN(TRIM(N8))=0</formula>
    </cfRule>
  </conditionalFormatting>
  <conditionalFormatting sqref="N8">
    <cfRule type="containsBlanks" dxfId="1333" priority="893">
      <formula>LEN(TRIM(N8))=0</formula>
    </cfRule>
  </conditionalFormatting>
  <conditionalFormatting sqref="N8">
    <cfRule type="containsBlanks" dxfId="1332" priority="892">
      <formula>LEN(TRIM(N8))=0</formula>
    </cfRule>
  </conditionalFormatting>
  <conditionalFormatting sqref="N8">
    <cfRule type="containsBlanks" dxfId="1331" priority="891">
      <formula>LEN(TRIM(N8))=0</formula>
    </cfRule>
  </conditionalFormatting>
  <conditionalFormatting sqref="H8">
    <cfRule type="containsBlanks" dxfId="1330" priority="890">
      <formula>LEN(TRIM(H8))=0</formula>
    </cfRule>
  </conditionalFormatting>
  <conditionalFormatting sqref="N8">
    <cfRule type="containsBlanks" dxfId="1329" priority="889">
      <formula>LEN(TRIM(N8))=0</formula>
    </cfRule>
  </conditionalFormatting>
  <conditionalFormatting sqref="N8">
    <cfRule type="containsBlanks" dxfId="1328" priority="888">
      <formula>LEN(TRIM(N8))=0</formula>
    </cfRule>
  </conditionalFormatting>
  <conditionalFormatting sqref="H8">
    <cfRule type="containsBlanks" dxfId="1327" priority="887">
      <formula>LEN(TRIM(H8))=0</formula>
    </cfRule>
  </conditionalFormatting>
  <conditionalFormatting sqref="N8">
    <cfRule type="containsBlanks" dxfId="1326" priority="886">
      <formula>LEN(TRIM(N8))=0</formula>
    </cfRule>
  </conditionalFormatting>
  <conditionalFormatting sqref="N8">
    <cfRule type="containsBlanks" dxfId="1325" priority="885">
      <formula>LEN(TRIM(N8))=0</formula>
    </cfRule>
  </conditionalFormatting>
  <conditionalFormatting sqref="N8">
    <cfRule type="containsBlanks" dxfId="1324" priority="884">
      <formula>LEN(TRIM(N8))=0</formula>
    </cfRule>
  </conditionalFormatting>
  <conditionalFormatting sqref="N8">
    <cfRule type="containsBlanks" dxfId="1323" priority="883">
      <formula>LEN(TRIM(N8))=0</formula>
    </cfRule>
  </conditionalFormatting>
  <conditionalFormatting sqref="N8">
    <cfRule type="containsBlanks" dxfId="1322" priority="882">
      <formula>LEN(TRIM(N8))=0</formula>
    </cfRule>
  </conditionalFormatting>
  <conditionalFormatting sqref="N8">
    <cfRule type="containsBlanks" dxfId="1321" priority="881">
      <formula>LEN(TRIM(N8))=0</formula>
    </cfRule>
  </conditionalFormatting>
  <conditionalFormatting sqref="N8">
    <cfRule type="containsBlanks" dxfId="1320" priority="880">
      <formula>LEN(TRIM(N8))=0</formula>
    </cfRule>
  </conditionalFormatting>
  <conditionalFormatting sqref="N8">
    <cfRule type="containsBlanks" dxfId="1319" priority="879">
      <formula>LEN(TRIM(N8))=0</formula>
    </cfRule>
  </conditionalFormatting>
  <conditionalFormatting sqref="I8">
    <cfRule type="containsBlanks" dxfId="1318" priority="878">
      <formula>LEN(TRIM(I8))=0</formula>
    </cfRule>
  </conditionalFormatting>
  <conditionalFormatting sqref="I8">
    <cfRule type="containsBlanks" dxfId="1317" priority="877">
      <formula>LEN(TRIM(I8))=0</formula>
    </cfRule>
  </conditionalFormatting>
  <conditionalFormatting sqref="I8">
    <cfRule type="containsBlanks" dxfId="1316" priority="876">
      <formula>LEN(TRIM(I8))=0</formula>
    </cfRule>
  </conditionalFormatting>
  <conditionalFormatting sqref="I8">
    <cfRule type="containsBlanks" dxfId="1315" priority="875">
      <formula>LEN(TRIM(I8))=0</formula>
    </cfRule>
  </conditionalFormatting>
  <conditionalFormatting sqref="I8">
    <cfRule type="containsBlanks" dxfId="1314" priority="874">
      <formula>LEN(TRIM(I8))=0</formula>
    </cfRule>
  </conditionalFormatting>
  <conditionalFormatting sqref="I8">
    <cfRule type="containsBlanks" dxfId="1313" priority="873">
      <formula>LEN(TRIM(I8))=0</formula>
    </cfRule>
  </conditionalFormatting>
  <conditionalFormatting sqref="I8">
    <cfRule type="containsBlanks" dxfId="1312" priority="872">
      <formula>LEN(TRIM(I8))=0</formula>
    </cfRule>
  </conditionalFormatting>
  <conditionalFormatting sqref="I8">
    <cfRule type="containsBlanks" dxfId="1311" priority="871">
      <formula>LEN(TRIM(I8))=0</formula>
    </cfRule>
  </conditionalFormatting>
  <conditionalFormatting sqref="I8">
    <cfRule type="containsBlanks" dxfId="1310" priority="870">
      <formula>LEN(TRIM(I8))=0</formula>
    </cfRule>
  </conditionalFormatting>
  <conditionalFormatting sqref="H8">
    <cfRule type="containsBlanks" dxfId="1309" priority="869">
      <formula>LEN(TRIM(H8))=0</formula>
    </cfRule>
  </conditionalFormatting>
  <conditionalFormatting sqref="H8">
    <cfRule type="containsBlanks" dxfId="1308" priority="868">
      <formula>LEN(TRIM(H8))=0</formula>
    </cfRule>
  </conditionalFormatting>
  <conditionalFormatting sqref="H8">
    <cfRule type="containsBlanks" dxfId="1307" priority="867">
      <formula>LEN(TRIM(H8))=0</formula>
    </cfRule>
  </conditionalFormatting>
  <conditionalFormatting sqref="H8">
    <cfRule type="containsBlanks" dxfId="1306" priority="866">
      <formula>LEN(TRIM(H8))=0</formula>
    </cfRule>
  </conditionalFormatting>
  <conditionalFormatting sqref="H8">
    <cfRule type="containsBlanks" dxfId="1305" priority="865">
      <formula>LEN(TRIM(H8))=0</formula>
    </cfRule>
  </conditionalFormatting>
  <conditionalFormatting sqref="I8">
    <cfRule type="containsBlanks" dxfId="1304" priority="864">
      <formula>LEN(TRIM(I8))=0</formula>
    </cfRule>
  </conditionalFormatting>
  <conditionalFormatting sqref="I8">
    <cfRule type="containsBlanks" dxfId="1303" priority="863">
      <formula>LEN(TRIM(I8))=0</formula>
    </cfRule>
  </conditionalFormatting>
  <conditionalFormatting sqref="I8">
    <cfRule type="containsBlanks" dxfId="1302" priority="862">
      <formula>LEN(TRIM(I8))=0</formula>
    </cfRule>
  </conditionalFormatting>
  <conditionalFormatting sqref="I8">
    <cfRule type="containsBlanks" dxfId="1301" priority="861">
      <formula>LEN(TRIM(I8))=0</formula>
    </cfRule>
  </conditionalFormatting>
  <conditionalFormatting sqref="I8">
    <cfRule type="containsBlanks" dxfId="1300" priority="860">
      <formula>LEN(TRIM(I8))=0</formula>
    </cfRule>
  </conditionalFormatting>
  <conditionalFormatting sqref="I8">
    <cfRule type="containsBlanks" dxfId="1299" priority="859">
      <formula>LEN(TRIM(I8))=0</formula>
    </cfRule>
  </conditionalFormatting>
  <conditionalFormatting sqref="N8">
    <cfRule type="containsBlanks" dxfId="1298" priority="858">
      <formula>LEN(TRIM(N8))=0</formula>
    </cfRule>
  </conditionalFormatting>
  <conditionalFormatting sqref="N8">
    <cfRule type="containsBlanks" dxfId="1297" priority="857">
      <formula>LEN(TRIM(N8))=0</formula>
    </cfRule>
  </conditionalFormatting>
  <conditionalFormatting sqref="N8">
    <cfRule type="containsBlanks" dxfId="1296" priority="856">
      <formula>LEN(TRIM(N8))=0</formula>
    </cfRule>
  </conditionalFormatting>
  <conditionalFormatting sqref="N8">
    <cfRule type="containsBlanks" dxfId="1295" priority="855">
      <formula>LEN(TRIM(N8))=0</formula>
    </cfRule>
  </conditionalFormatting>
  <conditionalFormatting sqref="N8">
    <cfRule type="containsBlanks" dxfId="1294" priority="854">
      <formula>LEN(TRIM(N8))=0</formula>
    </cfRule>
  </conditionalFormatting>
  <conditionalFormatting sqref="N8">
    <cfRule type="containsBlanks" dxfId="1293" priority="853">
      <formula>LEN(TRIM(N8))=0</formula>
    </cfRule>
  </conditionalFormatting>
  <conditionalFormatting sqref="N8">
    <cfRule type="containsBlanks" dxfId="1292" priority="852">
      <formula>LEN(TRIM(N8))=0</formula>
    </cfRule>
  </conditionalFormatting>
  <conditionalFormatting sqref="N8">
    <cfRule type="containsBlanks" dxfId="1291" priority="851">
      <formula>LEN(TRIM(N8))=0</formula>
    </cfRule>
  </conditionalFormatting>
  <conditionalFormatting sqref="N8">
    <cfRule type="containsBlanks" dxfId="1290" priority="850">
      <formula>LEN(TRIM(N8))=0</formula>
    </cfRule>
  </conditionalFormatting>
  <conditionalFormatting sqref="N8">
    <cfRule type="containsBlanks" dxfId="1289" priority="849">
      <formula>LEN(TRIM(N8))=0</formula>
    </cfRule>
  </conditionalFormatting>
  <conditionalFormatting sqref="N8">
    <cfRule type="containsBlanks" dxfId="1288" priority="848">
      <formula>LEN(TRIM(N8))=0</formula>
    </cfRule>
  </conditionalFormatting>
  <conditionalFormatting sqref="N8">
    <cfRule type="containsBlanks" dxfId="1287" priority="847">
      <formula>LEN(TRIM(N8))=0</formula>
    </cfRule>
  </conditionalFormatting>
  <conditionalFormatting sqref="N8">
    <cfRule type="containsBlanks" dxfId="1286" priority="846">
      <formula>LEN(TRIM(N8))=0</formula>
    </cfRule>
  </conditionalFormatting>
  <conditionalFormatting sqref="N8">
    <cfRule type="containsBlanks" dxfId="1285" priority="845">
      <formula>LEN(TRIM(N8))=0</formula>
    </cfRule>
  </conditionalFormatting>
  <conditionalFormatting sqref="N8">
    <cfRule type="containsBlanks" dxfId="1284" priority="844">
      <formula>LEN(TRIM(N8))=0</formula>
    </cfRule>
  </conditionalFormatting>
  <conditionalFormatting sqref="N8">
    <cfRule type="containsBlanks" dxfId="1283" priority="843">
      <formula>LEN(TRIM(N8))=0</formula>
    </cfRule>
  </conditionalFormatting>
  <conditionalFormatting sqref="N8">
    <cfRule type="containsBlanks" dxfId="1282" priority="842">
      <formula>LEN(TRIM(N8))=0</formula>
    </cfRule>
  </conditionalFormatting>
  <conditionalFormatting sqref="N8">
    <cfRule type="containsBlanks" dxfId="1281" priority="841">
      <formula>LEN(TRIM(N8))=0</formula>
    </cfRule>
  </conditionalFormatting>
  <conditionalFormatting sqref="N8">
    <cfRule type="containsBlanks" dxfId="1280" priority="840">
      <formula>LEN(TRIM(N8))=0</formula>
    </cfRule>
  </conditionalFormatting>
  <conditionalFormatting sqref="N8">
    <cfRule type="containsBlanks" dxfId="1279" priority="839">
      <formula>LEN(TRIM(N8))=0</formula>
    </cfRule>
  </conditionalFormatting>
  <conditionalFormatting sqref="N8">
    <cfRule type="containsBlanks" dxfId="1278" priority="838">
      <formula>LEN(TRIM(N8))=0</formula>
    </cfRule>
  </conditionalFormatting>
  <conditionalFormatting sqref="N8">
    <cfRule type="containsBlanks" dxfId="1277" priority="837">
      <formula>LEN(TRIM(N8))=0</formula>
    </cfRule>
  </conditionalFormatting>
  <conditionalFormatting sqref="N8">
    <cfRule type="containsBlanks" dxfId="1276" priority="836">
      <formula>LEN(TRIM(N8))=0</formula>
    </cfRule>
  </conditionalFormatting>
  <conditionalFormatting sqref="N8">
    <cfRule type="containsBlanks" dxfId="1275" priority="835">
      <formula>LEN(TRIM(N8))=0</formula>
    </cfRule>
  </conditionalFormatting>
  <conditionalFormatting sqref="N8">
    <cfRule type="containsBlanks" dxfId="1274" priority="834">
      <formula>LEN(TRIM(N8))=0</formula>
    </cfRule>
  </conditionalFormatting>
  <conditionalFormatting sqref="N8">
    <cfRule type="containsBlanks" dxfId="1273" priority="833">
      <formula>LEN(TRIM(N8))=0</formula>
    </cfRule>
  </conditionalFormatting>
  <conditionalFormatting sqref="N8">
    <cfRule type="containsBlanks" dxfId="1272" priority="832">
      <formula>LEN(TRIM(N8))=0</formula>
    </cfRule>
  </conditionalFormatting>
  <conditionalFormatting sqref="N8">
    <cfRule type="containsBlanks" dxfId="1271" priority="831">
      <formula>LEN(TRIM(N8))=0</formula>
    </cfRule>
  </conditionalFormatting>
  <conditionalFormatting sqref="N8">
    <cfRule type="containsBlanks" dxfId="1270" priority="830">
      <formula>LEN(TRIM(N8))=0</formula>
    </cfRule>
  </conditionalFormatting>
  <conditionalFormatting sqref="N8">
    <cfRule type="containsBlanks" dxfId="1269" priority="829">
      <formula>LEN(TRIM(N8))=0</formula>
    </cfRule>
  </conditionalFormatting>
  <conditionalFormatting sqref="N8">
    <cfRule type="containsBlanks" dxfId="1268" priority="828">
      <formula>LEN(TRIM(N8))=0</formula>
    </cfRule>
  </conditionalFormatting>
  <conditionalFormatting sqref="N8">
    <cfRule type="containsBlanks" dxfId="1267" priority="827">
      <formula>LEN(TRIM(N8))=0</formula>
    </cfRule>
  </conditionalFormatting>
  <conditionalFormatting sqref="N8">
    <cfRule type="containsBlanks" dxfId="1266" priority="826">
      <formula>LEN(TRIM(N8))=0</formula>
    </cfRule>
  </conditionalFormatting>
  <conditionalFormatting sqref="N8">
    <cfRule type="containsBlanks" dxfId="1265" priority="825">
      <formula>LEN(TRIM(N8))=0</formula>
    </cfRule>
  </conditionalFormatting>
  <conditionalFormatting sqref="N8">
    <cfRule type="containsBlanks" dxfId="1264" priority="824">
      <formula>LEN(TRIM(N8))=0</formula>
    </cfRule>
  </conditionalFormatting>
  <conditionalFormatting sqref="N8">
    <cfRule type="containsBlanks" dxfId="1263" priority="823">
      <formula>LEN(TRIM(N8))=0</formula>
    </cfRule>
  </conditionalFormatting>
  <conditionalFormatting sqref="N8">
    <cfRule type="containsBlanks" dxfId="1262" priority="822">
      <formula>LEN(TRIM(N8))=0</formula>
    </cfRule>
  </conditionalFormatting>
  <conditionalFormatting sqref="N8">
    <cfRule type="containsBlanks" dxfId="1261" priority="821">
      <formula>LEN(TRIM(N8))=0</formula>
    </cfRule>
  </conditionalFormatting>
  <conditionalFormatting sqref="N8">
    <cfRule type="containsBlanks" dxfId="1260" priority="820">
      <formula>LEN(TRIM(N8))=0</formula>
    </cfRule>
  </conditionalFormatting>
  <conditionalFormatting sqref="N8">
    <cfRule type="containsBlanks" dxfId="1259" priority="819">
      <formula>LEN(TRIM(N8))=0</formula>
    </cfRule>
  </conditionalFormatting>
  <conditionalFormatting sqref="N8">
    <cfRule type="containsBlanks" dxfId="1258" priority="818">
      <formula>LEN(TRIM(N8))=0</formula>
    </cfRule>
  </conditionalFormatting>
  <conditionalFormatting sqref="N8">
    <cfRule type="containsBlanks" dxfId="1257" priority="817">
      <formula>LEN(TRIM(N8))=0</formula>
    </cfRule>
  </conditionalFormatting>
  <conditionalFormatting sqref="N8">
    <cfRule type="containsBlanks" dxfId="1256" priority="816">
      <formula>LEN(TRIM(N8))=0</formula>
    </cfRule>
  </conditionalFormatting>
  <conditionalFormatting sqref="N8">
    <cfRule type="containsBlanks" dxfId="1255" priority="815">
      <formula>LEN(TRIM(N8))=0</formula>
    </cfRule>
  </conditionalFormatting>
  <conditionalFormatting sqref="N8">
    <cfRule type="containsBlanks" dxfId="1254" priority="814">
      <formula>LEN(TRIM(N8))=0</formula>
    </cfRule>
  </conditionalFormatting>
  <conditionalFormatting sqref="N8">
    <cfRule type="containsBlanks" dxfId="1253" priority="813">
      <formula>LEN(TRIM(N8))=0</formula>
    </cfRule>
  </conditionalFormatting>
  <conditionalFormatting sqref="N8">
    <cfRule type="containsBlanks" dxfId="1252" priority="812">
      <formula>LEN(TRIM(N8))=0</formula>
    </cfRule>
  </conditionalFormatting>
  <conditionalFormatting sqref="N8">
    <cfRule type="containsBlanks" dxfId="1251" priority="811">
      <formula>LEN(TRIM(N8))=0</formula>
    </cfRule>
  </conditionalFormatting>
  <conditionalFormatting sqref="N8">
    <cfRule type="containsBlanks" dxfId="1250" priority="810">
      <formula>LEN(TRIM(N8))=0</formula>
    </cfRule>
  </conditionalFormatting>
  <conditionalFormatting sqref="N8">
    <cfRule type="containsBlanks" dxfId="1249" priority="809">
      <formula>LEN(TRIM(N8))=0</formula>
    </cfRule>
  </conditionalFormatting>
  <conditionalFormatting sqref="N8">
    <cfRule type="containsBlanks" dxfId="1248" priority="808">
      <formula>LEN(TRIM(N8))=0</formula>
    </cfRule>
  </conditionalFormatting>
  <conditionalFormatting sqref="N8">
    <cfRule type="containsBlanks" dxfId="1247" priority="807">
      <formula>LEN(TRIM(N8))=0</formula>
    </cfRule>
  </conditionalFormatting>
  <conditionalFormatting sqref="N8">
    <cfRule type="containsBlanks" dxfId="1246" priority="806">
      <formula>LEN(TRIM(N8))=0</formula>
    </cfRule>
  </conditionalFormatting>
  <conditionalFormatting sqref="N8">
    <cfRule type="containsBlanks" dxfId="1245" priority="805">
      <formula>LEN(TRIM(N8))=0</formula>
    </cfRule>
  </conditionalFormatting>
  <conditionalFormatting sqref="N8">
    <cfRule type="containsBlanks" dxfId="1244" priority="804">
      <formula>LEN(TRIM(N8))=0</formula>
    </cfRule>
  </conditionalFormatting>
  <conditionalFormatting sqref="N8">
    <cfRule type="containsBlanks" dxfId="1243" priority="803">
      <formula>LEN(TRIM(N8))=0</formula>
    </cfRule>
  </conditionalFormatting>
  <conditionalFormatting sqref="N8">
    <cfRule type="containsBlanks" dxfId="1242" priority="802">
      <formula>LEN(TRIM(N8))=0</formula>
    </cfRule>
  </conditionalFormatting>
  <conditionalFormatting sqref="N8">
    <cfRule type="containsBlanks" dxfId="1241" priority="801">
      <formula>LEN(TRIM(N8))=0</formula>
    </cfRule>
  </conditionalFormatting>
  <conditionalFormatting sqref="N8">
    <cfRule type="containsBlanks" dxfId="1240" priority="800">
      <formula>LEN(TRIM(N8))=0</formula>
    </cfRule>
  </conditionalFormatting>
  <conditionalFormatting sqref="N8">
    <cfRule type="containsBlanks" dxfId="1239" priority="799">
      <formula>LEN(TRIM(N8))=0</formula>
    </cfRule>
  </conditionalFormatting>
  <conditionalFormatting sqref="N8">
    <cfRule type="containsBlanks" dxfId="1238" priority="798">
      <formula>LEN(TRIM(N8))=0</formula>
    </cfRule>
  </conditionalFormatting>
  <conditionalFormatting sqref="N8">
    <cfRule type="containsBlanks" dxfId="1237" priority="797">
      <formula>LEN(TRIM(N8))=0</formula>
    </cfRule>
  </conditionalFormatting>
  <conditionalFormatting sqref="N8">
    <cfRule type="containsBlanks" dxfId="1236" priority="796">
      <formula>LEN(TRIM(N8))=0</formula>
    </cfRule>
  </conditionalFormatting>
  <conditionalFormatting sqref="N8">
    <cfRule type="containsBlanks" dxfId="1235" priority="795">
      <formula>LEN(TRIM(N8))=0</formula>
    </cfRule>
  </conditionalFormatting>
  <conditionalFormatting sqref="N8">
    <cfRule type="containsBlanks" dxfId="1234" priority="794">
      <formula>LEN(TRIM(N8))=0</formula>
    </cfRule>
  </conditionalFormatting>
  <conditionalFormatting sqref="N8">
    <cfRule type="containsBlanks" dxfId="1233" priority="793">
      <formula>LEN(TRIM(N8))=0</formula>
    </cfRule>
  </conditionalFormatting>
  <conditionalFormatting sqref="N8">
    <cfRule type="containsBlanks" dxfId="1232" priority="792">
      <formula>LEN(TRIM(N8))=0</formula>
    </cfRule>
  </conditionalFormatting>
  <conditionalFormatting sqref="N8">
    <cfRule type="containsBlanks" dxfId="1231" priority="791">
      <formula>LEN(TRIM(N8))=0</formula>
    </cfRule>
  </conditionalFormatting>
  <conditionalFormatting sqref="N8">
    <cfRule type="containsBlanks" dxfId="1230" priority="790">
      <formula>LEN(TRIM(N8))=0</formula>
    </cfRule>
  </conditionalFormatting>
  <conditionalFormatting sqref="N8">
    <cfRule type="containsBlanks" dxfId="1229" priority="789">
      <formula>LEN(TRIM(N8))=0</formula>
    </cfRule>
  </conditionalFormatting>
  <conditionalFormatting sqref="N8">
    <cfRule type="containsBlanks" dxfId="1228" priority="788">
      <formula>LEN(TRIM(N8))=0</formula>
    </cfRule>
  </conditionalFormatting>
  <conditionalFormatting sqref="N8">
    <cfRule type="containsBlanks" dxfId="1227" priority="787">
      <formula>LEN(TRIM(N8))=0</formula>
    </cfRule>
  </conditionalFormatting>
  <conditionalFormatting sqref="N8">
    <cfRule type="containsBlanks" dxfId="1226" priority="786">
      <formula>LEN(TRIM(N8))=0</formula>
    </cfRule>
  </conditionalFormatting>
  <conditionalFormatting sqref="N8">
    <cfRule type="containsBlanks" dxfId="1225" priority="785">
      <formula>LEN(TRIM(N8))=0</formula>
    </cfRule>
  </conditionalFormatting>
  <conditionalFormatting sqref="N8">
    <cfRule type="containsBlanks" dxfId="1224" priority="784">
      <formula>LEN(TRIM(N8))=0</formula>
    </cfRule>
  </conditionalFormatting>
  <conditionalFormatting sqref="N8">
    <cfRule type="containsBlanks" dxfId="1223" priority="783">
      <formula>LEN(TRIM(N8))=0</formula>
    </cfRule>
  </conditionalFormatting>
  <conditionalFormatting sqref="N8">
    <cfRule type="containsBlanks" dxfId="1222" priority="782">
      <formula>LEN(TRIM(N8))=0</formula>
    </cfRule>
  </conditionalFormatting>
  <conditionalFormatting sqref="N8">
    <cfRule type="containsBlanks" dxfId="1221" priority="781">
      <formula>LEN(TRIM(N8))=0</formula>
    </cfRule>
  </conditionalFormatting>
  <conditionalFormatting sqref="N8">
    <cfRule type="containsBlanks" dxfId="1220" priority="780">
      <formula>LEN(TRIM(N8))=0</formula>
    </cfRule>
  </conditionalFormatting>
  <conditionalFormatting sqref="H8">
    <cfRule type="containsBlanks" dxfId="1219" priority="743">
      <formula>LEN(TRIM(H8))=0</formula>
    </cfRule>
  </conditionalFormatting>
  <conditionalFormatting sqref="H8">
    <cfRule type="containsBlanks" dxfId="1218" priority="742">
      <formula>LEN(TRIM(H8))=0</formula>
    </cfRule>
  </conditionalFormatting>
  <conditionalFormatting sqref="H8">
    <cfRule type="containsBlanks" dxfId="1217" priority="741">
      <formula>LEN(TRIM(H8))=0</formula>
    </cfRule>
  </conditionalFormatting>
  <conditionalFormatting sqref="H8">
    <cfRule type="containsBlanks" dxfId="1216" priority="740">
      <formula>LEN(TRIM(H8))=0</formula>
    </cfRule>
  </conditionalFormatting>
  <conditionalFormatting sqref="H8">
    <cfRule type="containsBlanks" dxfId="1215" priority="739">
      <formula>LEN(TRIM(H8))=0</formula>
    </cfRule>
  </conditionalFormatting>
  <conditionalFormatting sqref="I8">
    <cfRule type="containsBlanks" dxfId="1214" priority="738">
      <formula>LEN(TRIM(I8))=0</formula>
    </cfRule>
  </conditionalFormatting>
  <conditionalFormatting sqref="I8">
    <cfRule type="containsBlanks" dxfId="1213" priority="737">
      <formula>LEN(TRIM(I8))=0</formula>
    </cfRule>
  </conditionalFormatting>
  <conditionalFormatting sqref="I8">
    <cfRule type="containsBlanks" dxfId="1212" priority="736">
      <formula>LEN(TRIM(I8))=0</formula>
    </cfRule>
  </conditionalFormatting>
  <conditionalFormatting sqref="I8">
    <cfRule type="containsBlanks" dxfId="1211" priority="735">
      <formula>LEN(TRIM(I8))=0</formula>
    </cfRule>
  </conditionalFormatting>
  <conditionalFormatting sqref="I8">
    <cfRule type="containsBlanks" dxfId="1210" priority="734">
      <formula>LEN(TRIM(I8))=0</formula>
    </cfRule>
  </conditionalFormatting>
  <conditionalFormatting sqref="I8">
    <cfRule type="containsBlanks" dxfId="1209" priority="733">
      <formula>LEN(TRIM(I8))=0</formula>
    </cfRule>
  </conditionalFormatting>
  <conditionalFormatting sqref="N8">
    <cfRule type="containsBlanks" dxfId="1208" priority="732">
      <formula>LEN(TRIM(N8))=0</formula>
    </cfRule>
  </conditionalFormatting>
  <conditionalFormatting sqref="N8">
    <cfRule type="containsBlanks" dxfId="1207" priority="731">
      <formula>LEN(TRIM(N8))=0</formula>
    </cfRule>
  </conditionalFormatting>
  <conditionalFormatting sqref="N8">
    <cfRule type="containsBlanks" dxfId="1206" priority="730">
      <formula>LEN(TRIM(N8))=0</formula>
    </cfRule>
  </conditionalFormatting>
  <conditionalFormatting sqref="N8">
    <cfRule type="containsBlanks" dxfId="1205" priority="729">
      <formula>LEN(TRIM(N8))=0</formula>
    </cfRule>
  </conditionalFormatting>
  <conditionalFormatting sqref="N8">
    <cfRule type="containsBlanks" dxfId="1204" priority="728">
      <formula>LEN(TRIM(N8))=0</formula>
    </cfRule>
  </conditionalFormatting>
  <conditionalFormatting sqref="N8">
    <cfRule type="containsBlanks" dxfId="1203" priority="727">
      <formula>LEN(TRIM(N8))=0</formula>
    </cfRule>
  </conditionalFormatting>
  <conditionalFormatting sqref="N8">
    <cfRule type="containsBlanks" dxfId="1202" priority="726">
      <formula>LEN(TRIM(N8))=0</formula>
    </cfRule>
  </conditionalFormatting>
  <conditionalFormatting sqref="N8">
    <cfRule type="containsBlanks" dxfId="1201" priority="725">
      <formula>LEN(TRIM(N8))=0</formula>
    </cfRule>
  </conditionalFormatting>
  <conditionalFormatting sqref="N8">
    <cfRule type="containsBlanks" dxfId="1200" priority="724">
      <formula>LEN(TRIM(N8))=0</formula>
    </cfRule>
  </conditionalFormatting>
  <conditionalFormatting sqref="N8">
    <cfRule type="containsBlanks" dxfId="1199" priority="723">
      <formula>LEN(TRIM(N8))=0</formula>
    </cfRule>
  </conditionalFormatting>
  <conditionalFormatting sqref="N8">
    <cfRule type="containsBlanks" dxfId="1198" priority="722">
      <formula>LEN(TRIM(N8))=0</formula>
    </cfRule>
  </conditionalFormatting>
  <conditionalFormatting sqref="N8">
    <cfRule type="containsBlanks" dxfId="1197" priority="721">
      <formula>LEN(TRIM(N8))=0</formula>
    </cfRule>
  </conditionalFormatting>
  <conditionalFormatting sqref="N8">
    <cfRule type="containsBlanks" dxfId="1196" priority="720">
      <formula>LEN(TRIM(N8))=0</formula>
    </cfRule>
  </conditionalFormatting>
  <conditionalFormatting sqref="N8">
    <cfRule type="containsBlanks" dxfId="1195" priority="719">
      <formula>LEN(TRIM(N8))=0</formula>
    </cfRule>
  </conditionalFormatting>
  <conditionalFormatting sqref="N8">
    <cfRule type="containsBlanks" dxfId="1194" priority="718">
      <formula>LEN(TRIM(N8))=0</formula>
    </cfRule>
  </conditionalFormatting>
  <conditionalFormatting sqref="N8">
    <cfRule type="containsBlanks" dxfId="1193" priority="717">
      <formula>LEN(TRIM(N8))=0</formula>
    </cfRule>
  </conditionalFormatting>
  <conditionalFormatting sqref="N8">
    <cfRule type="containsBlanks" dxfId="1192" priority="716">
      <formula>LEN(TRIM(N8))=0</formula>
    </cfRule>
  </conditionalFormatting>
  <conditionalFormatting sqref="N8">
    <cfRule type="containsBlanks" dxfId="1191" priority="715">
      <formula>LEN(TRIM(N8))=0</formula>
    </cfRule>
  </conditionalFormatting>
  <conditionalFormatting sqref="N8">
    <cfRule type="containsBlanks" dxfId="1190" priority="714">
      <formula>LEN(TRIM(N8))=0</formula>
    </cfRule>
  </conditionalFormatting>
  <conditionalFormatting sqref="N8">
    <cfRule type="containsBlanks" dxfId="1189" priority="713">
      <formula>LEN(TRIM(N8))=0</formula>
    </cfRule>
  </conditionalFormatting>
  <conditionalFormatting sqref="N8">
    <cfRule type="containsBlanks" dxfId="1188" priority="712">
      <formula>LEN(TRIM(N8))=0</formula>
    </cfRule>
  </conditionalFormatting>
  <conditionalFormatting sqref="N8">
    <cfRule type="containsBlanks" dxfId="1187" priority="711">
      <formula>LEN(TRIM(N8))=0</formula>
    </cfRule>
  </conditionalFormatting>
  <conditionalFormatting sqref="N8">
    <cfRule type="containsBlanks" dxfId="1186" priority="710">
      <formula>LEN(TRIM(N8))=0</formula>
    </cfRule>
  </conditionalFormatting>
  <conditionalFormatting sqref="N8">
    <cfRule type="containsBlanks" dxfId="1185" priority="709">
      <formula>LEN(TRIM(N8))=0</formula>
    </cfRule>
  </conditionalFormatting>
  <conditionalFormatting sqref="N8">
    <cfRule type="containsBlanks" dxfId="1184" priority="708">
      <formula>LEN(TRIM(N8))=0</formula>
    </cfRule>
  </conditionalFormatting>
  <conditionalFormatting sqref="N8">
    <cfRule type="containsBlanks" dxfId="1183" priority="707">
      <formula>LEN(TRIM(N8))=0</formula>
    </cfRule>
  </conditionalFormatting>
  <conditionalFormatting sqref="N8">
    <cfRule type="containsBlanks" dxfId="1182" priority="706">
      <formula>LEN(TRIM(N8))=0</formula>
    </cfRule>
  </conditionalFormatting>
  <conditionalFormatting sqref="N8">
    <cfRule type="containsBlanks" dxfId="1181" priority="705">
      <formula>LEN(TRIM(N8))=0</formula>
    </cfRule>
  </conditionalFormatting>
  <conditionalFormatting sqref="N8">
    <cfRule type="containsBlanks" dxfId="1180" priority="704">
      <formula>LEN(TRIM(N8))=0</formula>
    </cfRule>
  </conditionalFormatting>
  <conditionalFormatting sqref="N8">
    <cfRule type="containsBlanks" dxfId="1179" priority="700">
      <formula>LEN(TRIM(N8))=0</formula>
    </cfRule>
  </conditionalFormatting>
  <conditionalFormatting sqref="N8">
    <cfRule type="containsBlanks" dxfId="1178" priority="699">
      <formula>LEN(TRIM(N8))=0</formula>
    </cfRule>
  </conditionalFormatting>
  <conditionalFormatting sqref="N8">
    <cfRule type="containsBlanks" dxfId="1177" priority="698">
      <formula>LEN(TRIM(N8))=0</formula>
    </cfRule>
  </conditionalFormatting>
  <conditionalFormatting sqref="N8">
    <cfRule type="containsBlanks" dxfId="1176" priority="697">
      <formula>LEN(TRIM(N8))=0</formula>
    </cfRule>
  </conditionalFormatting>
  <conditionalFormatting sqref="N8">
    <cfRule type="containsBlanks" dxfId="1175" priority="696">
      <formula>LEN(TRIM(N8))=0</formula>
    </cfRule>
  </conditionalFormatting>
  <conditionalFormatting sqref="N8">
    <cfRule type="containsBlanks" dxfId="1174" priority="695">
      <formula>LEN(TRIM(N8))=0</formula>
    </cfRule>
  </conditionalFormatting>
  <conditionalFormatting sqref="N8">
    <cfRule type="containsBlanks" dxfId="1173" priority="694">
      <formula>LEN(TRIM(N8))=0</formula>
    </cfRule>
  </conditionalFormatting>
  <conditionalFormatting sqref="N8">
    <cfRule type="containsBlanks" dxfId="1172" priority="693">
      <formula>LEN(TRIM(N8))=0</formula>
    </cfRule>
  </conditionalFormatting>
  <conditionalFormatting sqref="N8">
    <cfRule type="containsBlanks" dxfId="1171" priority="692">
      <formula>LEN(TRIM(N8))=0</formula>
    </cfRule>
  </conditionalFormatting>
  <conditionalFormatting sqref="N8">
    <cfRule type="containsBlanks" dxfId="1170" priority="691">
      <formula>LEN(TRIM(N8))=0</formula>
    </cfRule>
  </conditionalFormatting>
  <conditionalFormatting sqref="N8">
    <cfRule type="containsBlanks" dxfId="1169" priority="690">
      <formula>LEN(TRIM(N8))=0</formula>
    </cfRule>
  </conditionalFormatting>
  <conditionalFormatting sqref="N8">
    <cfRule type="containsBlanks" dxfId="1168" priority="689">
      <formula>LEN(TRIM(N8))=0</formula>
    </cfRule>
  </conditionalFormatting>
  <conditionalFormatting sqref="N8">
    <cfRule type="containsBlanks" dxfId="1167" priority="688">
      <formula>LEN(TRIM(N8))=0</formula>
    </cfRule>
  </conditionalFormatting>
  <conditionalFormatting sqref="N8">
    <cfRule type="containsBlanks" dxfId="1166" priority="687">
      <formula>LEN(TRIM(N8))=0</formula>
    </cfRule>
  </conditionalFormatting>
  <conditionalFormatting sqref="N8">
    <cfRule type="containsBlanks" dxfId="1165" priority="686">
      <formula>LEN(TRIM(N8))=0</formula>
    </cfRule>
  </conditionalFormatting>
  <conditionalFormatting sqref="N8">
    <cfRule type="containsBlanks" dxfId="1164" priority="685">
      <formula>LEN(TRIM(N8))=0</formula>
    </cfRule>
  </conditionalFormatting>
  <conditionalFormatting sqref="N8">
    <cfRule type="containsBlanks" dxfId="1163" priority="684">
      <formula>LEN(TRIM(N8))=0</formula>
    </cfRule>
  </conditionalFormatting>
  <conditionalFormatting sqref="N8">
    <cfRule type="containsBlanks" dxfId="1162" priority="683">
      <formula>LEN(TRIM(N8))=0</formula>
    </cfRule>
  </conditionalFormatting>
  <conditionalFormatting sqref="N8">
    <cfRule type="containsBlanks" dxfId="1161" priority="682">
      <formula>LEN(TRIM(N8))=0</formula>
    </cfRule>
  </conditionalFormatting>
  <conditionalFormatting sqref="N8">
    <cfRule type="containsBlanks" dxfId="1160" priority="681">
      <formula>LEN(TRIM(N8))=0</formula>
    </cfRule>
  </conditionalFormatting>
  <conditionalFormatting sqref="N8">
    <cfRule type="containsBlanks" dxfId="1159" priority="680">
      <formula>LEN(TRIM(N8))=0</formula>
    </cfRule>
  </conditionalFormatting>
  <conditionalFormatting sqref="N8">
    <cfRule type="containsBlanks" dxfId="1158" priority="679">
      <formula>LEN(TRIM(N8))=0</formula>
    </cfRule>
  </conditionalFormatting>
  <conditionalFormatting sqref="N8">
    <cfRule type="containsBlanks" dxfId="1157" priority="678">
      <formula>LEN(TRIM(N8))=0</formula>
    </cfRule>
  </conditionalFormatting>
  <conditionalFormatting sqref="N8">
    <cfRule type="containsBlanks" dxfId="1156" priority="677">
      <formula>LEN(TRIM(N8))=0</formula>
    </cfRule>
  </conditionalFormatting>
  <conditionalFormatting sqref="N8">
    <cfRule type="containsBlanks" dxfId="1155" priority="676">
      <formula>LEN(TRIM(N8))=0</formula>
    </cfRule>
  </conditionalFormatting>
  <conditionalFormatting sqref="N8">
    <cfRule type="containsBlanks" dxfId="1154" priority="675">
      <formula>LEN(TRIM(N8))=0</formula>
    </cfRule>
  </conditionalFormatting>
  <conditionalFormatting sqref="N8">
    <cfRule type="containsBlanks" dxfId="1153" priority="674">
      <formula>LEN(TRIM(N8))=0</formula>
    </cfRule>
  </conditionalFormatting>
  <conditionalFormatting sqref="N8">
    <cfRule type="containsBlanks" dxfId="1152" priority="673">
      <formula>LEN(TRIM(N8))=0</formula>
    </cfRule>
  </conditionalFormatting>
  <conditionalFormatting sqref="N8">
    <cfRule type="containsBlanks" dxfId="1151" priority="672">
      <formula>LEN(TRIM(N8))=0</formula>
    </cfRule>
  </conditionalFormatting>
  <conditionalFormatting sqref="N8">
    <cfRule type="containsBlanks" dxfId="1150" priority="671">
      <formula>LEN(TRIM(N8))=0</formula>
    </cfRule>
  </conditionalFormatting>
  <conditionalFormatting sqref="N8">
    <cfRule type="containsBlanks" dxfId="1149" priority="670">
      <formula>LEN(TRIM(N8))=0</formula>
    </cfRule>
  </conditionalFormatting>
  <conditionalFormatting sqref="N8">
    <cfRule type="containsBlanks" dxfId="1148" priority="669">
      <formula>LEN(TRIM(N8))=0</formula>
    </cfRule>
  </conditionalFormatting>
  <conditionalFormatting sqref="N8">
    <cfRule type="containsBlanks" dxfId="1147" priority="668">
      <formula>LEN(TRIM(N8))=0</formula>
    </cfRule>
  </conditionalFormatting>
  <conditionalFormatting sqref="N8">
    <cfRule type="containsBlanks" dxfId="1146" priority="667">
      <formula>LEN(TRIM(N8))=0</formula>
    </cfRule>
  </conditionalFormatting>
  <conditionalFormatting sqref="N8">
    <cfRule type="containsBlanks" dxfId="1145" priority="666">
      <formula>LEN(TRIM(N8))=0</formula>
    </cfRule>
  </conditionalFormatting>
  <conditionalFormatting sqref="N8">
    <cfRule type="containsBlanks" dxfId="1144" priority="665">
      <formula>LEN(TRIM(N8))=0</formula>
    </cfRule>
  </conditionalFormatting>
  <conditionalFormatting sqref="N8">
    <cfRule type="containsBlanks" dxfId="1143" priority="664">
      <formula>LEN(TRIM(N8))=0</formula>
    </cfRule>
  </conditionalFormatting>
  <conditionalFormatting sqref="N8">
    <cfRule type="containsBlanks" dxfId="1142" priority="663">
      <formula>LEN(TRIM(N8))=0</formula>
    </cfRule>
  </conditionalFormatting>
  <conditionalFormatting sqref="N8">
    <cfRule type="containsBlanks" dxfId="1141" priority="662">
      <formula>LEN(TRIM(N8))=0</formula>
    </cfRule>
  </conditionalFormatting>
  <conditionalFormatting sqref="N8">
    <cfRule type="containsBlanks" dxfId="1140" priority="661">
      <formula>LEN(TRIM(N8))=0</formula>
    </cfRule>
  </conditionalFormatting>
  <conditionalFormatting sqref="N8">
    <cfRule type="containsBlanks" dxfId="1139" priority="660">
      <formula>LEN(TRIM(N8))=0</formula>
    </cfRule>
  </conditionalFormatting>
  <conditionalFormatting sqref="N8">
    <cfRule type="containsBlanks" dxfId="1138" priority="659">
      <formula>LEN(TRIM(N8))=0</formula>
    </cfRule>
  </conditionalFormatting>
  <conditionalFormatting sqref="N8">
    <cfRule type="containsBlanks" dxfId="1137" priority="658">
      <formula>LEN(TRIM(N8))=0</formula>
    </cfRule>
  </conditionalFormatting>
  <conditionalFormatting sqref="N8">
    <cfRule type="containsBlanks" dxfId="1136" priority="657">
      <formula>LEN(TRIM(N8))=0</formula>
    </cfRule>
  </conditionalFormatting>
  <conditionalFormatting sqref="N8">
    <cfRule type="containsBlanks" dxfId="1135" priority="656">
      <formula>LEN(TRIM(N8))=0</formula>
    </cfRule>
  </conditionalFormatting>
  <conditionalFormatting sqref="N8">
    <cfRule type="containsBlanks" dxfId="1134" priority="655">
      <formula>LEN(TRIM(N8))=0</formula>
    </cfRule>
  </conditionalFormatting>
  <conditionalFormatting sqref="N8">
    <cfRule type="containsBlanks" dxfId="1133" priority="654">
      <formula>LEN(TRIM(N8))=0</formula>
    </cfRule>
  </conditionalFormatting>
  <conditionalFormatting sqref="H8">
    <cfRule type="containsBlanks" dxfId="1132" priority="653">
      <formula>LEN(TRIM(H8))=0</formula>
    </cfRule>
  </conditionalFormatting>
  <conditionalFormatting sqref="H8">
    <cfRule type="containsBlanks" dxfId="1131" priority="652">
      <formula>LEN(TRIM(H8))=0</formula>
    </cfRule>
  </conditionalFormatting>
  <conditionalFormatting sqref="H8">
    <cfRule type="containsBlanks" dxfId="1130" priority="651">
      <formula>LEN(TRIM(H8))=0</formula>
    </cfRule>
  </conditionalFormatting>
  <conditionalFormatting sqref="H8">
    <cfRule type="containsBlanks" dxfId="1129" priority="650">
      <formula>LEN(TRIM(H8))=0</formula>
    </cfRule>
  </conditionalFormatting>
  <conditionalFormatting sqref="H8">
    <cfRule type="containsBlanks" dxfId="1128" priority="649">
      <formula>LEN(TRIM(H8))=0</formula>
    </cfRule>
  </conditionalFormatting>
  <conditionalFormatting sqref="I8">
    <cfRule type="containsBlanks" dxfId="1127" priority="648">
      <formula>LEN(TRIM(I8))=0</formula>
    </cfRule>
  </conditionalFormatting>
  <conditionalFormatting sqref="I8">
    <cfRule type="containsBlanks" dxfId="1126" priority="647">
      <formula>LEN(TRIM(I8))=0</formula>
    </cfRule>
  </conditionalFormatting>
  <conditionalFormatting sqref="I8">
    <cfRule type="containsBlanks" dxfId="1125" priority="646">
      <formula>LEN(TRIM(I8))=0</formula>
    </cfRule>
  </conditionalFormatting>
  <conditionalFormatting sqref="I8">
    <cfRule type="containsBlanks" dxfId="1124" priority="645">
      <formula>LEN(TRIM(I8))=0</formula>
    </cfRule>
  </conditionalFormatting>
  <conditionalFormatting sqref="I8">
    <cfRule type="containsBlanks" dxfId="1123" priority="644">
      <formula>LEN(TRIM(I8))=0</formula>
    </cfRule>
  </conditionalFormatting>
  <conditionalFormatting sqref="I8">
    <cfRule type="containsBlanks" dxfId="1122" priority="643">
      <formula>LEN(TRIM(I8))=0</formula>
    </cfRule>
  </conditionalFormatting>
  <conditionalFormatting sqref="N8">
    <cfRule type="containsBlanks" dxfId="1121" priority="642">
      <formula>LEN(TRIM(N8))=0</formula>
    </cfRule>
  </conditionalFormatting>
  <conditionalFormatting sqref="N8">
    <cfRule type="containsBlanks" dxfId="1120" priority="641">
      <formula>LEN(TRIM(N8))=0</formula>
    </cfRule>
  </conditionalFormatting>
  <conditionalFormatting sqref="N8">
    <cfRule type="containsBlanks" dxfId="1119" priority="640">
      <formula>LEN(TRIM(N8))=0</formula>
    </cfRule>
  </conditionalFormatting>
  <conditionalFormatting sqref="N8">
    <cfRule type="containsBlanks" dxfId="1118" priority="639">
      <formula>LEN(TRIM(N8))=0</formula>
    </cfRule>
  </conditionalFormatting>
  <conditionalFormatting sqref="N8">
    <cfRule type="containsBlanks" dxfId="1117" priority="638">
      <formula>LEN(TRIM(N8))=0</formula>
    </cfRule>
  </conditionalFormatting>
  <conditionalFormatting sqref="N8">
    <cfRule type="containsBlanks" dxfId="1116" priority="637">
      <formula>LEN(TRIM(N8))=0</formula>
    </cfRule>
  </conditionalFormatting>
  <conditionalFormatting sqref="N8">
    <cfRule type="containsBlanks" dxfId="1115" priority="636">
      <formula>LEN(TRIM(N8))=0</formula>
    </cfRule>
  </conditionalFormatting>
  <conditionalFormatting sqref="N8">
    <cfRule type="containsBlanks" dxfId="1114" priority="635">
      <formula>LEN(TRIM(N8))=0</formula>
    </cfRule>
  </conditionalFormatting>
  <conditionalFormatting sqref="N8">
    <cfRule type="containsBlanks" dxfId="1113" priority="634">
      <formula>LEN(TRIM(N8))=0</formula>
    </cfRule>
  </conditionalFormatting>
  <conditionalFormatting sqref="N8">
    <cfRule type="containsBlanks" dxfId="1112" priority="633">
      <formula>LEN(TRIM(N8))=0</formula>
    </cfRule>
  </conditionalFormatting>
  <conditionalFormatting sqref="N8">
    <cfRule type="containsBlanks" dxfId="1111" priority="632">
      <formula>LEN(TRIM(N8))=0</formula>
    </cfRule>
  </conditionalFormatting>
  <conditionalFormatting sqref="N8">
    <cfRule type="containsBlanks" dxfId="1110" priority="631">
      <formula>LEN(TRIM(N8))=0</formula>
    </cfRule>
  </conditionalFormatting>
  <conditionalFormatting sqref="N8">
    <cfRule type="containsBlanks" dxfId="1109" priority="630">
      <formula>LEN(TRIM(N8))=0</formula>
    </cfRule>
  </conditionalFormatting>
  <conditionalFormatting sqref="N8">
    <cfRule type="containsBlanks" dxfId="1108" priority="629">
      <formula>LEN(TRIM(N8))=0</formula>
    </cfRule>
  </conditionalFormatting>
  <conditionalFormatting sqref="N8">
    <cfRule type="containsBlanks" dxfId="1107" priority="628">
      <formula>LEN(TRIM(N8))=0</formula>
    </cfRule>
  </conditionalFormatting>
  <conditionalFormatting sqref="N8">
    <cfRule type="containsBlanks" dxfId="1106" priority="627">
      <formula>LEN(TRIM(N8))=0</formula>
    </cfRule>
  </conditionalFormatting>
  <conditionalFormatting sqref="N8">
    <cfRule type="containsBlanks" dxfId="1105" priority="626">
      <formula>LEN(TRIM(N8))=0</formula>
    </cfRule>
  </conditionalFormatting>
  <conditionalFormatting sqref="N8">
    <cfRule type="containsBlanks" dxfId="1104" priority="625">
      <formula>LEN(TRIM(N8))=0</formula>
    </cfRule>
  </conditionalFormatting>
  <conditionalFormatting sqref="N8">
    <cfRule type="containsBlanks" dxfId="1103" priority="624">
      <formula>LEN(TRIM(N8))=0</formula>
    </cfRule>
  </conditionalFormatting>
  <conditionalFormatting sqref="N8">
    <cfRule type="containsBlanks" dxfId="1102" priority="623">
      <formula>LEN(TRIM(N8))=0</formula>
    </cfRule>
  </conditionalFormatting>
  <conditionalFormatting sqref="N8">
    <cfRule type="containsBlanks" dxfId="1101" priority="622">
      <formula>LEN(TRIM(N8))=0</formula>
    </cfRule>
  </conditionalFormatting>
  <conditionalFormatting sqref="N8">
    <cfRule type="containsBlanks" dxfId="1100" priority="621">
      <formula>LEN(TRIM(N8))=0</formula>
    </cfRule>
  </conditionalFormatting>
  <conditionalFormatting sqref="N8">
    <cfRule type="containsBlanks" dxfId="1099" priority="620">
      <formula>LEN(TRIM(N8))=0</formula>
    </cfRule>
  </conditionalFormatting>
  <conditionalFormatting sqref="N8">
    <cfRule type="containsBlanks" dxfId="1098" priority="619">
      <formula>LEN(TRIM(N8))=0</formula>
    </cfRule>
  </conditionalFormatting>
  <conditionalFormatting sqref="N8">
    <cfRule type="containsBlanks" dxfId="1097" priority="618">
      <formula>LEN(TRIM(N8))=0</formula>
    </cfRule>
  </conditionalFormatting>
  <conditionalFormatting sqref="N8">
    <cfRule type="containsBlanks" dxfId="1096" priority="617">
      <formula>LEN(TRIM(N8))=0</formula>
    </cfRule>
  </conditionalFormatting>
  <conditionalFormatting sqref="N8">
    <cfRule type="containsBlanks" dxfId="1095" priority="616">
      <formula>LEN(TRIM(N8))=0</formula>
    </cfRule>
  </conditionalFormatting>
  <conditionalFormatting sqref="N8">
    <cfRule type="containsBlanks" dxfId="1094" priority="615">
      <formula>LEN(TRIM(N8))=0</formula>
    </cfRule>
  </conditionalFormatting>
  <conditionalFormatting sqref="N8">
    <cfRule type="containsBlanks" dxfId="1093" priority="614">
      <formula>LEN(TRIM(N8))=0</formula>
    </cfRule>
  </conditionalFormatting>
  <conditionalFormatting sqref="N8">
    <cfRule type="containsBlanks" dxfId="1092" priority="613">
      <formula>LEN(TRIM(N8))=0</formula>
    </cfRule>
  </conditionalFormatting>
  <conditionalFormatting sqref="N8">
    <cfRule type="containsBlanks" dxfId="1091" priority="612">
      <formula>LEN(TRIM(N8))=0</formula>
    </cfRule>
  </conditionalFormatting>
  <conditionalFormatting sqref="N8">
    <cfRule type="containsBlanks" dxfId="1090" priority="611">
      <formula>LEN(TRIM(N8))=0</formula>
    </cfRule>
  </conditionalFormatting>
  <conditionalFormatting sqref="N8">
    <cfRule type="containsBlanks" dxfId="1089" priority="571">
      <formula>LEN(TRIM(N8))=0</formula>
    </cfRule>
  </conditionalFormatting>
  <conditionalFormatting sqref="N8">
    <cfRule type="containsBlanks" dxfId="1088" priority="570">
      <formula>LEN(TRIM(N8))=0</formula>
    </cfRule>
  </conditionalFormatting>
  <conditionalFormatting sqref="N8">
    <cfRule type="containsBlanks" dxfId="1087" priority="569">
      <formula>LEN(TRIM(N8))=0</formula>
    </cfRule>
  </conditionalFormatting>
  <conditionalFormatting sqref="N8">
    <cfRule type="containsBlanks" dxfId="1086" priority="568">
      <formula>LEN(TRIM(N8))=0</formula>
    </cfRule>
  </conditionalFormatting>
  <conditionalFormatting sqref="N8">
    <cfRule type="containsBlanks" dxfId="1085" priority="567">
      <formula>LEN(TRIM(N8))=0</formula>
    </cfRule>
  </conditionalFormatting>
  <conditionalFormatting sqref="N8">
    <cfRule type="containsBlanks" dxfId="1084" priority="566">
      <formula>LEN(TRIM(N8))=0</formula>
    </cfRule>
  </conditionalFormatting>
  <conditionalFormatting sqref="N8">
    <cfRule type="containsBlanks" dxfId="1083" priority="565">
      <formula>LEN(TRIM(N8))=0</formula>
    </cfRule>
  </conditionalFormatting>
  <conditionalFormatting sqref="N8">
    <cfRule type="containsBlanks" dxfId="1082" priority="564">
      <formula>LEN(TRIM(N8))=0</formula>
    </cfRule>
  </conditionalFormatting>
  <conditionalFormatting sqref="H8:I8">
    <cfRule type="containsBlanks" dxfId="1081" priority="563">
      <formula>LEN(TRIM(H8))=0</formula>
    </cfRule>
  </conditionalFormatting>
  <conditionalFormatting sqref="N8">
    <cfRule type="containsBlanks" dxfId="1080" priority="562">
      <formula>LEN(TRIM(N8))=0</formula>
    </cfRule>
  </conditionalFormatting>
  <conditionalFormatting sqref="N8">
    <cfRule type="containsBlanks" dxfId="1079" priority="561">
      <formula>LEN(TRIM(N8))=0</formula>
    </cfRule>
  </conditionalFormatting>
  <conditionalFormatting sqref="N8">
    <cfRule type="containsBlanks" dxfId="1078" priority="560">
      <formula>LEN(TRIM(N8))=0</formula>
    </cfRule>
  </conditionalFormatting>
  <conditionalFormatting sqref="N8">
    <cfRule type="containsBlanks" dxfId="1077" priority="559">
      <formula>LEN(TRIM(N8))=0</formula>
    </cfRule>
  </conditionalFormatting>
  <conditionalFormatting sqref="N8">
    <cfRule type="containsBlanks" dxfId="1076" priority="558">
      <formula>LEN(TRIM(N8))=0</formula>
    </cfRule>
  </conditionalFormatting>
  <conditionalFormatting sqref="N8">
    <cfRule type="containsBlanks" dxfId="1075" priority="557">
      <formula>LEN(TRIM(N8))=0</formula>
    </cfRule>
  </conditionalFormatting>
  <conditionalFormatting sqref="N8">
    <cfRule type="containsBlanks" dxfId="1074" priority="556">
      <formula>LEN(TRIM(N8))=0</formula>
    </cfRule>
  </conditionalFormatting>
  <conditionalFormatting sqref="N8">
    <cfRule type="containsBlanks" dxfId="1073" priority="555">
      <formula>LEN(TRIM(N8))=0</formula>
    </cfRule>
  </conditionalFormatting>
  <conditionalFormatting sqref="N8">
    <cfRule type="containsBlanks" dxfId="1072" priority="554">
      <formula>LEN(TRIM(N8))=0</formula>
    </cfRule>
  </conditionalFormatting>
  <conditionalFormatting sqref="N8">
    <cfRule type="containsBlanks" dxfId="1071" priority="553">
      <formula>LEN(TRIM(N8))=0</formula>
    </cfRule>
  </conditionalFormatting>
  <conditionalFormatting sqref="N8">
    <cfRule type="containsBlanks" dxfId="1070" priority="552">
      <formula>LEN(TRIM(N8))=0</formula>
    </cfRule>
  </conditionalFormatting>
  <conditionalFormatting sqref="N8">
    <cfRule type="containsBlanks" dxfId="1069" priority="551">
      <formula>LEN(TRIM(N8))=0</formula>
    </cfRule>
  </conditionalFormatting>
  <conditionalFormatting sqref="N8">
    <cfRule type="containsBlanks" dxfId="1068" priority="550">
      <formula>LEN(TRIM(N8))=0</formula>
    </cfRule>
  </conditionalFormatting>
  <conditionalFormatting sqref="N8">
    <cfRule type="containsBlanks" dxfId="1067" priority="549">
      <formula>LEN(TRIM(N8))=0</formula>
    </cfRule>
  </conditionalFormatting>
  <conditionalFormatting sqref="N8">
    <cfRule type="containsBlanks" dxfId="1066" priority="548">
      <formula>LEN(TRIM(N8))=0</formula>
    </cfRule>
  </conditionalFormatting>
  <conditionalFormatting sqref="N8">
    <cfRule type="containsBlanks" dxfId="1065" priority="547">
      <formula>LEN(TRIM(N8))=0</formula>
    </cfRule>
  </conditionalFormatting>
  <conditionalFormatting sqref="N8">
    <cfRule type="containsBlanks" dxfId="1064" priority="546">
      <formula>LEN(TRIM(N8))=0</formula>
    </cfRule>
  </conditionalFormatting>
  <conditionalFormatting sqref="N8">
    <cfRule type="containsBlanks" dxfId="1063" priority="545">
      <formula>LEN(TRIM(N8))=0</formula>
    </cfRule>
  </conditionalFormatting>
  <conditionalFormatting sqref="N8">
    <cfRule type="containsBlanks" dxfId="1062" priority="544">
      <formula>LEN(TRIM(N8))=0</formula>
    </cfRule>
  </conditionalFormatting>
  <conditionalFormatting sqref="N8">
    <cfRule type="containsBlanks" dxfId="1061" priority="543">
      <formula>LEN(TRIM(N8))=0</formula>
    </cfRule>
  </conditionalFormatting>
  <conditionalFormatting sqref="N8">
    <cfRule type="containsBlanks" dxfId="1060" priority="542">
      <formula>LEN(TRIM(N8))=0</formula>
    </cfRule>
  </conditionalFormatting>
  <conditionalFormatting sqref="N8">
    <cfRule type="containsBlanks" dxfId="1059" priority="541">
      <formula>LEN(TRIM(N8))=0</formula>
    </cfRule>
  </conditionalFormatting>
  <conditionalFormatting sqref="N8">
    <cfRule type="containsBlanks" dxfId="1058" priority="540">
      <formula>LEN(TRIM(N8))=0</formula>
    </cfRule>
  </conditionalFormatting>
  <conditionalFormatting sqref="H8:I8">
    <cfRule type="containsBlanks" dxfId="1057" priority="539">
      <formula>LEN(TRIM(H8))=0</formula>
    </cfRule>
  </conditionalFormatting>
  <conditionalFormatting sqref="N8">
    <cfRule type="containsBlanks" dxfId="1056" priority="538">
      <formula>LEN(TRIM(N8))=0</formula>
    </cfRule>
  </conditionalFormatting>
  <conditionalFormatting sqref="N8">
    <cfRule type="containsBlanks" dxfId="1055" priority="537">
      <formula>LEN(TRIM(N8))=0</formula>
    </cfRule>
  </conditionalFormatting>
  <conditionalFormatting sqref="H8">
    <cfRule type="containsBlanks" dxfId="1054" priority="536">
      <formula>LEN(TRIM(H8))=0</formula>
    </cfRule>
  </conditionalFormatting>
  <conditionalFormatting sqref="I8">
    <cfRule type="containsBlanks" dxfId="1053" priority="535">
      <formula>LEN(TRIM(I8))=0</formula>
    </cfRule>
  </conditionalFormatting>
  <conditionalFormatting sqref="I8">
    <cfRule type="containsBlanks" dxfId="1052" priority="534">
      <formula>LEN(TRIM(I8))=0</formula>
    </cfRule>
  </conditionalFormatting>
  <conditionalFormatting sqref="N8">
    <cfRule type="containsBlanks" dxfId="1051" priority="532">
      <formula>LEN(TRIM(N8))=0</formula>
    </cfRule>
  </conditionalFormatting>
  <conditionalFormatting sqref="N8">
    <cfRule type="containsBlanks" dxfId="1050" priority="531">
      <formula>LEN(TRIM(N8))=0</formula>
    </cfRule>
  </conditionalFormatting>
  <conditionalFormatting sqref="N8">
    <cfRule type="containsBlanks" dxfId="1049" priority="530">
      <formula>LEN(TRIM(N8))=0</formula>
    </cfRule>
  </conditionalFormatting>
  <conditionalFormatting sqref="N8">
    <cfRule type="containsBlanks" dxfId="1048" priority="529">
      <formula>LEN(TRIM(N8))=0</formula>
    </cfRule>
  </conditionalFormatting>
  <conditionalFormatting sqref="N8">
    <cfRule type="containsBlanks" dxfId="1047" priority="528">
      <formula>LEN(TRIM(N8))=0</formula>
    </cfRule>
  </conditionalFormatting>
  <conditionalFormatting sqref="N8">
    <cfRule type="containsBlanks" dxfId="1046" priority="527">
      <formula>LEN(TRIM(N8))=0</formula>
    </cfRule>
  </conditionalFormatting>
  <conditionalFormatting sqref="N8">
    <cfRule type="containsBlanks" dxfId="1045" priority="526">
      <formula>LEN(TRIM(N8))=0</formula>
    </cfRule>
  </conditionalFormatting>
  <conditionalFormatting sqref="N8">
    <cfRule type="containsBlanks" dxfId="1044" priority="525">
      <formula>LEN(TRIM(N8))=0</formula>
    </cfRule>
  </conditionalFormatting>
  <conditionalFormatting sqref="I9">
    <cfRule type="containsBlanks" dxfId="1043" priority="520">
      <formula>LEN(TRIM(I9))=0</formula>
    </cfRule>
  </conditionalFormatting>
  <conditionalFormatting sqref="I9">
    <cfRule type="containsBlanks" dxfId="1042" priority="519">
      <formula>LEN(TRIM(I9))=0</formula>
    </cfRule>
  </conditionalFormatting>
  <conditionalFormatting sqref="N8">
    <cfRule type="containsBlanks" dxfId="1041" priority="1734">
      <formula>LEN(TRIM(N8))=0</formula>
    </cfRule>
  </conditionalFormatting>
  <conditionalFormatting sqref="N8">
    <cfRule type="containsBlanks" dxfId="1040" priority="1733">
      <formula>LEN(TRIM(N8))=0</formula>
    </cfRule>
  </conditionalFormatting>
  <conditionalFormatting sqref="N8">
    <cfRule type="containsBlanks" dxfId="1039" priority="1732">
      <formula>LEN(TRIM(N8))=0</formula>
    </cfRule>
  </conditionalFormatting>
  <conditionalFormatting sqref="N8">
    <cfRule type="containsBlanks" dxfId="1038" priority="1731">
      <formula>LEN(TRIM(N8))=0</formula>
    </cfRule>
  </conditionalFormatting>
  <conditionalFormatting sqref="N8">
    <cfRule type="containsBlanks" dxfId="1037" priority="1730">
      <formula>LEN(TRIM(N8))=0</formula>
    </cfRule>
  </conditionalFormatting>
  <conditionalFormatting sqref="N8">
    <cfRule type="containsBlanks" dxfId="1036" priority="1729">
      <formula>LEN(TRIM(N8))=0</formula>
    </cfRule>
  </conditionalFormatting>
  <conditionalFormatting sqref="N8">
    <cfRule type="containsBlanks" dxfId="1035" priority="1728">
      <formula>LEN(TRIM(N8))=0</formula>
    </cfRule>
  </conditionalFormatting>
  <conditionalFormatting sqref="N8">
    <cfRule type="containsBlanks" dxfId="1034" priority="1727">
      <formula>LEN(TRIM(N8))=0</formula>
    </cfRule>
  </conditionalFormatting>
  <conditionalFormatting sqref="N8">
    <cfRule type="containsBlanks" dxfId="1033" priority="1726">
      <formula>LEN(TRIM(N8))=0</formula>
    </cfRule>
  </conditionalFormatting>
  <conditionalFormatting sqref="N8">
    <cfRule type="containsBlanks" dxfId="1032" priority="1725">
      <formula>LEN(TRIM(N8))=0</formula>
    </cfRule>
  </conditionalFormatting>
  <conditionalFormatting sqref="N8">
    <cfRule type="containsBlanks" dxfId="1031" priority="1724">
      <formula>LEN(TRIM(N8))=0</formula>
    </cfRule>
  </conditionalFormatting>
  <conditionalFormatting sqref="N8">
    <cfRule type="containsBlanks" dxfId="1030" priority="1723">
      <formula>LEN(TRIM(N8))=0</formula>
    </cfRule>
  </conditionalFormatting>
  <conditionalFormatting sqref="N8">
    <cfRule type="containsBlanks" dxfId="1029" priority="1722">
      <formula>LEN(TRIM(N8))=0</formula>
    </cfRule>
  </conditionalFormatting>
  <conditionalFormatting sqref="N8">
    <cfRule type="containsBlanks" dxfId="1028" priority="1721">
      <formula>LEN(TRIM(N8))=0</formula>
    </cfRule>
  </conditionalFormatting>
  <conditionalFormatting sqref="N8">
    <cfRule type="containsBlanks" dxfId="1027" priority="1720">
      <formula>LEN(TRIM(N8))=0</formula>
    </cfRule>
  </conditionalFormatting>
  <conditionalFormatting sqref="N8">
    <cfRule type="containsBlanks" dxfId="1026" priority="1719">
      <formula>LEN(TRIM(N8))=0</formula>
    </cfRule>
  </conditionalFormatting>
  <conditionalFormatting sqref="N8">
    <cfRule type="containsBlanks" dxfId="1025" priority="1718">
      <formula>LEN(TRIM(N8))=0</formula>
    </cfRule>
  </conditionalFormatting>
  <conditionalFormatting sqref="N8">
    <cfRule type="containsBlanks" dxfId="1024" priority="1717">
      <formula>LEN(TRIM(N8))=0</formula>
    </cfRule>
  </conditionalFormatting>
  <conditionalFormatting sqref="N8">
    <cfRule type="containsBlanks" dxfId="1023" priority="1716">
      <formula>LEN(TRIM(N8))=0</formula>
    </cfRule>
  </conditionalFormatting>
  <conditionalFormatting sqref="N8">
    <cfRule type="containsBlanks" dxfId="1022" priority="1715">
      <formula>LEN(TRIM(N8))=0</formula>
    </cfRule>
  </conditionalFormatting>
  <conditionalFormatting sqref="N8">
    <cfRule type="containsBlanks" dxfId="1021" priority="1714">
      <formula>LEN(TRIM(N8))=0</formula>
    </cfRule>
  </conditionalFormatting>
  <conditionalFormatting sqref="N8">
    <cfRule type="containsBlanks" dxfId="1020" priority="1713">
      <formula>LEN(TRIM(N8))=0</formula>
    </cfRule>
  </conditionalFormatting>
  <conditionalFormatting sqref="N8">
    <cfRule type="containsBlanks" dxfId="1019" priority="1712">
      <formula>LEN(TRIM(N8))=0</formula>
    </cfRule>
  </conditionalFormatting>
  <conditionalFormatting sqref="N8">
    <cfRule type="containsBlanks" dxfId="1018" priority="1711">
      <formula>LEN(TRIM(N8))=0</formula>
    </cfRule>
  </conditionalFormatting>
  <conditionalFormatting sqref="N8">
    <cfRule type="containsBlanks" dxfId="1017" priority="1710">
      <formula>LEN(TRIM(N8))=0</formula>
    </cfRule>
  </conditionalFormatting>
  <conditionalFormatting sqref="N8">
    <cfRule type="containsBlanks" dxfId="1016" priority="1709">
      <formula>LEN(TRIM(N8))=0</formula>
    </cfRule>
  </conditionalFormatting>
  <conditionalFormatting sqref="N8">
    <cfRule type="containsBlanks" dxfId="1015" priority="1708">
      <formula>LEN(TRIM(N8))=0</formula>
    </cfRule>
  </conditionalFormatting>
  <conditionalFormatting sqref="N8">
    <cfRule type="containsBlanks" dxfId="1014" priority="1707">
      <formula>LEN(TRIM(N8))=0</formula>
    </cfRule>
  </conditionalFormatting>
  <conditionalFormatting sqref="N8">
    <cfRule type="containsBlanks" dxfId="1013" priority="1706">
      <formula>LEN(TRIM(N8))=0</formula>
    </cfRule>
  </conditionalFormatting>
  <conditionalFormatting sqref="N8">
    <cfRule type="containsBlanks" dxfId="1012" priority="1705">
      <formula>LEN(TRIM(N8))=0</formula>
    </cfRule>
  </conditionalFormatting>
  <conditionalFormatting sqref="N8">
    <cfRule type="containsBlanks" dxfId="1011" priority="1704">
      <formula>LEN(TRIM(N8))=0</formula>
    </cfRule>
  </conditionalFormatting>
  <conditionalFormatting sqref="N8">
    <cfRule type="containsBlanks" dxfId="1010" priority="1703">
      <formula>LEN(TRIM(N8))=0</formula>
    </cfRule>
  </conditionalFormatting>
  <conditionalFormatting sqref="N8">
    <cfRule type="containsBlanks" dxfId="1009" priority="1702">
      <formula>LEN(TRIM(N8))=0</formula>
    </cfRule>
  </conditionalFormatting>
  <conditionalFormatting sqref="N8">
    <cfRule type="containsBlanks" dxfId="1008" priority="1701">
      <formula>LEN(TRIM(N8))=0</formula>
    </cfRule>
  </conditionalFormatting>
  <conditionalFormatting sqref="N8">
    <cfRule type="containsBlanks" dxfId="1007" priority="1700">
      <formula>LEN(TRIM(N8))=0</formula>
    </cfRule>
  </conditionalFormatting>
  <conditionalFormatting sqref="N8">
    <cfRule type="containsBlanks" dxfId="1006" priority="1699">
      <formula>LEN(TRIM(N8))=0</formula>
    </cfRule>
  </conditionalFormatting>
  <conditionalFormatting sqref="N8">
    <cfRule type="containsBlanks" dxfId="1005" priority="1698">
      <formula>LEN(TRIM(N8))=0</formula>
    </cfRule>
  </conditionalFormatting>
  <conditionalFormatting sqref="N8">
    <cfRule type="containsBlanks" dxfId="1004" priority="1697">
      <formula>LEN(TRIM(N8))=0</formula>
    </cfRule>
  </conditionalFormatting>
  <conditionalFormatting sqref="N8">
    <cfRule type="containsBlanks" dxfId="1003" priority="1696">
      <formula>LEN(TRIM(N8))=0</formula>
    </cfRule>
  </conditionalFormatting>
  <conditionalFormatting sqref="N8">
    <cfRule type="containsBlanks" dxfId="1002" priority="1695">
      <formula>LEN(TRIM(N8))=0</formula>
    </cfRule>
  </conditionalFormatting>
  <conditionalFormatting sqref="N8">
    <cfRule type="containsBlanks" dxfId="1001" priority="1694">
      <formula>LEN(TRIM(N8))=0</formula>
    </cfRule>
  </conditionalFormatting>
  <conditionalFormatting sqref="N8">
    <cfRule type="containsBlanks" dxfId="1000" priority="1693">
      <formula>LEN(TRIM(N8))=0</formula>
    </cfRule>
  </conditionalFormatting>
  <conditionalFormatting sqref="N8">
    <cfRule type="containsBlanks" dxfId="999" priority="1687">
      <formula>LEN(TRIM(N8))=0</formula>
    </cfRule>
  </conditionalFormatting>
  <conditionalFormatting sqref="N8">
    <cfRule type="containsBlanks" dxfId="998" priority="1686">
      <formula>LEN(TRIM(N8))=0</formula>
    </cfRule>
  </conditionalFormatting>
  <conditionalFormatting sqref="N8">
    <cfRule type="containsBlanks" dxfId="997" priority="1685">
      <formula>LEN(TRIM(N8))=0</formula>
    </cfRule>
  </conditionalFormatting>
  <conditionalFormatting sqref="N8">
    <cfRule type="containsBlanks" dxfId="996" priority="1684">
      <formula>LEN(TRIM(N8))=0</formula>
    </cfRule>
  </conditionalFormatting>
  <conditionalFormatting sqref="N8">
    <cfRule type="containsBlanks" dxfId="995" priority="1683">
      <formula>LEN(TRIM(N8))=0</formula>
    </cfRule>
  </conditionalFormatting>
  <conditionalFormatting sqref="N8">
    <cfRule type="containsBlanks" dxfId="994" priority="1682">
      <formula>LEN(TRIM(N8))=0</formula>
    </cfRule>
  </conditionalFormatting>
  <conditionalFormatting sqref="N8">
    <cfRule type="containsBlanks" dxfId="993" priority="1681">
      <formula>LEN(TRIM(N8))=0</formula>
    </cfRule>
  </conditionalFormatting>
  <conditionalFormatting sqref="N8">
    <cfRule type="containsBlanks" dxfId="992" priority="1680">
      <formula>LEN(TRIM(N8))=0</formula>
    </cfRule>
  </conditionalFormatting>
  <conditionalFormatting sqref="N8">
    <cfRule type="containsBlanks" dxfId="991" priority="1679">
      <formula>LEN(TRIM(N8))=0</formula>
    </cfRule>
  </conditionalFormatting>
  <conditionalFormatting sqref="N8">
    <cfRule type="containsBlanks" dxfId="990" priority="1678">
      <formula>LEN(TRIM(N8))=0</formula>
    </cfRule>
  </conditionalFormatting>
  <conditionalFormatting sqref="N8">
    <cfRule type="containsBlanks" dxfId="989" priority="1677">
      <formula>LEN(TRIM(N8))=0</formula>
    </cfRule>
  </conditionalFormatting>
  <conditionalFormatting sqref="H8:I8">
    <cfRule type="containsBlanks" dxfId="988" priority="1676">
      <formula>LEN(TRIM(H8))=0</formula>
    </cfRule>
  </conditionalFormatting>
  <conditionalFormatting sqref="N8">
    <cfRule type="containsBlanks" dxfId="987" priority="1675">
      <formula>LEN(TRIM(N8))=0</formula>
    </cfRule>
  </conditionalFormatting>
  <conditionalFormatting sqref="N8">
    <cfRule type="containsBlanks" dxfId="986" priority="1674">
      <formula>LEN(TRIM(N8))=0</formula>
    </cfRule>
  </conditionalFormatting>
  <conditionalFormatting sqref="N8 H8:I8">
    <cfRule type="containsBlanks" dxfId="985" priority="1673">
      <formula>LEN(TRIM(H8))=0</formula>
    </cfRule>
  </conditionalFormatting>
  <conditionalFormatting sqref="H8:I8">
    <cfRule type="containsBlanks" dxfId="984" priority="1672">
      <formula>LEN(TRIM(H8))=0</formula>
    </cfRule>
  </conditionalFormatting>
  <conditionalFormatting sqref="N8">
    <cfRule type="containsBlanks" dxfId="983" priority="1671">
      <formula>LEN(TRIM(N8))=0</formula>
    </cfRule>
  </conditionalFormatting>
  <conditionalFormatting sqref="N8">
    <cfRule type="containsBlanks" dxfId="982" priority="1670">
      <formula>LEN(TRIM(N8))=0</formula>
    </cfRule>
  </conditionalFormatting>
  <conditionalFormatting sqref="N8">
    <cfRule type="containsBlanks" dxfId="981" priority="1669">
      <formula>LEN(TRIM(N8))=0</formula>
    </cfRule>
  </conditionalFormatting>
  <conditionalFormatting sqref="N8">
    <cfRule type="containsBlanks" dxfId="980" priority="1668">
      <formula>LEN(TRIM(N8))=0</formula>
    </cfRule>
  </conditionalFormatting>
  <conditionalFormatting sqref="N8">
    <cfRule type="containsBlanks" dxfId="979" priority="1667">
      <formula>LEN(TRIM(N8))=0</formula>
    </cfRule>
  </conditionalFormatting>
  <conditionalFormatting sqref="N8">
    <cfRule type="containsBlanks" dxfId="978" priority="1666">
      <formula>LEN(TRIM(N8))=0</formula>
    </cfRule>
  </conditionalFormatting>
  <conditionalFormatting sqref="N8">
    <cfRule type="containsBlanks" dxfId="977" priority="1665">
      <formula>LEN(TRIM(N8))=0</formula>
    </cfRule>
  </conditionalFormatting>
  <conditionalFormatting sqref="N8">
    <cfRule type="containsBlanks" dxfId="976" priority="1664">
      <formula>LEN(TRIM(N8))=0</formula>
    </cfRule>
  </conditionalFormatting>
  <conditionalFormatting sqref="N8">
    <cfRule type="containsBlanks" dxfId="975" priority="1663">
      <formula>LEN(TRIM(N8))=0</formula>
    </cfRule>
  </conditionalFormatting>
  <conditionalFormatting sqref="N8">
    <cfRule type="containsBlanks" dxfId="974" priority="1662">
      <formula>LEN(TRIM(N8))=0</formula>
    </cfRule>
  </conditionalFormatting>
  <conditionalFormatting sqref="N8">
    <cfRule type="containsBlanks" dxfId="973" priority="1661">
      <formula>LEN(TRIM(N8))=0</formula>
    </cfRule>
  </conditionalFormatting>
  <conditionalFormatting sqref="N8">
    <cfRule type="containsBlanks" dxfId="972" priority="1660">
      <formula>LEN(TRIM(N8))=0</formula>
    </cfRule>
  </conditionalFormatting>
  <conditionalFormatting sqref="N8">
    <cfRule type="containsBlanks" dxfId="971" priority="1659">
      <formula>LEN(TRIM(N8))=0</formula>
    </cfRule>
  </conditionalFormatting>
  <conditionalFormatting sqref="N8">
    <cfRule type="containsBlanks" dxfId="970" priority="1658">
      <formula>LEN(TRIM(N8))=0</formula>
    </cfRule>
  </conditionalFormatting>
  <conditionalFormatting sqref="N8">
    <cfRule type="containsBlanks" dxfId="969" priority="1657">
      <formula>LEN(TRIM(N8))=0</formula>
    </cfRule>
  </conditionalFormatting>
  <conditionalFormatting sqref="N8">
    <cfRule type="containsBlanks" dxfId="968" priority="1656">
      <formula>LEN(TRIM(N8))=0</formula>
    </cfRule>
  </conditionalFormatting>
  <conditionalFormatting sqref="N8">
    <cfRule type="containsBlanks" dxfId="967" priority="1655">
      <formula>LEN(TRIM(N8))=0</formula>
    </cfRule>
  </conditionalFormatting>
  <conditionalFormatting sqref="N8">
    <cfRule type="containsBlanks" dxfId="966" priority="1654">
      <formula>LEN(TRIM(N8))=0</formula>
    </cfRule>
  </conditionalFormatting>
  <conditionalFormatting sqref="N8">
    <cfRule type="containsBlanks" dxfId="965" priority="1653">
      <formula>LEN(TRIM(N8))=0</formula>
    </cfRule>
  </conditionalFormatting>
  <conditionalFormatting sqref="N8">
    <cfRule type="containsBlanks" dxfId="964" priority="1652">
      <formula>LEN(TRIM(N8))=0</formula>
    </cfRule>
  </conditionalFormatting>
  <conditionalFormatting sqref="N8">
    <cfRule type="containsBlanks" dxfId="963" priority="1651">
      <formula>LEN(TRIM(N8))=0</formula>
    </cfRule>
  </conditionalFormatting>
  <conditionalFormatting sqref="N8">
    <cfRule type="containsBlanks" dxfId="962" priority="1650">
      <formula>LEN(TRIM(N8))=0</formula>
    </cfRule>
  </conditionalFormatting>
  <conditionalFormatting sqref="N8">
    <cfRule type="containsBlanks" dxfId="961" priority="1649">
      <formula>LEN(TRIM(N8))=0</formula>
    </cfRule>
  </conditionalFormatting>
  <conditionalFormatting sqref="N8">
    <cfRule type="containsBlanks" dxfId="960" priority="1648">
      <formula>LEN(TRIM(N8))=0</formula>
    </cfRule>
  </conditionalFormatting>
  <conditionalFormatting sqref="N8">
    <cfRule type="containsBlanks" dxfId="959" priority="1647">
      <formula>LEN(TRIM(N8))=0</formula>
    </cfRule>
  </conditionalFormatting>
  <conditionalFormatting sqref="N8">
    <cfRule type="containsBlanks" dxfId="958" priority="1646">
      <formula>LEN(TRIM(N8))=0</formula>
    </cfRule>
  </conditionalFormatting>
  <conditionalFormatting sqref="N8">
    <cfRule type="containsBlanks" dxfId="957" priority="1645">
      <formula>LEN(TRIM(N8))=0</formula>
    </cfRule>
  </conditionalFormatting>
  <conditionalFormatting sqref="N8">
    <cfRule type="containsBlanks" dxfId="956" priority="1644">
      <formula>LEN(TRIM(N8))=0</formula>
    </cfRule>
  </conditionalFormatting>
  <conditionalFormatting sqref="N8">
    <cfRule type="containsBlanks" dxfId="955" priority="1643">
      <formula>LEN(TRIM(N8))=0</formula>
    </cfRule>
  </conditionalFormatting>
  <conditionalFormatting sqref="N8">
    <cfRule type="containsBlanks" dxfId="954" priority="1642">
      <formula>LEN(TRIM(N8))=0</formula>
    </cfRule>
  </conditionalFormatting>
  <conditionalFormatting sqref="N8">
    <cfRule type="containsBlanks" dxfId="953" priority="1641">
      <formula>LEN(TRIM(N8))=0</formula>
    </cfRule>
  </conditionalFormatting>
  <conditionalFormatting sqref="N8">
    <cfRule type="containsBlanks" dxfId="952" priority="1640">
      <formula>LEN(TRIM(N8))=0</formula>
    </cfRule>
  </conditionalFormatting>
  <conditionalFormatting sqref="N8">
    <cfRule type="containsBlanks" dxfId="951" priority="1639">
      <formula>LEN(TRIM(N8))=0</formula>
    </cfRule>
  </conditionalFormatting>
  <conditionalFormatting sqref="N8">
    <cfRule type="containsBlanks" dxfId="950" priority="1638">
      <formula>LEN(TRIM(N8))=0</formula>
    </cfRule>
  </conditionalFormatting>
  <conditionalFormatting sqref="N8">
    <cfRule type="containsBlanks" dxfId="949" priority="1637">
      <formula>LEN(TRIM(N8))=0</formula>
    </cfRule>
  </conditionalFormatting>
  <conditionalFormatting sqref="N8">
    <cfRule type="containsBlanks" dxfId="948" priority="1636">
      <formula>LEN(TRIM(N8))=0</formula>
    </cfRule>
  </conditionalFormatting>
  <conditionalFormatting sqref="N8">
    <cfRule type="containsBlanks" dxfId="947" priority="1635">
      <formula>LEN(TRIM(N8))=0</formula>
    </cfRule>
  </conditionalFormatting>
  <conditionalFormatting sqref="N8">
    <cfRule type="containsBlanks" dxfId="946" priority="1634">
      <formula>LEN(TRIM(N8))=0</formula>
    </cfRule>
  </conditionalFormatting>
  <conditionalFormatting sqref="N8">
    <cfRule type="containsBlanks" dxfId="945" priority="1633">
      <formula>LEN(TRIM(N8))=0</formula>
    </cfRule>
  </conditionalFormatting>
  <conditionalFormatting sqref="N8">
    <cfRule type="containsBlanks" dxfId="944" priority="1632">
      <formula>LEN(TRIM(N8))=0</formula>
    </cfRule>
  </conditionalFormatting>
  <conditionalFormatting sqref="N8">
    <cfRule type="containsBlanks" dxfId="943" priority="1631">
      <formula>LEN(TRIM(N8))=0</formula>
    </cfRule>
  </conditionalFormatting>
  <conditionalFormatting sqref="N8">
    <cfRule type="containsBlanks" dxfId="942" priority="1630">
      <formula>LEN(TRIM(N8))=0</formula>
    </cfRule>
  </conditionalFormatting>
  <conditionalFormatting sqref="N8">
    <cfRule type="containsBlanks" dxfId="941" priority="1629">
      <formula>LEN(TRIM(N8))=0</formula>
    </cfRule>
  </conditionalFormatting>
  <conditionalFormatting sqref="H8:I8">
    <cfRule type="containsBlanks" dxfId="940" priority="1628">
      <formula>LEN(TRIM(H8))=0</formula>
    </cfRule>
  </conditionalFormatting>
  <conditionalFormatting sqref="N8">
    <cfRule type="containsBlanks" dxfId="939" priority="1627">
      <formula>LEN(TRIM(N8))=0</formula>
    </cfRule>
  </conditionalFormatting>
  <conditionalFormatting sqref="N8">
    <cfRule type="containsBlanks" dxfId="938" priority="1626">
      <formula>LEN(TRIM(N8))=0</formula>
    </cfRule>
  </conditionalFormatting>
  <conditionalFormatting sqref="N8">
    <cfRule type="containsBlanks" dxfId="937" priority="1625">
      <formula>LEN(TRIM(N8))=0</formula>
    </cfRule>
  </conditionalFormatting>
  <conditionalFormatting sqref="N8">
    <cfRule type="containsBlanks" dxfId="936" priority="1624">
      <formula>LEN(TRIM(N8))=0</formula>
    </cfRule>
  </conditionalFormatting>
  <conditionalFormatting sqref="N8">
    <cfRule type="containsBlanks" dxfId="935" priority="1623">
      <formula>LEN(TRIM(N8))=0</formula>
    </cfRule>
  </conditionalFormatting>
  <conditionalFormatting sqref="N8">
    <cfRule type="containsBlanks" dxfId="934" priority="1622">
      <formula>LEN(TRIM(N8))=0</formula>
    </cfRule>
  </conditionalFormatting>
  <conditionalFormatting sqref="N8">
    <cfRule type="containsBlanks" dxfId="933" priority="1621">
      <formula>LEN(TRIM(N8))=0</formula>
    </cfRule>
  </conditionalFormatting>
  <conditionalFormatting sqref="N8">
    <cfRule type="containsBlanks" dxfId="932" priority="1620">
      <formula>LEN(TRIM(N8))=0</formula>
    </cfRule>
  </conditionalFormatting>
  <conditionalFormatting sqref="N8">
    <cfRule type="containsBlanks" dxfId="931" priority="1619">
      <formula>LEN(TRIM(N8))=0</formula>
    </cfRule>
  </conditionalFormatting>
  <conditionalFormatting sqref="N8">
    <cfRule type="containsBlanks" dxfId="930" priority="1618">
      <formula>LEN(TRIM(N8))=0</formula>
    </cfRule>
  </conditionalFormatting>
  <conditionalFormatting sqref="N8">
    <cfRule type="containsBlanks" dxfId="929" priority="1617">
      <formula>LEN(TRIM(N8))=0</formula>
    </cfRule>
  </conditionalFormatting>
  <conditionalFormatting sqref="N8">
    <cfRule type="containsBlanks" dxfId="928" priority="1616">
      <formula>LEN(TRIM(N8))=0</formula>
    </cfRule>
  </conditionalFormatting>
  <conditionalFormatting sqref="N8">
    <cfRule type="containsBlanks" dxfId="927" priority="1615">
      <formula>LEN(TRIM(N8))=0</formula>
    </cfRule>
  </conditionalFormatting>
  <conditionalFormatting sqref="N8">
    <cfRule type="containsBlanks" dxfId="926" priority="1614">
      <formula>LEN(TRIM(N8))=0</formula>
    </cfRule>
  </conditionalFormatting>
  <conditionalFormatting sqref="N8">
    <cfRule type="containsBlanks" dxfId="925" priority="1613">
      <formula>LEN(TRIM(N8))=0</formula>
    </cfRule>
  </conditionalFormatting>
  <conditionalFormatting sqref="N8">
    <cfRule type="containsBlanks" dxfId="924" priority="1612">
      <formula>LEN(TRIM(N8))=0</formula>
    </cfRule>
  </conditionalFormatting>
  <conditionalFormatting sqref="N8">
    <cfRule type="containsBlanks" dxfId="923" priority="1611">
      <formula>LEN(TRIM(N8))=0</formula>
    </cfRule>
  </conditionalFormatting>
  <conditionalFormatting sqref="N8">
    <cfRule type="containsBlanks" dxfId="922" priority="1610">
      <formula>LEN(TRIM(N8))=0</formula>
    </cfRule>
  </conditionalFormatting>
  <conditionalFormatting sqref="N8">
    <cfRule type="containsBlanks" dxfId="921" priority="1609">
      <formula>LEN(TRIM(N8))=0</formula>
    </cfRule>
  </conditionalFormatting>
  <conditionalFormatting sqref="N8">
    <cfRule type="containsBlanks" dxfId="920" priority="1608">
      <formula>LEN(TRIM(N8))=0</formula>
    </cfRule>
  </conditionalFormatting>
  <conditionalFormatting sqref="N8">
    <cfRule type="containsBlanks" dxfId="919" priority="1607">
      <formula>LEN(TRIM(N8))=0</formula>
    </cfRule>
  </conditionalFormatting>
  <conditionalFormatting sqref="N8">
    <cfRule type="containsBlanks" dxfId="918" priority="1606">
      <formula>LEN(TRIM(N8))=0</formula>
    </cfRule>
  </conditionalFormatting>
  <conditionalFormatting sqref="N8">
    <cfRule type="containsBlanks" dxfId="917" priority="1605">
      <formula>LEN(TRIM(N8))=0</formula>
    </cfRule>
  </conditionalFormatting>
  <conditionalFormatting sqref="I8">
    <cfRule type="containsBlanks" dxfId="916" priority="1598">
      <formula>LEN(TRIM(I8))=0</formula>
    </cfRule>
  </conditionalFormatting>
  <conditionalFormatting sqref="I8">
    <cfRule type="containsBlanks" dxfId="915" priority="1597">
      <formula>LEN(TRIM(I8))=0</formula>
    </cfRule>
  </conditionalFormatting>
  <conditionalFormatting sqref="N8">
    <cfRule type="containsBlanks" dxfId="914" priority="1596">
      <formula>LEN(TRIM(N8))=0</formula>
    </cfRule>
  </conditionalFormatting>
  <conditionalFormatting sqref="N8">
    <cfRule type="containsBlanks" dxfId="913" priority="1595">
      <formula>LEN(TRIM(N8))=0</formula>
    </cfRule>
  </conditionalFormatting>
  <conditionalFormatting sqref="N8">
    <cfRule type="containsBlanks" dxfId="912" priority="1594">
      <formula>LEN(TRIM(N8))=0</formula>
    </cfRule>
  </conditionalFormatting>
  <conditionalFormatting sqref="N8">
    <cfRule type="containsBlanks" dxfId="911" priority="1593">
      <formula>LEN(TRIM(N8))=0</formula>
    </cfRule>
  </conditionalFormatting>
  <conditionalFormatting sqref="N8">
    <cfRule type="containsBlanks" dxfId="910" priority="1592">
      <formula>LEN(TRIM(N8))=0</formula>
    </cfRule>
  </conditionalFormatting>
  <conditionalFormatting sqref="N8">
    <cfRule type="containsBlanks" dxfId="909" priority="1591">
      <formula>LEN(TRIM(N8))=0</formula>
    </cfRule>
  </conditionalFormatting>
  <conditionalFormatting sqref="N8">
    <cfRule type="containsBlanks" dxfId="908" priority="1590">
      <formula>LEN(TRIM(N8))=0</formula>
    </cfRule>
  </conditionalFormatting>
  <conditionalFormatting sqref="N8">
    <cfRule type="containsBlanks" dxfId="907" priority="1510">
      <formula>LEN(TRIM(N8))=0</formula>
    </cfRule>
  </conditionalFormatting>
  <conditionalFormatting sqref="N8">
    <cfRule type="containsBlanks" dxfId="906" priority="1509">
      <formula>LEN(TRIM(N8))=0</formula>
    </cfRule>
  </conditionalFormatting>
  <conditionalFormatting sqref="N8">
    <cfRule type="containsBlanks" dxfId="905" priority="1508">
      <formula>LEN(TRIM(N8))=0</formula>
    </cfRule>
  </conditionalFormatting>
  <conditionalFormatting sqref="N8">
    <cfRule type="containsBlanks" dxfId="904" priority="1507">
      <formula>LEN(TRIM(N8))=0</formula>
    </cfRule>
  </conditionalFormatting>
  <conditionalFormatting sqref="N8">
    <cfRule type="containsBlanks" dxfId="903" priority="1506">
      <formula>LEN(TRIM(N8))=0</formula>
    </cfRule>
  </conditionalFormatting>
  <conditionalFormatting sqref="I8">
    <cfRule type="containsBlanks" dxfId="902" priority="1505">
      <formula>LEN(TRIM(I8))=0</formula>
    </cfRule>
  </conditionalFormatting>
  <conditionalFormatting sqref="I8">
    <cfRule type="containsBlanks" dxfId="901" priority="1504">
      <formula>LEN(TRIM(I8))=0</formula>
    </cfRule>
  </conditionalFormatting>
  <conditionalFormatting sqref="I8">
    <cfRule type="containsBlanks" dxfId="900" priority="1503">
      <formula>LEN(TRIM(I8))=0</formula>
    </cfRule>
  </conditionalFormatting>
  <conditionalFormatting sqref="I8">
    <cfRule type="containsBlanks" dxfId="899" priority="1502">
      <formula>LEN(TRIM(I8))=0</formula>
    </cfRule>
  </conditionalFormatting>
  <conditionalFormatting sqref="I8">
    <cfRule type="containsBlanks" dxfId="898" priority="1501">
      <formula>LEN(TRIM(I8))=0</formula>
    </cfRule>
  </conditionalFormatting>
  <conditionalFormatting sqref="I8">
    <cfRule type="containsBlanks" dxfId="897" priority="1500">
      <formula>LEN(TRIM(I8))=0</formula>
    </cfRule>
  </conditionalFormatting>
  <conditionalFormatting sqref="I8">
    <cfRule type="containsBlanks" dxfId="896" priority="1499">
      <formula>LEN(TRIM(I8))=0</formula>
    </cfRule>
  </conditionalFormatting>
  <conditionalFormatting sqref="I8">
    <cfRule type="containsBlanks" dxfId="895" priority="1498">
      <formula>LEN(TRIM(I8))=0</formula>
    </cfRule>
  </conditionalFormatting>
  <conditionalFormatting sqref="I8">
    <cfRule type="containsBlanks" dxfId="894" priority="1497">
      <formula>LEN(TRIM(I8))=0</formula>
    </cfRule>
  </conditionalFormatting>
  <conditionalFormatting sqref="N8 H8">
    <cfRule type="containsBlanks" dxfId="893" priority="1493">
      <formula>LEN(TRIM(H8))=0</formula>
    </cfRule>
  </conditionalFormatting>
  <conditionalFormatting sqref="H8">
    <cfRule type="containsBlanks" dxfId="892" priority="1492">
      <formula>LEN(TRIM(H8))=0</formula>
    </cfRule>
  </conditionalFormatting>
  <conditionalFormatting sqref="N8">
    <cfRule type="containsBlanks" dxfId="891" priority="1491">
      <formula>LEN(TRIM(N8))=0</formula>
    </cfRule>
  </conditionalFormatting>
  <conditionalFormatting sqref="N8">
    <cfRule type="containsBlanks" dxfId="890" priority="1490">
      <formula>LEN(TRIM(N8))=0</formula>
    </cfRule>
  </conditionalFormatting>
  <conditionalFormatting sqref="N8">
    <cfRule type="containsBlanks" dxfId="889" priority="1489">
      <formula>LEN(TRIM(N8))=0</formula>
    </cfRule>
  </conditionalFormatting>
  <conditionalFormatting sqref="N8">
    <cfRule type="containsBlanks" dxfId="888" priority="1488">
      <formula>LEN(TRIM(N8))=0</formula>
    </cfRule>
  </conditionalFormatting>
  <conditionalFormatting sqref="N8">
    <cfRule type="containsBlanks" dxfId="887" priority="1487">
      <formula>LEN(TRIM(N8))=0</formula>
    </cfRule>
  </conditionalFormatting>
  <conditionalFormatting sqref="N8">
    <cfRule type="containsBlanks" dxfId="886" priority="1486">
      <formula>LEN(TRIM(N8))=0</formula>
    </cfRule>
  </conditionalFormatting>
  <conditionalFormatting sqref="N8">
    <cfRule type="containsBlanks" dxfId="885" priority="1485">
      <formula>LEN(TRIM(N8))=0</formula>
    </cfRule>
  </conditionalFormatting>
  <conditionalFormatting sqref="N8">
    <cfRule type="containsBlanks" dxfId="884" priority="1484">
      <formula>LEN(TRIM(N8))=0</formula>
    </cfRule>
  </conditionalFormatting>
  <conditionalFormatting sqref="N8">
    <cfRule type="containsBlanks" dxfId="883" priority="1483">
      <formula>LEN(TRIM(N8))=0</formula>
    </cfRule>
  </conditionalFormatting>
  <conditionalFormatting sqref="N8">
    <cfRule type="containsBlanks" dxfId="882" priority="1482">
      <formula>LEN(TRIM(N8))=0</formula>
    </cfRule>
  </conditionalFormatting>
  <conditionalFormatting sqref="N8">
    <cfRule type="containsBlanks" dxfId="881" priority="1481">
      <formula>LEN(TRIM(N8))=0</formula>
    </cfRule>
  </conditionalFormatting>
  <conditionalFormatting sqref="N8">
    <cfRule type="containsBlanks" dxfId="880" priority="1480">
      <formula>LEN(TRIM(N8))=0</formula>
    </cfRule>
  </conditionalFormatting>
  <conditionalFormatting sqref="N8">
    <cfRule type="containsBlanks" dxfId="879" priority="1479">
      <formula>LEN(TRIM(N8))=0</formula>
    </cfRule>
  </conditionalFormatting>
  <conditionalFormatting sqref="N8">
    <cfRule type="containsBlanks" dxfId="878" priority="1478">
      <formula>LEN(TRIM(N8))=0</formula>
    </cfRule>
  </conditionalFormatting>
  <conditionalFormatting sqref="N8">
    <cfRule type="containsBlanks" dxfId="877" priority="1477">
      <formula>LEN(TRIM(N8))=0</formula>
    </cfRule>
  </conditionalFormatting>
  <conditionalFormatting sqref="N8">
    <cfRule type="containsBlanks" dxfId="876" priority="1476">
      <formula>LEN(TRIM(N8))=0</formula>
    </cfRule>
  </conditionalFormatting>
  <conditionalFormatting sqref="N8">
    <cfRule type="containsBlanks" dxfId="875" priority="1475">
      <formula>LEN(TRIM(N8))=0</formula>
    </cfRule>
  </conditionalFormatting>
  <conditionalFormatting sqref="N8">
    <cfRule type="containsBlanks" dxfId="874" priority="1474">
      <formula>LEN(TRIM(N8))=0</formula>
    </cfRule>
  </conditionalFormatting>
  <conditionalFormatting sqref="N8">
    <cfRule type="containsBlanks" dxfId="873" priority="1473">
      <formula>LEN(TRIM(N8))=0</formula>
    </cfRule>
  </conditionalFormatting>
  <conditionalFormatting sqref="N8">
    <cfRule type="containsBlanks" dxfId="872" priority="1472">
      <formula>LEN(TRIM(N8))=0</formula>
    </cfRule>
  </conditionalFormatting>
  <conditionalFormatting sqref="N8">
    <cfRule type="containsBlanks" dxfId="871" priority="1471">
      <formula>LEN(TRIM(N8))=0</formula>
    </cfRule>
  </conditionalFormatting>
  <conditionalFormatting sqref="N8">
    <cfRule type="containsBlanks" dxfId="870" priority="1470">
      <formula>LEN(TRIM(N8))=0</formula>
    </cfRule>
  </conditionalFormatting>
  <conditionalFormatting sqref="N8">
    <cfRule type="containsBlanks" dxfId="869" priority="1469">
      <formula>LEN(TRIM(N8))=0</formula>
    </cfRule>
  </conditionalFormatting>
  <conditionalFormatting sqref="N8">
    <cfRule type="containsBlanks" dxfId="868" priority="1468">
      <formula>LEN(TRIM(N8))=0</formula>
    </cfRule>
  </conditionalFormatting>
  <conditionalFormatting sqref="N8">
    <cfRule type="containsBlanks" dxfId="867" priority="1467">
      <formula>LEN(TRIM(N8))=0</formula>
    </cfRule>
  </conditionalFormatting>
  <conditionalFormatting sqref="N8">
    <cfRule type="containsBlanks" dxfId="866" priority="1466">
      <formula>LEN(TRIM(N8))=0</formula>
    </cfRule>
  </conditionalFormatting>
  <conditionalFormatting sqref="N8">
    <cfRule type="containsBlanks" dxfId="865" priority="1465">
      <formula>LEN(TRIM(N8))=0</formula>
    </cfRule>
  </conditionalFormatting>
  <conditionalFormatting sqref="N8">
    <cfRule type="containsBlanks" dxfId="864" priority="1464">
      <formula>LEN(TRIM(N8))=0</formula>
    </cfRule>
  </conditionalFormatting>
  <conditionalFormatting sqref="N8">
    <cfRule type="containsBlanks" dxfId="863" priority="1463">
      <formula>LEN(TRIM(N8))=0</formula>
    </cfRule>
  </conditionalFormatting>
  <conditionalFormatting sqref="N8">
    <cfRule type="containsBlanks" dxfId="862" priority="1462">
      <formula>LEN(TRIM(N8))=0</formula>
    </cfRule>
  </conditionalFormatting>
  <conditionalFormatting sqref="N8">
    <cfRule type="containsBlanks" dxfId="861" priority="1461">
      <formula>LEN(TRIM(N8))=0</formula>
    </cfRule>
  </conditionalFormatting>
  <conditionalFormatting sqref="N8">
    <cfRule type="containsBlanks" dxfId="860" priority="1460">
      <formula>LEN(TRIM(N8))=0</formula>
    </cfRule>
  </conditionalFormatting>
  <conditionalFormatting sqref="N8">
    <cfRule type="containsBlanks" dxfId="859" priority="1459">
      <formula>LEN(TRIM(N8))=0</formula>
    </cfRule>
  </conditionalFormatting>
  <conditionalFormatting sqref="N8">
    <cfRule type="containsBlanks" dxfId="858" priority="1458">
      <formula>LEN(TRIM(N8))=0</formula>
    </cfRule>
  </conditionalFormatting>
  <conditionalFormatting sqref="N8">
    <cfRule type="containsBlanks" dxfId="857" priority="1457">
      <formula>LEN(TRIM(N8))=0</formula>
    </cfRule>
  </conditionalFormatting>
  <conditionalFormatting sqref="N8">
    <cfRule type="containsBlanks" dxfId="856" priority="1456">
      <formula>LEN(TRIM(N8))=0</formula>
    </cfRule>
  </conditionalFormatting>
  <conditionalFormatting sqref="N8">
    <cfRule type="containsBlanks" dxfId="855" priority="1455">
      <formula>LEN(TRIM(N8))=0</formula>
    </cfRule>
  </conditionalFormatting>
  <conditionalFormatting sqref="N8">
    <cfRule type="containsBlanks" dxfId="854" priority="1454">
      <formula>LEN(TRIM(N8))=0</formula>
    </cfRule>
  </conditionalFormatting>
  <conditionalFormatting sqref="N8">
    <cfRule type="containsBlanks" dxfId="853" priority="1453">
      <formula>LEN(TRIM(N8))=0</formula>
    </cfRule>
  </conditionalFormatting>
  <conditionalFormatting sqref="N8">
    <cfRule type="containsBlanks" dxfId="852" priority="1452">
      <formula>LEN(TRIM(N8))=0</formula>
    </cfRule>
  </conditionalFormatting>
  <conditionalFormatting sqref="N8">
    <cfRule type="containsBlanks" dxfId="851" priority="1451">
      <formula>LEN(TRIM(N8))=0</formula>
    </cfRule>
  </conditionalFormatting>
  <conditionalFormatting sqref="N8">
    <cfRule type="containsBlanks" dxfId="850" priority="1450">
      <formula>LEN(TRIM(N8))=0</formula>
    </cfRule>
  </conditionalFormatting>
  <conditionalFormatting sqref="N8">
    <cfRule type="containsBlanks" dxfId="849" priority="1449">
      <formula>LEN(TRIM(N8))=0</formula>
    </cfRule>
  </conditionalFormatting>
  <conditionalFormatting sqref="H8">
    <cfRule type="containsBlanks" dxfId="848" priority="1448">
      <formula>LEN(TRIM(H8))=0</formula>
    </cfRule>
  </conditionalFormatting>
  <conditionalFormatting sqref="N8">
    <cfRule type="containsBlanks" dxfId="847" priority="1447">
      <formula>LEN(TRIM(N8))=0</formula>
    </cfRule>
  </conditionalFormatting>
  <conditionalFormatting sqref="N8">
    <cfRule type="containsBlanks" dxfId="846" priority="1446">
      <formula>LEN(TRIM(N8))=0</formula>
    </cfRule>
  </conditionalFormatting>
  <conditionalFormatting sqref="N8">
    <cfRule type="containsBlanks" dxfId="845" priority="1445">
      <formula>LEN(TRIM(N8))=0</formula>
    </cfRule>
  </conditionalFormatting>
  <conditionalFormatting sqref="N8">
    <cfRule type="containsBlanks" dxfId="844" priority="1444">
      <formula>LEN(TRIM(N8))=0</formula>
    </cfRule>
  </conditionalFormatting>
  <conditionalFormatting sqref="N8">
    <cfRule type="containsBlanks" dxfId="843" priority="1443">
      <formula>LEN(TRIM(N8))=0</formula>
    </cfRule>
  </conditionalFormatting>
  <conditionalFormatting sqref="N8">
    <cfRule type="containsBlanks" dxfId="842" priority="1442">
      <formula>LEN(TRIM(N8))=0</formula>
    </cfRule>
  </conditionalFormatting>
  <conditionalFormatting sqref="N8">
    <cfRule type="containsBlanks" dxfId="841" priority="1441">
      <formula>LEN(TRIM(N8))=0</formula>
    </cfRule>
  </conditionalFormatting>
  <conditionalFormatting sqref="N8">
    <cfRule type="containsBlanks" dxfId="840" priority="1440">
      <formula>LEN(TRIM(N8))=0</formula>
    </cfRule>
  </conditionalFormatting>
  <conditionalFormatting sqref="N8">
    <cfRule type="containsBlanks" dxfId="839" priority="1439">
      <formula>LEN(TRIM(N8))=0</formula>
    </cfRule>
  </conditionalFormatting>
  <conditionalFormatting sqref="N8">
    <cfRule type="containsBlanks" dxfId="838" priority="1438">
      <formula>LEN(TRIM(N8))=0</formula>
    </cfRule>
  </conditionalFormatting>
  <conditionalFormatting sqref="N8">
    <cfRule type="containsBlanks" dxfId="837" priority="1437">
      <formula>LEN(TRIM(N8))=0</formula>
    </cfRule>
  </conditionalFormatting>
  <conditionalFormatting sqref="N8">
    <cfRule type="containsBlanks" dxfId="836" priority="1436">
      <formula>LEN(TRIM(N8))=0</formula>
    </cfRule>
  </conditionalFormatting>
  <conditionalFormatting sqref="N8">
    <cfRule type="containsBlanks" dxfId="835" priority="1435">
      <formula>LEN(TRIM(N8))=0</formula>
    </cfRule>
  </conditionalFormatting>
  <conditionalFormatting sqref="N8">
    <cfRule type="containsBlanks" dxfId="834" priority="1434">
      <formula>LEN(TRIM(N8))=0</formula>
    </cfRule>
  </conditionalFormatting>
  <conditionalFormatting sqref="N8">
    <cfRule type="containsBlanks" dxfId="833" priority="1433">
      <formula>LEN(TRIM(N8))=0</formula>
    </cfRule>
  </conditionalFormatting>
  <conditionalFormatting sqref="N8">
    <cfRule type="containsBlanks" dxfId="832" priority="1432">
      <formula>LEN(TRIM(N8))=0</formula>
    </cfRule>
  </conditionalFormatting>
  <conditionalFormatting sqref="N8">
    <cfRule type="containsBlanks" dxfId="831" priority="1431">
      <formula>LEN(TRIM(N8))=0</formula>
    </cfRule>
  </conditionalFormatting>
  <conditionalFormatting sqref="N8">
    <cfRule type="containsBlanks" dxfId="830" priority="1430">
      <formula>LEN(TRIM(N8))=0</formula>
    </cfRule>
  </conditionalFormatting>
  <conditionalFormatting sqref="N8">
    <cfRule type="containsBlanks" dxfId="829" priority="1429">
      <formula>LEN(TRIM(N8))=0</formula>
    </cfRule>
  </conditionalFormatting>
  <conditionalFormatting sqref="N8">
    <cfRule type="containsBlanks" dxfId="828" priority="1428">
      <formula>LEN(TRIM(N8))=0</formula>
    </cfRule>
  </conditionalFormatting>
  <conditionalFormatting sqref="N8">
    <cfRule type="containsBlanks" dxfId="827" priority="1427">
      <formula>LEN(TRIM(N8))=0</formula>
    </cfRule>
  </conditionalFormatting>
  <conditionalFormatting sqref="N8">
    <cfRule type="containsBlanks" dxfId="826" priority="1426">
      <formula>LEN(TRIM(N8))=0</formula>
    </cfRule>
  </conditionalFormatting>
  <conditionalFormatting sqref="N8">
    <cfRule type="containsBlanks" dxfId="825" priority="1425">
      <formula>LEN(TRIM(N8))=0</formula>
    </cfRule>
  </conditionalFormatting>
  <conditionalFormatting sqref="N8">
    <cfRule type="containsBlanks" dxfId="824" priority="1424">
      <formula>LEN(TRIM(N8))=0</formula>
    </cfRule>
  </conditionalFormatting>
  <conditionalFormatting sqref="N8">
    <cfRule type="containsBlanks" dxfId="823" priority="1423">
      <formula>LEN(TRIM(N8))=0</formula>
    </cfRule>
  </conditionalFormatting>
  <conditionalFormatting sqref="H8">
    <cfRule type="containsBlanks" dxfId="822" priority="1422">
      <formula>LEN(TRIM(H8))=0</formula>
    </cfRule>
  </conditionalFormatting>
  <conditionalFormatting sqref="N8">
    <cfRule type="containsBlanks" dxfId="821" priority="1421">
      <formula>LEN(TRIM(N8))=0</formula>
    </cfRule>
  </conditionalFormatting>
  <conditionalFormatting sqref="N8">
    <cfRule type="containsBlanks" dxfId="820" priority="1420">
      <formula>LEN(TRIM(N8))=0</formula>
    </cfRule>
  </conditionalFormatting>
  <conditionalFormatting sqref="H8">
    <cfRule type="containsBlanks" dxfId="819" priority="1419">
      <formula>LEN(TRIM(H8))=0</formula>
    </cfRule>
  </conditionalFormatting>
  <conditionalFormatting sqref="N8">
    <cfRule type="containsBlanks" dxfId="818" priority="1418">
      <formula>LEN(TRIM(N8))=0</formula>
    </cfRule>
  </conditionalFormatting>
  <conditionalFormatting sqref="N8">
    <cfRule type="containsBlanks" dxfId="817" priority="1417">
      <formula>LEN(TRIM(N8))=0</formula>
    </cfRule>
  </conditionalFormatting>
  <conditionalFormatting sqref="N8">
    <cfRule type="containsBlanks" dxfId="816" priority="1416">
      <formula>LEN(TRIM(N8))=0</formula>
    </cfRule>
  </conditionalFormatting>
  <conditionalFormatting sqref="N8">
    <cfRule type="containsBlanks" dxfId="815" priority="1415">
      <formula>LEN(TRIM(N8))=0</formula>
    </cfRule>
  </conditionalFormatting>
  <conditionalFormatting sqref="N8">
    <cfRule type="containsBlanks" dxfId="814" priority="1414">
      <formula>LEN(TRIM(N8))=0</formula>
    </cfRule>
  </conditionalFormatting>
  <conditionalFormatting sqref="N8">
    <cfRule type="containsBlanks" dxfId="813" priority="1413">
      <formula>LEN(TRIM(N8))=0</formula>
    </cfRule>
  </conditionalFormatting>
  <conditionalFormatting sqref="N8">
    <cfRule type="containsBlanks" dxfId="812" priority="1412">
      <formula>LEN(TRIM(N8))=0</formula>
    </cfRule>
  </conditionalFormatting>
  <conditionalFormatting sqref="N8">
    <cfRule type="containsBlanks" dxfId="811" priority="1411">
      <formula>LEN(TRIM(N8))=0</formula>
    </cfRule>
  </conditionalFormatting>
  <conditionalFormatting sqref="I8">
    <cfRule type="containsBlanks" dxfId="810" priority="1410">
      <formula>LEN(TRIM(I8))=0</formula>
    </cfRule>
  </conditionalFormatting>
  <conditionalFormatting sqref="I8">
    <cfRule type="containsBlanks" dxfId="809" priority="1409">
      <formula>LEN(TRIM(I8))=0</formula>
    </cfRule>
  </conditionalFormatting>
  <conditionalFormatting sqref="I8">
    <cfRule type="containsBlanks" dxfId="808" priority="1408">
      <formula>LEN(TRIM(I8))=0</formula>
    </cfRule>
  </conditionalFormatting>
  <conditionalFormatting sqref="I8">
    <cfRule type="containsBlanks" dxfId="807" priority="1407">
      <formula>LEN(TRIM(I8))=0</formula>
    </cfRule>
  </conditionalFormatting>
  <conditionalFormatting sqref="I8">
    <cfRule type="containsBlanks" dxfId="806" priority="1406">
      <formula>LEN(TRIM(I8))=0</formula>
    </cfRule>
  </conditionalFormatting>
  <conditionalFormatting sqref="I8">
    <cfRule type="containsBlanks" dxfId="805" priority="1405">
      <formula>LEN(TRIM(I8))=0</formula>
    </cfRule>
  </conditionalFormatting>
  <conditionalFormatting sqref="I8">
    <cfRule type="containsBlanks" dxfId="804" priority="1404">
      <formula>LEN(TRIM(I8))=0</formula>
    </cfRule>
  </conditionalFormatting>
  <conditionalFormatting sqref="I8">
    <cfRule type="containsBlanks" dxfId="803" priority="1403">
      <formula>LEN(TRIM(I8))=0</formula>
    </cfRule>
  </conditionalFormatting>
  <conditionalFormatting sqref="I8">
    <cfRule type="containsBlanks" dxfId="802" priority="1402">
      <formula>LEN(TRIM(I8))=0</formula>
    </cfRule>
  </conditionalFormatting>
  <conditionalFormatting sqref="H8">
    <cfRule type="containsBlanks" dxfId="801" priority="1401">
      <formula>LEN(TRIM(H8))=0</formula>
    </cfRule>
  </conditionalFormatting>
  <conditionalFormatting sqref="H8">
    <cfRule type="containsBlanks" dxfId="800" priority="1400">
      <formula>LEN(TRIM(H8))=0</formula>
    </cfRule>
  </conditionalFormatting>
  <conditionalFormatting sqref="H8">
    <cfRule type="containsBlanks" dxfId="799" priority="1399">
      <formula>LEN(TRIM(H8))=0</formula>
    </cfRule>
  </conditionalFormatting>
  <conditionalFormatting sqref="H8">
    <cfRule type="containsBlanks" dxfId="798" priority="1398">
      <formula>LEN(TRIM(H8))=0</formula>
    </cfRule>
  </conditionalFormatting>
  <conditionalFormatting sqref="H8">
    <cfRule type="containsBlanks" dxfId="797" priority="1397">
      <formula>LEN(TRIM(H8))=0</formula>
    </cfRule>
  </conditionalFormatting>
  <conditionalFormatting sqref="I8">
    <cfRule type="containsBlanks" dxfId="796" priority="1396">
      <formula>LEN(TRIM(I8))=0</formula>
    </cfRule>
  </conditionalFormatting>
  <conditionalFormatting sqref="I8">
    <cfRule type="containsBlanks" dxfId="795" priority="1395">
      <formula>LEN(TRIM(I8))=0</formula>
    </cfRule>
  </conditionalFormatting>
  <conditionalFormatting sqref="I8">
    <cfRule type="containsBlanks" dxfId="794" priority="1394">
      <formula>LEN(TRIM(I8))=0</formula>
    </cfRule>
  </conditionalFormatting>
  <conditionalFormatting sqref="I8">
    <cfRule type="containsBlanks" dxfId="793" priority="1393">
      <formula>LEN(TRIM(I8))=0</formula>
    </cfRule>
  </conditionalFormatting>
  <conditionalFormatting sqref="I8">
    <cfRule type="containsBlanks" dxfId="792" priority="1392">
      <formula>LEN(TRIM(I8))=0</formula>
    </cfRule>
  </conditionalFormatting>
  <conditionalFormatting sqref="I8">
    <cfRule type="containsBlanks" dxfId="791" priority="1391">
      <formula>LEN(TRIM(I8))=0</formula>
    </cfRule>
  </conditionalFormatting>
  <conditionalFormatting sqref="N8">
    <cfRule type="containsBlanks" dxfId="790" priority="1390">
      <formula>LEN(TRIM(N8))=0</formula>
    </cfRule>
  </conditionalFormatting>
  <conditionalFormatting sqref="N8">
    <cfRule type="containsBlanks" dxfId="789" priority="1389">
      <formula>LEN(TRIM(N8))=0</formula>
    </cfRule>
  </conditionalFormatting>
  <conditionalFormatting sqref="N8">
    <cfRule type="containsBlanks" dxfId="788" priority="1388">
      <formula>LEN(TRIM(N8))=0</formula>
    </cfRule>
  </conditionalFormatting>
  <conditionalFormatting sqref="N8">
    <cfRule type="containsBlanks" dxfId="787" priority="1387">
      <formula>LEN(TRIM(N8))=0</formula>
    </cfRule>
  </conditionalFormatting>
  <conditionalFormatting sqref="N8">
    <cfRule type="containsBlanks" dxfId="786" priority="1386">
      <formula>LEN(TRIM(N8))=0</formula>
    </cfRule>
  </conditionalFormatting>
  <conditionalFormatting sqref="N8">
    <cfRule type="containsBlanks" dxfId="785" priority="1385">
      <formula>LEN(TRIM(N8))=0</formula>
    </cfRule>
  </conditionalFormatting>
  <conditionalFormatting sqref="N8">
    <cfRule type="containsBlanks" dxfId="784" priority="1384">
      <formula>LEN(TRIM(N8))=0</formula>
    </cfRule>
  </conditionalFormatting>
  <conditionalFormatting sqref="N8">
    <cfRule type="containsBlanks" dxfId="783" priority="1383">
      <formula>LEN(TRIM(N8))=0</formula>
    </cfRule>
  </conditionalFormatting>
  <conditionalFormatting sqref="N8">
    <cfRule type="containsBlanks" dxfId="782" priority="1382">
      <formula>LEN(TRIM(N8))=0</formula>
    </cfRule>
  </conditionalFormatting>
  <conditionalFormatting sqref="N8">
    <cfRule type="containsBlanks" dxfId="781" priority="1381">
      <formula>LEN(TRIM(N8))=0</formula>
    </cfRule>
  </conditionalFormatting>
  <conditionalFormatting sqref="N8">
    <cfRule type="containsBlanks" dxfId="780" priority="1380">
      <formula>LEN(TRIM(N8))=0</formula>
    </cfRule>
  </conditionalFormatting>
  <conditionalFormatting sqref="N8">
    <cfRule type="containsBlanks" dxfId="779" priority="1379">
      <formula>LEN(TRIM(N8))=0</formula>
    </cfRule>
  </conditionalFormatting>
  <conditionalFormatting sqref="N8">
    <cfRule type="containsBlanks" dxfId="778" priority="1378">
      <formula>LEN(TRIM(N8))=0</formula>
    </cfRule>
  </conditionalFormatting>
  <conditionalFormatting sqref="N8">
    <cfRule type="containsBlanks" dxfId="777" priority="1377">
      <formula>LEN(TRIM(N8))=0</formula>
    </cfRule>
  </conditionalFormatting>
  <conditionalFormatting sqref="N8">
    <cfRule type="containsBlanks" dxfId="776" priority="1376">
      <formula>LEN(TRIM(N8))=0</formula>
    </cfRule>
  </conditionalFormatting>
  <conditionalFormatting sqref="N8">
    <cfRule type="containsBlanks" dxfId="775" priority="1375">
      <formula>LEN(TRIM(N8))=0</formula>
    </cfRule>
  </conditionalFormatting>
  <conditionalFormatting sqref="N8">
    <cfRule type="containsBlanks" dxfId="774" priority="1374">
      <formula>LEN(TRIM(N8))=0</formula>
    </cfRule>
  </conditionalFormatting>
  <conditionalFormatting sqref="N8">
    <cfRule type="containsBlanks" dxfId="773" priority="1373">
      <formula>LEN(TRIM(N8))=0</formula>
    </cfRule>
  </conditionalFormatting>
  <conditionalFormatting sqref="N8">
    <cfRule type="containsBlanks" dxfId="772" priority="1372">
      <formula>LEN(TRIM(N8))=0</formula>
    </cfRule>
  </conditionalFormatting>
  <conditionalFormatting sqref="N8">
    <cfRule type="containsBlanks" dxfId="771" priority="1371">
      <formula>LEN(TRIM(N8))=0</formula>
    </cfRule>
  </conditionalFormatting>
  <conditionalFormatting sqref="N8">
    <cfRule type="containsBlanks" dxfId="770" priority="1370">
      <formula>LEN(TRIM(N8))=0</formula>
    </cfRule>
  </conditionalFormatting>
  <conditionalFormatting sqref="N8">
    <cfRule type="containsBlanks" dxfId="769" priority="1369">
      <formula>LEN(TRIM(N8))=0</formula>
    </cfRule>
  </conditionalFormatting>
  <conditionalFormatting sqref="N8">
    <cfRule type="containsBlanks" dxfId="768" priority="1368">
      <formula>LEN(TRIM(N8))=0</formula>
    </cfRule>
  </conditionalFormatting>
  <conditionalFormatting sqref="N8">
    <cfRule type="containsBlanks" dxfId="767" priority="1367">
      <formula>LEN(TRIM(N8))=0</formula>
    </cfRule>
  </conditionalFormatting>
  <conditionalFormatting sqref="N8">
    <cfRule type="containsBlanks" dxfId="766" priority="1366">
      <formula>LEN(TRIM(N8))=0</formula>
    </cfRule>
  </conditionalFormatting>
  <conditionalFormatting sqref="N8">
    <cfRule type="containsBlanks" dxfId="765" priority="1365">
      <formula>LEN(TRIM(N8))=0</formula>
    </cfRule>
  </conditionalFormatting>
  <conditionalFormatting sqref="N8">
    <cfRule type="containsBlanks" dxfId="764" priority="1364">
      <formula>LEN(TRIM(N8))=0</formula>
    </cfRule>
  </conditionalFormatting>
  <conditionalFormatting sqref="N8">
    <cfRule type="containsBlanks" dxfId="763" priority="1363">
      <formula>LEN(TRIM(N8))=0</formula>
    </cfRule>
  </conditionalFormatting>
  <conditionalFormatting sqref="N8">
    <cfRule type="containsBlanks" dxfId="762" priority="1362">
      <formula>LEN(TRIM(N8))=0</formula>
    </cfRule>
  </conditionalFormatting>
  <conditionalFormatting sqref="N8">
    <cfRule type="containsBlanks" dxfId="761" priority="1361">
      <formula>LEN(TRIM(N8))=0</formula>
    </cfRule>
  </conditionalFormatting>
  <conditionalFormatting sqref="N8">
    <cfRule type="containsBlanks" dxfId="760" priority="1360">
      <formula>LEN(TRIM(N8))=0</formula>
    </cfRule>
  </conditionalFormatting>
  <conditionalFormatting sqref="N8">
    <cfRule type="containsBlanks" dxfId="759" priority="1359">
      <formula>LEN(TRIM(N8))=0</formula>
    </cfRule>
  </conditionalFormatting>
  <conditionalFormatting sqref="N8">
    <cfRule type="containsBlanks" dxfId="758" priority="1358">
      <formula>LEN(TRIM(N8))=0</formula>
    </cfRule>
  </conditionalFormatting>
  <conditionalFormatting sqref="N8">
    <cfRule type="containsBlanks" dxfId="757" priority="1357">
      <formula>LEN(TRIM(N8))=0</formula>
    </cfRule>
  </conditionalFormatting>
  <conditionalFormatting sqref="N8">
    <cfRule type="containsBlanks" dxfId="756" priority="1356">
      <formula>LEN(TRIM(N8))=0</formula>
    </cfRule>
  </conditionalFormatting>
  <conditionalFormatting sqref="N8">
    <cfRule type="containsBlanks" dxfId="755" priority="1355">
      <formula>LEN(TRIM(N8))=0</formula>
    </cfRule>
  </conditionalFormatting>
  <conditionalFormatting sqref="N8">
    <cfRule type="containsBlanks" dxfId="754" priority="1354">
      <formula>LEN(TRIM(N8))=0</formula>
    </cfRule>
  </conditionalFormatting>
  <conditionalFormatting sqref="N8">
    <cfRule type="containsBlanks" dxfId="753" priority="1353">
      <formula>LEN(TRIM(N8))=0</formula>
    </cfRule>
  </conditionalFormatting>
  <conditionalFormatting sqref="N8">
    <cfRule type="containsBlanks" dxfId="752" priority="1352">
      <formula>LEN(TRIM(N8))=0</formula>
    </cfRule>
  </conditionalFormatting>
  <conditionalFormatting sqref="N8">
    <cfRule type="containsBlanks" dxfId="751" priority="1351">
      <formula>LEN(TRIM(N8))=0</formula>
    </cfRule>
  </conditionalFormatting>
  <conditionalFormatting sqref="N8">
    <cfRule type="containsBlanks" dxfId="750" priority="1350">
      <formula>LEN(TRIM(N8))=0</formula>
    </cfRule>
  </conditionalFormatting>
  <conditionalFormatting sqref="N8">
    <cfRule type="containsBlanks" dxfId="749" priority="1349">
      <formula>LEN(TRIM(N8))=0</formula>
    </cfRule>
  </conditionalFormatting>
  <conditionalFormatting sqref="N8">
    <cfRule type="containsBlanks" dxfId="748" priority="1348">
      <formula>LEN(TRIM(N8))=0</formula>
    </cfRule>
  </conditionalFormatting>
  <conditionalFormatting sqref="N8">
    <cfRule type="containsBlanks" dxfId="747" priority="1347">
      <formula>LEN(TRIM(N8))=0</formula>
    </cfRule>
  </conditionalFormatting>
  <conditionalFormatting sqref="N8">
    <cfRule type="containsBlanks" dxfId="746" priority="1346">
      <formula>LEN(TRIM(N8))=0</formula>
    </cfRule>
  </conditionalFormatting>
  <conditionalFormatting sqref="N8">
    <cfRule type="containsBlanks" dxfId="745" priority="1345">
      <formula>LEN(TRIM(N8))=0</formula>
    </cfRule>
  </conditionalFormatting>
  <conditionalFormatting sqref="N8">
    <cfRule type="containsBlanks" dxfId="744" priority="1344">
      <formula>LEN(TRIM(N8))=0</formula>
    </cfRule>
  </conditionalFormatting>
  <conditionalFormatting sqref="N8">
    <cfRule type="containsBlanks" dxfId="743" priority="1343">
      <formula>LEN(TRIM(N8))=0</formula>
    </cfRule>
  </conditionalFormatting>
  <conditionalFormatting sqref="N8">
    <cfRule type="containsBlanks" dxfId="742" priority="1342">
      <formula>LEN(TRIM(N8))=0</formula>
    </cfRule>
  </conditionalFormatting>
  <conditionalFormatting sqref="N8">
    <cfRule type="containsBlanks" dxfId="741" priority="1341">
      <formula>LEN(TRIM(N8))=0</formula>
    </cfRule>
  </conditionalFormatting>
  <conditionalFormatting sqref="N8">
    <cfRule type="containsBlanks" dxfId="740" priority="1340">
      <formula>LEN(TRIM(N8))=0</formula>
    </cfRule>
  </conditionalFormatting>
  <conditionalFormatting sqref="N8">
    <cfRule type="containsBlanks" dxfId="739" priority="1339">
      <formula>LEN(TRIM(N8))=0</formula>
    </cfRule>
  </conditionalFormatting>
  <conditionalFormatting sqref="N8">
    <cfRule type="containsBlanks" dxfId="738" priority="1338">
      <formula>LEN(TRIM(N8))=0</formula>
    </cfRule>
  </conditionalFormatting>
  <conditionalFormatting sqref="N8">
    <cfRule type="containsBlanks" dxfId="737" priority="1337">
      <formula>LEN(TRIM(N8))=0</formula>
    </cfRule>
  </conditionalFormatting>
  <conditionalFormatting sqref="N8">
    <cfRule type="containsBlanks" dxfId="736" priority="1336">
      <formula>LEN(TRIM(N8))=0</formula>
    </cfRule>
  </conditionalFormatting>
  <conditionalFormatting sqref="N8">
    <cfRule type="containsBlanks" dxfId="735" priority="1335">
      <formula>LEN(TRIM(N8))=0</formula>
    </cfRule>
  </conditionalFormatting>
  <conditionalFormatting sqref="N8">
    <cfRule type="containsBlanks" dxfId="734" priority="1334">
      <formula>LEN(TRIM(N8))=0</formula>
    </cfRule>
  </conditionalFormatting>
  <conditionalFormatting sqref="N8">
    <cfRule type="containsBlanks" dxfId="733" priority="1333">
      <formula>LEN(TRIM(N8))=0</formula>
    </cfRule>
  </conditionalFormatting>
  <conditionalFormatting sqref="N8">
    <cfRule type="containsBlanks" dxfId="732" priority="1332">
      <formula>LEN(TRIM(N8))=0</formula>
    </cfRule>
  </conditionalFormatting>
  <conditionalFormatting sqref="N8">
    <cfRule type="containsBlanks" dxfId="731" priority="1331">
      <formula>LEN(TRIM(N8))=0</formula>
    </cfRule>
  </conditionalFormatting>
  <conditionalFormatting sqref="N8">
    <cfRule type="containsBlanks" dxfId="730" priority="1330">
      <formula>LEN(TRIM(N8))=0</formula>
    </cfRule>
  </conditionalFormatting>
  <conditionalFormatting sqref="N8">
    <cfRule type="containsBlanks" dxfId="729" priority="1329">
      <formula>LEN(TRIM(N8))=0</formula>
    </cfRule>
  </conditionalFormatting>
  <conditionalFormatting sqref="N8">
    <cfRule type="containsBlanks" dxfId="728" priority="1328">
      <formula>LEN(TRIM(N8))=0</formula>
    </cfRule>
  </conditionalFormatting>
  <conditionalFormatting sqref="N8">
    <cfRule type="containsBlanks" dxfId="727" priority="1327">
      <formula>LEN(TRIM(N8))=0</formula>
    </cfRule>
  </conditionalFormatting>
  <conditionalFormatting sqref="N8">
    <cfRule type="containsBlanks" dxfId="726" priority="1326">
      <formula>LEN(TRIM(N8))=0</formula>
    </cfRule>
  </conditionalFormatting>
  <conditionalFormatting sqref="N8">
    <cfRule type="containsBlanks" dxfId="725" priority="1325">
      <formula>LEN(TRIM(N8))=0</formula>
    </cfRule>
  </conditionalFormatting>
  <conditionalFormatting sqref="N8">
    <cfRule type="containsBlanks" dxfId="724" priority="1324">
      <formula>LEN(TRIM(N8))=0</formula>
    </cfRule>
  </conditionalFormatting>
  <conditionalFormatting sqref="N8">
    <cfRule type="containsBlanks" dxfId="723" priority="1323">
      <formula>LEN(TRIM(N8))=0</formula>
    </cfRule>
  </conditionalFormatting>
  <conditionalFormatting sqref="N8">
    <cfRule type="containsBlanks" dxfId="722" priority="1322">
      <formula>LEN(TRIM(N8))=0</formula>
    </cfRule>
  </conditionalFormatting>
  <conditionalFormatting sqref="N8">
    <cfRule type="containsBlanks" dxfId="721" priority="1321">
      <formula>LEN(TRIM(N8))=0</formula>
    </cfRule>
  </conditionalFormatting>
  <conditionalFormatting sqref="N8">
    <cfRule type="containsBlanks" dxfId="720" priority="1320">
      <formula>LEN(TRIM(N8))=0</formula>
    </cfRule>
  </conditionalFormatting>
  <conditionalFormatting sqref="N8">
    <cfRule type="containsBlanks" dxfId="719" priority="1319">
      <formula>LEN(TRIM(N8))=0</formula>
    </cfRule>
  </conditionalFormatting>
  <conditionalFormatting sqref="N8">
    <cfRule type="containsBlanks" dxfId="718" priority="1318">
      <formula>LEN(TRIM(N8))=0</formula>
    </cfRule>
  </conditionalFormatting>
  <conditionalFormatting sqref="N8">
    <cfRule type="containsBlanks" dxfId="717" priority="1317">
      <formula>LEN(TRIM(N8))=0</formula>
    </cfRule>
  </conditionalFormatting>
  <conditionalFormatting sqref="N8">
    <cfRule type="containsBlanks" dxfId="716" priority="1316">
      <formula>LEN(TRIM(N8))=0</formula>
    </cfRule>
  </conditionalFormatting>
  <conditionalFormatting sqref="N8">
    <cfRule type="containsBlanks" dxfId="715" priority="1315">
      <formula>LEN(TRIM(N8))=0</formula>
    </cfRule>
  </conditionalFormatting>
  <conditionalFormatting sqref="N8">
    <cfRule type="containsBlanks" dxfId="714" priority="1314">
      <formula>LEN(TRIM(N8))=0</formula>
    </cfRule>
  </conditionalFormatting>
  <conditionalFormatting sqref="N8">
    <cfRule type="containsBlanks" dxfId="713" priority="1313">
      <formula>LEN(TRIM(N8))=0</formula>
    </cfRule>
  </conditionalFormatting>
  <conditionalFormatting sqref="N8">
    <cfRule type="containsBlanks" dxfId="712" priority="1312">
      <formula>LEN(TRIM(N8))=0</formula>
    </cfRule>
  </conditionalFormatting>
  <conditionalFormatting sqref="N8 H8">
    <cfRule type="containsBlanks" dxfId="711" priority="1272">
      <formula>LEN(TRIM(H8))=0</formula>
    </cfRule>
  </conditionalFormatting>
  <conditionalFormatting sqref="H8">
    <cfRule type="containsBlanks" dxfId="710" priority="1271">
      <formula>LEN(TRIM(H8))=0</formula>
    </cfRule>
  </conditionalFormatting>
  <conditionalFormatting sqref="N8">
    <cfRule type="containsBlanks" dxfId="709" priority="1270">
      <formula>LEN(TRIM(N8))=0</formula>
    </cfRule>
  </conditionalFormatting>
  <conditionalFormatting sqref="N8">
    <cfRule type="containsBlanks" dxfId="708" priority="1269">
      <formula>LEN(TRIM(N8))=0</formula>
    </cfRule>
  </conditionalFormatting>
  <conditionalFormatting sqref="N8">
    <cfRule type="containsBlanks" dxfId="707" priority="1268">
      <formula>LEN(TRIM(N8))=0</formula>
    </cfRule>
  </conditionalFormatting>
  <conditionalFormatting sqref="N8">
    <cfRule type="containsBlanks" dxfId="706" priority="1267">
      <formula>LEN(TRIM(N8))=0</formula>
    </cfRule>
  </conditionalFormatting>
  <conditionalFormatting sqref="N8">
    <cfRule type="containsBlanks" dxfId="705" priority="1266">
      <formula>LEN(TRIM(N8))=0</formula>
    </cfRule>
  </conditionalFormatting>
  <conditionalFormatting sqref="N8">
    <cfRule type="containsBlanks" dxfId="704" priority="1265">
      <formula>LEN(TRIM(N8))=0</formula>
    </cfRule>
  </conditionalFormatting>
  <conditionalFormatting sqref="N8">
    <cfRule type="containsBlanks" dxfId="703" priority="1264">
      <formula>LEN(TRIM(N8))=0</formula>
    </cfRule>
  </conditionalFormatting>
  <conditionalFormatting sqref="N8">
    <cfRule type="containsBlanks" dxfId="702" priority="1263">
      <formula>LEN(TRIM(N8))=0</formula>
    </cfRule>
  </conditionalFormatting>
  <conditionalFormatting sqref="N8">
    <cfRule type="containsBlanks" dxfId="701" priority="1262">
      <formula>LEN(TRIM(N8))=0</formula>
    </cfRule>
  </conditionalFormatting>
  <conditionalFormatting sqref="N8">
    <cfRule type="containsBlanks" dxfId="700" priority="1261">
      <formula>LEN(TRIM(N8))=0</formula>
    </cfRule>
  </conditionalFormatting>
  <conditionalFormatting sqref="N8">
    <cfRule type="containsBlanks" dxfId="699" priority="1260">
      <formula>LEN(TRIM(N8))=0</formula>
    </cfRule>
  </conditionalFormatting>
  <conditionalFormatting sqref="N8">
    <cfRule type="containsBlanks" dxfId="698" priority="1259">
      <formula>LEN(TRIM(N8))=0</formula>
    </cfRule>
  </conditionalFormatting>
  <conditionalFormatting sqref="N8">
    <cfRule type="containsBlanks" dxfId="697" priority="1258">
      <formula>LEN(TRIM(N8))=0</formula>
    </cfRule>
  </conditionalFormatting>
  <conditionalFormatting sqref="N8">
    <cfRule type="containsBlanks" dxfId="696" priority="1257">
      <formula>LEN(TRIM(N8))=0</formula>
    </cfRule>
  </conditionalFormatting>
  <conditionalFormatting sqref="N8">
    <cfRule type="containsBlanks" dxfId="695" priority="1256">
      <formula>LEN(TRIM(N8))=0</formula>
    </cfRule>
  </conditionalFormatting>
  <conditionalFormatting sqref="N8">
    <cfRule type="containsBlanks" dxfId="694" priority="1255">
      <formula>LEN(TRIM(N8))=0</formula>
    </cfRule>
  </conditionalFormatting>
  <conditionalFormatting sqref="N8">
    <cfRule type="containsBlanks" dxfId="693" priority="1254">
      <formula>LEN(TRIM(N8))=0</formula>
    </cfRule>
  </conditionalFormatting>
  <conditionalFormatting sqref="N8">
    <cfRule type="containsBlanks" dxfId="692" priority="1253">
      <formula>LEN(TRIM(N8))=0</formula>
    </cfRule>
  </conditionalFormatting>
  <conditionalFormatting sqref="N8">
    <cfRule type="containsBlanks" dxfId="691" priority="1252">
      <formula>LEN(TRIM(N8))=0</formula>
    </cfRule>
  </conditionalFormatting>
  <conditionalFormatting sqref="N8">
    <cfRule type="containsBlanks" dxfId="690" priority="1251">
      <formula>LEN(TRIM(N8))=0</formula>
    </cfRule>
  </conditionalFormatting>
  <conditionalFormatting sqref="N8">
    <cfRule type="containsBlanks" dxfId="689" priority="1250">
      <formula>LEN(TRIM(N8))=0</formula>
    </cfRule>
  </conditionalFormatting>
  <conditionalFormatting sqref="N8">
    <cfRule type="containsBlanks" dxfId="688" priority="1249">
      <formula>LEN(TRIM(N8))=0</formula>
    </cfRule>
  </conditionalFormatting>
  <conditionalFormatting sqref="N8">
    <cfRule type="containsBlanks" dxfId="687" priority="1248">
      <formula>LEN(TRIM(N8))=0</formula>
    </cfRule>
  </conditionalFormatting>
  <conditionalFormatting sqref="N8">
    <cfRule type="containsBlanks" dxfId="686" priority="1247">
      <formula>LEN(TRIM(N8))=0</formula>
    </cfRule>
  </conditionalFormatting>
  <conditionalFormatting sqref="N8">
    <cfRule type="containsBlanks" dxfId="685" priority="1246">
      <formula>LEN(TRIM(N8))=0</formula>
    </cfRule>
  </conditionalFormatting>
  <conditionalFormatting sqref="N8">
    <cfRule type="containsBlanks" dxfId="684" priority="1245">
      <formula>LEN(TRIM(N8))=0</formula>
    </cfRule>
  </conditionalFormatting>
  <conditionalFormatting sqref="N8">
    <cfRule type="containsBlanks" dxfId="683" priority="1244">
      <formula>LEN(TRIM(N8))=0</formula>
    </cfRule>
  </conditionalFormatting>
  <conditionalFormatting sqref="N8">
    <cfRule type="containsBlanks" dxfId="682" priority="1243">
      <formula>LEN(TRIM(N8))=0</formula>
    </cfRule>
  </conditionalFormatting>
  <conditionalFormatting sqref="N8">
    <cfRule type="containsBlanks" dxfId="681" priority="1242">
      <formula>LEN(TRIM(N8))=0</formula>
    </cfRule>
  </conditionalFormatting>
  <conditionalFormatting sqref="N8">
    <cfRule type="containsBlanks" dxfId="680" priority="1241">
      <formula>LEN(TRIM(N8))=0</formula>
    </cfRule>
  </conditionalFormatting>
  <conditionalFormatting sqref="N8">
    <cfRule type="containsBlanks" dxfId="679" priority="1240">
      <formula>LEN(TRIM(N8))=0</formula>
    </cfRule>
  </conditionalFormatting>
  <conditionalFormatting sqref="N8">
    <cfRule type="containsBlanks" dxfId="678" priority="1239">
      <formula>LEN(TRIM(N8))=0</formula>
    </cfRule>
  </conditionalFormatting>
  <conditionalFormatting sqref="N8">
    <cfRule type="containsBlanks" dxfId="677" priority="1238">
      <formula>LEN(TRIM(N8))=0</formula>
    </cfRule>
  </conditionalFormatting>
  <conditionalFormatting sqref="N8">
    <cfRule type="containsBlanks" dxfId="676" priority="1237">
      <formula>LEN(TRIM(N8))=0</formula>
    </cfRule>
  </conditionalFormatting>
  <conditionalFormatting sqref="N8">
    <cfRule type="containsBlanks" dxfId="675" priority="1236">
      <formula>LEN(TRIM(N8))=0</formula>
    </cfRule>
  </conditionalFormatting>
  <conditionalFormatting sqref="N8">
    <cfRule type="containsBlanks" dxfId="674" priority="1235">
      <formula>LEN(TRIM(N8))=0</formula>
    </cfRule>
  </conditionalFormatting>
  <conditionalFormatting sqref="N8">
    <cfRule type="containsBlanks" dxfId="673" priority="1234">
      <formula>LEN(TRIM(N8))=0</formula>
    </cfRule>
  </conditionalFormatting>
  <conditionalFormatting sqref="N8">
    <cfRule type="containsBlanks" dxfId="672" priority="1233">
      <formula>LEN(TRIM(N8))=0</formula>
    </cfRule>
  </conditionalFormatting>
  <conditionalFormatting sqref="N8">
    <cfRule type="containsBlanks" dxfId="671" priority="1232">
      <formula>LEN(TRIM(N8))=0</formula>
    </cfRule>
  </conditionalFormatting>
  <conditionalFormatting sqref="N8">
    <cfRule type="containsBlanks" dxfId="670" priority="1231">
      <formula>LEN(TRIM(N8))=0</formula>
    </cfRule>
  </conditionalFormatting>
  <conditionalFormatting sqref="N8">
    <cfRule type="containsBlanks" dxfId="669" priority="1230">
      <formula>LEN(TRIM(N8))=0</formula>
    </cfRule>
  </conditionalFormatting>
  <conditionalFormatting sqref="N8">
    <cfRule type="containsBlanks" dxfId="668" priority="1229">
      <formula>LEN(TRIM(N8))=0</formula>
    </cfRule>
  </conditionalFormatting>
  <conditionalFormatting sqref="N8">
    <cfRule type="containsBlanks" dxfId="667" priority="1228">
      <formula>LEN(TRIM(N8))=0</formula>
    </cfRule>
  </conditionalFormatting>
  <conditionalFormatting sqref="H8">
    <cfRule type="containsBlanks" dxfId="666" priority="1227">
      <formula>LEN(TRIM(H8))=0</formula>
    </cfRule>
  </conditionalFormatting>
  <conditionalFormatting sqref="N8">
    <cfRule type="containsBlanks" dxfId="665" priority="1226">
      <formula>LEN(TRIM(N8))=0</formula>
    </cfRule>
  </conditionalFormatting>
  <conditionalFormatting sqref="N8">
    <cfRule type="containsBlanks" dxfId="664" priority="1225">
      <formula>LEN(TRIM(N8))=0</formula>
    </cfRule>
  </conditionalFormatting>
  <conditionalFormatting sqref="N8">
    <cfRule type="containsBlanks" dxfId="663" priority="1224">
      <formula>LEN(TRIM(N8))=0</formula>
    </cfRule>
  </conditionalFormatting>
  <conditionalFormatting sqref="N8">
    <cfRule type="containsBlanks" dxfId="662" priority="1223">
      <formula>LEN(TRIM(N8))=0</formula>
    </cfRule>
  </conditionalFormatting>
  <conditionalFormatting sqref="N8">
    <cfRule type="containsBlanks" dxfId="661" priority="1222">
      <formula>LEN(TRIM(N8))=0</formula>
    </cfRule>
  </conditionalFormatting>
  <conditionalFormatting sqref="N8">
    <cfRule type="containsBlanks" dxfId="660" priority="1221">
      <formula>LEN(TRIM(N8))=0</formula>
    </cfRule>
  </conditionalFormatting>
  <conditionalFormatting sqref="N8">
    <cfRule type="containsBlanks" dxfId="659" priority="1220">
      <formula>LEN(TRIM(N8))=0</formula>
    </cfRule>
  </conditionalFormatting>
  <conditionalFormatting sqref="N8">
    <cfRule type="containsBlanks" dxfId="658" priority="1219">
      <formula>LEN(TRIM(N8))=0</formula>
    </cfRule>
  </conditionalFormatting>
  <conditionalFormatting sqref="N8">
    <cfRule type="containsBlanks" dxfId="657" priority="1218">
      <formula>LEN(TRIM(N8))=0</formula>
    </cfRule>
  </conditionalFormatting>
  <conditionalFormatting sqref="N8">
    <cfRule type="containsBlanks" dxfId="656" priority="1217">
      <formula>LEN(TRIM(N8))=0</formula>
    </cfRule>
  </conditionalFormatting>
  <conditionalFormatting sqref="N8">
    <cfRule type="containsBlanks" dxfId="655" priority="1216">
      <formula>LEN(TRIM(N8))=0</formula>
    </cfRule>
  </conditionalFormatting>
  <conditionalFormatting sqref="N8">
    <cfRule type="containsBlanks" dxfId="654" priority="1215">
      <formula>LEN(TRIM(N8))=0</formula>
    </cfRule>
  </conditionalFormatting>
  <conditionalFormatting sqref="N8">
    <cfRule type="containsBlanks" dxfId="653" priority="1214">
      <formula>LEN(TRIM(N8))=0</formula>
    </cfRule>
  </conditionalFormatting>
  <conditionalFormatting sqref="N8">
    <cfRule type="containsBlanks" dxfId="652" priority="1213">
      <formula>LEN(TRIM(N8))=0</formula>
    </cfRule>
  </conditionalFormatting>
  <conditionalFormatting sqref="N8">
    <cfRule type="containsBlanks" dxfId="651" priority="1212">
      <formula>LEN(TRIM(N8))=0</formula>
    </cfRule>
  </conditionalFormatting>
  <conditionalFormatting sqref="N8">
    <cfRule type="containsBlanks" dxfId="650" priority="1211">
      <formula>LEN(TRIM(N8))=0</formula>
    </cfRule>
  </conditionalFormatting>
  <conditionalFormatting sqref="N8">
    <cfRule type="containsBlanks" dxfId="649" priority="1210">
      <formula>LEN(TRIM(N8))=0</formula>
    </cfRule>
  </conditionalFormatting>
  <conditionalFormatting sqref="N8">
    <cfRule type="containsBlanks" dxfId="648" priority="1209">
      <formula>LEN(TRIM(N8))=0</formula>
    </cfRule>
  </conditionalFormatting>
  <conditionalFormatting sqref="N8">
    <cfRule type="containsBlanks" dxfId="647" priority="1208">
      <formula>LEN(TRIM(N8))=0</formula>
    </cfRule>
  </conditionalFormatting>
  <conditionalFormatting sqref="N8">
    <cfRule type="containsBlanks" dxfId="646" priority="1207">
      <formula>LEN(TRIM(N8))=0</formula>
    </cfRule>
  </conditionalFormatting>
  <conditionalFormatting sqref="N8">
    <cfRule type="containsBlanks" dxfId="645" priority="1206">
      <formula>LEN(TRIM(N8))=0</formula>
    </cfRule>
  </conditionalFormatting>
  <conditionalFormatting sqref="N8">
    <cfRule type="containsBlanks" dxfId="644" priority="1205">
      <formula>LEN(TRIM(N8))=0</formula>
    </cfRule>
  </conditionalFormatting>
  <conditionalFormatting sqref="N8">
    <cfRule type="containsBlanks" dxfId="643" priority="1204">
      <formula>LEN(TRIM(N8))=0</formula>
    </cfRule>
  </conditionalFormatting>
  <conditionalFormatting sqref="N8">
    <cfRule type="containsBlanks" dxfId="642" priority="1203">
      <formula>LEN(TRIM(N8))=0</formula>
    </cfRule>
  </conditionalFormatting>
  <conditionalFormatting sqref="N8">
    <cfRule type="containsBlanks" dxfId="641" priority="1202">
      <formula>LEN(TRIM(N8))=0</formula>
    </cfRule>
  </conditionalFormatting>
  <conditionalFormatting sqref="H8">
    <cfRule type="containsBlanks" dxfId="640" priority="1201">
      <formula>LEN(TRIM(H8))=0</formula>
    </cfRule>
  </conditionalFormatting>
  <conditionalFormatting sqref="N8">
    <cfRule type="containsBlanks" dxfId="639" priority="1200">
      <formula>LEN(TRIM(N8))=0</formula>
    </cfRule>
  </conditionalFormatting>
  <conditionalFormatting sqref="N8">
    <cfRule type="containsBlanks" dxfId="638" priority="1199">
      <formula>LEN(TRIM(N8))=0</formula>
    </cfRule>
  </conditionalFormatting>
  <conditionalFormatting sqref="H8">
    <cfRule type="containsBlanks" dxfId="637" priority="1198">
      <formula>LEN(TRIM(H8))=0</formula>
    </cfRule>
  </conditionalFormatting>
  <conditionalFormatting sqref="N8">
    <cfRule type="containsBlanks" dxfId="636" priority="1197">
      <formula>LEN(TRIM(N8))=0</formula>
    </cfRule>
  </conditionalFormatting>
  <conditionalFormatting sqref="N8">
    <cfRule type="containsBlanks" dxfId="635" priority="1196">
      <formula>LEN(TRIM(N8))=0</formula>
    </cfRule>
  </conditionalFormatting>
  <conditionalFormatting sqref="N8">
    <cfRule type="containsBlanks" dxfId="634" priority="1195">
      <formula>LEN(TRIM(N8))=0</formula>
    </cfRule>
  </conditionalFormatting>
  <conditionalFormatting sqref="N8">
    <cfRule type="containsBlanks" dxfId="633" priority="1194">
      <formula>LEN(TRIM(N8))=0</formula>
    </cfRule>
  </conditionalFormatting>
  <conditionalFormatting sqref="N8">
    <cfRule type="containsBlanks" dxfId="632" priority="1193">
      <formula>LEN(TRIM(N8))=0</formula>
    </cfRule>
  </conditionalFormatting>
  <conditionalFormatting sqref="N8">
    <cfRule type="containsBlanks" dxfId="631" priority="1192">
      <formula>LEN(TRIM(N8))=0</formula>
    </cfRule>
  </conditionalFormatting>
  <conditionalFormatting sqref="N8">
    <cfRule type="containsBlanks" dxfId="630" priority="1191">
      <formula>LEN(TRIM(N8))=0</formula>
    </cfRule>
  </conditionalFormatting>
  <conditionalFormatting sqref="N8">
    <cfRule type="containsBlanks" dxfId="629" priority="1190">
      <formula>LEN(TRIM(N8))=0</formula>
    </cfRule>
  </conditionalFormatting>
  <conditionalFormatting sqref="I8">
    <cfRule type="containsBlanks" dxfId="628" priority="1189">
      <formula>LEN(TRIM(I8))=0</formula>
    </cfRule>
  </conditionalFormatting>
  <conditionalFormatting sqref="I8">
    <cfRule type="containsBlanks" dxfId="627" priority="1188">
      <formula>LEN(TRIM(I8))=0</formula>
    </cfRule>
  </conditionalFormatting>
  <conditionalFormatting sqref="I8">
    <cfRule type="containsBlanks" dxfId="626" priority="1187">
      <formula>LEN(TRIM(I8))=0</formula>
    </cfRule>
  </conditionalFormatting>
  <conditionalFormatting sqref="I8">
    <cfRule type="containsBlanks" dxfId="625" priority="1186">
      <formula>LEN(TRIM(I8))=0</formula>
    </cfRule>
  </conditionalFormatting>
  <conditionalFormatting sqref="I8">
    <cfRule type="containsBlanks" dxfId="624" priority="1185">
      <formula>LEN(TRIM(I8))=0</formula>
    </cfRule>
  </conditionalFormatting>
  <conditionalFormatting sqref="I8">
    <cfRule type="containsBlanks" dxfId="623" priority="1184">
      <formula>LEN(TRIM(I8))=0</formula>
    </cfRule>
  </conditionalFormatting>
  <conditionalFormatting sqref="I8">
    <cfRule type="containsBlanks" dxfId="622" priority="1183">
      <formula>LEN(TRIM(I8))=0</formula>
    </cfRule>
  </conditionalFormatting>
  <conditionalFormatting sqref="I8">
    <cfRule type="containsBlanks" dxfId="621" priority="1182">
      <formula>LEN(TRIM(I8))=0</formula>
    </cfRule>
  </conditionalFormatting>
  <conditionalFormatting sqref="I8">
    <cfRule type="containsBlanks" dxfId="620" priority="1181">
      <formula>LEN(TRIM(I8))=0</formula>
    </cfRule>
  </conditionalFormatting>
  <conditionalFormatting sqref="H8">
    <cfRule type="containsBlanks" dxfId="619" priority="1180">
      <formula>LEN(TRIM(H8))=0</formula>
    </cfRule>
  </conditionalFormatting>
  <conditionalFormatting sqref="H8">
    <cfRule type="containsBlanks" dxfId="618" priority="1179">
      <formula>LEN(TRIM(H8))=0</formula>
    </cfRule>
  </conditionalFormatting>
  <conditionalFormatting sqref="H8">
    <cfRule type="containsBlanks" dxfId="617" priority="1178">
      <formula>LEN(TRIM(H8))=0</formula>
    </cfRule>
  </conditionalFormatting>
  <conditionalFormatting sqref="H8">
    <cfRule type="containsBlanks" dxfId="616" priority="1177">
      <formula>LEN(TRIM(H8))=0</formula>
    </cfRule>
  </conditionalFormatting>
  <conditionalFormatting sqref="H8">
    <cfRule type="containsBlanks" dxfId="615" priority="1176">
      <formula>LEN(TRIM(H8))=0</formula>
    </cfRule>
  </conditionalFormatting>
  <conditionalFormatting sqref="I8">
    <cfRule type="containsBlanks" dxfId="614" priority="1175">
      <formula>LEN(TRIM(I8))=0</formula>
    </cfRule>
  </conditionalFormatting>
  <conditionalFormatting sqref="I8">
    <cfRule type="containsBlanks" dxfId="613" priority="1174">
      <formula>LEN(TRIM(I8))=0</formula>
    </cfRule>
  </conditionalFormatting>
  <conditionalFormatting sqref="I8">
    <cfRule type="containsBlanks" dxfId="612" priority="1173">
      <formula>LEN(TRIM(I8))=0</formula>
    </cfRule>
  </conditionalFormatting>
  <conditionalFormatting sqref="I8">
    <cfRule type="containsBlanks" dxfId="611" priority="1172">
      <formula>LEN(TRIM(I8))=0</formula>
    </cfRule>
  </conditionalFormatting>
  <conditionalFormatting sqref="I8">
    <cfRule type="containsBlanks" dxfId="610" priority="1171">
      <formula>LEN(TRIM(I8))=0</formula>
    </cfRule>
  </conditionalFormatting>
  <conditionalFormatting sqref="I8">
    <cfRule type="containsBlanks" dxfId="609" priority="1170">
      <formula>LEN(TRIM(I8))=0</formula>
    </cfRule>
  </conditionalFormatting>
  <conditionalFormatting sqref="N8">
    <cfRule type="containsBlanks" dxfId="608" priority="1169">
      <formula>LEN(TRIM(N8))=0</formula>
    </cfRule>
  </conditionalFormatting>
  <conditionalFormatting sqref="N8">
    <cfRule type="containsBlanks" dxfId="607" priority="1168">
      <formula>LEN(TRIM(N8))=0</formula>
    </cfRule>
  </conditionalFormatting>
  <conditionalFormatting sqref="N8">
    <cfRule type="containsBlanks" dxfId="606" priority="1167">
      <formula>LEN(TRIM(N8))=0</formula>
    </cfRule>
  </conditionalFormatting>
  <conditionalFormatting sqref="N8">
    <cfRule type="containsBlanks" dxfId="605" priority="1166">
      <formula>LEN(TRIM(N8))=0</formula>
    </cfRule>
  </conditionalFormatting>
  <conditionalFormatting sqref="N8">
    <cfRule type="containsBlanks" dxfId="604" priority="1165">
      <formula>LEN(TRIM(N8))=0</formula>
    </cfRule>
  </conditionalFormatting>
  <conditionalFormatting sqref="N8">
    <cfRule type="containsBlanks" dxfId="603" priority="1164">
      <formula>LEN(TRIM(N8))=0</formula>
    </cfRule>
  </conditionalFormatting>
  <conditionalFormatting sqref="N8">
    <cfRule type="containsBlanks" dxfId="602" priority="1163">
      <formula>LEN(TRIM(N8))=0</formula>
    </cfRule>
  </conditionalFormatting>
  <conditionalFormatting sqref="N8">
    <cfRule type="containsBlanks" dxfId="601" priority="1162">
      <formula>LEN(TRIM(N8))=0</formula>
    </cfRule>
  </conditionalFormatting>
  <conditionalFormatting sqref="N8">
    <cfRule type="containsBlanks" dxfId="600" priority="1161">
      <formula>LEN(TRIM(N8))=0</formula>
    </cfRule>
  </conditionalFormatting>
  <conditionalFormatting sqref="N8">
    <cfRule type="containsBlanks" dxfId="599" priority="1160">
      <formula>LEN(TRIM(N8))=0</formula>
    </cfRule>
  </conditionalFormatting>
  <conditionalFormatting sqref="N8">
    <cfRule type="containsBlanks" dxfId="598" priority="1159">
      <formula>LEN(TRIM(N8))=0</formula>
    </cfRule>
  </conditionalFormatting>
  <conditionalFormatting sqref="N8">
    <cfRule type="containsBlanks" dxfId="597" priority="1158">
      <formula>LEN(TRIM(N8))=0</formula>
    </cfRule>
  </conditionalFormatting>
  <conditionalFormatting sqref="N8">
    <cfRule type="containsBlanks" dxfId="596" priority="1157">
      <formula>LEN(TRIM(N8))=0</formula>
    </cfRule>
  </conditionalFormatting>
  <conditionalFormatting sqref="N8">
    <cfRule type="containsBlanks" dxfId="595" priority="1156">
      <formula>LEN(TRIM(N8))=0</formula>
    </cfRule>
  </conditionalFormatting>
  <conditionalFormatting sqref="N8">
    <cfRule type="containsBlanks" dxfId="594" priority="1155">
      <formula>LEN(TRIM(N8))=0</formula>
    </cfRule>
  </conditionalFormatting>
  <conditionalFormatting sqref="N8">
    <cfRule type="containsBlanks" dxfId="593" priority="1154">
      <formula>LEN(TRIM(N8))=0</formula>
    </cfRule>
  </conditionalFormatting>
  <conditionalFormatting sqref="N8">
    <cfRule type="containsBlanks" dxfId="592" priority="1153">
      <formula>LEN(TRIM(N8))=0</formula>
    </cfRule>
  </conditionalFormatting>
  <conditionalFormatting sqref="N8">
    <cfRule type="containsBlanks" dxfId="591" priority="1152">
      <formula>LEN(TRIM(N8))=0</formula>
    </cfRule>
  </conditionalFormatting>
  <conditionalFormatting sqref="N8">
    <cfRule type="containsBlanks" dxfId="590" priority="1151">
      <formula>LEN(TRIM(N8))=0</formula>
    </cfRule>
  </conditionalFormatting>
  <conditionalFormatting sqref="N8">
    <cfRule type="containsBlanks" dxfId="589" priority="1150">
      <formula>LEN(TRIM(N8))=0</formula>
    </cfRule>
  </conditionalFormatting>
  <conditionalFormatting sqref="N8">
    <cfRule type="containsBlanks" dxfId="588" priority="1149">
      <formula>LEN(TRIM(N8))=0</formula>
    </cfRule>
  </conditionalFormatting>
  <conditionalFormatting sqref="N8">
    <cfRule type="containsBlanks" dxfId="587" priority="1148">
      <formula>LEN(TRIM(N8))=0</formula>
    </cfRule>
  </conditionalFormatting>
  <conditionalFormatting sqref="N8">
    <cfRule type="containsBlanks" dxfId="586" priority="1147">
      <formula>LEN(TRIM(N8))=0</formula>
    </cfRule>
  </conditionalFormatting>
  <conditionalFormatting sqref="N8">
    <cfRule type="containsBlanks" dxfId="585" priority="1146">
      <formula>LEN(TRIM(N8))=0</formula>
    </cfRule>
  </conditionalFormatting>
  <conditionalFormatting sqref="N8">
    <cfRule type="containsBlanks" dxfId="584" priority="1145">
      <formula>LEN(TRIM(N8))=0</formula>
    </cfRule>
  </conditionalFormatting>
  <conditionalFormatting sqref="N8">
    <cfRule type="containsBlanks" dxfId="583" priority="1144">
      <formula>LEN(TRIM(N8))=0</formula>
    </cfRule>
  </conditionalFormatting>
  <conditionalFormatting sqref="N8">
    <cfRule type="containsBlanks" dxfId="582" priority="1143">
      <formula>LEN(TRIM(N8))=0</formula>
    </cfRule>
  </conditionalFormatting>
  <conditionalFormatting sqref="N8">
    <cfRule type="containsBlanks" dxfId="581" priority="1142">
      <formula>LEN(TRIM(N8))=0</formula>
    </cfRule>
  </conditionalFormatting>
  <conditionalFormatting sqref="N8">
    <cfRule type="containsBlanks" dxfId="580" priority="1141">
      <formula>LEN(TRIM(N8))=0</formula>
    </cfRule>
  </conditionalFormatting>
  <conditionalFormatting sqref="N8">
    <cfRule type="containsBlanks" dxfId="579" priority="1140">
      <formula>LEN(TRIM(N8))=0</formula>
    </cfRule>
  </conditionalFormatting>
  <conditionalFormatting sqref="N8">
    <cfRule type="containsBlanks" dxfId="578" priority="1139">
      <formula>LEN(TRIM(N8))=0</formula>
    </cfRule>
  </conditionalFormatting>
  <conditionalFormatting sqref="N8">
    <cfRule type="containsBlanks" dxfId="577" priority="1138">
      <formula>LEN(TRIM(N8))=0</formula>
    </cfRule>
  </conditionalFormatting>
  <conditionalFormatting sqref="N8">
    <cfRule type="containsBlanks" dxfId="576" priority="1137">
      <formula>LEN(TRIM(N8))=0</formula>
    </cfRule>
  </conditionalFormatting>
  <conditionalFormatting sqref="N8">
    <cfRule type="containsBlanks" dxfId="575" priority="1136">
      <formula>LEN(TRIM(N8))=0</formula>
    </cfRule>
  </conditionalFormatting>
  <conditionalFormatting sqref="N8">
    <cfRule type="containsBlanks" dxfId="574" priority="1135">
      <formula>LEN(TRIM(N8))=0</formula>
    </cfRule>
  </conditionalFormatting>
  <conditionalFormatting sqref="N8">
    <cfRule type="containsBlanks" dxfId="573" priority="1134">
      <formula>LEN(TRIM(N8))=0</formula>
    </cfRule>
  </conditionalFormatting>
  <conditionalFormatting sqref="N8">
    <cfRule type="containsBlanks" dxfId="572" priority="1133">
      <formula>LEN(TRIM(N8))=0</formula>
    </cfRule>
  </conditionalFormatting>
  <conditionalFormatting sqref="N8">
    <cfRule type="containsBlanks" dxfId="571" priority="1132">
      <formula>LEN(TRIM(N8))=0</formula>
    </cfRule>
  </conditionalFormatting>
  <conditionalFormatting sqref="N8">
    <cfRule type="containsBlanks" dxfId="570" priority="1131">
      <formula>LEN(TRIM(N8))=0</formula>
    </cfRule>
  </conditionalFormatting>
  <conditionalFormatting sqref="N8">
    <cfRule type="containsBlanks" dxfId="569" priority="1130">
      <formula>LEN(TRIM(N8))=0</formula>
    </cfRule>
  </conditionalFormatting>
  <conditionalFormatting sqref="N8">
    <cfRule type="containsBlanks" dxfId="568" priority="1129">
      <formula>LEN(TRIM(N8))=0</formula>
    </cfRule>
  </conditionalFormatting>
  <conditionalFormatting sqref="N8">
    <cfRule type="containsBlanks" dxfId="567" priority="1128">
      <formula>LEN(TRIM(N8))=0</formula>
    </cfRule>
  </conditionalFormatting>
  <conditionalFormatting sqref="N8">
    <cfRule type="containsBlanks" dxfId="566" priority="1127">
      <formula>LEN(TRIM(N8))=0</formula>
    </cfRule>
  </conditionalFormatting>
  <conditionalFormatting sqref="N8">
    <cfRule type="containsBlanks" dxfId="565" priority="1126">
      <formula>LEN(TRIM(N8))=0</formula>
    </cfRule>
  </conditionalFormatting>
  <conditionalFormatting sqref="N8">
    <cfRule type="containsBlanks" dxfId="564" priority="1125">
      <formula>LEN(TRIM(N8))=0</formula>
    </cfRule>
  </conditionalFormatting>
  <conditionalFormatting sqref="N8">
    <cfRule type="containsBlanks" dxfId="563" priority="1124">
      <formula>LEN(TRIM(N8))=0</formula>
    </cfRule>
  </conditionalFormatting>
  <conditionalFormatting sqref="N8">
    <cfRule type="containsBlanks" dxfId="562" priority="1123">
      <formula>LEN(TRIM(N8))=0</formula>
    </cfRule>
  </conditionalFormatting>
  <conditionalFormatting sqref="N8">
    <cfRule type="containsBlanks" dxfId="561" priority="1122">
      <formula>LEN(TRIM(N8))=0</formula>
    </cfRule>
  </conditionalFormatting>
  <conditionalFormatting sqref="N8">
    <cfRule type="containsBlanks" dxfId="560" priority="1121">
      <formula>LEN(TRIM(N8))=0</formula>
    </cfRule>
  </conditionalFormatting>
  <conditionalFormatting sqref="N8">
    <cfRule type="containsBlanks" dxfId="559" priority="1120">
      <formula>LEN(TRIM(N8))=0</formula>
    </cfRule>
  </conditionalFormatting>
  <conditionalFormatting sqref="N8">
    <cfRule type="containsBlanks" dxfId="558" priority="1119">
      <formula>LEN(TRIM(N8))=0</formula>
    </cfRule>
  </conditionalFormatting>
  <conditionalFormatting sqref="N8">
    <cfRule type="containsBlanks" dxfId="557" priority="1118">
      <formula>LEN(TRIM(N8))=0</formula>
    </cfRule>
  </conditionalFormatting>
  <conditionalFormatting sqref="N8">
    <cfRule type="containsBlanks" dxfId="556" priority="1117">
      <formula>LEN(TRIM(N8))=0</formula>
    </cfRule>
  </conditionalFormatting>
  <conditionalFormatting sqref="N8">
    <cfRule type="containsBlanks" dxfId="555" priority="1116">
      <formula>LEN(TRIM(N8))=0</formula>
    </cfRule>
  </conditionalFormatting>
  <conditionalFormatting sqref="N8">
    <cfRule type="containsBlanks" dxfId="554" priority="1115">
      <formula>LEN(TRIM(N8))=0</formula>
    </cfRule>
  </conditionalFormatting>
  <conditionalFormatting sqref="N8">
    <cfRule type="containsBlanks" dxfId="553" priority="1114">
      <formula>LEN(TRIM(N8))=0</formula>
    </cfRule>
  </conditionalFormatting>
  <conditionalFormatting sqref="N8">
    <cfRule type="containsBlanks" dxfId="552" priority="1113">
      <formula>LEN(TRIM(N8))=0</formula>
    </cfRule>
  </conditionalFormatting>
  <conditionalFormatting sqref="N8">
    <cfRule type="containsBlanks" dxfId="551" priority="1112">
      <formula>LEN(TRIM(N8))=0</formula>
    </cfRule>
  </conditionalFormatting>
  <conditionalFormatting sqref="N8">
    <cfRule type="containsBlanks" dxfId="550" priority="1111">
      <formula>LEN(TRIM(N8))=0</formula>
    </cfRule>
  </conditionalFormatting>
  <conditionalFormatting sqref="N8">
    <cfRule type="containsBlanks" dxfId="549" priority="1110">
      <formula>LEN(TRIM(N8))=0</formula>
    </cfRule>
  </conditionalFormatting>
  <conditionalFormatting sqref="N8">
    <cfRule type="containsBlanks" dxfId="548" priority="1109">
      <formula>LEN(TRIM(N8))=0</formula>
    </cfRule>
  </conditionalFormatting>
  <conditionalFormatting sqref="N8">
    <cfRule type="containsBlanks" dxfId="547" priority="1108">
      <formula>LEN(TRIM(N8))=0</formula>
    </cfRule>
  </conditionalFormatting>
  <conditionalFormatting sqref="N8">
    <cfRule type="containsBlanks" dxfId="546" priority="1107">
      <formula>LEN(TRIM(N8))=0</formula>
    </cfRule>
  </conditionalFormatting>
  <conditionalFormatting sqref="N8">
    <cfRule type="containsBlanks" dxfId="545" priority="1106">
      <formula>LEN(TRIM(N8))=0</formula>
    </cfRule>
  </conditionalFormatting>
  <conditionalFormatting sqref="N8">
    <cfRule type="containsBlanks" dxfId="544" priority="1105">
      <formula>LEN(TRIM(N8))=0</formula>
    </cfRule>
  </conditionalFormatting>
  <conditionalFormatting sqref="N8">
    <cfRule type="containsBlanks" dxfId="543" priority="1104">
      <formula>LEN(TRIM(N8))=0</formula>
    </cfRule>
  </conditionalFormatting>
  <conditionalFormatting sqref="N8">
    <cfRule type="containsBlanks" dxfId="542" priority="1103">
      <formula>LEN(TRIM(N8))=0</formula>
    </cfRule>
  </conditionalFormatting>
  <conditionalFormatting sqref="N8">
    <cfRule type="containsBlanks" dxfId="541" priority="1102">
      <formula>LEN(TRIM(N8))=0</formula>
    </cfRule>
  </conditionalFormatting>
  <conditionalFormatting sqref="N8">
    <cfRule type="containsBlanks" dxfId="540" priority="1101">
      <formula>LEN(TRIM(N8))=0</formula>
    </cfRule>
  </conditionalFormatting>
  <conditionalFormatting sqref="N8">
    <cfRule type="containsBlanks" dxfId="539" priority="1100">
      <formula>LEN(TRIM(N8))=0</formula>
    </cfRule>
  </conditionalFormatting>
  <conditionalFormatting sqref="N8">
    <cfRule type="containsBlanks" dxfId="538" priority="1099">
      <formula>LEN(TRIM(N8))=0</formula>
    </cfRule>
  </conditionalFormatting>
  <conditionalFormatting sqref="N8">
    <cfRule type="containsBlanks" dxfId="537" priority="1098">
      <formula>LEN(TRIM(N8))=0</formula>
    </cfRule>
  </conditionalFormatting>
  <conditionalFormatting sqref="N8">
    <cfRule type="containsBlanks" dxfId="536" priority="1097">
      <formula>LEN(TRIM(N8))=0</formula>
    </cfRule>
  </conditionalFormatting>
  <conditionalFormatting sqref="N8">
    <cfRule type="containsBlanks" dxfId="535" priority="1096">
      <formula>LEN(TRIM(N8))=0</formula>
    </cfRule>
  </conditionalFormatting>
  <conditionalFormatting sqref="N8">
    <cfRule type="containsBlanks" dxfId="534" priority="1095">
      <formula>LEN(TRIM(N8))=0</formula>
    </cfRule>
  </conditionalFormatting>
  <conditionalFormatting sqref="N8">
    <cfRule type="containsBlanks" dxfId="533" priority="1094">
      <formula>LEN(TRIM(N8))=0</formula>
    </cfRule>
  </conditionalFormatting>
  <conditionalFormatting sqref="N8">
    <cfRule type="containsBlanks" dxfId="532" priority="1093">
      <formula>LEN(TRIM(N8))=0</formula>
    </cfRule>
  </conditionalFormatting>
  <conditionalFormatting sqref="N8">
    <cfRule type="containsBlanks" dxfId="531" priority="1092">
      <formula>LEN(TRIM(N8))=0</formula>
    </cfRule>
  </conditionalFormatting>
  <conditionalFormatting sqref="N8">
    <cfRule type="containsBlanks" dxfId="530" priority="1091">
      <formula>LEN(TRIM(N8))=0</formula>
    </cfRule>
  </conditionalFormatting>
  <conditionalFormatting sqref="H8">
    <cfRule type="containsBlanks" dxfId="529" priority="1054">
      <formula>LEN(TRIM(H8))=0</formula>
    </cfRule>
  </conditionalFormatting>
  <conditionalFormatting sqref="H8">
    <cfRule type="containsBlanks" dxfId="528" priority="1053">
      <formula>LEN(TRIM(H8))=0</formula>
    </cfRule>
  </conditionalFormatting>
  <conditionalFormatting sqref="H8">
    <cfRule type="containsBlanks" dxfId="527" priority="1052">
      <formula>LEN(TRIM(H8))=0</formula>
    </cfRule>
  </conditionalFormatting>
  <conditionalFormatting sqref="H8">
    <cfRule type="containsBlanks" dxfId="526" priority="1051">
      <formula>LEN(TRIM(H8))=0</formula>
    </cfRule>
  </conditionalFormatting>
  <conditionalFormatting sqref="H8">
    <cfRule type="containsBlanks" dxfId="525" priority="1050">
      <formula>LEN(TRIM(H8))=0</formula>
    </cfRule>
  </conditionalFormatting>
  <conditionalFormatting sqref="I8">
    <cfRule type="containsBlanks" dxfId="524" priority="1049">
      <formula>LEN(TRIM(I8))=0</formula>
    </cfRule>
  </conditionalFormatting>
  <conditionalFormatting sqref="I8">
    <cfRule type="containsBlanks" dxfId="523" priority="1048">
      <formula>LEN(TRIM(I8))=0</formula>
    </cfRule>
  </conditionalFormatting>
  <conditionalFormatting sqref="I8">
    <cfRule type="containsBlanks" dxfId="522" priority="1047">
      <formula>LEN(TRIM(I8))=0</formula>
    </cfRule>
  </conditionalFormatting>
  <conditionalFormatting sqref="I8">
    <cfRule type="containsBlanks" dxfId="521" priority="1046">
      <formula>LEN(TRIM(I8))=0</formula>
    </cfRule>
  </conditionalFormatting>
  <conditionalFormatting sqref="I8">
    <cfRule type="containsBlanks" dxfId="520" priority="1045">
      <formula>LEN(TRIM(I8))=0</formula>
    </cfRule>
  </conditionalFormatting>
  <conditionalFormatting sqref="I8">
    <cfRule type="containsBlanks" dxfId="519" priority="1044">
      <formula>LEN(TRIM(I8))=0</formula>
    </cfRule>
  </conditionalFormatting>
  <conditionalFormatting sqref="N8">
    <cfRule type="containsBlanks" dxfId="518" priority="1043">
      <formula>LEN(TRIM(N8))=0</formula>
    </cfRule>
  </conditionalFormatting>
  <conditionalFormatting sqref="N8">
    <cfRule type="containsBlanks" dxfId="517" priority="1042">
      <formula>LEN(TRIM(N8))=0</formula>
    </cfRule>
  </conditionalFormatting>
  <conditionalFormatting sqref="N8">
    <cfRule type="containsBlanks" dxfId="516" priority="1041">
      <formula>LEN(TRIM(N8))=0</formula>
    </cfRule>
  </conditionalFormatting>
  <conditionalFormatting sqref="N8">
    <cfRule type="containsBlanks" dxfId="515" priority="1040">
      <formula>LEN(TRIM(N8))=0</formula>
    </cfRule>
  </conditionalFormatting>
  <conditionalFormatting sqref="N8">
    <cfRule type="containsBlanks" dxfId="514" priority="1039">
      <formula>LEN(TRIM(N8))=0</formula>
    </cfRule>
  </conditionalFormatting>
  <conditionalFormatting sqref="N8">
    <cfRule type="containsBlanks" dxfId="513" priority="1038">
      <formula>LEN(TRIM(N8))=0</formula>
    </cfRule>
  </conditionalFormatting>
  <conditionalFormatting sqref="N8">
    <cfRule type="containsBlanks" dxfId="512" priority="1037">
      <formula>LEN(TRIM(N8))=0</formula>
    </cfRule>
  </conditionalFormatting>
  <conditionalFormatting sqref="N8">
    <cfRule type="containsBlanks" dxfId="511" priority="1036">
      <formula>LEN(TRIM(N8))=0</formula>
    </cfRule>
  </conditionalFormatting>
  <conditionalFormatting sqref="N8">
    <cfRule type="containsBlanks" dxfId="510" priority="1035">
      <formula>LEN(TRIM(N8))=0</formula>
    </cfRule>
  </conditionalFormatting>
  <conditionalFormatting sqref="N8">
    <cfRule type="containsBlanks" dxfId="509" priority="1034">
      <formula>LEN(TRIM(N8))=0</formula>
    </cfRule>
  </conditionalFormatting>
  <conditionalFormatting sqref="N8">
    <cfRule type="containsBlanks" dxfId="508" priority="1033">
      <formula>LEN(TRIM(N8))=0</formula>
    </cfRule>
  </conditionalFormatting>
  <conditionalFormatting sqref="N8">
    <cfRule type="containsBlanks" dxfId="507" priority="1032">
      <formula>LEN(TRIM(N8))=0</formula>
    </cfRule>
  </conditionalFormatting>
  <conditionalFormatting sqref="N8">
    <cfRule type="containsBlanks" dxfId="506" priority="1031">
      <formula>LEN(TRIM(N8))=0</formula>
    </cfRule>
  </conditionalFormatting>
  <conditionalFormatting sqref="N8">
    <cfRule type="containsBlanks" dxfId="505" priority="1030">
      <formula>LEN(TRIM(N8))=0</formula>
    </cfRule>
  </conditionalFormatting>
  <conditionalFormatting sqref="N8">
    <cfRule type="containsBlanks" dxfId="504" priority="1029">
      <formula>LEN(TRIM(N8))=0</formula>
    </cfRule>
  </conditionalFormatting>
  <conditionalFormatting sqref="N8">
    <cfRule type="containsBlanks" dxfId="503" priority="1028">
      <formula>LEN(TRIM(N8))=0</formula>
    </cfRule>
  </conditionalFormatting>
  <conditionalFormatting sqref="N8">
    <cfRule type="containsBlanks" dxfId="502" priority="1027">
      <formula>LEN(TRIM(N8))=0</formula>
    </cfRule>
  </conditionalFormatting>
  <conditionalFormatting sqref="N8">
    <cfRule type="containsBlanks" dxfId="501" priority="1026">
      <formula>LEN(TRIM(N8))=0</formula>
    </cfRule>
  </conditionalFormatting>
  <conditionalFormatting sqref="N8">
    <cfRule type="containsBlanks" dxfId="500" priority="1025">
      <formula>LEN(TRIM(N8))=0</formula>
    </cfRule>
  </conditionalFormatting>
  <conditionalFormatting sqref="N8">
    <cfRule type="containsBlanks" dxfId="499" priority="1024">
      <formula>LEN(TRIM(N8))=0</formula>
    </cfRule>
  </conditionalFormatting>
  <conditionalFormatting sqref="N8">
    <cfRule type="containsBlanks" dxfId="498" priority="1023">
      <formula>LEN(TRIM(N8))=0</formula>
    </cfRule>
  </conditionalFormatting>
  <conditionalFormatting sqref="N8">
    <cfRule type="containsBlanks" dxfId="497" priority="1022">
      <formula>LEN(TRIM(N8))=0</formula>
    </cfRule>
  </conditionalFormatting>
  <conditionalFormatting sqref="N8">
    <cfRule type="containsBlanks" dxfId="496" priority="1021">
      <formula>LEN(TRIM(N8))=0</formula>
    </cfRule>
  </conditionalFormatting>
  <conditionalFormatting sqref="N8">
    <cfRule type="containsBlanks" dxfId="495" priority="1020">
      <formula>LEN(TRIM(N8))=0</formula>
    </cfRule>
  </conditionalFormatting>
  <conditionalFormatting sqref="N8">
    <cfRule type="containsBlanks" dxfId="494" priority="1019">
      <formula>LEN(TRIM(N8))=0</formula>
    </cfRule>
  </conditionalFormatting>
  <conditionalFormatting sqref="N8">
    <cfRule type="containsBlanks" dxfId="493" priority="1018">
      <formula>LEN(TRIM(N8))=0</formula>
    </cfRule>
  </conditionalFormatting>
  <conditionalFormatting sqref="N8">
    <cfRule type="containsBlanks" dxfId="492" priority="1017">
      <formula>LEN(TRIM(N8))=0</formula>
    </cfRule>
  </conditionalFormatting>
  <conditionalFormatting sqref="N8">
    <cfRule type="containsBlanks" dxfId="491" priority="1016">
      <formula>LEN(TRIM(N8))=0</formula>
    </cfRule>
  </conditionalFormatting>
  <conditionalFormatting sqref="N8">
    <cfRule type="containsBlanks" dxfId="490" priority="1015">
      <formula>LEN(TRIM(N8))=0</formula>
    </cfRule>
  </conditionalFormatting>
  <conditionalFormatting sqref="N8">
    <cfRule type="containsBlanks" dxfId="489" priority="1014">
      <formula>LEN(TRIM(N8))=0</formula>
    </cfRule>
  </conditionalFormatting>
  <conditionalFormatting sqref="N8">
    <cfRule type="containsBlanks" dxfId="488" priority="1013">
      <formula>LEN(TRIM(N8))=0</formula>
    </cfRule>
  </conditionalFormatting>
  <conditionalFormatting sqref="N8">
    <cfRule type="containsBlanks" dxfId="487" priority="1012">
      <formula>LEN(TRIM(N8))=0</formula>
    </cfRule>
  </conditionalFormatting>
  <conditionalFormatting sqref="N8">
    <cfRule type="containsBlanks" dxfId="486" priority="1011">
      <formula>LEN(TRIM(N8))=0</formula>
    </cfRule>
  </conditionalFormatting>
  <conditionalFormatting sqref="N8">
    <cfRule type="containsBlanks" dxfId="485" priority="1010">
      <formula>LEN(TRIM(N8))=0</formula>
    </cfRule>
  </conditionalFormatting>
  <conditionalFormatting sqref="N8">
    <cfRule type="containsBlanks" dxfId="484" priority="1009">
      <formula>LEN(TRIM(N8))=0</formula>
    </cfRule>
  </conditionalFormatting>
  <conditionalFormatting sqref="N8">
    <cfRule type="containsBlanks" dxfId="483" priority="1008">
      <formula>LEN(TRIM(N8))=0</formula>
    </cfRule>
  </conditionalFormatting>
  <conditionalFormatting sqref="N8">
    <cfRule type="containsBlanks" dxfId="482" priority="1007">
      <formula>LEN(TRIM(N8))=0</formula>
    </cfRule>
  </conditionalFormatting>
  <conditionalFormatting sqref="N8">
    <cfRule type="containsBlanks" dxfId="481" priority="1006">
      <formula>LEN(TRIM(N8))=0</formula>
    </cfRule>
  </conditionalFormatting>
  <conditionalFormatting sqref="N8">
    <cfRule type="containsBlanks" dxfId="480" priority="1005">
      <formula>LEN(TRIM(N8))=0</formula>
    </cfRule>
  </conditionalFormatting>
  <conditionalFormatting sqref="N8">
    <cfRule type="containsBlanks" dxfId="479" priority="1004">
      <formula>LEN(TRIM(N8))=0</formula>
    </cfRule>
  </conditionalFormatting>
  <conditionalFormatting sqref="N8">
    <cfRule type="containsBlanks" dxfId="478" priority="1003">
      <formula>LEN(TRIM(N8))=0</formula>
    </cfRule>
  </conditionalFormatting>
  <conditionalFormatting sqref="N8">
    <cfRule type="containsBlanks" dxfId="477" priority="1002">
      <formula>LEN(TRIM(N8))=0</formula>
    </cfRule>
  </conditionalFormatting>
  <conditionalFormatting sqref="N8">
    <cfRule type="containsBlanks" dxfId="476" priority="1001">
      <formula>LEN(TRIM(N8))=0</formula>
    </cfRule>
  </conditionalFormatting>
  <conditionalFormatting sqref="N8">
    <cfRule type="containsBlanks" dxfId="475" priority="1000">
      <formula>LEN(TRIM(N8))=0</formula>
    </cfRule>
  </conditionalFormatting>
  <conditionalFormatting sqref="N8">
    <cfRule type="containsBlanks" dxfId="474" priority="999">
      <formula>LEN(TRIM(N8))=0</formula>
    </cfRule>
  </conditionalFormatting>
  <conditionalFormatting sqref="N8">
    <cfRule type="containsBlanks" dxfId="473" priority="998">
      <formula>LEN(TRIM(N8))=0</formula>
    </cfRule>
  </conditionalFormatting>
  <conditionalFormatting sqref="N8">
    <cfRule type="containsBlanks" dxfId="472" priority="997">
      <formula>LEN(TRIM(N8))=0</formula>
    </cfRule>
  </conditionalFormatting>
  <conditionalFormatting sqref="N8">
    <cfRule type="containsBlanks" dxfId="471" priority="996">
      <formula>LEN(TRIM(N8))=0</formula>
    </cfRule>
  </conditionalFormatting>
  <conditionalFormatting sqref="N8">
    <cfRule type="containsBlanks" dxfId="470" priority="995">
      <formula>LEN(TRIM(N8))=0</formula>
    </cfRule>
  </conditionalFormatting>
  <conditionalFormatting sqref="N8">
    <cfRule type="containsBlanks" dxfId="469" priority="994">
      <formula>LEN(TRIM(N8))=0</formula>
    </cfRule>
  </conditionalFormatting>
  <conditionalFormatting sqref="N8">
    <cfRule type="containsBlanks" dxfId="468" priority="993">
      <formula>LEN(TRIM(N8))=0</formula>
    </cfRule>
  </conditionalFormatting>
  <conditionalFormatting sqref="N8">
    <cfRule type="containsBlanks" dxfId="467" priority="992">
      <formula>LEN(TRIM(N8))=0</formula>
    </cfRule>
  </conditionalFormatting>
  <conditionalFormatting sqref="N8">
    <cfRule type="containsBlanks" dxfId="466" priority="991">
      <formula>LEN(TRIM(N8))=0</formula>
    </cfRule>
  </conditionalFormatting>
  <conditionalFormatting sqref="N8">
    <cfRule type="containsBlanks" dxfId="465" priority="990">
      <formula>LEN(TRIM(N8))=0</formula>
    </cfRule>
  </conditionalFormatting>
  <conditionalFormatting sqref="N8">
    <cfRule type="containsBlanks" dxfId="464" priority="989">
      <formula>LEN(TRIM(N8))=0</formula>
    </cfRule>
  </conditionalFormatting>
  <conditionalFormatting sqref="N8">
    <cfRule type="containsBlanks" dxfId="463" priority="988">
      <formula>LEN(TRIM(N8))=0</formula>
    </cfRule>
  </conditionalFormatting>
  <conditionalFormatting sqref="N8">
    <cfRule type="containsBlanks" dxfId="462" priority="987">
      <formula>LEN(TRIM(N8))=0</formula>
    </cfRule>
  </conditionalFormatting>
  <conditionalFormatting sqref="N8">
    <cfRule type="containsBlanks" dxfId="461" priority="986">
      <formula>LEN(TRIM(N8))=0</formula>
    </cfRule>
  </conditionalFormatting>
  <conditionalFormatting sqref="N8">
    <cfRule type="containsBlanks" dxfId="460" priority="985">
      <formula>LEN(TRIM(N8))=0</formula>
    </cfRule>
  </conditionalFormatting>
  <conditionalFormatting sqref="N8">
    <cfRule type="containsBlanks" dxfId="459" priority="984">
      <formula>LEN(TRIM(N8))=0</formula>
    </cfRule>
  </conditionalFormatting>
  <conditionalFormatting sqref="N8">
    <cfRule type="containsBlanks" dxfId="458" priority="983">
      <formula>LEN(TRIM(N8))=0</formula>
    </cfRule>
  </conditionalFormatting>
  <conditionalFormatting sqref="N8">
    <cfRule type="containsBlanks" dxfId="457" priority="982">
      <formula>LEN(TRIM(N8))=0</formula>
    </cfRule>
  </conditionalFormatting>
  <conditionalFormatting sqref="N8">
    <cfRule type="containsBlanks" dxfId="456" priority="981">
      <formula>LEN(TRIM(N8))=0</formula>
    </cfRule>
  </conditionalFormatting>
  <conditionalFormatting sqref="N8">
    <cfRule type="containsBlanks" dxfId="455" priority="980">
      <formula>LEN(TRIM(N8))=0</formula>
    </cfRule>
  </conditionalFormatting>
  <conditionalFormatting sqref="N8">
    <cfRule type="containsBlanks" dxfId="454" priority="979">
      <formula>LEN(TRIM(N8))=0</formula>
    </cfRule>
  </conditionalFormatting>
  <conditionalFormatting sqref="N8">
    <cfRule type="containsBlanks" dxfId="453" priority="978">
      <formula>LEN(TRIM(N8))=0</formula>
    </cfRule>
  </conditionalFormatting>
  <conditionalFormatting sqref="N8">
    <cfRule type="containsBlanks" dxfId="452" priority="977">
      <formula>LEN(TRIM(N8))=0</formula>
    </cfRule>
  </conditionalFormatting>
  <conditionalFormatting sqref="N8">
    <cfRule type="containsBlanks" dxfId="451" priority="976">
      <formula>LEN(TRIM(N8))=0</formula>
    </cfRule>
  </conditionalFormatting>
  <conditionalFormatting sqref="N8">
    <cfRule type="containsBlanks" dxfId="450" priority="975">
      <formula>LEN(TRIM(N8))=0</formula>
    </cfRule>
  </conditionalFormatting>
  <conditionalFormatting sqref="N8">
    <cfRule type="containsBlanks" dxfId="449" priority="974">
      <formula>LEN(TRIM(N8))=0</formula>
    </cfRule>
  </conditionalFormatting>
  <conditionalFormatting sqref="N8">
    <cfRule type="containsBlanks" dxfId="448" priority="973">
      <formula>LEN(TRIM(N8))=0</formula>
    </cfRule>
  </conditionalFormatting>
  <conditionalFormatting sqref="N8">
    <cfRule type="containsBlanks" dxfId="447" priority="972">
      <formula>LEN(TRIM(N8))=0</formula>
    </cfRule>
  </conditionalFormatting>
  <conditionalFormatting sqref="N8">
    <cfRule type="containsBlanks" dxfId="446" priority="971">
      <formula>LEN(TRIM(N8))=0</formula>
    </cfRule>
  </conditionalFormatting>
  <conditionalFormatting sqref="N8">
    <cfRule type="containsBlanks" dxfId="445" priority="970">
      <formula>LEN(TRIM(N8))=0</formula>
    </cfRule>
  </conditionalFormatting>
  <conditionalFormatting sqref="N8">
    <cfRule type="containsBlanks" dxfId="444" priority="969">
      <formula>LEN(TRIM(N8))=0</formula>
    </cfRule>
  </conditionalFormatting>
  <conditionalFormatting sqref="N8">
    <cfRule type="containsBlanks" dxfId="443" priority="968">
      <formula>LEN(TRIM(N8))=0</formula>
    </cfRule>
  </conditionalFormatting>
  <conditionalFormatting sqref="N8">
    <cfRule type="containsBlanks" dxfId="442" priority="967">
      <formula>LEN(TRIM(N8))=0</formula>
    </cfRule>
  </conditionalFormatting>
  <conditionalFormatting sqref="N8">
    <cfRule type="containsBlanks" dxfId="441" priority="966">
      <formula>LEN(TRIM(N8))=0</formula>
    </cfRule>
  </conditionalFormatting>
  <conditionalFormatting sqref="N8">
    <cfRule type="containsBlanks" dxfId="440" priority="965">
      <formula>LEN(TRIM(N8))=0</formula>
    </cfRule>
  </conditionalFormatting>
  <conditionalFormatting sqref="N8 H8">
    <cfRule type="containsBlanks" dxfId="439" priority="961">
      <formula>LEN(TRIM(H8))=0</formula>
    </cfRule>
  </conditionalFormatting>
  <conditionalFormatting sqref="H8">
    <cfRule type="containsBlanks" dxfId="438" priority="960">
      <formula>LEN(TRIM(H8))=0</formula>
    </cfRule>
  </conditionalFormatting>
  <conditionalFormatting sqref="N8">
    <cfRule type="containsBlanks" dxfId="437" priority="959">
      <formula>LEN(TRIM(N8))=0</formula>
    </cfRule>
  </conditionalFormatting>
  <conditionalFormatting sqref="N8">
    <cfRule type="containsBlanks" dxfId="436" priority="958">
      <formula>LEN(TRIM(N8))=0</formula>
    </cfRule>
  </conditionalFormatting>
  <conditionalFormatting sqref="N8">
    <cfRule type="containsBlanks" dxfId="435" priority="957">
      <formula>LEN(TRIM(N8))=0</formula>
    </cfRule>
  </conditionalFormatting>
  <conditionalFormatting sqref="N8">
    <cfRule type="containsBlanks" dxfId="434" priority="956">
      <formula>LEN(TRIM(N8))=0</formula>
    </cfRule>
  </conditionalFormatting>
  <conditionalFormatting sqref="N8">
    <cfRule type="containsBlanks" dxfId="433" priority="955">
      <formula>LEN(TRIM(N8))=0</formula>
    </cfRule>
  </conditionalFormatting>
  <conditionalFormatting sqref="N8">
    <cfRule type="containsBlanks" dxfId="432" priority="954">
      <formula>LEN(TRIM(N8))=0</formula>
    </cfRule>
  </conditionalFormatting>
  <conditionalFormatting sqref="N8">
    <cfRule type="containsBlanks" dxfId="431" priority="953">
      <formula>LEN(TRIM(N8))=0</formula>
    </cfRule>
  </conditionalFormatting>
  <conditionalFormatting sqref="N8">
    <cfRule type="containsBlanks" dxfId="430" priority="952">
      <formula>LEN(TRIM(N8))=0</formula>
    </cfRule>
  </conditionalFormatting>
  <conditionalFormatting sqref="N8">
    <cfRule type="containsBlanks" dxfId="429" priority="951">
      <formula>LEN(TRIM(N8))=0</formula>
    </cfRule>
  </conditionalFormatting>
  <conditionalFormatting sqref="N8">
    <cfRule type="containsBlanks" dxfId="428" priority="950">
      <formula>LEN(TRIM(N8))=0</formula>
    </cfRule>
  </conditionalFormatting>
  <conditionalFormatting sqref="N8">
    <cfRule type="containsBlanks" dxfId="427" priority="949">
      <formula>LEN(TRIM(N8))=0</formula>
    </cfRule>
  </conditionalFormatting>
  <conditionalFormatting sqref="N8">
    <cfRule type="containsBlanks" dxfId="426" priority="948">
      <formula>LEN(TRIM(N8))=0</formula>
    </cfRule>
  </conditionalFormatting>
  <conditionalFormatting sqref="N8">
    <cfRule type="containsBlanks" dxfId="425" priority="947">
      <formula>LEN(TRIM(N8))=0</formula>
    </cfRule>
  </conditionalFormatting>
  <conditionalFormatting sqref="N8">
    <cfRule type="containsBlanks" dxfId="424" priority="946">
      <formula>LEN(TRIM(N8))=0</formula>
    </cfRule>
  </conditionalFormatting>
  <conditionalFormatting sqref="N8">
    <cfRule type="containsBlanks" dxfId="423" priority="942">
      <formula>LEN(TRIM(N8))=0</formula>
    </cfRule>
  </conditionalFormatting>
  <conditionalFormatting sqref="N8">
    <cfRule type="containsBlanks" dxfId="422" priority="941">
      <formula>LEN(TRIM(N8))=0</formula>
    </cfRule>
  </conditionalFormatting>
  <conditionalFormatting sqref="N8">
    <cfRule type="containsBlanks" dxfId="421" priority="940">
      <formula>LEN(TRIM(N8))=0</formula>
    </cfRule>
  </conditionalFormatting>
  <conditionalFormatting sqref="N8">
    <cfRule type="containsBlanks" dxfId="420" priority="939">
      <formula>LEN(TRIM(N8))=0</formula>
    </cfRule>
  </conditionalFormatting>
  <conditionalFormatting sqref="N8">
    <cfRule type="containsBlanks" dxfId="419" priority="938">
      <formula>LEN(TRIM(N8))=0</formula>
    </cfRule>
  </conditionalFormatting>
  <conditionalFormatting sqref="N8">
    <cfRule type="containsBlanks" dxfId="418" priority="937">
      <formula>LEN(TRIM(N8))=0</formula>
    </cfRule>
  </conditionalFormatting>
  <conditionalFormatting sqref="N8">
    <cfRule type="containsBlanks" dxfId="417" priority="936">
      <formula>LEN(TRIM(N8))=0</formula>
    </cfRule>
  </conditionalFormatting>
  <conditionalFormatting sqref="N8">
    <cfRule type="containsBlanks" dxfId="416" priority="935">
      <formula>LEN(TRIM(N8))=0</formula>
    </cfRule>
  </conditionalFormatting>
  <conditionalFormatting sqref="N8">
    <cfRule type="containsBlanks" dxfId="415" priority="934">
      <formula>LEN(TRIM(N8))=0</formula>
    </cfRule>
  </conditionalFormatting>
  <conditionalFormatting sqref="N8">
    <cfRule type="containsBlanks" dxfId="414" priority="933">
      <formula>LEN(TRIM(N8))=0</formula>
    </cfRule>
  </conditionalFormatting>
  <conditionalFormatting sqref="N8">
    <cfRule type="containsBlanks" dxfId="413" priority="932">
      <formula>LEN(TRIM(N8))=0</formula>
    </cfRule>
  </conditionalFormatting>
  <conditionalFormatting sqref="N8">
    <cfRule type="containsBlanks" dxfId="412" priority="931">
      <formula>LEN(TRIM(N8))=0</formula>
    </cfRule>
  </conditionalFormatting>
  <conditionalFormatting sqref="N8">
    <cfRule type="containsBlanks" dxfId="411" priority="930">
      <formula>LEN(TRIM(N8))=0</formula>
    </cfRule>
  </conditionalFormatting>
  <conditionalFormatting sqref="N8">
    <cfRule type="containsBlanks" dxfId="410" priority="929">
      <formula>LEN(TRIM(N8))=0</formula>
    </cfRule>
  </conditionalFormatting>
  <conditionalFormatting sqref="N8">
    <cfRule type="containsBlanks" dxfId="409" priority="928">
      <formula>LEN(TRIM(N8))=0</formula>
    </cfRule>
  </conditionalFormatting>
  <conditionalFormatting sqref="N8">
    <cfRule type="containsBlanks" dxfId="408" priority="927">
      <formula>LEN(TRIM(N8))=0</formula>
    </cfRule>
  </conditionalFormatting>
  <conditionalFormatting sqref="N8">
    <cfRule type="containsBlanks" dxfId="407" priority="926">
      <formula>LEN(TRIM(N8))=0</formula>
    </cfRule>
  </conditionalFormatting>
  <conditionalFormatting sqref="N8">
    <cfRule type="containsBlanks" dxfId="406" priority="925">
      <formula>LEN(TRIM(N8))=0</formula>
    </cfRule>
  </conditionalFormatting>
  <conditionalFormatting sqref="N8">
    <cfRule type="containsBlanks" dxfId="405" priority="924">
      <formula>LEN(TRIM(N8))=0</formula>
    </cfRule>
  </conditionalFormatting>
  <conditionalFormatting sqref="N8">
    <cfRule type="containsBlanks" dxfId="404" priority="923">
      <formula>LEN(TRIM(N8))=0</formula>
    </cfRule>
  </conditionalFormatting>
  <conditionalFormatting sqref="N8">
    <cfRule type="containsBlanks" dxfId="403" priority="922">
      <formula>LEN(TRIM(N8))=0</formula>
    </cfRule>
  </conditionalFormatting>
  <conditionalFormatting sqref="N8">
    <cfRule type="containsBlanks" dxfId="402" priority="703">
      <formula>LEN(TRIM(N8))=0</formula>
    </cfRule>
  </conditionalFormatting>
  <conditionalFormatting sqref="N8">
    <cfRule type="containsBlanks" dxfId="401" priority="702">
      <formula>LEN(TRIM(N8))=0</formula>
    </cfRule>
  </conditionalFormatting>
  <conditionalFormatting sqref="N8">
    <cfRule type="containsBlanks" dxfId="400" priority="701">
      <formula>LEN(TRIM(N8))=0</formula>
    </cfRule>
  </conditionalFormatting>
  <conditionalFormatting sqref="N8">
    <cfRule type="containsBlanks" dxfId="399" priority="610">
      <formula>LEN(TRIM(N8))=0</formula>
    </cfRule>
  </conditionalFormatting>
  <conditionalFormatting sqref="N8">
    <cfRule type="containsBlanks" dxfId="398" priority="609">
      <formula>LEN(TRIM(N8))=0</formula>
    </cfRule>
  </conditionalFormatting>
  <conditionalFormatting sqref="N8">
    <cfRule type="containsBlanks" dxfId="397" priority="608">
      <formula>LEN(TRIM(N8))=0</formula>
    </cfRule>
  </conditionalFormatting>
  <conditionalFormatting sqref="N8">
    <cfRule type="containsBlanks" dxfId="396" priority="607">
      <formula>LEN(TRIM(N8))=0</formula>
    </cfRule>
  </conditionalFormatting>
  <conditionalFormatting sqref="N8">
    <cfRule type="containsBlanks" dxfId="395" priority="606">
      <formula>LEN(TRIM(N8))=0</formula>
    </cfRule>
  </conditionalFormatting>
  <conditionalFormatting sqref="N8">
    <cfRule type="containsBlanks" dxfId="394" priority="605">
      <formula>LEN(TRIM(N8))=0</formula>
    </cfRule>
  </conditionalFormatting>
  <conditionalFormatting sqref="N8">
    <cfRule type="containsBlanks" dxfId="393" priority="604">
      <formula>LEN(TRIM(N8))=0</formula>
    </cfRule>
  </conditionalFormatting>
  <conditionalFormatting sqref="N8">
    <cfRule type="containsBlanks" dxfId="392" priority="603">
      <formula>LEN(TRIM(N8))=0</formula>
    </cfRule>
  </conditionalFormatting>
  <conditionalFormatting sqref="N8">
    <cfRule type="containsBlanks" dxfId="391" priority="602">
      <formula>LEN(TRIM(N8))=0</formula>
    </cfRule>
  </conditionalFormatting>
  <conditionalFormatting sqref="N8">
    <cfRule type="containsBlanks" dxfId="390" priority="601">
      <formula>LEN(TRIM(N8))=0</formula>
    </cfRule>
  </conditionalFormatting>
  <conditionalFormatting sqref="N8">
    <cfRule type="containsBlanks" dxfId="389" priority="600">
      <formula>LEN(TRIM(N8))=0</formula>
    </cfRule>
  </conditionalFormatting>
  <conditionalFormatting sqref="N8">
    <cfRule type="containsBlanks" dxfId="388" priority="599">
      <formula>LEN(TRIM(N8))=0</formula>
    </cfRule>
  </conditionalFormatting>
  <conditionalFormatting sqref="N8">
    <cfRule type="containsBlanks" dxfId="387" priority="598">
      <formula>LEN(TRIM(N8))=0</formula>
    </cfRule>
  </conditionalFormatting>
  <conditionalFormatting sqref="N8">
    <cfRule type="containsBlanks" dxfId="386" priority="597">
      <formula>LEN(TRIM(N8))=0</formula>
    </cfRule>
  </conditionalFormatting>
  <conditionalFormatting sqref="N8">
    <cfRule type="containsBlanks" dxfId="385" priority="596">
      <formula>LEN(TRIM(N8))=0</formula>
    </cfRule>
  </conditionalFormatting>
  <conditionalFormatting sqref="N8">
    <cfRule type="containsBlanks" dxfId="384" priority="595">
      <formula>LEN(TRIM(N8))=0</formula>
    </cfRule>
  </conditionalFormatting>
  <conditionalFormatting sqref="N8">
    <cfRule type="containsBlanks" dxfId="383" priority="594">
      <formula>LEN(TRIM(N8))=0</formula>
    </cfRule>
  </conditionalFormatting>
  <conditionalFormatting sqref="N8">
    <cfRule type="containsBlanks" dxfId="382" priority="593">
      <formula>LEN(TRIM(N8))=0</formula>
    </cfRule>
  </conditionalFormatting>
  <conditionalFormatting sqref="N8">
    <cfRule type="containsBlanks" dxfId="381" priority="592">
      <formula>LEN(TRIM(N8))=0</formula>
    </cfRule>
  </conditionalFormatting>
  <conditionalFormatting sqref="N8">
    <cfRule type="containsBlanks" dxfId="380" priority="591">
      <formula>LEN(TRIM(N8))=0</formula>
    </cfRule>
  </conditionalFormatting>
  <conditionalFormatting sqref="N8">
    <cfRule type="containsBlanks" dxfId="379" priority="590">
      <formula>LEN(TRIM(N8))=0</formula>
    </cfRule>
  </conditionalFormatting>
  <conditionalFormatting sqref="N8">
    <cfRule type="containsBlanks" dxfId="378" priority="589">
      <formula>LEN(TRIM(N8))=0</formula>
    </cfRule>
  </conditionalFormatting>
  <conditionalFormatting sqref="N8">
    <cfRule type="containsBlanks" dxfId="377" priority="588">
      <formula>LEN(TRIM(N8))=0</formula>
    </cfRule>
  </conditionalFormatting>
  <conditionalFormatting sqref="N8">
    <cfRule type="containsBlanks" dxfId="376" priority="587">
      <formula>LEN(TRIM(N8))=0</formula>
    </cfRule>
  </conditionalFormatting>
  <conditionalFormatting sqref="N8">
    <cfRule type="containsBlanks" dxfId="375" priority="586">
      <formula>LEN(TRIM(N8))=0</formula>
    </cfRule>
  </conditionalFormatting>
  <conditionalFormatting sqref="N8">
    <cfRule type="containsBlanks" dxfId="374" priority="585">
      <formula>LEN(TRIM(N8))=0</formula>
    </cfRule>
  </conditionalFormatting>
  <conditionalFormatting sqref="N8">
    <cfRule type="containsBlanks" dxfId="373" priority="584">
      <formula>LEN(TRIM(N8))=0</formula>
    </cfRule>
  </conditionalFormatting>
  <conditionalFormatting sqref="N8">
    <cfRule type="containsBlanks" dxfId="372" priority="583">
      <formula>LEN(TRIM(N8))=0</formula>
    </cfRule>
  </conditionalFormatting>
  <conditionalFormatting sqref="N8">
    <cfRule type="containsBlanks" dxfId="371" priority="582">
      <formula>LEN(TRIM(N8))=0</formula>
    </cfRule>
  </conditionalFormatting>
  <conditionalFormatting sqref="N8">
    <cfRule type="containsBlanks" dxfId="370" priority="581">
      <formula>LEN(TRIM(N8))=0</formula>
    </cfRule>
  </conditionalFormatting>
  <conditionalFormatting sqref="N8">
    <cfRule type="containsBlanks" dxfId="369" priority="580">
      <formula>LEN(TRIM(N8))=0</formula>
    </cfRule>
  </conditionalFormatting>
  <conditionalFormatting sqref="N8">
    <cfRule type="containsBlanks" dxfId="368" priority="579">
      <formula>LEN(TRIM(N8))=0</formula>
    </cfRule>
  </conditionalFormatting>
  <conditionalFormatting sqref="N8">
    <cfRule type="containsBlanks" dxfId="367" priority="578">
      <formula>LEN(TRIM(N8))=0</formula>
    </cfRule>
  </conditionalFormatting>
  <conditionalFormatting sqref="N8">
    <cfRule type="containsBlanks" dxfId="366" priority="577">
      <formula>LEN(TRIM(N8))=0</formula>
    </cfRule>
  </conditionalFormatting>
  <conditionalFormatting sqref="N8">
    <cfRule type="containsBlanks" dxfId="365" priority="576">
      <formula>LEN(TRIM(N8))=0</formula>
    </cfRule>
  </conditionalFormatting>
  <conditionalFormatting sqref="N8">
    <cfRule type="containsBlanks" dxfId="364" priority="575">
      <formula>LEN(TRIM(N8))=0</formula>
    </cfRule>
  </conditionalFormatting>
  <conditionalFormatting sqref="N8">
    <cfRule type="containsBlanks" dxfId="363" priority="574">
      <formula>LEN(TRIM(N8))=0</formula>
    </cfRule>
  </conditionalFormatting>
  <conditionalFormatting sqref="N8">
    <cfRule type="containsBlanks" dxfId="362" priority="573">
      <formula>LEN(TRIM(N8))=0</formula>
    </cfRule>
  </conditionalFormatting>
  <conditionalFormatting sqref="N8">
    <cfRule type="containsBlanks" dxfId="361" priority="572">
      <formula>LEN(TRIM(N8))=0</formula>
    </cfRule>
  </conditionalFormatting>
  <conditionalFormatting sqref="E8">
    <cfRule type="containsBlanks" dxfId="360" priority="257">
      <formula>LEN(TRIM(E8))=0</formula>
    </cfRule>
  </conditionalFormatting>
  <conditionalFormatting sqref="E9">
    <cfRule type="containsBlanks" dxfId="359" priority="256">
      <formula>LEN(TRIM(E9))=0</formula>
    </cfRule>
  </conditionalFormatting>
  <conditionalFormatting sqref="E10">
    <cfRule type="containsBlanks" dxfId="358" priority="255">
      <formula>LEN(TRIM(E10))=0</formula>
    </cfRule>
  </conditionalFormatting>
  <conditionalFormatting sqref="E7">
    <cfRule type="containsBlanks" dxfId="357" priority="253">
      <formula>LEN(TRIM(E7))=0</formula>
    </cfRule>
  </conditionalFormatting>
  <conditionalFormatting sqref="H12:I12">
    <cfRule type="containsBlanks" dxfId="356" priority="249">
      <formula>LEN(TRIM(H12))=0</formula>
    </cfRule>
  </conditionalFormatting>
  <conditionalFormatting sqref="E12">
    <cfRule type="containsBlanks" dxfId="355" priority="248">
      <formula>LEN(TRIM(E12))=0</formula>
    </cfRule>
  </conditionalFormatting>
  <conditionalFormatting sqref="AD12">
    <cfRule type="containsText" dxfId="354" priority="246" operator="containsText" text="GP2">
      <formula>NOT(ISERROR(SEARCH("GP2",AD12)))</formula>
    </cfRule>
    <cfRule type="containsText" dxfId="353" priority="247" operator="containsText" text="GP1">
      <formula>NOT(ISERROR(SEARCH("GP1",AD12)))</formula>
    </cfRule>
  </conditionalFormatting>
  <conditionalFormatting sqref="H14">
    <cfRule type="containsBlanks" dxfId="351" priority="237">
      <formula>LEN(TRIM(H14))=0</formula>
    </cfRule>
  </conditionalFormatting>
  <conditionalFormatting sqref="AD13">
    <cfRule type="containsText" dxfId="350" priority="232" operator="containsText" text="GP2">
      <formula>NOT(ISERROR(SEARCH("GP2",AD13)))</formula>
    </cfRule>
    <cfRule type="containsText" dxfId="349" priority="233" operator="containsText" text="GP1">
      <formula>NOT(ISERROR(SEARCH("GP1",AD13)))</formula>
    </cfRule>
  </conditionalFormatting>
  <conditionalFormatting sqref="H13:I13">
    <cfRule type="containsBlanks" dxfId="348" priority="231">
      <formula>LEN(TRIM(H13))=0</formula>
    </cfRule>
  </conditionalFormatting>
  <conditionalFormatting sqref="E13">
    <cfRule type="containsBlanks" dxfId="347" priority="230">
      <formula>LEN(TRIM(E13))=0</formula>
    </cfRule>
  </conditionalFormatting>
  <conditionalFormatting sqref="N13">
    <cfRule type="containsBlanks" dxfId="346" priority="229">
      <formula>LEN(TRIM(N13))=0</formula>
    </cfRule>
  </conditionalFormatting>
  <conditionalFormatting sqref="E14">
    <cfRule type="containsBlanks" dxfId="345" priority="228">
      <formula>LEN(TRIM(E14))=0</formula>
    </cfRule>
  </conditionalFormatting>
  <conditionalFormatting sqref="I14">
    <cfRule type="containsBlanks" dxfId="344" priority="227">
      <formula>LEN(TRIM(I14))=0</formula>
    </cfRule>
  </conditionalFormatting>
  <conditionalFormatting sqref="N14">
    <cfRule type="containsBlanks" dxfId="343" priority="226">
      <formula>LEN(TRIM(N14))=0</formula>
    </cfRule>
  </conditionalFormatting>
  <conditionalFormatting sqref="AD14">
    <cfRule type="containsText" dxfId="342" priority="224" operator="containsText" text="GP2">
      <formula>NOT(ISERROR(SEARCH("GP2",AD14)))</formula>
    </cfRule>
    <cfRule type="containsText" dxfId="341" priority="225" operator="containsText" text="GP1">
      <formula>NOT(ISERROR(SEARCH("GP1",AD14)))</formula>
    </cfRule>
  </conditionalFormatting>
  <conditionalFormatting sqref="AD14">
    <cfRule type="containsText" dxfId="340" priority="222" operator="containsText" text="GP2">
      <formula>NOT(ISERROR(SEARCH("GP2",AD14)))</formula>
    </cfRule>
    <cfRule type="containsText" dxfId="339" priority="223" operator="containsText" text="GP1">
      <formula>NOT(ISERROR(SEARCH("GP1",AD14)))</formula>
    </cfRule>
  </conditionalFormatting>
  <conditionalFormatting sqref="AD14">
    <cfRule type="containsText" dxfId="338" priority="220" operator="containsText" text="GP2">
      <formula>NOT(ISERROR(SEARCH("GP2",AD14)))</formula>
    </cfRule>
    <cfRule type="containsText" dxfId="337" priority="221" operator="containsText" text="GP1">
      <formula>NOT(ISERROR(SEARCH("GP1",AD14)))</formula>
    </cfRule>
  </conditionalFormatting>
  <conditionalFormatting sqref="AD14">
    <cfRule type="containsText" dxfId="336" priority="218" operator="containsText" text="GP2">
      <formula>NOT(ISERROR(SEARCH("GP2",AD14)))</formula>
    </cfRule>
    <cfRule type="containsText" dxfId="335" priority="219" operator="containsText" text="GP1">
      <formula>NOT(ISERROR(SEARCH("GP1",AD14)))</formula>
    </cfRule>
  </conditionalFormatting>
  <conditionalFormatting sqref="AD14">
    <cfRule type="containsText" dxfId="334" priority="216" operator="containsText" text="GP2">
      <formula>NOT(ISERROR(SEARCH("GP2",AD14)))</formula>
    </cfRule>
    <cfRule type="containsText" dxfId="333" priority="217" operator="containsText" text="GP1">
      <formula>NOT(ISERROR(SEARCH("GP1",AD14)))</formula>
    </cfRule>
  </conditionalFormatting>
  <conditionalFormatting sqref="AD14">
    <cfRule type="containsText" dxfId="332" priority="214" operator="containsText" text="GP2">
      <formula>NOT(ISERROR(SEARCH("GP2",AD14)))</formula>
    </cfRule>
    <cfRule type="containsText" dxfId="331" priority="215" operator="containsText" text="GP1">
      <formula>NOT(ISERROR(SEARCH("GP1",AD14)))</formula>
    </cfRule>
  </conditionalFormatting>
  <conditionalFormatting sqref="AD14">
    <cfRule type="containsText" dxfId="330" priority="212" operator="containsText" text="GP2">
      <formula>NOT(ISERROR(SEARCH("GP2",AD14)))</formula>
    </cfRule>
    <cfRule type="containsText" dxfId="329" priority="213" operator="containsText" text="GP1">
      <formula>NOT(ISERROR(SEARCH("GP1",AD14)))</formula>
    </cfRule>
  </conditionalFormatting>
  <conditionalFormatting sqref="AD14">
    <cfRule type="containsText" dxfId="328" priority="210" operator="containsText" text="GP2">
      <formula>NOT(ISERROR(SEARCH("GP2",AD14)))</formula>
    </cfRule>
    <cfRule type="containsText" dxfId="327" priority="211" operator="containsText" text="GP1">
      <formula>NOT(ISERROR(SEARCH("GP1",AD14)))</formula>
    </cfRule>
  </conditionalFormatting>
  <conditionalFormatting sqref="AD14">
    <cfRule type="containsText" dxfId="326" priority="208" operator="containsText" text="GP2">
      <formula>NOT(ISERROR(SEARCH("GP2",AD14)))</formula>
    </cfRule>
    <cfRule type="containsText" dxfId="325" priority="209" operator="containsText" text="GP1">
      <formula>NOT(ISERROR(SEARCH("GP1",AD14)))</formula>
    </cfRule>
  </conditionalFormatting>
  <conditionalFormatting sqref="AD14">
    <cfRule type="containsText" dxfId="324" priority="206" operator="containsText" text="GP2">
      <formula>NOT(ISERROR(SEARCH("GP2",AD14)))</formula>
    </cfRule>
    <cfRule type="containsText" dxfId="323" priority="207" operator="containsText" text="GP1">
      <formula>NOT(ISERROR(SEARCH("GP1",AD14)))</formula>
    </cfRule>
  </conditionalFormatting>
  <conditionalFormatting sqref="AD14">
    <cfRule type="containsText" dxfId="322" priority="204" operator="containsText" text="GP2">
      <formula>NOT(ISERROR(SEARCH("GP2",AD14)))</formula>
    </cfRule>
    <cfRule type="containsText" dxfId="321" priority="205" operator="containsText" text="GP1">
      <formula>NOT(ISERROR(SEARCH("GP1",AD14)))</formula>
    </cfRule>
  </conditionalFormatting>
  <conditionalFormatting sqref="AD14">
    <cfRule type="containsText" dxfId="320" priority="202" operator="containsText" text="GP2">
      <formula>NOT(ISERROR(SEARCH("GP2",AD14)))</formula>
    </cfRule>
    <cfRule type="containsText" dxfId="319" priority="203" operator="containsText" text="GP1">
      <formula>NOT(ISERROR(SEARCH("GP1",AD14)))</formula>
    </cfRule>
  </conditionalFormatting>
  <conditionalFormatting sqref="AD14">
    <cfRule type="containsText" dxfId="318" priority="200" operator="containsText" text="GP2">
      <formula>NOT(ISERROR(SEARCH("GP2",AD14)))</formula>
    </cfRule>
    <cfRule type="containsText" dxfId="317" priority="201" operator="containsText" text="GP1">
      <formula>NOT(ISERROR(SEARCH("GP1",AD14)))</formula>
    </cfRule>
  </conditionalFormatting>
  <conditionalFormatting sqref="AD14">
    <cfRule type="containsText" dxfId="316" priority="198" operator="containsText" text="GP2">
      <formula>NOT(ISERROR(SEARCH("GP2",AD14)))</formula>
    </cfRule>
    <cfRule type="containsText" dxfId="315" priority="199" operator="containsText" text="GP1">
      <formula>NOT(ISERROR(SEARCH("GP1",AD14)))</formula>
    </cfRule>
  </conditionalFormatting>
  <conditionalFormatting sqref="AD14">
    <cfRule type="containsText" dxfId="314" priority="196" operator="containsText" text="GP2">
      <formula>NOT(ISERROR(SEARCH("GP2",AD14)))</formula>
    </cfRule>
    <cfRule type="containsText" dxfId="313" priority="197" operator="containsText" text="GP1">
      <formula>NOT(ISERROR(SEARCH("GP1",AD14)))</formula>
    </cfRule>
  </conditionalFormatting>
  <conditionalFormatting sqref="AD14">
    <cfRule type="containsText" dxfId="312" priority="194" operator="containsText" text="GP2">
      <formula>NOT(ISERROR(SEARCH("GP2",AD14)))</formula>
    </cfRule>
    <cfRule type="containsText" dxfId="311" priority="195" operator="containsText" text="GP1">
      <formula>NOT(ISERROR(SEARCH("GP1",AD14)))</formula>
    </cfRule>
  </conditionalFormatting>
  <conditionalFormatting sqref="AD14">
    <cfRule type="containsText" dxfId="310" priority="192" operator="containsText" text="GP2">
      <formula>NOT(ISERROR(SEARCH("GP2",AD14)))</formula>
    </cfRule>
    <cfRule type="containsText" dxfId="309" priority="193" operator="containsText" text="GP1">
      <formula>NOT(ISERROR(SEARCH("GP1",AD14)))</formula>
    </cfRule>
  </conditionalFormatting>
  <conditionalFormatting sqref="AD14">
    <cfRule type="containsText" dxfId="308" priority="190" operator="containsText" text="GP2">
      <formula>NOT(ISERROR(SEARCH("GP2",AD14)))</formula>
    </cfRule>
    <cfRule type="containsText" dxfId="307" priority="191" operator="containsText" text="GP1">
      <formula>NOT(ISERROR(SEARCH("GP1",AD14)))</formula>
    </cfRule>
  </conditionalFormatting>
  <conditionalFormatting sqref="AD14">
    <cfRule type="containsText" dxfId="306" priority="188" operator="containsText" text="GP2">
      <formula>NOT(ISERROR(SEARCH("GP2",AD14)))</formula>
    </cfRule>
    <cfRule type="containsText" dxfId="305" priority="189" operator="containsText" text="GP1">
      <formula>NOT(ISERROR(SEARCH("GP1",AD14)))</formula>
    </cfRule>
  </conditionalFormatting>
  <conditionalFormatting sqref="AD14">
    <cfRule type="containsText" dxfId="304" priority="186" operator="containsText" text="GP2">
      <formula>NOT(ISERROR(SEARCH("GP2",AD14)))</formula>
    </cfRule>
    <cfRule type="containsText" dxfId="303" priority="187" operator="containsText" text="GP1">
      <formula>NOT(ISERROR(SEARCH("GP1",AD14)))</formula>
    </cfRule>
  </conditionalFormatting>
  <conditionalFormatting sqref="AD14">
    <cfRule type="containsText" dxfId="302" priority="184" operator="containsText" text="GP2">
      <formula>NOT(ISERROR(SEARCH("GP2",AD14)))</formula>
    </cfRule>
    <cfRule type="containsText" dxfId="301" priority="185" operator="containsText" text="GP1">
      <formula>NOT(ISERROR(SEARCH("GP1",AD14)))</formula>
    </cfRule>
  </conditionalFormatting>
  <conditionalFormatting sqref="AD14">
    <cfRule type="containsText" dxfId="300" priority="182" operator="containsText" text="GP2">
      <formula>NOT(ISERROR(SEARCH("GP2",AD14)))</formula>
    </cfRule>
    <cfRule type="containsText" dxfId="299" priority="183" operator="containsText" text="GP1">
      <formula>NOT(ISERROR(SEARCH("GP1",AD14)))</formula>
    </cfRule>
  </conditionalFormatting>
  <conditionalFormatting sqref="AD14">
    <cfRule type="containsText" dxfId="298" priority="180" operator="containsText" text="GP2">
      <formula>NOT(ISERROR(SEARCH("GP2",AD14)))</formula>
    </cfRule>
    <cfRule type="containsText" dxfId="297" priority="181" operator="containsText" text="GP1">
      <formula>NOT(ISERROR(SEARCH("GP1",AD14)))</formula>
    </cfRule>
  </conditionalFormatting>
  <conditionalFormatting sqref="AD14">
    <cfRule type="containsText" dxfId="296" priority="178" operator="containsText" text="GP2">
      <formula>NOT(ISERROR(SEARCH("GP2",AD14)))</formula>
    </cfRule>
    <cfRule type="containsText" dxfId="295" priority="179" operator="containsText" text="GP1">
      <formula>NOT(ISERROR(SEARCH("GP1",AD14)))</formula>
    </cfRule>
  </conditionalFormatting>
  <conditionalFormatting sqref="AD14">
    <cfRule type="containsText" dxfId="294" priority="176" operator="containsText" text="GP2">
      <formula>NOT(ISERROR(SEARCH("GP2",AD14)))</formula>
    </cfRule>
    <cfRule type="containsText" dxfId="293" priority="177" operator="containsText" text="GP1">
      <formula>NOT(ISERROR(SEARCH("GP1",AD14)))</formula>
    </cfRule>
  </conditionalFormatting>
  <conditionalFormatting sqref="AD14">
    <cfRule type="containsText" dxfId="292" priority="174" operator="containsText" text="GP2">
      <formula>NOT(ISERROR(SEARCH("GP2",AD14)))</formula>
    </cfRule>
    <cfRule type="containsText" dxfId="291" priority="175" operator="containsText" text="GP1">
      <formula>NOT(ISERROR(SEARCH("GP1",AD14)))</formula>
    </cfRule>
  </conditionalFormatting>
  <conditionalFormatting sqref="AD14">
    <cfRule type="containsText" dxfId="290" priority="172" operator="containsText" text="GP2">
      <formula>NOT(ISERROR(SEARCH("GP2",AD14)))</formula>
    </cfRule>
    <cfRule type="containsText" dxfId="289" priority="173" operator="containsText" text="GP1">
      <formula>NOT(ISERROR(SEARCH("GP1",AD14)))</formula>
    </cfRule>
  </conditionalFormatting>
  <conditionalFormatting sqref="AD14">
    <cfRule type="containsText" dxfId="288" priority="170" operator="containsText" text="GP2">
      <formula>NOT(ISERROR(SEARCH("GP2",AD14)))</formula>
    </cfRule>
    <cfRule type="containsText" dxfId="287" priority="171" operator="containsText" text="GP1">
      <formula>NOT(ISERROR(SEARCH("GP1",AD14)))</formula>
    </cfRule>
  </conditionalFormatting>
  <conditionalFormatting sqref="AD14">
    <cfRule type="containsText" dxfId="286" priority="168" operator="containsText" text="GP2">
      <formula>NOT(ISERROR(SEARCH("GP2",AD14)))</formula>
    </cfRule>
    <cfRule type="containsText" dxfId="285" priority="169" operator="containsText" text="GP1">
      <formula>NOT(ISERROR(SEARCH("GP1",AD14)))</formula>
    </cfRule>
  </conditionalFormatting>
  <conditionalFormatting sqref="AD14">
    <cfRule type="containsText" dxfId="284" priority="166" operator="containsText" text="GP2">
      <formula>NOT(ISERROR(SEARCH("GP2",AD14)))</formula>
    </cfRule>
    <cfRule type="containsText" dxfId="283" priority="167" operator="containsText" text="GP1">
      <formula>NOT(ISERROR(SEARCH("GP1",AD14)))</formula>
    </cfRule>
  </conditionalFormatting>
  <conditionalFormatting sqref="AD14">
    <cfRule type="containsText" dxfId="282" priority="164" operator="containsText" text="GP2">
      <formula>NOT(ISERROR(SEARCH("GP2",AD14)))</formula>
    </cfRule>
    <cfRule type="containsText" dxfId="281" priority="165" operator="containsText" text="GP1">
      <formula>NOT(ISERROR(SEARCH("GP1",AD14)))</formula>
    </cfRule>
  </conditionalFormatting>
  <conditionalFormatting sqref="AD14">
    <cfRule type="containsText" dxfId="280" priority="162" operator="containsText" text="GP2">
      <formula>NOT(ISERROR(SEARCH("GP2",AD14)))</formula>
    </cfRule>
    <cfRule type="containsText" dxfId="279" priority="163" operator="containsText" text="GP1">
      <formula>NOT(ISERROR(SEARCH("GP1",AD14)))</formula>
    </cfRule>
  </conditionalFormatting>
  <conditionalFormatting sqref="AD14">
    <cfRule type="containsText" dxfId="278" priority="160" operator="containsText" text="GP2">
      <formula>NOT(ISERROR(SEARCH("GP2",AD14)))</formula>
    </cfRule>
    <cfRule type="containsText" dxfId="277" priority="161" operator="containsText" text="GP1">
      <formula>NOT(ISERROR(SEARCH("GP1",AD14)))</formula>
    </cfRule>
  </conditionalFormatting>
  <conditionalFormatting sqref="AD14">
    <cfRule type="containsText" dxfId="276" priority="158" operator="containsText" text="GP2">
      <formula>NOT(ISERROR(SEARCH("GP2",AD14)))</formula>
    </cfRule>
    <cfRule type="containsText" dxfId="275" priority="159" operator="containsText" text="GP1">
      <formula>NOT(ISERROR(SEARCH("GP1",AD14)))</formula>
    </cfRule>
  </conditionalFormatting>
  <conditionalFormatting sqref="AD14">
    <cfRule type="containsText" dxfId="274" priority="156" operator="containsText" text="GP2">
      <formula>NOT(ISERROR(SEARCH("GP2",AD14)))</formula>
    </cfRule>
    <cfRule type="containsText" dxfId="273" priority="157" operator="containsText" text="GP1">
      <formula>NOT(ISERROR(SEARCH("GP1",AD14)))</formula>
    </cfRule>
  </conditionalFormatting>
  <conditionalFormatting sqref="AD14">
    <cfRule type="containsText" dxfId="272" priority="154" operator="containsText" text="GP2">
      <formula>NOT(ISERROR(SEARCH("GP2",AD14)))</formula>
    </cfRule>
    <cfRule type="containsText" dxfId="271" priority="155" operator="containsText" text="GP1">
      <formula>NOT(ISERROR(SEARCH("GP1",AD14)))</formula>
    </cfRule>
  </conditionalFormatting>
  <conditionalFormatting sqref="AD14">
    <cfRule type="containsText" dxfId="270" priority="152" operator="containsText" text="GP2">
      <formula>NOT(ISERROR(SEARCH("GP2",AD14)))</formula>
    </cfRule>
    <cfRule type="containsText" dxfId="269" priority="153" operator="containsText" text="GP1">
      <formula>NOT(ISERROR(SEARCH("GP1",AD14)))</formula>
    </cfRule>
  </conditionalFormatting>
  <conditionalFormatting sqref="AD14">
    <cfRule type="containsText" dxfId="268" priority="150" operator="containsText" text="GP2">
      <formula>NOT(ISERROR(SEARCH("GP2",AD14)))</formula>
    </cfRule>
    <cfRule type="containsText" dxfId="267" priority="151" operator="containsText" text="GP1">
      <formula>NOT(ISERROR(SEARCH("GP1",AD14)))</formula>
    </cfRule>
  </conditionalFormatting>
  <conditionalFormatting sqref="AD14">
    <cfRule type="containsText" dxfId="266" priority="148" operator="containsText" text="GP2">
      <formula>NOT(ISERROR(SEARCH("GP2",AD14)))</formula>
    </cfRule>
    <cfRule type="containsText" dxfId="265" priority="149" operator="containsText" text="GP1">
      <formula>NOT(ISERROR(SEARCH("GP1",AD14)))</formula>
    </cfRule>
  </conditionalFormatting>
  <conditionalFormatting sqref="AD14">
    <cfRule type="containsText" dxfId="264" priority="146" operator="containsText" text="GP2">
      <formula>NOT(ISERROR(SEARCH("GP2",AD14)))</formula>
    </cfRule>
    <cfRule type="containsText" dxfId="263" priority="147" operator="containsText" text="GP1">
      <formula>NOT(ISERROR(SEARCH("GP1",AD14)))</formula>
    </cfRule>
  </conditionalFormatting>
  <conditionalFormatting sqref="AD14">
    <cfRule type="containsText" dxfId="262" priority="144" operator="containsText" text="GP2">
      <formula>NOT(ISERROR(SEARCH("GP2",AD14)))</formula>
    </cfRule>
    <cfRule type="containsText" dxfId="261" priority="145" operator="containsText" text="GP1">
      <formula>NOT(ISERROR(SEARCH("GP1",AD14)))</formula>
    </cfRule>
  </conditionalFormatting>
  <conditionalFormatting sqref="AD14">
    <cfRule type="containsText" dxfId="260" priority="142" operator="containsText" text="GP2">
      <formula>NOT(ISERROR(SEARCH("GP2",AD14)))</formula>
    </cfRule>
    <cfRule type="containsText" dxfId="259" priority="143" operator="containsText" text="GP1">
      <formula>NOT(ISERROR(SEARCH("GP1",AD14)))</formula>
    </cfRule>
  </conditionalFormatting>
  <conditionalFormatting sqref="AD14">
    <cfRule type="containsText" dxfId="258" priority="140" operator="containsText" text="GP2">
      <formula>NOT(ISERROR(SEARCH("GP2",AD14)))</formula>
    </cfRule>
    <cfRule type="containsText" dxfId="257" priority="141" operator="containsText" text="GP1">
      <formula>NOT(ISERROR(SEARCH("GP1",AD14)))</formula>
    </cfRule>
  </conditionalFormatting>
  <conditionalFormatting sqref="AD14">
    <cfRule type="containsText" dxfId="256" priority="138" operator="containsText" text="GP2">
      <formula>NOT(ISERROR(SEARCH("GP2",AD14)))</formula>
    </cfRule>
    <cfRule type="containsText" dxfId="255" priority="139" operator="containsText" text="GP1">
      <formula>NOT(ISERROR(SEARCH("GP1",AD14)))</formula>
    </cfRule>
  </conditionalFormatting>
  <conditionalFormatting sqref="AD14">
    <cfRule type="containsText" dxfId="254" priority="136" operator="containsText" text="GP2">
      <formula>NOT(ISERROR(SEARCH("GP2",AD14)))</formula>
    </cfRule>
    <cfRule type="containsText" dxfId="253" priority="137" operator="containsText" text="GP1">
      <formula>NOT(ISERROR(SEARCH("GP1",AD14)))</formula>
    </cfRule>
  </conditionalFormatting>
  <conditionalFormatting sqref="AD14">
    <cfRule type="containsText" dxfId="252" priority="134" operator="containsText" text="GP2">
      <formula>NOT(ISERROR(SEARCH("GP2",AD14)))</formula>
    </cfRule>
    <cfRule type="containsText" dxfId="251" priority="135" operator="containsText" text="GP1">
      <formula>NOT(ISERROR(SEARCH("GP1",AD14)))</formula>
    </cfRule>
  </conditionalFormatting>
  <conditionalFormatting sqref="AD14">
    <cfRule type="containsText" dxfId="250" priority="132" operator="containsText" text="GP2">
      <formula>NOT(ISERROR(SEARCH("GP2",AD14)))</formula>
    </cfRule>
    <cfRule type="containsText" dxfId="249" priority="133" operator="containsText" text="GP1">
      <formula>NOT(ISERROR(SEARCH("GP1",AD14)))</formula>
    </cfRule>
  </conditionalFormatting>
  <conditionalFormatting sqref="AD14">
    <cfRule type="containsText" dxfId="248" priority="130" operator="containsText" text="GP2">
      <formula>NOT(ISERROR(SEARCH("GP2",AD14)))</formula>
    </cfRule>
    <cfRule type="containsText" dxfId="247" priority="131" operator="containsText" text="GP1">
      <formula>NOT(ISERROR(SEARCH("GP1",AD14)))</formula>
    </cfRule>
  </conditionalFormatting>
  <conditionalFormatting sqref="AD14">
    <cfRule type="containsText" dxfId="246" priority="128" operator="containsText" text="GP2">
      <formula>NOT(ISERROR(SEARCH("GP2",AD14)))</formula>
    </cfRule>
    <cfRule type="containsText" dxfId="245" priority="129" operator="containsText" text="GP1">
      <formula>NOT(ISERROR(SEARCH("GP1",AD14)))</formula>
    </cfRule>
  </conditionalFormatting>
  <conditionalFormatting sqref="AD14">
    <cfRule type="containsText" dxfId="244" priority="126" operator="containsText" text="GP2">
      <formula>NOT(ISERROR(SEARCH("GP2",AD14)))</formula>
    </cfRule>
    <cfRule type="containsText" dxfId="243" priority="127" operator="containsText" text="GP1">
      <formula>NOT(ISERROR(SEARCH("GP1",AD14)))</formula>
    </cfRule>
  </conditionalFormatting>
  <conditionalFormatting sqref="AD14">
    <cfRule type="containsText" dxfId="242" priority="124" operator="containsText" text="GP2">
      <formula>NOT(ISERROR(SEARCH("GP2",AD14)))</formula>
    </cfRule>
    <cfRule type="containsText" dxfId="241" priority="125" operator="containsText" text="GP1">
      <formula>NOT(ISERROR(SEARCH("GP1",AD14)))</formula>
    </cfRule>
  </conditionalFormatting>
  <conditionalFormatting sqref="AD14">
    <cfRule type="containsText" dxfId="240" priority="122" operator="containsText" text="GP2">
      <formula>NOT(ISERROR(SEARCH("GP2",AD14)))</formula>
    </cfRule>
    <cfRule type="containsText" dxfId="239" priority="123" operator="containsText" text="GP1">
      <formula>NOT(ISERROR(SEARCH("GP1",AD14)))</formula>
    </cfRule>
  </conditionalFormatting>
  <conditionalFormatting sqref="AD14">
    <cfRule type="containsText" dxfId="238" priority="120" operator="containsText" text="GP2">
      <formula>NOT(ISERROR(SEARCH("GP2",AD14)))</formula>
    </cfRule>
    <cfRule type="containsText" dxfId="237" priority="121" operator="containsText" text="GP1">
      <formula>NOT(ISERROR(SEARCH("GP1",AD14)))</formula>
    </cfRule>
  </conditionalFormatting>
  <conditionalFormatting sqref="AD14">
    <cfRule type="containsText" dxfId="236" priority="118" operator="containsText" text="GP2">
      <formula>NOT(ISERROR(SEARCH("GP2",AD14)))</formula>
    </cfRule>
    <cfRule type="containsText" dxfId="235" priority="119" operator="containsText" text="GP1">
      <formula>NOT(ISERROR(SEARCH("GP1",AD14)))</formula>
    </cfRule>
  </conditionalFormatting>
  <conditionalFormatting sqref="AD14">
    <cfRule type="containsText" dxfId="234" priority="116" operator="containsText" text="GP2">
      <formula>NOT(ISERROR(SEARCH("GP2",AD14)))</formula>
    </cfRule>
    <cfRule type="containsText" dxfId="233" priority="117" operator="containsText" text="GP1">
      <formula>NOT(ISERROR(SEARCH("GP1",AD14)))</formula>
    </cfRule>
  </conditionalFormatting>
  <conditionalFormatting sqref="AD14">
    <cfRule type="containsText" dxfId="232" priority="114" operator="containsText" text="GP2">
      <formula>NOT(ISERROR(SEARCH("GP2",AD14)))</formula>
    </cfRule>
    <cfRule type="containsText" dxfId="231" priority="115" operator="containsText" text="GP1">
      <formula>NOT(ISERROR(SEARCH("GP1",AD14)))</formula>
    </cfRule>
  </conditionalFormatting>
  <conditionalFormatting sqref="AD14">
    <cfRule type="containsText" dxfId="230" priority="112" operator="containsText" text="GP2">
      <formula>NOT(ISERROR(SEARCH("GP2",AD14)))</formula>
    </cfRule>
    <cfRule type="containsText" dxfId="229" priority="113" operator="containsText" text="GP1">
      <formula>NOT(ISERROR(SEARCH("GP1",AD14)))</formula>
    </cfRule>
  </conditionalFormatting>
  <conditionalFormatting sqref="AD14">
    <cfRule type="containsText" dxfId="228" priority="110" operator="containsText" text="GP2">
      <formula>NOT(ISERROR(SEARCH("GP2",AD14)))</formula>
    </cfRule>
    <cfRule type="containsText" dxfId="227" priority="111" operator="containsText" text="GP1">
      <formula>NOT(ISERROR(SEARCH("GP1",AD14)))</formula>
    </cfRule>
  </conditionalFormatting>
  <conditionalFormatting sqref="AD14">
    <cfRule type="containsText" dxfId="226" priority="108" operator="containsText" text="GP2">
      <formula>NOT(ISERROR(SEARCH("GP2",AD14)))</formula>
    </cfRule>
    <cfRule type="containsText" dxfId="225" priority="109" operator="containsText" text="GP1">
      <formula>NOT(ISERROR(SEARCH("GP1",AD14)))</formula>
    </cfRule>
  </conditionalFormatting>
  <conditionalFormatting sqref="AD14">
    <cfRule type="containsText" dxfId="224" priority="106" operator="containsText" text="GP2">
      <formula>NOT(ISERROR(SEARCH("GP2",AD14)))</formula>
    </cfRule>
    <cfRule type="containsText" dxfId="223" priority="107" operator="containsText" text="GP1">
      <formula>NOT(ISERROR(SEARCH("GP1",AD14)))</formula>
    </cfRule>
  </conditionalFormatting>
  <conditionalFormatting sqref="AD14">
    <cfRule type="containsText" dxfId="222" priority="104" operator="containsText" text="GP2">
      <formula>NOT(ISERROR(SEARCH("GP2",AD14)))</formula>
    </cfRule>
    <cfRule type="containsText" dxfId="221" priority="105" operator="containsText" text="GP1">
      <formula>NOT(ISERROR(SEARCH("GP1",AD14)))</formula>
    </cfRule>
  </conditionalFormatting>
  <conditionalFormatting sqref="AD14">
    <cfRule type="containsText" dxfId="220" priority="102" operator="containsText" text="GP2">
      <formula>NOT(ISERROR(SEARCH("GP2",AD14)))</formula>
    </cfRule>
    <cfRule type="containsText" dxfId="219" priority="103" operator="containsText" text="GP1">
      <formula>NOT(ISERROR(SEARCH("GP1",AD14)))</formula>
    </cfRule>
  </conditionalFormatting>
  <conditionalFormatting sqref="AD14">
    <cfRule type="containsText" dxfId="218" priority="100" operator="containsText" text="GP2">
      <formula>NOT(ISERROR(SEARCH("GP2",AD14)))</formula>
    </cfRule>
    <cfRule type="containsText" dxfId="217" priority="101" operator="containsText" text="GP1">
      <formula>NOT(ISERROR(SEARCH("GP1",AD14)))</formula>
    </cfRule>
  </conditionalFormatting>
  <conditionalFormatting sqref="AD14">
    <cfRule type="containsText" dxfId="216" priority="98" operator="containsText" text="GP2">
      <formula>NOT(ISERROR(SEARCH("GP2",AD14)))</formula>
    </cfRule>
    <cfRule type="containsText" dxfId="215" priority="99" operator="containsText" text="GP1">
      <formula>NOT(ISERROR(SEARCH("GP1",AD14)))</formula>
    </cfRule>
  </conditionalFormatting>
  <conditionalFormatting sqref="AD14">
    <cfRule type="containsText" dxfId="214" priority="96" operator="containsText" text="GP2">
      <formula>NOT(ISERROR(SEARCH("GP2",AD14)))</formula>
    </cfRule>
    <cfRule type="containsText" dxfId="213" priority="97" operator="containsText" text="GP1">
      <formula>NOT(ISERROR(SEARCH("GP1",AD14)))</formula>
    </cfRule>
  </conditionalFormatting>
  <conditionalFormatting sqref="AD14">
    <cfRule type="containsText" dxfId="212" priority="94" operator="containsText" text="GP2">
      <formula>NOT(ISERROR(SEARCH("GP2",AD14)))</formula>
    </cfRule>
    <cfRule type="containsText" dxfId="211" priority="95" operator="containsText" text="GP1">
      <formula>NOT(ISERROR(SEARCH("GP1",AD14)))</formula>
    </cfRule>
  </conditionalFormatting>
  <conditionalFormatting sqref="AD14">
    <cfRule type="containsText" dxfId="210" priority="92" operator="containsText" text="GP2">
      <formula>NOT(ISERROR(SEARCH("GP2",AD14)))</formula>
    </cfRule>
    <cfRule type="containsText" dxfId="209" priority="93" operator="containsText" text="GP1">
      <formula>NOT(ISERROR(SEARCH("GP1",AD14)))</formula>
    </cfRule>
  </conditionalFormatting>
  <conditionalFormatting sqref="AD14">
    <cfRule type="containsText" dxfId="208" priority="90" operator="containsText" text="GP2">
      <formula>NOT(ISERROR(SEARCH("GP2",AD14)))</formula>
    </cfRule>
    <cfRule type="containsText" dxfId="207" priority="91" operator="containsText" text="GP1">
      <formula>NOT(ISERROR(SEARCH("GP1",AD14)))</formula>
    </cfRule>
  </conditionalFormatting>
  <conditionalFormatting sqref="AD14">
    <cfRule type="containsText" dxfId="206" priority="88" operator="containsText" text="GP2">
      <formula>NOT(ISERROR(SEARCH("GP2",AD14)))</formula>
    </cfRule>
    <cfRule type="containsText" dxfId="205" priority="89" operator="containsText" text="GP1">
      <formula>NOT(ISERROR(SEARCH("GP1",AD14)))</formula>
    </cfRule>
  </conditionalFormatting>
  <conditionalFormatting sqref="AD14">
    <cfRule type="containsText" dxfId="204" priority="86" operator="containsText" text="GP2">
      <formula>NOT(ISERROR(SEARCH("GP2",AD14)))</formula>
    </cfRule>
    <cfRule type="containsText" dxfId="203" priority="87" operator="containsText" text="GP1">
      <formula>NOT(ISERROR(SEARCH("GP1",AD14)))</formula>
    </cfRule>
  </conditionalFormatting>
  <conditionalFormatting sqref="AD14">
    <cfRule type="containsText" dxfId="202" priority="84" operator="containsText" text="GP2">
      <formula>NOT(ISERROR(SEARCH("GP2",AD14)))</formula>
    </cfRule>
    <cfRule type="containsText" dxfId="201" priority="85" operator="containsText" text="GP1">
      <formula>NOT(ISERROR(SEARCH("GP1",AD14)))</formula>
    </cfRule>
  </conditionalFormatting>
  <conditionalFormatting sqref="AD14">
    <cfRule type="containsText" dxfId="200" priority="82" operator="containsText" text="GP2">
      <formula>NOT(ISERROR(SEARCH("GP2",AD14)))</formula>
    </cfRule>
    <cfRule type="containsText" dxfId="199" priority="83" operator="containsText" text="GP1">
      <formula>NOT(ISERROR(SEARCH("GP1",AD14)))</formula>
    </cfRule>
  </conditionalFormatting>
  <conditionalFormatting sqref="AD14">
    <cfRule type="containsText" dxfId="198" priority="80" operator="containsText" text="GP2">
      <formula>NOT(ISERROR(SEARCH("GP2",AD14)))</formula>
    </cfRule>
    <cfRule type="containsText" dxfId="197" priority="81" operator="containsText" text="GP1">
      <formula>NOT(ISERROR(SEARCH("GP1",AD14)))</formula>
    </cfRule>
  </conditionalFormatting>
  <conditionalFormatting sqref="AD14">
    <cfRule type="containsText" dxfId="196" priority="78" operator="containsText" text="GP2">
      <formula>NOT(ISERROR(SEARCH("GP2",AD14)))</formula>
    </cfRule>
    <cfRule type="containsText" dxfId="195" priority="79" operator="containsText" text="GP1">
      <formula>NOT(ISERROR(SEARCH("GP1",AD14)))</formula>
    </cfRule>
  </conditionalFormatting>
  <conditionalFormatting sqref="AD14">
    <cfRule type="containsText" dxfId="194" priority="76" operator="containsText" text="GP2">
      <formula>NOT(ISERROR(SEARCH("GP2",AD14)))</formula>
    </cfRule>
    <cfRule type="containsText" dxfId="193" priority="77" operator="containsText" text="GP1">
      <formula>NOT(ISERROR(SEARCH("GP1",AD14)))</formula>
    </cfRule>
  </conditionalFormatting>
  <conditionalFormatting sqref="AD14">
    <cfRule type="containsText" dxfId="192" priority="74" operator="containsText" text="GP2">
      <formula>NOT(ISERROR(SEARCH("GP2",AD14)))</formula>
    </cfRule>
    <cfRule type="containsText" dxfId="191" priority="75" operator="containsText" text="GP1">
      <formula>NOT(ISERROR(SEARCH("GP1",AD14)))</formula>
    </cfRule>
  </conditionalFormatting>
  <conditionalFormatting sqref="AD14">
    <cfRule type="containsText" dxfId="190" priority="72" operator="containsText" text="GP2">
      <formula>NOT(ISERROR(SEARCH("GP2",AD14)))</formula>
    </cfRule>
    <cfRule type="containsText" dxfId="189" priority="73" operator="containsText" text="GP1">
      <formula>NOT(ISERROR(SEARCH("GP1",AD14)))</formula>
    </cfRule>
  </conditionalFormatting>
  <conditionalFormatting sqref="AD14">
    <cfRule type="containsText" dxfId="188" priority="70" operator="containsText" text="GP2">
      <formula>NOT(ISERROR(SEARCH("GP2",AD14)))</formula>
    </cfRule>
    <cfRule type="containsText" dxfId="187" priority="71" operator="containsText" text="GP1">
      <formula>NOT(ISERROR(SEARCH("GP1",AD14)))</formula>
    </cfRule>
  </conditionalFormatting>
  <conditionalFormatting sqref="AD14">
    <cfRule type="containsText" dxfId="186" priority="68" operator="containsText" text="GP2">
      <formula>NOT(ISERROR(SEARCH("GP2",AD14)))</formula>
    </cfRule>
    <cfRule type="containsText" dxfId="185" priority="69" operator="containsText" text="GP1">
      <formula>NOT(ISERROR(SEARCH("GP1",AD14)))</formula>
    </cfRule>
  </conditionalFormatting>
  <conditionalFormatting sqref="AD14">
    <cfRule type="containsText" dxfId="184" priority="66" operator="containsText" text="GP2">
      <formula>NOT(ISERROR(SEARCH("GP2",AD14)))</formula>
    </cfRule>
    <cfRule type="containsText" dxfId="183" priority="67" operator="containsText" text="GP1">
      <formula>NOT(ISERROR(SEARCH("GP1",AD14)))</formula>
    </cfRule>
  </conditionalFormatting>
  <conditionalFormatting sqref="AD14">
    <cfRule type="containsText" dxfId="182" priority="64" operator="containsText" text="GP2">
      <formula>NOT(ISERROR(SEARCH("GP2",AD14)))</formula>
    </cfRule>
    <cfRule type="containsText" dxfId="181" priority="65" operator="containsText" text="GP1">
      <formula>NOT(ISERROR(SEARCH("GP1",AD14)))</formula>
    </cfRule>
  </conditionalFormatting>
  <conditionalFormatting sqref="AD14">
    <cfRule type="containsText" dxfId="180" priority="62" operator="containsText" text="GP2">
      <formula>NOT(ISERROR(SEARCH("GP2",AD14)))</formula>
    </cfRule>
    <cfRule type="containsText" dxfId="179" priority="63" operator="containsText" text="GP1">
      <formula>NOT(ISERROR(SEARCH("GP1",AD14)))</formula>
    </cfRule>
  </conditionalFormatting>
  <conditionalFormatting sqref="AD14">
    <cfRule type="containsText" dxfId="178" priority="60" operator="containsText" text="GP2">
      <formula>NOT(ISERROR(SEARCH("GP2",AD14)))</formula>
    </cfRule>
    <cfRule type="containsText" dxfId="177" priority="61" operator="containsText" text="GP1">
      <formula>NOT(ISERROR(SEARCH("GP1",AD14)))</formula>
    </cfRule>
  </conditionalFormatting>
  <conditionalFormatting sqref="AD14">
    <cfRule type="containsText" dxfId="176" priority="58" operator="containsText" text="GP2">
      <formula>NOT(ISERROR(SEARCH("GP2",AD14)))</formula>
    </cfRule>
    <cfRule type="containsText" dxfId="175" priority="59" operator="containsText" text="GP1">
      <formula>NOT(ISERROR(SEARCH("GP1",AD14)))</formula>
    </cfRule>
  </conditionalFormatting>
  <conditionalFormatting sqref="AD14">
    <cfRule type="containsText" dxfId="174" priority="56" operator="containsText" text="GP2">
      <formula>NOT(ISERROR(SEARCH("GP2",AD14)))</formula>
    </cfRule>
    <cfRule type="containsText" dxfId="173" priority="57" operator="containsText" text="GP1">
      <formula>NOT(ISERROR(SEARCH("GP1",AD14)))</formula>
    </cfRule>
  </conditionalFormatting>
  <conditionalFormatting sqref="AD14">
    <cfRule type="containsText" dxfId="172" priority="54" operator="containsText" text="GP2">
      <formula>NOT(ISERROR(SEARCH("GP2",AD14)))</formula>
    </cfRule>
    <cfRule type="containsText" dxfId="171" priority="55" operator="containsText" text="GP1">
      <formula>NOT(ISERROR(SEARCH("GP1",AD14)))</formula>
    </cfRule>
  </conditionalFormatting>
  <conditionalFormatting sqref="AD14">
    <cfRule type="containsText" dxfId="170" priority="52" operator="containsText" text="GP2">
      <formula>NOT(ISERROR(SEARCH("GP2",AD14)))</formula>
    </cfRule>
    <cfRule type="containsText" dxfId="169" priority="53" operator="containsText" text="GP1">
      <formula>NOT(ISERROR(SEARCH("GP1",AD14)))</formula>
    </cfRule>
  </conditionalFormatting>
  <conditionalFormatting sqref="AD14">
    <cfRule type="containsText" dxfId="168" priority="50" operator="containsText" text="GP2">
      <formula>NOT(ISERROR(SEARCH("GP2",AD14)))</formula>
    </cfRule>
    <cfRule type="containsText" dxfId="167" priority="51" operator="containsText" text="GP1">
      <formula>NOT(ISERROR(SEARCH("GP1",AD14)))</formula>
    </cfRule>
  </conditionalFormatting>
  <conditionalFormatting sqref="AD14">
    <cfRule type="containsText" dxfId="166" priority="48" operator="containsText" text="GP2">
      <formula>NOT(ISERROR(SEARCH("GP2",AD14)))</formula>
    </cfRule>
    <cfRule type="containsText" dxfId="165" priority="49" operator="containsText" text="GP1">
      <formula>NOT(ISERROR(SEARCH("GP1",AD14)))</formula>
    </cfRule>
  </conditionalFormatting>
  <conditionalFormatting sqref="AD14">
    <cfRule type="containsText" dxfId="164" priority="46" operator="containsText" text="GP2">
      <formula>NOT(ISERROR(SEARCH("GP2",AD14)))</formula>
    </cfRule>
    <cfRule type="containsText" dxfId="163" priority="47" operator="containsText" text="GP1">
      <formula>NOT(ISERROR(SEARCH("GP1",AD14)))</formula>
    </cfRule>
  </conditionalFormatting>
  <conditionalFormatting sqref="AD14">
    <cfRule type="containsText" dxfId="162" priority="44" operator="containsText" text="GP2">
      <formula>NOT(ISERROR(SEARCH("GP2",AD14)))</formula>
    </cfRule>
    <cfRule type="containsText" dxfId="161" priority="45" operator="containsText" text="GP1">
      <formula>NOT(ISERROR(SEARCH("GP1",AD14)))</formula>
    </cfRule>
  </conditionalFormatting>
  <conditionalFormatting sqref="AD14">
    <cfRule type="containsText" dxfId="160" priority="42" operator="containsText" text="GP2">
      <formula>NOT(ISERROR(SEARCH("GP2",AD14)))</formula>
    </cfRule>
    <cfRule type="containsText" dxfId="159" priority="43" operator="containsText" text="GP1">
      <formula>NOT(ISERROR(SEARCH("GP1",AD14)))</formula>
    </cfRule>
  </conditionalFormatting>
  <conditionalFormatting sqref="AD14">
    <cfRule type="containsText" dxfId="158" priority="40" operator="containsText" text="GP2">
      <formula>NOT(ISERROR(SEARCH("GP2",AD14)))</formula>
    </cfRule>
    <cfRule type="containsText" dxfId="157" priority="41" operator="containsText" text="GP1">
      <formula>NOT(ISERROR(SEARCH("GP1",AD14)))</formula>
    </cfRule>
  </conditionalFormatting>
  <conditionalFormatting sqref="AD14">
    <cfRule type="containsText" dxfId="156" priority="38" operator="containsText" text="GP2">
      <formula>NOT(ISERROR(SEARCH("GP2",AD14)))</formula>
    </cfRule>
    <cfRule type="containsText" dxfId="155" priority="39" operator="containsText" text="GP1">
      <formula>NOT(ISERROR(SEARCH("GP1",AD14)))</formula>
    </cfRule>
  </conditionalFormatting>
  <conditionalFormatting sqref="AD14">
    <cfRule type="containsText" dxfId="154" priority="36" operator="containsText" text="GP2">
      <formula>NOT(ISERROR(SEARCH("GP2",AD14)))</formula>
    </cfRule>
    <cfRule type="containsText" dxfId="153" priority="37" operator="containsText" text="GP1">
      <formula>NOT(ISERROR(SEARCH("GP1",AD14)))</formula>
    </cfRule>
  </conditionalFormatting>
  <conditionalFormatting sqref="AD14">
    <cfRule type="containsText" dxfId="152" priority="34" operator="containsText" text="GP2">
      <formula>NOT(ISERROR(SEARCH("GP2",AD14)))</formula>
    </cfRule>
    <cfRule type="containsText" dxfId="151" priority="35" operator="containsText" text="GP1">
      <formula>NOT(ISERROR(SEARCH("GP1",AD14)))</formula>
    </cfRule>
  </conditionalFormatting>
  <conditionalFormatting sqref="AD14">
    <cfRule type="containsText" dxfId="150" priority="32" operator="containsText" text="GP2">
      <formula>NOT(ISERROR(SEARCH("GP2",AD14)))</formula>
    </cfRule>
    <cfRule type="containsText" dxfId="149" priority="33" operator="containsText" text="GP1">
      <formula>NOT(ISERROR(SEARCH("GP1",AD14)))</formula>
    </cfRule>
  </conditionalFormatting>
  <conditionalFormatting sqref="AD14">
    <cfRule type="containsText" dxfId="148" priority="30" operator="containsText" text="GP2">
      <formula>NOT(ISERROR(SEARCH("GP2",AD14)))</formula>
    </cfRule>
    <cfRule type="containsText" dxfId="147" priority="31" operator="containsText" text="GP1">
      <formula>NOT(ISERROR(SEARCH("GP1",AD14)))</formula>
    </cfRule>
  </conditionalFormatting>
  <conditionalFormatting sqref="AD14">
    <cfRule type="containsText" dxfId="146" priority="28" operator="containsText" text="GP2">
      <formula>NOT(ISERROR(SEARCH("GP2",AD14)))</formula>
    </cfRule>
    <cfRule type="containsText" dxfId="145" priority="29" operator="containsText" text="GP1">
      <formula>NOT(ISERROR(SEARCH("GP1",AD14)))</formula>
    </cfRule>
  </conditionalFormatting>
  <conditionalFormatting sqref="AD14">
    <cfRule type="containsText" dxfId="144" priority="26" operator="containsText" text="GP2">
      <formula>NOT(ISERROR(SEARCH("GP2",AD14)))</formula>
    </cfRule>
    <cfRule type="containsText" dxfId="143" priority="27" operator="containsText" text="GP1">
      <formula>NOT(ISERROR(SEARCH("GP1",AD14)))</formula>
    </cfRule>
  </conditionalFormatting>
  <conditionalFormatting sqref="AD14">
    <cfRule type="containsText" dxfId="142" priority="24" operator="containsText" text="GP2">
      <formula>NOT(ISERROR(SEARCH("GP2",AD14)))</formula>
    </cfRule>
    <cfRule type="containsText" dxfId="141" priority="25" operator="containsText" text="GP1">
      <formula>NOT(ISERROR(SEARCH("GP1",AD14)))</formula>
    </cfRule>
  </conditionalFormatting>
  <conditionalFormatting sqref="AD14">
    <cfRule type="containsText" dxfId="140" priority="22" operator="containsText" text="GP2">
      <formula>NOT(ISERROR(SEARCH("GP2",AD14)))</formula>
    </cfRule>
    <cfRule type="containsText" dxfId="139" priority="23" operator="containsText" text="GP1">
      <formula>NOT(ISERROR(SEARCH("GP1",AD14)))</formula>
    </cfRule>
  </conditionalFormatting>
  <conditionalFormatting sqref="AD14">
    <cfRule type="containsText" dxfId="138" priority="20" operator="containsText" text="GP2">
      <formula>NOT(ISERROR(SEARCH("GP2",AD14)))</formula>
    </cfRule>
    <cfRule type="containsText" dxfId="137" priority="21" operator="containsText" text="GP1">
      <formula>NOT(ISERROR(SEARCH("GP1",AD14)))</formula>
    </cfRule>
  </conditionalFormatting>
  <conditionalFormatting sqref="AD14">
    <cfRule type="containsText" dxfId="136" priority="18" operator="containsText" text="GP2">
      <formula>NOT(ISERROR(SEARCH("GP2",AD14)))</formula>
    </cfRule>
    <cfRule type="containsText" dxfId="135" priority="19" operator="containsText" text="GP1">
      <formula>NOT(ISERROR(SEARCH("GP1",AD14)))</formula>
    </cfRule>
  </conditionalFormatting>
  <conditionalFormatting sqref="AD14">
    <cfRule type="containsText" dxfId="134" priority="16" operator="containsText" text="GP2">
      <formula>NOT(ISERROR(SEARCH("GP2",AD14)))</formula>
    </cfRule>
    <cfRule type="containsText" dxfId="133" priority="17" operator="containsText" text="GP1">
      <formula>NOT(ISERROR(SEARCH("GP1",AD14)))</formula>
    </cfRule>
  </conditionalFormatting>
  <conditionalFormatting sqref="AD14">
    <cfRule type="containsText" dxfId="132" priority="14" operator="containsText" text="GP2">
      <formula>NOT(ISERROR(SEARCH("GP2",AD14)))</formula>
    </cfRule>
    <cfRule type="containsText" dxfId="131" priority="15" operator="containsText" text="GP1">
      <formula>NOT(ISERROR(SEARCH("GP1",AD14)))</formula>
    </cfRule>
  </conditionalFormatting>
  <conditionalFormatting sqref="AD14">
    <cfRule type="containsText" dxfId="130" priority="12" operator="containsText" text="GP2">
      <formula>NOT(ISERROR(SEARCH("GP2",AD14)))</formula>
    </cfRule>
    <cfRule type="containsText" dxfId="129" priority="13" operator="containsText" text="GP1">
      <formula>NOT(ISERROR(SEARCH("GP1",AD14)))</formula>
    </cfRule>
  </conditionalFormatting>
  <conditionalFormatting sqref="AD14">
    <cfRule type="containsText" dxfId="128" priority="10" operator="containsText" text="GP2">
      <formula>NOT(ISERROR(SEARCH("GP2",AD14)))</formula>
    </cfRule>
    <cfRule type="containsText" dxfId="127" priority="11" operator="containsText" text="GP1">
      <formula>NOT(ISERROR(SEARCH("GP1",AD14)))</formula>
    </cfRule>
  </conditionalFormatting>
  <conditionalFormatting sqref="AD14">
    <cfRule type="containsText" dxfId="126" priority="8" operator="containsText" text="GP2">
      <formula>NOT(ISERROR(SEARCH("GP2",AD14)))</formula>
    </cfRule>
    <cfRule type="containsText" dxfId="125" priority="9" operator="containsText" text="GP1">
      <formula>NOT(ISERROR(SEARCH("GP1",AD14)))</formula>
    </cfRule>
  </conditionalFormatting>
  <conditionalFormatting sqref="AD14">
    <cfRule type="containsText" dxfId="124" priority="6" operator="containsText" text="GP2">
      <formula>NOT(ISERROR(SEARCH("GP2",AD14)))</formula>
    </cfRule>
    <cfRule type="containsText" dxfId="123" priority="7" operator="containsText" text="GP1">
      <formula>NOT(ISERROR(SEARCH("GP1",AD14)))</formula>
    </cfRule>
  </conditionalFormatting>
  <conditionalFormatting sqref="AD14">
    <cfRule type="containsText" dxfId="122" priority="4" operator="containsText" text="GP2">
      <formula>NOT(ISERROR(SEARCH("GP2",AD14)))</formula>
    </cfRule>
    <cfRule type="containsText" dxfId="121" priority="5" operator="containsText" text="GP1">
      <formula>NOT(ISERROR(SEARCH("GP1",AD14)))</formula>
    </cfRule>
  </conditionalFormatting>
  <conditionalFormatting sqref="AD14">
    <cfRule type="containsText" dxfId="120" priority="2" operator="containsText" text="GP2">
      <formula>NOT(ISERROR(SEARCH("GP2",AD14)))</formula>
    </cfRule>
    <cfRule type="containsText" dxfId="119" priority="3" operator="containsText" text="GP1">
      <formula>NOT(ISERROR(SEARCH("GP1",AD14)))</formula>
    </cfRule>
  </conditionalFormatting>
  <conditionalFormatting sqref="N12">
    <cfRule type="containsBlanks" dxfId="1" priority="1">
      <formula>LEN(TRIM(N12))=0</formula>
    </cfRule>
  </conditionalFormatting>
  <pageMargins left="0.31496062992125984" right="0.11811023622047245" top="0.27559055118110237" bottom="0.31496062992125984" header="0.31496062992125984" footer="0.31496062992125984"/>
  <pageSetup paperSize="120" orientation="portrait" horizontalDpi="120" verticalDpi="72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</sheetPr>
  <dimension ref="A1:BF21"/>
  <sheetViews>
    <sheetView tabSelected="1" zoomScale="85" zoomScaleNormal="85" workbookViewId="0">
      <pane xSplit="6" ySplit="10" topLeftCell="G11" activePane="bottomRight" state="frozen"/>
      <selection activeCell="F27" sqref="F27"/>
      <selection pane="topRight" activeCell="F27" sqref="F27"/>
      <selection pane="bottomLeft" activeCell="F27" sqref="F27"/>
      <selection pane="bottomRight" activeCell="D26" sqref="D26"/>
    </sheetView>
  </sheetViews>
  <sheetFormatPr baseColWidth="10" defaultRowHeight="15" x14ac:dyDescent="0.25"/>
  <cols>
    <col min="1" max="1" width="7.7109375" style="1" hidden="1" customWidth="1"/>
    <col min="2" max="2" width="4.140625" style="1" bestFit="1" customWidth="1"/>
    <col min="3" max="3" width="40.5703125" style="1" bestFit="1" customWidth="1"/>
    <col min="4" max="4" width="12.7109375" style="1" bestFit="1" customWidth="1"/>
    <col min="5" max="5" width="10.42578125" style="1" customWidth="1"/>
    <col min="6" max="6" width="13" style="9" bestFit="1" customWidth="1"/>
    <col min="7" max="20" width="3.7109375" style="2" customWidth="1"/>
    <col min="21" max="21" width="4.140625" style="1" bestFit="1" customWidth="1"/>
    <col min="22" max="22" width="3.7109375" style="2" customWidth="1"/>
    <col min="23" max="23" width="5.5703125" style="154" bestFit="1" customWidth="1"/>
    <col min="24" max="24" width="6.85546875" style="154" customWidth="1"/>
    <col min="25" max="25" width="4.140625" style="154" customWidth="1"/>
    <col min="26" max="26" width="5.42578125" style="2" customWidth="1"/>
    <col min="27" max="27" width="4.140625" style="2" customWidth="1"/>
    <col min="28" max="28" width="7.5703125" style="1" customWidth="1"/>
    <col min="29" max="29" width="7.42578125" style="154" bestFit="1" customWidth="1"/>
    <col min="30" max="30" width="5.5703125" style="154" bestFit="1" customWidth="1"/>
    <col min="31" max="31" width="7.85546875" style="154" bestFit="1" customWidth="1"/>
    <col min="32" max="32" width="7.28515625" style="154" customWidth="1"/>
    <col min="33" max="33" width="6.7109375" style="155" customWidth="1"/>
    <col min="34" max="34" width="8.140625" style="155" customWidth="1"/>
    <col min="35" max="35" width="6.7109375" style="1" customWidth="1"/>
    <col min="36" max="36" width="7.42578125" style="1" customWidth="1"/>
    <col min="37" max="37" width="13" style="1" bestFit="1" customWidth="1"/>
    <col min="38" max="38" width="10.7109375" style="1" customWidth="1"/>
    <col min="39" max="39" width="4.7109375" style="1" customWidth="1"/>
    <col min="40" max="40" width="10.7109375" style="1" customWidth="1"/>
    <col min="41" max="41" width="4.7109375" style="1" customWidth="1"/>
    <col min="42" max="42" width="10.7109375" style="1" customWidth="1"/>
    <col min="43" max="43" width="4.7109375" style="1" customWidth="1"/>
    <col min="44" max="44" width="10.7109375" style="1" customWidth="1"/>
    <col min="45" max="45" width="4.7109375" style="1" customWidth="1"/>
    <col min="46" max="46" width="10.7109375" style="1" customWidth="1"/>
    <col min="47" max="47" width="4.7109375" style="1" customWidth="1"/>
    <col min="48" max="48" width="10.7109375" style="1" customWidth="1"/>
    <col min="49" max="49" width="4.7109375" style="1" customWidth="1"/>
    <col min="50" max="50" width="14.28515625" style="4" customWidth="1"/>
    <col min="51" max="51" width="15" style="4" customWidth="1"/>
    <col min="52" max="52" width="12.85546875" style="1" bestFit="1" customWidth="1"/>
    <col min="53" max="53" width="13.7109375" style="9" customWidth="1"/>
    <col min="54" max="54" width="10" style="9" bestFit="1" customWidth="1"/>
    <col min="55" max="16384" width="11.42578125" style="1"/>
  </cols>
  <sheetData>
    <row r="1" spans="2:58" ht="1.5" customHeight="1" x14ac:dyDescent="0.25"/>
    <row r="2" spans="2:58" ht="12" hidden="1" customHeight="1" x14ac:dyDescent="0.25">
      <c r="G2" s="86" t="str">
        <f t="shared" ref="G2:V2" si="0">IF(G10="D","F",IF(G10="S","F",IF(G6="F","F"," ")))</f>
        <v>F</v>
      </c>
      <c r="H2" s="151" t="e">
        <f t="shared" si="0"/>
        <v>#N/A</v>
      </c>
      <c r="I2" s="151" t="e">
        <f t="shared" si="0"/>
        <v>#N/A</v>
      </c>
      <c r="J2" s="151" t="e">
        <f t="shared" si="0"/>
        <v>#N/A</v>
      </c>
      <c r="K2" s="151" t="e">
        <f t="shared" si="0"/>
        <v>#N/A</v>
      </c>
      <c r="L2" s="86" t="e">
        <f t="shared" si="0"/>
        <v>#N/A</v>
      </c>
      <c r="M2" s="86" t="e">
        <f t="shared" si="0"/>
        <v>#N/A</v>
      </c>
      <c r="N2" s="86" t="e">
        <f t="shared" si="0"/>
        <v>#N/A</v>
      </c>
      <c r="O2" s="151" t="e">
        <f t="shared" si="0"/>
        <v>#N/A</v>
      </c>
      <c r="P2" s="151" t="e">
        <f t="shared" si="0"/>
        <v>#N/A</v>
      </c>
      <c r="Q2" s="151" t="e">
        <f t="shared" si="0"/>
        <v>#N/A</v>
      </c>
      <c r="R2" s="151" t="e">
        <f t="shared" si="0"/>
        <v>#N/A</v>
      </c>
      <c r="S2" s="86" t="e">
        <f t="shared" si="0"/>
        <v>#N/A</v>
      </c>
      <c r="T2" s="86" t="e">
        <f t="shared" si="0"/>
        <v>#N/A</v>
      </c>
      <c r="U2" s="86" t="e">
        <f t="shared" si="0"/>
        <v>#N/A</v>
      </c>
      <c r="V2" s="151" t="e">
        <f t="shared" si="0"/>
        <v>#N/A</v>
      </c>
      <c r="Z2" s="2" t="s">
        <v>122</v>
      </c>
    </row>
    <row r="3" spans="2:58" ht="27" customHeight="1" x14ac:dyDescent="0.4">
      <c r="C3" s="325" t="s">
        <v>183</v>
      </c>
      <c r="D3" s="325"/>
      <c r="E3" s="325"/>
      <c r="L3" s="122"/>
      <c r="M3" s="298"/>
      <c r="N3" s="299"/>
      <c r="O3" s="300"/>
      <c r="P3" s="301"/>
      <c r="Q3" s="302"/>
      <c r="R3" s="303"/>
    </row>
    <row r="4" spans="2:58" ht="21.75" customHeight="1" x14ac:dyDescent="0.3">
      <c r="C4" s="326" t="s">
        <v>44</v>
      </c>
      <c r="D4" s="326"/>
      <c r="E4" s="326"/>
      <c r="F4" s="30"/>
      <c r="T4" s="31"/>
      <c r="U4" s="27"/>
      <c r="V4" s="31"/>
      <c r="AC4" s="161"/>
      <c r="AE4" s="162"/>
    </row>
    <row r="5" spans="2:58" ht="23.25" customHeight="1" x14ac:dyDescent="0.25">
      <c r="C5" s="238" t="str">
        <f>+'CONTROL H.E.'!C4</f>
        <v xml:space="preserve"> </v>
      </c>
      <c r="D5" s="239"/>
      <c r="E5" s="239"/>
      <c r="G5" s="340" t="s">
        <v>205</v>
      </c>
      <c r="H5" s="340"/>
      <c r="I5" s="340"/>
      <c r="J5" s="340"/>
      <c r="K5" s="340"/>
      <c r="L5" s="340"/>
      <c r="M5" s="340"/>
      <c r="N5" s="340"/>
      <c r="O5" s="340"/>
      <c r="P5" s="340"/>
      <c r="Q5" s="340"/>
      <c r="R5" s="340"/>
      <c r="S5" s="340"/>
      <c r="T5" s="340"/>
      <c r="U5" s="340"/>
      <c r="V5" s="340"/>
      <c r="W5" s="31"/>
      <c r="X5" s="31"/>
      <c r="Y5" s="31"/>
      <c r="Z5" s="31"/>
      <c r="AA5" s="31"/>
      <c r="AB5" s="31"/>
      <c r="AE5" s="163"/>
      <c r="AF5" s="163"/>
    </row>
    <row r="6" spans="2:58" s="3" customFormat="1" ht="21.75" customHeight="1" x14ac:dyDescent="0.25">
      <c r="C6" s="72" t="str">
        <f>+VARIOS!B12</f>
        <v>DEL 0 AL 0 DE ENERO DEL 1900</v>
      </c>
      <c r="G6" s="105"/>
      <c r="H6" s="152"/>
      <c r="I6" s="152"/>
      <c r="J6" s="152"/>
      <c r="K6" s="152"/>
      <c r="L6" s="105"/>
      <c r="M6" s="105"/>
      <c r="N6" s="105"/>
      <c r="O6" s="152"/>
      <c r="P6" s="152"/>
      <c r="Q6" s="152"/>
      <c r="R6" s="152"/>
      <c r="S6" s="105"/>
      <c r="T6" s="105"/>
      <c r="U6" s="105"/>
      <c r="V6" s="152"/>
      <c r="W6" s="42"/>
      <c r="X6" s="42"/>
      <c r="Y6" s="42"/>
      <c r="Z6" s="103"/>
      <c r="AA6" s="42"/>
      <c r="AB6" s="42"/>
      <c r="AC6" s="164"/>
      <c r="AD6" s="31"/>
      <c r="AE6" s="164"/>
      <c r="AF6" s="164"/>
      <c r="AG6" s="193"/>
      <c r="AH6" s="193"/>
      <c r="AZ6" s="1"/>
      <c r="BA6" s="9"/>
      <c r="BB6" s="9"/>
    </row>
    <row r="7" spans="2:58" ht="15" customHeight="1" x14ac:dyDescent="0.25">
      <c r="C7" s="35"/>
      <c r="D7" s="29" t="s">
        <v>88</v>
      </c>
      <c r="E7" s="85" t="e">
        <f>+'CONTROL H.E.'!C7</f>
        <v>#N/A</v>
      </c>
      <c r="G7" s="160">
        <f>DAY('CONTROL H.E.'!C5)</f>
        <v>0</v>
      </c>
      <c r="H7" s="246" t="str">
        <f>IF(G7&gt;=VARIOS!$F$14," ",IF(G7=0," ",+G7+1))</f>
        <v xml:space="preserve"> </v>
      </c>
      <c r="I7" s="246" t="str">
        <f>IF(H7&gt;=VARIOS!$F$14," ",IF(H7=0," ",+H7+1))</f>
        <v xml:space="preserve"> </v>
      </c>
      <c r="J7" s="160" t="str">
        <f>IF(I7&gt;=VARIOS!$F$14," ",IF(I7=0," ",+I7+1))</f>
        <v xml:space="preserve"> </v>
      </c>
      <c r="K7" s="160" t="str">
        <f>IF(J7&gt;=VARIOS!$F$14," ",IF(J7=0," ",+J7+1))</f>
        <v xml:space="preserve"> </v>
      </c>
      <c r="L7" s="160" t="str">
        <f>IF(K7&gt;=VARIOS!$F$14," ",IF(K7=0," ",+K7+1))</f>
        <v xml:space="preserve"> </v>
      </c>
      <c r="M7" s="160" t="str">
        <f>IF(L7&gt;=VARIOS!$F$14," ",IF(L7=0," ",+L7+1))</f>
        <v xml:space="preserve"> </v>
      </c>
      <c r="N7" s="246" t="str">
        <f>IF(M7&gt;=VARIOS!$F$14," ",IF(M7=0," ",+M7+1))</f>
        <v xml:space="preserve"> </v>
      </c>
      <c r="O7" s="246" t="str">
        <f>IF(N7&gt;=VARIOS!$F$14," ",IF(N7=0," ",+N7+1))</f>
        <v xml:space="preserve"> </v>
      </c>
      <c r="P7" s="160" t="str">
        <f>IF(O7&gt;=VARIOS!$F$14," ",IF(O7=0," ",+O7+1))</f>
        <v xml:space="preserve"> </v>
      </c>
      <c r="Q7" s="160" t="str">
        <f>IF(P7&gt;=VARIOS!$F$14," ",IF(P7=0," ",+P7+1))</f>
        <v xml:space="preserve"> </v>
      </c>
      <c r="R7" s="160" t="str">
        <f>IF(Q7&gt;=VARIOS!$F$14," ",IF(Q7=0," ",+Q7+1))</f>
        <v xml:space="preserve"> </v>
      </c>
      <c r="S7" s="160" t="str">
        <f>IF(R7&gt;=VARIOS!$F$14," ",IF(R7=0," ",+R7+1))</f>
        <v xml:space="preserve"> </v>
      </c>
      <c r="T7" s="160" t="str">
        <f>IF(S7&gt;=VARIOS!$F$14," ",IF(S7=0," ",+S7+1))</f>
        <v xml:space="preserve"> </v>
      </c>
      <c r="U7" s="160" t="str">
        <f>IF(T7&gt;=VARIOS!$F$14," ",IF(T7=0," ",+T7+1))</f>
        <v xml:space="preserve"> </v>
      </c>
      <c r="V7" s="246" t="str">
        <f>IF(U7&gt;=VARIOS!$F$14," ",IF(U7=0," ",+U7+1))</f>
        <v xml:space="preserve"> </v>
      </c>
      <c r="W7" s="87"/>
      <c r="X7" s="88"/>
      <c r="Y7" s="88"/>
      <c r="Z7" s="88"/>
      <c r="AA7" s="88"/>
      <c r="AB7" s="88"/>
      <c r="AM7" s="255"/>
      <c r="AN7" s="255"/>
      <c r="AO7" s="255"/>
      <c r="AP7" s="255"/>
      <c r="AQ7" s="253" t="s">
        <v>182</v>
      </c>
      <c r="AR7" s="253"/>
      <c r="AS7" s="254"/>
      <c r="AT7" s="254"/>
      <c r="AU7" s="324">
        <f>SUM(AL8:AW8)</f>
        <v>0</v>
      </c>
      <c r="AV7" s="324"/>
      <c r="AW7" s="324"/>
    </row>
    <row r="8" spans="2:58" ht="14.1" customHeight="1" x14ac:dyDescent="0.25">
      <c r="F8" s="195">
        <f>SUM(F10:F90)</f>
        <v>0</v>
      </c>
      <c r="G8" s="196"/>
      <c r="H8" s="247"/>
      <c r="I8" s="247"/>
      <c r="J8" s="196"/>
      <c r="K8" s="196"/>
      <c r="L8" s="196"/>
      <c r="M8" s="196"/>
      <c r="N8" s="196"/>
      <c r="O8" s="247"/>
      <c r="P8" s="247"/>
      <c r="Q8" s="196"/>
      <c r="R8" s="196"/>
      <c r="S8" s="196"/>
      <c r="T8" s="196"/>
      <c r="U8" s="196"/>
      <c r="V8" s="247"/>
      <c r="W8" s="194">
        <f>SUM(W11:W91)</f>
        <v>0</v>
      </c>
      <c r="X8" s="194">
        <f>SUM(X11:X91)</f>
        <v>0</v>
      </c>
      <c r="Y8" s="194">
        <f>SUM(Y11:Y91)</f>
        <v>0</v>
      </c>
      <c r="AC8" s="194">
        <f t="shared" ref="AC8:AJ8" si="1">SUM(AC11:AC91)</f>
        <v>0</v>
      </c>
      <c r="AD8" s="194">
        <f t="shared" si="1"/>
        <v>0</v>
      </c>
      <c r="AE8" s="194">
        <f t="shared" si="1"/>
        <v>0</v>
      </c>
      <c r="AF8" s="194">
        <f t="shared" si="1"/>
        <v>0</v>
      </c>
      <c r="AG8" s="194">
        <f t="shared" si="1"/>
        <v>0</v>
      </c>
      <c r="AH8" s="194">
        <f t="shared" si="1"/>
        <v>0</v>
      </c>
      <c r="AI8" s="194">
        <f t="shared" si="1"/>
        <v>0</v>
      </c>
      <c r="AJ8" s="194">
        <f t="shared" si="1"/>
        <v>0</v>
      </c>
      <c r="AK8" s="195">
        <f>SUM(AK10:AK90)</f>
        <v>0</v>
      </c>
      <c r="AM8" s="269">
        <f>SUM(AM11:AM91)</f>
        <v>0</v>
      </c>
      <c r="AN8" s="218"/>
      <c r="AO8" s="269">
        <f>SUM(AO11:AO91)</f>
        <v>0</v>
      </c>
      <c r="AQ8" s="270">
        <f>SUM(AQ11:AQ91)</f>
        <v>0</v>
      </c>
      <c r="AS8" s="270">
        <f>SUM(AS11:AS91)</f>
        <v>0</v>
      </c>
      <c r="AU8" s="271">
        <f>SUM(AU11:AU91)</f>
        <v>0</v>
      </c>
      <c r="AW8" s="271">
        <f>SUM(AW11:AW91)</f>
        <v>0</v>
      </c>
      <c r="AX8" s="195">
        <f ca="1">SUM(AX10:AX90)</f>
        <v>0</v>
      </c>
    </row>
    <row r="9" spans="2:58" ht="16.5" thickBot="1" x14ac:dyDescent="0.3">
      <c r="G9" s="329"/>
      <c r="H9" s="330"/>
      <c r="I9" s="330"/>
      <c r="J9" s="330"/>
      <c r="K9" s="330"/>
      <c r="L9" s="330"/>
      <c r="M9" s="330"/>
      <c r="N9" s="330"/>
      <c r="O9" s="330"/>
      <c r="P9" s="330"/>
      <c r="Q9" s="330"/>
      <c r="R9" s="330"/>
      <c r="S9" s="330"/>
      <c r="T9" s="330"/>
      <c r="U9" s="330"/>
      <c r="V9" s="330"/>
      <c r="W9" s="165"/>
      <c r="X9" s="165"/>
      <c r="Y9" s="165"/>
      <c r="Z9" s="104" t="s">
        <v>123</v>
      </c>
      <c r="AA9" s="43"/>
      <c r="AB9" s="43"/>
      <c r="AC9" s="165"/>
      <c r="AD9" s="165"/>
      <c r="AE9" s="165"/>
      <c r="AF9" s="165"/>
      <c r="AG9" s="327" t="s">
        <v>29</v>
      </c>
      <c r="AH9" s="328"/>
      <c r="AI9" s="331" t="s">
        <v>12</v>
      </c>
      <c r="AJ9" s="332"/>
      <c r="AK9" s="333"/>
      <c r="AL9" s="334" t="s">
        <v>194</v>
      </c>
      <c r="AM9" s="335"/>
      <c r="AN9" s="335"/>
      <c r="AO9" s="336"/>
      <c r="AP9" s="337" t="s">
        <v>196</v>
      </c>
      <c r="AQ9" s="338"/>
      <c r="AR9" s="338"/>
      <c r="AS9" s="339"/>
      <c r="AT9" s="321" t="s">
        <v>195</v>
      </c>
      <c r="AU9" s="322"/>
      <c r="AV9" s="322"/>
      <c r="AW9" s="323"/>
      <c r="AX9" s="252"/>
      <c r="BB9" s="3"/>
    </row>
    <row r="10" spans="2:58" ht="75" x14ac:dyDescent="0.25">
      <c r="B10" s="10" t="s">
        <v>13</v>
      </c>
      <c r="C10" s="10" t="s">
        <v>0</v>
      </c>
      <c r="D10" s="10" t="s">
        <v>33</v>
      </c>
      <c r="E10" s="10" t="s">
        <v>1</v>
      </c>
      <c r="F10" s="11" t="s">
        <v>18</v>
      </c>
      <c r="G10" s="158" t="str">
        <f>VLOOKUP(G7,VARIOS!$K:$N,4,FALSE)</f>
        <v>S</v>
      </c>
      <c r="H10" s="10" t="e">
        <f>VLOOKUP(H7,VARIOS!$K:$N,4,FALSE)</f>
        <v>#N/A</v>
      </c>
      <c r="I10" s="10" t="e">
        <f>VLOOKUP(I7,VARIOS!$K:$N,4,FALSE)</f>
        <v>#N/A</v>
      </c>
      <c r="J10" s="158" t="e">
        <f>VLOOKUP(J7,VARIOS!$K:$N,4,FALSE)</f>
        <v>#N/A</v>
      </c>
      <c r="K10" s="158" t="e">
        <f>VLOOKUP(K7,VARIOS!$K:$N,4,FALSE)</f>
        <v>#N/A</v>
      </c>
      <c r="L10" s="158" t="e">
        <f>VLOOKUP(L7,VARIOS!$K:$N,4,FALSE)</f>
        <v>#N/A</v>
      </c>
      <c r="M10" s="158" t="e">
        <f>VLOOKUP(M7,VARIOS!$K:$N,4,FALSE)</f>
        <v>#N/A</v>
      </c>
      <c r="N10" s="158" t="e">
        <f>VLOOKUP(N7,VARIOS!$K:$N,4,FALSE)</f>
        <v>#N/A</v>
      </c>
      <c r="O10" s="10" t="e">
        <f>VLOOKUP(O7,VARIOS!$K:$N,4,FALSE)</f>
        <v>#N/A</v>
      </c>
      <c r="P10" s="10" t="e">
        <f>VLOOKUP(P7,VARIOS!$K:$N,4,FALSE)</f>
        <v>#N/A</v>
      </c>
      <c r="Q10" s="158" t="e">
        <f>VLOOKUP(Q7,VARIOS!$K:$N,4,FALSE)</f>
        <v>#N/A</v>
      </c>
      <c r="R10" s="158" t="e">
        <f>VLOOKUP(R7,VARIOS!$K:$N,4,FALSE)</f>
        <v>#N/A</v>
      </c>
      <c r="S10" s="158" t="e">
        <f>VLOOKUP(S7,VARIOS!$K:$N,4,FALSE)</f>
        <v>#N/A</v>
      </c>
      <c r="T10" s="158" t="e">
        <f>VLOOKUP(T7,VARIOS!$K:$N,4,FALSE)</f>
        <v>#N/A</v>
      </c>
      <c r="U10" s="158" t="e">
        <f>VLOOKUP(U7,VARIOS!$K:$N,4,FALSE)</f>
        <v>#N/A</v>
      </c>
      <c r="V10" s="12" t="e">
        <f>VLOOKUP(V7,VARIOS!$K:$N,4,FALSE)</f>
        <v>#N/A</v>
      </c>
      <c r="W10" s="139" t="s">
        <v>116</v>
      </c>
      <c r="X10" s="140" t="s">
        <v>117</v>
      </c>
      <c r="Y10" s="12" t="s">
        <v>118</v>
      </c>
      <c r="Z10" s="108" t="s">
        <v>121</v>
      </c>
      <c r="AA10" s="124" t="s">
        <v>158</v>
      </c>
      <c r="AB10" s="292" t="s">
        <v>201</v>
      </c>
      <c r="AC10" s="10" t="s">
        <v>27</v>
      </c>
      <c r="AD10" s="10" t="s">
        <v>16</v>
      </c>
      <c r="AE10" s="13" t="s">
        <v>45</v>
      </c>
      <c r="AF10" s="10" t="s">
        <v>46</v>
      </c>
      <c r="AG10" s="287" t="s">
        <v>45</v>
      </c>
      <c r="AH10" s="288" t="s">
        <v>46</v>
      </c>
      <c r="AI10" s="272" t="s">
        <v>45</v>
      </c>
      <c r="AJ10" s="273" t="s">
        <v>46</v>
      </c>
      <c r="AK10" s="256" t="s">
        <v>28</v>
      </c>
      <c r="AL10" s="258" t="s">
        <v>19</v>
      </c>
      <c r="AM10" s="259" t="s">
        <v>15</v>
      </c>
      <c r="AN10" s="259" t="s">
        <v>19</v>
      </c>
      <c r="AO10" s="260" t="s">
        <v>15</v>
      </c>
      <c r="AP10" s="275" t="s">
        <v>19</v>
      </c>
      <c r="AQ10" s="276" t="s">
        <v>15</v>
      </c>
      <c r="AR10" s="276" t="s">
        <v>19</v>
      </c>
      <c r="AS10" s="277" t="s">
        <v>15</v>
      </c>
      <c r="AT10" s="282" t="s">
        <v>19</v>
      </c>
      <c r="AU10" s="283" t="s">
        <v>15</v>
      </c>
      <c r="AV10" s="283" t="s">
        <v>19</v>
      </c>
      <c r="AW10" s="284" t="s">
        <v>15</v>
      </c>
      <c r="AX10" s="280" t="s">
        <v>14</v>
      </c>
      <c r="AY10" s="290" t="s">
        <v>200</v>
      </c>
      <c r="AZ10" s="3"/>
      <c r="BA10" s="3"/>
    </row>
    <row r="11" spans="2:58" ht="16.5" customHeight="1" x14ac:dyDescent="0.25">
      <c r="B11" s="15">
        <v>1</v>
      </c>
      <c r="C11" s="5" t="str">
        <f>IFERROR(VLOOKUP('Reporte Asistencia Laboral'!D11,EMPLEADO!C:Q,15,0),"")</f>
        <v>MATAILO PINTA MIGUEL ANGEL</v>
      </c>
      <c r="D11" s="6" t="str">
        <f>IF(AND(ISTEXT(EMPLEADO!C5)),EMPLEADO!C5,"")</f>
        <v>110352731-1</v>
      </c>
      <c r="E11" s="5" t="str">
        <f>IFERROR(VLOOKUP(D11,EMPLEADO!C:E,2,FALSE),"")</f>
        <v>DIARIO</v>
      </c>
      <c r="F11" s="7">
        <f>IFERROR(ROUND(VLOOKUP('Reporte Asistencia Laboral'!D11,EMPLEADO!C:AE,3,FALSE)/30*AD11,2),"")</f>
        <v>0</v>
      </c>
      <c r="G11" s="318"/>
      <c r="H11" s="318"/>
      <c r="I11" s="318"/>
      <c r="J11" s="318"/>
      <c r="K11" s="319"/>
      <c r="L11" s="319"/>
      <c r="M11" s="319"/>
      <c r="N11" s="319"/>
      <c r="O11" s="318"/>
      <c r="P11" s="318"/>
      <c r="Q11" s="319"/>
      <c r="R11" s="319"/>
      <c r="S11" s="319"/>
      <c r="T11" s="319"/>
      <c r="U11" s="319"/>
      <c r="V11" s="245"/>
      <c r="W11" s="73" t="str">
        <f t="shared" ref="W11:W14" si="2">IFERROR(IF($G$10="S",+G11,IF($G$10="D",+G11,0))+IF($H$10="S",+H11,IF($H$10="D",+H11,0))+IF($I$10="S",+I11,IF($I$10="D",+I11,0))+IF($J$10="S",+J11,IF($J$10="D",+J11,0))+IF($K$10="S",+K11,IF($K$10="D",+K11,0))+IF($L$10="S",+L11,IF($L$10="D",+L11,0))+IF($M$10="S",+M11,IF($M$10="D",+M11,0))+IF($N$10="S",+N11,IF($N$10="D",+N11,0))+IF($O$10="S",+O11,IF($O$10="D",+O11,0))+IF($P$10="S",+P11,IF($P$10="D",+P11,0))+IF($Q$10="S",+Q11,IF($Q$10="D",+Q11,0))+IF($R$10="S",+R11,IF($R$10="D",+R11,0))+IF($S$10="S",+S11,IF($S$10="D",+S11,0))+IF($T$10="S",+T11,IF($T$10="D",+T11,0))+IF($U$10="S",+U11,IF($U$10="D",+U11,0))+IF($V$10="S",+V11,IF($V$10="D",+V11,0)),"")</f>
        <v/>
      </c>
      <c r="X11" s="73">
        <f t="shared" ref="X11" si="3">IF($G$6="F",G11,0)+IF($H$6="F",+H11,0)+IF($I$6="F",+I11,0)+IF($J$6="F",+J11,0)+IF($K$6="F",+K11,0)+IF($L$6="F",+L11,0)+IF($M$6="F",+M11,0)+IF($N$6="F",+N11,0)+IF($O$6="F",+O11,0)+IF($P$6="F",+P11,0)+IF($Q$6="F",+Q11,0)+IF($R$6="F",+R11,0)+IF($S$6="F",+S11,0)+IF($T$6="F",+T11,0)+IF($U$6="F",+U11,0)+IF($V$6="F",+V11,0)</f>
        <v>0</v>
      </c>
      <c r="Y11" s="97" t="str">
        <f t="shared" ref="Y11:Y14" si="4">IFERROR(IF($G$2="F",0,IF(G11&gt;8,G11-8,0))+IF($H$2="F",0,IF(H11&gt;8,H11-8,0))+IF($I$2="F",0,IF(I11&gt;8,I11-8,0))+IF($J$2="F",0,IF(J11&gt;8,J11-8,0))+IF($K$2="F",0,IF(K11&gt;8,K11-8,0))+IF($L$2="F",0,IF(L11&gt;8,L11-8,0))+IF($M$2="F",0,IF(M11&gt;8,M11-8,0))+IF($N$2="F",0,IF(N11&gt;8,N11-8,0))+IF($O$2="F",0,IF(O11&gt;8,O11-8,0))+IF($P$2="F",0,IF(P11&gt;8,P11-8,0))+IF($Q$2="F",0,IF(Q11&gt;8,Q11-8,0))+IF($R$2="F",0,IF(R11&gt;8,R11-8,0))+IF($S$2="F",0,IF(S11&gt;8,S11-8,0))+IF($T$2="F",0,IF(T11&gt;8,T11-8,0))+IF($U$2="F",0,IF(U11&gt;8,U11-8,0))+IF($V$2="F",0,IF(V11&gt;8,V11-8,0)),"")</f>
        <v/>
      </c>
      <c r="Z11" s="109"/>
      <c r="AA11" s="151"/>
      <c r="AB11" s="293" t="str">
        <f>IFERROR(VLOOKUP(C11,EMPLEADO!B:AD,29,0),"")</f>
        <v>GP2</v>
      </c>
      <c r="AC11" s="8">
        <f t="shared" ref="AC11:AC14" si="5">+SUM(G11:V11)</f>
        <v>0</v>
      </c>
      <c r="AD11" s="73">
        <f>IF(COUNT(G11:V11)&gt;15,COUNT(G11:V11)-1,COUNT(G11:U11))+AA11</f>
        <v>0</v>
      </c>
      <c r="AE11" s="8" t="str">
        <f t="shared" ref="AE11:AE14" si="6">IFERROR(IF(Z11="N",0,Y11),"")</f>
        <v/>
      </c>
      <c r="AF11" s="46" t="str">
        <f t="shared" ref="AF11:AF14" si="7">IFERROR(IF(Z11="N",W11+X11+Y11,W11+X11),"")</f>
        <v/>
      </c>
      <c r="AG11" s="289">
        <f>IFERROR(VLOOKUP(C11,'CONTROL H.E.'!C:EQ,144,0),"")</f>
        <v>0</v>
      </c>
      <c r="AH11" s="289">
        <f>IFERROR(VLOOKUP(C11,'CONTROL H.E.'!C:EQ,145,0),"")</f>
        <v>0</v>
      </c>
      <c r="AI11" s="274">
        <f>IFERROR(VLOOKUP(C11,'CONTROL H.E. Transf.'!C:BK,60,0),"")</f>
        <v>0</v>
      </c>
      <c r="AJ11" s="274">
        <f>IFERROR(VLOOKUP(C11,'CONTROL H.E. Transf.'!C:BK,61,0),"")</f>
        <v>0</v>
      </c>
      <c r="AK11" s="257" t="str">
        <f>IFERROR(ROUND((VLOOKUP(D11,EMPLEADO!C:F,3,FALSE)/240*1.5*(AE11+AG11+AI11)+(VLOOKUP(D11,EMPLEADO!C:F,3,FALSE)/240*2*(AF11+AH11+AJ11))),2),"")</f>
        <v/>
      </c>
      <c r="AL11" s="261" t="str">
        <f>IFERROR(IF(C11=BA11,VLOOKUP(C11,Dato_Pesc!E:G,2,FALSE)," ")," ")</f>
        <v xml:space="preserve"> </v>
      </c>
      <c r="AM11" s="262">
        <f>IFERROR(IF(C11=BA11,VLOOKUP(C11,Dato_Pesc!E:G,3,FALSE),0),0)</f>
        <v>0</v>
      </c>
      <c r="AN11" s="263" t="str">
        <f>IFERROR(IF(C11=BB11,VLOOKUP(C11,Dato_Pesc!H:J,2,0)," ")," ")</f>
        <v xml:space="preserve"> </v>
      </c>
      <c r="AO11" s="264">
        <f>IFERROR(IF(C11=BB11,VLOOKUP(C11,Dato_Pesc!H:J,3,FALSE),0),0)</f>
        <v>0</v>
      </c>
      <c r="AP11" s="278" t="str">
        <f>IFERROR(IF(C11=BC11,VLOOKUP(C11,Dato_Pesc!P:R,2,FALSE)," ")," ")</f>
        <v xml:space="preserve"> </v>
      </c>
      <c r="AQ11" s="265">
        <f>IFERROR(IF(C11=BC11,VLOOKUP(C11,Dato_Pesc!P:R,3,FALSE),0),0)</f>
        <v>0</v>
      </c>
      <c r="AR11" s="266" t="str">
        <f>IFERROR(IF(C11=BD11,VLOOKUP(C11,Dato_Pesc!S:U,2,FALSE)," ")," ")</f>
        <v xml:space="preserve"> </v>
      </c>
      <c r="AS11" s="279">
        <f>IFERROR(IF(C11=BD11,VLOOKUP(C11,Dato_Pesc!S:U,3,FALSE),0),0)</f>
        <v>0</v>
      </c>
      <c r="AT11" s="285" t="str">
        <f>IFERROR(IF(C11=BE11,VLOOKUP(C11,Dato_Pesc!AA:AC,2,FALSE)," ")," ")</f>
        <v xml:space="preserve"> </v>
      </c>
      <c r="AU11" s="267">
        <f>IFERROR(IF(C11=BE11,VLOOKUP(C11,Dato_Pesc!AA:AC,3,FALSE),0),0)</f>
        <v>0</v>
      </c>
      <c r="AV11" s="268" t="str">
        <f>IFERROR(IF(C11=BF11,VLOOKUP(C11,Dato_Pesc!AD:AF,2,FALSE)," ")," ")</f>
        <v xml:space="preserve"> </v>
      </c>
      <c r="AW11" s="286">
        <f>IFERROR(IF(C11=BF11,VLOOKUP(C11,Dato_Pesc!AD:AF,3,FALSE),0),0)</f>
        <v>0</v>
      </c>
      <c r="AX11" s="281">
        <f ca="1">IFERROR(ROUND(((SUMIF('$ NOCHE_PESC'!$B$4:$C$10,AL11,'$ NOCHE_PESC'!$C$4:$C$10))*AM11)+((SUMIF('$ NOCHE_PESC'!$B$4:$C$10,AN11,'$ NOCHE_PESC'!$C$4:$C$10))*AO11)+((SUMIF('$ NOCHE_PESC'!$B$4:$C$10,AP11,'$ NOCHE_PESC'!$C$4:$C$10))*AQ11)+((SUMIF('$ NOCHE_PESC'!$B$4:$C$10,AR11,'$ NOCHE_PESC'!$C$4:$C$10))*AS11)+((SUMIF('$ NOCHE_PESC'!$B$4:$C$10,AT11,'$ NOCHE_PESC'!$C$4:$C$10))*AU11)+((SUMIF('$ NOCHE_PESC'!$B$4:$C$10,AV11,'$ NOCHE_PESC'!$C$4:$C$10))*AW11),2),"")</f>
        <v>0</v>
      </c>
      <c r="AY11" s="291">
        <f t="shared" ref="AY11:AY14" si="8">SUM(AM11+AO11+AQ11+AS11+AU11+AW11)</f>
        <v>0</v>
      </c>
      <c r="BA11" s="126" t="str">
        <f>IFERROR(IF(BB11=C11,BB11,VLOOKUP(C11,Dato_Pesc!$A$5:$J$67,5,0)),"")</f>
        <v/>
      </c>
      <c r="BB11" s="126" t="str">
        <f>IFERROR(VLOOKUP(C11,Dato_Pesc!$A$5:$J$67,8),"")</f>
        <v/>
      </c>
      <c r="BC11" s="126" t="str">
        <f>IFERROR(IF(BD11=C11,BD11,VLOOKUP(C11,Dato_Pesc!$L$5:$U$67,5,0)),"")</f>
        <v/>
      </c>
      <c r="BD11" s="126" t="str">
        <f>IFERROR(VLOOKUP(C11,Dato_Pesc!$L$5:$U$67,8),"")</f>
        <v/>
      </c>
      <c r="BE11" s="126" t="str">
        <f>IFERROR(IF(BF11=C11,BF11,VLOOKUP(C11,Dato_Pesc!$W$5:$AF$68,5,0)),"")</f>
        <v/>
      </c>
      <c r="BF11" s="126" t="str">
        <f>IFERROR(VLOOKUP(C11,Dato_Pesc!$W$5:$AF$68,8),"")</f>
        <v/>
      </c>
    </row>
    <row r="12" spans="2:58" ht="16.5" customHeight="1" x14ac:dyDescent="0.25">
      <c r="B12" s="15">
        <f t="shared" ref="B12:B21" si="9">B11+1</f>
        <v>2</v>
      </c>
      <c r="C12" s="5" t="str">
        <f>IFERROR(VLOOKUP('Reporte Asistencia Laboral'!D12,EMPLEADO!C:Q,15,0),"")</f>
        <v>HELGUERO MARTINEZ CARLOS RENE</v>
      </c>
      <c r="D12" s="6" t="str">
        <f>IF(AND(ISTEXT(EMPLEADO!C6)),EMPLEADO!C6,"")</f>
        <v>070362264-7</v>
      </c>
      <c r="E12" s="5" t="str">
        <f>IFERROR(VLOOKUP(D12,EMPLEADO!C:E,2,FALSE),"")</f>
        <v>BOMBERO</v>
      </c>
      <c r="F12" s="7">
        <f>IFERROR(ROUND(VLOOKUP('Reporte Asistencia Laboral'!D12,EMPLEADO!C:AE,3,FALSE)/30*AD12,2),"")</f>
        <v>0</v>
      </c>
      <c r="G12" s="318"/>
      <c r="H12" s="318"/>
      <c r="I12" s="318"/>
      <c r="J12" s="318"/>
      <c r="K12" s="319"/>
      <c r="L12" s="319"/>
      <c r="M12" s="319"/>
      <c r="N12" s="319"/>
      <c r="O12" s="318"/>
      <c r="P12" s="318"/>
      <c r="Q12" s="319"/>
      <c r="R12" s="319"/>
      <c r="S12" s="319"/>
      <c r="T12" s="319"/>
      <c r="U12" s="319"/>
      <c r="V12" s="245"/>
      <c r="W12" s="73" t="str">
        <f t="shared" si="2"/>
        <v/>
      </c>
      <c r="X12" s="73">
        <f>IF($G$6="F",G12,0)+IF($H$6="F",+H12,0)+IF($I$6="F",+I12,0)+IF($J$6="F",+J12,0)+IF($K$6="F",+K12,0)+IF($L$6="F",+L12,0)+IF($M$6="F",+M12,0)+IF($N$6="F",+N12,0)+IF($O$6="F",+O12,0)+IF($P$6="F",+P12,0)+IF($Q$6="F",+Q12,0)+IF($R$6="F",+R12,0)+IF($S$6="F",+S12,0)+IF($T$6="F",+T12,0)+IF($U$6="F",+U12,0)+IF($V$6="F",+V12,0)</f>
        <v>0</v>
      </c>
      <c r="Y12" s="97" t="str">
        <f t="shared" si="4"/>
        <v/>
      </c>
      <c r="Z12" s="109"/>
      <c r="AA12" s="151"/>
      <c r="AB12" s="293" t="str">
        <f>IFERROR(VLOOKUP(C12,EMPLEADO!B:AD,29,0),"")</f>
        <v>GP1</v>
      </c>
      <c r="AC12" s="8">
        <f t="shared" si="5"/>
        <v>0</v>
      </c>
      <c r="AD12" s="73">
        <f t="shared" ref="AD12:AD14" si="10">IF(COUNT(G12:V12)&gt;15,COUNT(G12:V12)-1,COUNT(G12:U12))+AA12</f>
        <v>0</v>
      </c>
      <c r="AE12" s="8" t="str">
        <f t="shared" si="6"/>
        <v/>
      </c>
      <c r="AF12" s="46" t="str">
        <f t="shared" si="7"/>
        <v/>
      </c>
      <c r="AG12" s="289">
        <f>IFERROR(VLOOKUP(C12,'CONTROL H.E.'!C:EQ,144,0),"")</f>
        <v>0</v>
      </c>
      <c r="AH12" s="289">
        <f>IFERROR(VLOOKUP(C12,'CONTROL H.E.'!C:EQ,145,0),"")</f>
        <v>0</v>
      </c>
      <c r="AI12" s="274">
        <f>IFERROR(VLOOKUP(C12,'CONTROL H.E. Transf.'!C:BK,60,0),"")</f>
        <v>0</v>
      </c>
      <c r="AJ12" s="274">
        <f>IFERROR(VLOOKUP(C12,'CONTROL H.E. Transf.'!C:BK,61,0),"")</f>
        <v>0</v>
      </c>
      <c r="AK12" s="257" t="str">
        <f>IFERROR(ROUND((VLOOKUP(D12,EMPLEADO!C:F,3,FALSE)/240*1.5*(AE12+AG12+AI12)+(VLOOKUP(D12,EMPLEADO!C:F,3,FALSE)/240*2*(AF12+AH12+AJ12))),2),"")</f>
        <v/>
      </c>
      <c r="AL12" s="261" t="str">
        <f>IFERROR(IF(C12=BA12,VLOOKUP(C12,Dato_Pesc!E:G,2,FALSE)," ")," ")</f>
        <v xml:space="preserve"> </v>
      </c>
      <c r="AM12" s="262">
        <f>IFERROR(IF(C12=BA12,VLOOKUP(C12,Dato_Pesc!E:G,3,FALSE),0),0)</f>
        <v>0</v>
      </c>
      <c r="AN12" s="263" t="str">
        <f>IFERROR(IF(C12=BB12,VLOOKUP(C12,Dato_Pesc!H:J,2,0)," ")," ")</f>
        <v xml:space="preserve"> </v>
      </c>
      <c r="AO12" s="264">
        <f>IFERROR(IF(C12=BB12,VLOOKUP(C12,Dato_Pesc!H:J,3,FALSE),0),0)</f>
        <v>0</v>
      </c>
      <c r="AP12" s="278" t="str">
        <f>IFERROR(IF(C12=BC12,VLOOKUP(C12,Dato_Pesc!P:R,2,FALSE)," ")," ")</f>
        <v xml:space="preserve"> </v>
      </c>
      <c r="AQ12" s="265">
        <f>IFERROR(IF(C12=BC12,VLOOKUP(C12,Dato_Pesc!P:R,3,FALSE),0),0)</f>
        <v>0</v>
      </c>
      <c r="AR12" s="266" t="str">
        <f>IFERROR(IF(C12=BD12,VLOOKUP(C12,Dato_Pesc!S:U,2,FALSE)," ")," ")</f>
        <v xml:space="preserve"> </v>
      </c>
      <c r="AS12" s="279">
        <f>IFERROR(IF(C12=BD12,VLOOKUP(C12,Dato_Pesc!S:U,3,FALSE),0),0)</f>
        <v>0</v>
      </c>
      <c r="AT12" s="285" t="str">
        <f>IFERROR(IF(C12=BE12,VLOOKUP(C12,Dato_Pesc!AA:AC,2,FALSE)," ")," ")</f>
        <v xml:space="preserve"> </v>
      </c>
      <c r="AU12" s="267">
        <f>IFERROR(IF(C12=BE12,VLOOKUP(C12,Dato_Pesc!AA:AC,3,FALSE),0),0)</f>
        <v>0</v>
      </c>
      <c r="AV12" s="268" t="str">
        <f>IFERROR(IF(C12=BF12,VLOOKUP(C12,Dato_Pesc!AD:AF,2,FALSE)," ")," ")</f>
        <v xml:space="preserve"> </v>
      </c>
      <c r="AW12" s="286">
        <f>IFERROR(IF(C12=BF12,VLOOKUP(C12,Dato_Pesc!AD:AF,3,FALSE),0),0)</f>
        <v>0</v>
      </c>
      <c r="AX12" s="281">
        <f ca="1">IFERROR(ROUND(((SUMIF('$ NOCHE_PESC'!$B$4:$C$10,AL12,'$ NOCHE_PESC'!$C$4:$C$10))*AM12)+((SUMIF('$ NOCHE_PESC'!$B$4:$C$10,AN12,'$ NOCHE_PESC'!$C$4:$C$10))*AO12)+((SUMIF('$ NOCHE_PESC'!$B$4:$C$10,AP12,'$ NOCHE_PESC'!$C$4:$C$10))*AQ12)+((SUMIF('$ NOCHE_PESC'!$B$4:$C$10,AR12,'$ NOCHE_PESC'!$C$4:$C$10))*AS12)+((SUMIF('$ NOCHE_PESC'!$B$4:$C$10,AT12,'$ NOCHE_PESC'!$C$4:$C$10))*AU12)+((SUMIF('$ NOCHE_PESC'!$B$4:$C$10,AV12,'$ NOCHE_PESC'!$C$4:$C$10))*AW12),2),"")</f>
        <v>0</v>
      </c>
      <c r="AY12" s="291">
        <f t="shared" si="8"/>
        <v>0</v>
      </c>
      <c r="BA12" s="126" t="str">
        <f>IFERROR(IF(BB12=C12,BB12,VLOOKUP(C12,Dato_Pesc!$A$5:$J$67,5,0)),"")</f>
        <v/>
      </c>
      <c r="BB12" s="126" t="str">
        <f>IFERROR(VLOOKUP(C12,Dato_Pesc!$A$5:$J$67,8),"")</f>
        <v/>
      </c>
      <c r="BC12" s="126" t="str">
        <f>IFERROR(IF(BD12=C12,BD12,VLOOKUP(C12,Dato_Pesc!$L$5:$U$67,5,0)),"")</f>
        <v/>
      </c>
      <c r="BD12" s="126" t="str">
        <f>IFERROR(VLOOKUP(C12,Dato_Pesc!$L$5:$U$67,8),"")</f>
        <v/>
      </c>
      <c r="BE12" s="126" t="str">
        <f>IFERROR(IF(BF12=C12,BF12,VLOOKUP(C12,Dato_Pesc!$W$5:$AF$68,5,0)),"")</f>
        <v/>
      </c>
      <c r="BF12" s="126" t="str">
        <f>IFERROR(VLOOKUP(C12,Dato_Pesc!$W$5:$AF$68,8),"")</f>
        <v/>
      </c>
    </row>
    <row r="13" spans="2:58" ht="16.5" customHeight="1" x14ac:dyDescent="0.25">
      <c r="B13" s="15">
        <f t="shared" si="9"/>
        <v>3</v>
      </c>
      <c r="C13" s="5" t="str">
        <f>IFERROR(VLOOKUP('Reporte Asistencia Laboral'!D13,EMPLEADO!C:Q,15,0),"")</f>
        <v>ACARO HERRERA ESTALIN RODRIGO</v>
      </c>
      <c r="D13" s="6" t="str">
        <f>IF(AND(ISTEXT(EMPLEADO!C7)),EMPLEADO!C7,"")</f>
        <v>115049676-6</v>
      </c>
      <c r="E13" s="5" t="str">
        <f>IFERROR(VLOOKUP(D13,EMPLEADO!C:E,2,FALSE),"")</f>
        <v>MONITORISTA</v>
      </c>
      <c r="F13" s="7">
        <f>IFERROR(ROUND(VLOOKUP('Reporte Asistencia Laboral'!D13,EMPLEADO!C:AE,3,FALSE)/30*AD13,2),"")</f>
        <v>0</v>
      </c>
      <c r="G13" s="318"/>
      <c r="H13" s="318"/>
      <c r="I13" s="318"/>
      <c r="J13" s="318"/>
      <c r="K13" s="318"/>
      <c r="L13" s="318"/>
      <c r="M13" s="318"/>
      <c r="N13" s="319"/>
      <c r="O13" s="318"/>
      <c r="P13" s="318"/>
      <c r="Q13" s="319"/>
      <c r="R13" s="319"/>
      <c r="S13" s="319"/>
      <c r="T13" s="319"/>
      <c r="U13" s="319"/>
      <c r="V13" s="245"/>
      <c r="W13" s="73" t="str">
        <f t="shared" si="2"/>
        <v/>
      </c>
      <c r="X13" s="73">
        <f>IF($G$6="F",G13,0)+IF($H$6="F",+H13,0)+IF($I$6="F",+I13,0)+IF($J$6="F",+J13,0)+IF($K$6="F",+K13,0)+IF($L$6="F",+L13,0)+IF($M$6="F",+M13,0)+IF($N$6="F",+N13,0)+IF($O$6="F",+O13,0)+IF($P$6="F",+P13,0)+IF($Q$6="F",+Q13,0)+IF($R$6="F",+R13,0)+IF($S$6="F",+S13,0)+IF($T$6="F",+T13,0)+IF($U$6="F",+U13,0)+IF($V$6="F",+V13,0)</f>
        <v>0</v>
      </c>
      <c r="Y13" s="97" t="str">
        <f t="shared" si="4"/>
        <v/>
      </c>
      <c r="Z13" s="226" t="s">
        <v>189</v>
      </c>
      <c r="AA13" s="151"/>
      <c r="AB13" s="293" t="str">
        <f>IFERROR(VLOOKUP(C13,EMPLEADO!B:AD,29,0),"")</f>
        <v>GP1</v>
      </c>
      <c r="AC13" s="8">
        <f t="shared" si="5"/>
        <v>0</v>
      </c>
      <c r="AD13" s="73">
        <f t="shared" si="10"/>
        <v>0</v>
      </c>
      <c r="AE13" s="8">
        <f t="shared" si="6"/>
        <v>0</v>
      </c>
      <c r="AF13" s="46" t="str">
        <f t="shared" si="7"/>
        <v/>
      </c>
      <c r="AG13" s="289">
        <f>IFERROR(VLOOKUP(C13,'CONTROL H.E.'!C:EQ,144,0),"")</f>
        <v>0</v>
      </c>
      <c r="AH13" s="289">
        <f>IFERROR(VLOOKUP(C13,'CONTROL H.E.'!C:EQ,145,0),"")</f>
        <v>0</v>
      </c>
      <c r="AI13" s="274">
        <f>IFERROR(VLOOKUP(C13,'CONTROL H.E. Transf.'!C:BK,60,0),"")</f>
        <v>0</v>
      </c>
      <c r="AJ13" s="274">
        <f>IFERROR(VLOOKUP(C13,'CONTROL H.E. Transf.'!C:BK,61,0),"")</f>
        <v>0</v>
      </c>
      <c r="AK13" s="257" t="str">
        <f>IFERROR(ROUND((VLOOKUP(D13,EMPLEADO!C:F,3,FALSE)/240*1.5*(AE13+AG13+AI13)+(VLOOKUP(D13,EMPLEADO!C:F,3,FALSE)/240*2*(AF13+AH13+AJ13))),2),"")</f>
        <v/>
      </c>
      <c r="AL13" s="261" t="str">
        <f>IFERROR(IF(C13=BA13,VLOOKUP(C13,Dato_Pesc!E:G,2,FALSE)," ")," ")</f>
        <v xml:space="preserve"> </v>
      </c>
      <c r="AM13" s="262">
        <f>IFERROR(IF(C13=BA13,VLOOKUP(C13,Dato_Pesc!E:G,3,FALSE),0),0)</f>
        <v>0</v>
      </c>
      <c r="AN13" s="263" t="str">
        <f>IFERROR(IF(C13=BB13,VLOOKUP(C13,Dato_Pesc!H:J,2,0)," ")," ")</f>
        <v xml:space="preserve"> </v>
      </c>
      <c r="AO13" s="264">
        <f>IFERROR(IF(C13=BB13,VLOOKUP(C13,Dato_Pesc!H:J,3,FALSE),0),0)</f>
        <v>0</v>
      </c>
      <c r="AP13" s="278" t="str">
        <f>IFERROR(IF(C13=BC13,VLOOKUP(C13,Dato_Pesc!P:R,2,FALSE)," ")," ")</f>
        <v xml:space="preserve"> </v>
      </c>
      <c r="AQ13" s="265">
        <f>IFERROR(IF(C13=BC13,VLOOKUP(C13,Dato_Pesc!P:R,3,FALSE),0),0)</f>
        <v>0</v>
      </c>
      <c r="AR13" s="266" t="str">
        <f>IFERROR(IF(C13=BD13,VLOOKUP(C13,Dato_Pesc!S:U,2,FALSE)," ")," ")</f>
        <v xml:space="preserve"> </v>
      </c>
      <c r="AS13" s="279">
        <f>IFERROR(IF(C13=BD13,VLOOKUP(C13,Dato_Pesc!S:U,3,FALSE),0),0)</f>
        <v>0</v>
      </c>
      <c r="AT13" s="285" t="str">
        <f>IFERROR(IF(C13=BE13,VLOOKUP(C13,Dato_Pesc!AA:AC,2,FALSE)," ")," ")</f>
        <v xml:space="preserve"> </v>
      </c>
      <c r="AU13" s="267">
        <f>IFERROR(IF(C13=BE13,VLOOKUP(C13,Dato_Pesc!AA:AC,3,FALSE),0),0)</f>
        <v>0</v>
      </c>
      <c r="AV13" s="268" t="str">
        <f>IFERROR(IF(C13=BF13,VLOOKUP(C13,Dato_Pesc!AD:AF,2,FALSE)," ")," ")</f>
        <v xml:space="preserve"> </v>
      </c>
      <c r="AW13" s="286">
        <f>IFERROR(IF(C13=BF13,VLOOKUP(C13,Dato_Pesc!AD:AF,3,FALSE),0),0)</f>
        <v>0</v>
      </c>
      <c r="AX13" s="281">
        <f ca="1">IFERROR(ROUND(((SUMIF('$ NOCHE_PESC'!$B$4:$C$10,AL13,'$ NOCHE_PESC'!$C$4:$C$10))*AM13)+((SUMIF('$ NOCHE_PESC'!$B$4:$C$10,AN13,'$ NOCHE_PESC'!$C$4:$C$10))*AO13)+((SUMIF('$ NOCHE_PESC'!$B$4:$C$10,AP13,'$ NOCHE_PESC'!$C$4:$C$10))*AQ13)+((SUMIF('$ NOCHE_PESC'!$B$4:$C$10,AR13,'$ NOCHE_PESC'!$C$4:$C$10))*AS13)+((SUMIF('$ NOCHE_PESC'!$B$4:$C$10,AT13,'$ NOCHE_PESC'!$C$4:$C$10))*AU13)+((SUMIF('$ NOCHE_PESC'!$B$4:$C$10,AV13,'$ NOCHE_PESC'!$C$4:$C$10))*AW13),2),"")</f>
        <v>0</v>
      </c>
      <c r="AY13" s="291">
        <f t="shared" si="8"/>
        <v>0</v>
      </c>
      <c r="BA13" s="126" t="str">
        <f>IFERROR(IF(BB13=C13,BB13,VLOOKUP(C13,Dato_Pesc!$A$5:$J$67,5,0)),"")</f>
        <v/>
      </c>
      <c r="BB13" s="126" t="str">
        <f>IFERROR(VLOOKUP(C13,Dato_Pesc!$A$5:$J$67,8),"")</f>
        <v/>
      </c>
      <c r="BC13" s="126" t="str">
        <f>IFERROR(IF(BD13=C13,BD13,VLOOKUP(C13,Dato_Pesc!$L$5:$U$67,5,0)),"")</f>
        <v/>
      </c>
      <c r="BD13" s="126" t="str">
        <f>IFERROR(VLOOKUP(C13,Dato_Pesc!$L$5:$U$67,8),"")</f>
        <v/>
      </c>
      <c r="BE13" s="126" t="str">
        <f>IFERROR(IF(BF13=C13,BF13,VLOOKUP(C13,Dato_Pesc!$W$5:$AF$68,5,0)),"")</f>
        <v/>
      </c>
      <c r="BF13" s="126" t="str">
        <f>IFERROR(VLOOKUP(C13,Dato_Pesc!$W$5:$AF$68,8),"")</f>
        <v/>
      </c>
    </row>
    <row r="14" spans="2:58" ht="16.5" customHeight="1" x14ac:dyDescent="0.25">
      <c r="B14" s="15">
        <f t="shared" si="9"/>
        <v>4</v>
      </c>
      <c r="C14" s="5" t="str">
        <f>IFERROR(VLOOKUP('Reporte Asistencia Laboral'!D14,EMPLEADO!C:Q,15,0),"")</f>
        <v>ZHANAY CABRERA ELVIS WLADIMIR</v>
      </c>
      <c r="D14" s="6" t="str">
        <f>IF(AND(ISTEXT(EMPLEADO!C8)),EMPLEADO!C8,"")</f>
        <v>110581707-4</v>
      </c>
      <c r="E14" s="5" t="str">
        <f>IFERROR(VLOOKUP(D14,EMPLEADO!C:E,2,FALSE),"")</f>
        <v>DIARIO</v>
      </c>
      <c r="F14" s="7">
        <f>IFERROR(ROUND(VLOOKUP('Reporte Asistencia Laboral'!D14,EMPLEADO!C:AE,3,FALSE)/30*AD14,2),"")</f>
        <v>0</v>
      </c>
      <c r="G14" s="318"/>
      <c r="H14" s="318"/>
      <c r="I14" s="318"/>
      <c r="J14" s="318"/>
      <c r="K14" s="319"/>
      <c r="L14" s="319"/>
      <c r="M14" s="319"/>
      <c r="N14" s="319"/>
      <c r="O14" s="318"/>
      <c r="P14" s="318"/>
      <c r="Q14" s="319"/>
      <c r="R14" s="319"/>
      <c r="S14" s="319"/>
      <c r="T14" s="319"/>
      <c r="U14" s="319"/>
      <c r="V14" s="245"/>
      <c r="W14" s="73" t="str">
        <f t="shared" si="2"/>
        <v/>
      </c>
      <c r="X14" s="73">
        <f t="shared" ref="X14" si="11">IF($G$6="F",G14,0)+IF($H$6="F",+H14,0)+IF($I$6="F",+I14,0)+IF($J$6="F",+J14,0)+IF($K$6="F",+K14,0)+IF($L$6="F",+L14,0)+IF($M$6="F",+M14,0)+IF($N$6="F",+N14,0)+IF($O$6="F",+O14,0)+IF($P$6="F",+P14,0)+IF($Q$6="F",+Q14,0)+IF($R$6="F",+R14,0)+IF($S$6="F",+S14,0)+IF($T$6="F",+T14,0)+IF($U$6="F",+U14,0)+IF($V$6="F",+V14,0)</f>
        <v>0</v>
      </c>
      <c r="Y14" s="97" t="str">
        <f t="shared" si="4"/>
        <v/>
      </c>
      <c r="Z14" s="225"/>
      <c r="AA14" s="151"/>
      <c r="AB14" s="293" t="str">
        <f>IFERROR(VLOOKUP(C14,EMPLEADO!B:AD,29,0),"")</f>
        <v>GP2</v>
      </c>
      <c r="AC14" s="8">
        <f t="shared" si="5"/>
        <v>0</v>
      </c>
      <c r="AD14" s="73">
        <f t="shared" si="10"/>
        <v>0</v>
      </c>
      <c r="AE14" s="8" t="str">
        <f t="shared" si="6"/>
        <v/>
      </c>
      <c r="AF14" s="46" t="str">
        <f t="shared" si="7"/>
        <v/>
      </c>
      <c r="AG14" s="289">
        <f>IFERROR(VLOOKUP(C14,'CONTROL H.E.'!C:EQ,144,0),"")</f>
        <v>0</v>
      </c>
      <c r="AH14" s="289">
        <f>IFERROR(VLOOKUP(C14,'CONTROL H.E.'!C:EQ,145,0),"")</f>
        <v>0</v>
      </c>
      <c r="AI14" s="274">
        <f>IFERROR(VLOOKUP(C14,'CONTROL H.E. Transf.'!C:BK,60,0),"")</f>
        <v>0</v>
      </c>
      <c r="AJ14" s="274">
        <f>IFERROR(VLOOKUP(C14,'CONTROL H.E. Transf.'!C:BK,61,0),"")</f>
        <v>0</v>
      </c>
      <c r="AK14" s="257" t="str">
        <f>IFERROR(ROUND((VLOOKUP(D14,EMPLEADO!C:F,3,FALSE)/240*1.5*(AE14+AG14+AI14)+(VLOOKUP(D14,EMPLEADO!C:F,3,FALSE)/240*2*(AF14+AH14+AJ14))),2),"")</f>
        <v/>
      </c>
      <c r="AL14" s="261" t="str">
        <f>IFERROR(IF(C14=BA14,VLOOKUP(C14,Dato_Pesc!E:G,2,FALSE)," ")," ")</f>
        <v xml:space="preserve"> </v>
      </c>
      <c r="AM14" s="262">
        <f>IFERROR(IF(C14=BA14,VLOOKUP(C14,Dato_Pesc!E:G,3,FALSE),0),0)</f>
        <v>0</v>
      </c>
      <c r="AN14" s="263" t="str">
        <f>IFERROR(IF(C14=BB14,VLOOKUP(C14,Dato_Pesc!H:J,2,0)," ")," ")</f>
        <v xml:space="preserve"> </v>
      </c>
      <c r="AO14" s="264">
        <f>IFERROR(IF(C14=BB14,VLOOKUP(C14,Dato_Pesc!H:J,3,FALSE),0),0)</f>
        <v>0</v>
      </c>
      <c r="AP14" s="278" t="str">
        <f>IFERROR(IF(C14=BC14,VLOOKUP(C14,Dato_Pesc!P:R,2,FALSE)," ")," ")</f>
        <v xml:space="preserve"> </v>
      </c>
      <c r="AQ14" s="265">
        <f>IFERROR(IF(C14=BC14,VLOOKUP(C14,Dato_Pesc!P:R,3,FALSE),0),0)</f>
        <v>0</v>
      </c>
      <c r="AR14" s="266" t="str">
        <f>IFERROR(IF(C14=BD14,VLOOKUP(C14,Dato_Pesc!S:U,2,FALSE)," ")," ")</f>
        <v xml:space="preserve"> </v>
      </c>
      <c r="AS14" s="279">
        <f>IFERROR(IF(C14=BD14,VLOOKUP(C14,Dato_Pesc!S:U,3,FALSE),0),0)</f>
        <v>0</v>
      </c>
      <c r="AT14" s="285" t="str">
        <f>IFERROR(IF(C14=BE14,VLOOKUP(C14,Dato_Pesc!AA:AC,2,FALSE)," ")," ")</f>
        <v xml:space="preserve"> </v>
      </c>
      <c r="AU14" s="267">
        <f>IFERROR(IF(C14=BE14,VLOOKUP(C14,Dato_Pesc!AA:AC,3,FALSE),0),0)</f>
        <v>0</v>
      </c>
      <c r="AV14" s="268" t="str">
        <f>IFERROR(IF(C14=BF14,VLOOKUP(C14,Dato_Pesc!AD:AF,2,FALSE)," ")," ")</f>
        <v xml:space="preserve"> </v>
      </c>
      <c r="AW14" s="286">
        <f>IFERROR(IF(C14=BF14,VLOOKUP(C14,Dato_Pesc!AD:AF,3,FALSE),0),0)</f>
        <v>0</v>
      </c>
      <c r="AX14" s="281">
        <f ca="1">IFERROR(ROUND(((SUMIF('$ NOCHE_PESC'!$B$4:$C$10,AL14,'$ NOCHE_PESC'!$C$4:$C$10))*AM14)+((SUMIF('$ NOCHE_PESC'!$B$4:$C$10,AN14,'$ NOCHE_PESC'!$C$4:$C$10))*AO14)+((SUMIF('$ NOCHE_PESC'!$B$4:$C$10,AP14,'$ NOCHE_PESC'!$C$4:$C$10))*AQ14)+((SUMIF('$ NOCHE_PESC'!$B$4:$C$10,AR14,'$ NOCHE_PESC'!$C$4:$C$10))*AS14)+((SUMIF('$ NOCHE_PESC'!$B$4:$C$10,AT14,'$ NOCHE_PESC'!$C$4:$C$10))*AU14)+((SUMIF('$ NOCHE_PESC'!$B$4:$C$10,AV14,'$ NOCHE_PESC'!$C$4:$C$10))*AW14),2),"")</f>
        <v>0</v>
      </c>
      <c r="AY14" s="291">
        <f t="shared" si="8"/>
        <v>0</v>
      </c>
      <c r="BA14" s="126" t="str">
        <f>IFERROR(IF(BB14=C14,BB14,VLOOKUP(C14,Dato_Pesc!$A$5:$J$67,5,0)),"")</f>
        <v/>
      </c>
      <c r="BB14" s="126" t="str">
        <f>IFERROR(VLOOKUP(C14,Dato_Pesc!$A$5:$J$67,8),"")</f>
        <v/>
      </c>
      <c r="BC14" s="126" t="str">
        <f>IFERROR(IF(BD14=C14,BD14,VLOOKUP(C14,Dato_Pesc!$L$5:$U$67,5,0)),"")</f>
        <v/>
      </c>
      <c r="BD14" s="126" t="str">
        <f>IFERROR(VLOOKUP(C14,Dato_Pesc!$L$5:$U$67,8),"")</f>
        <v/>
      </c>
      <c r="BE14" s="126" t="str">
        <f>IFERROR(IF(BF14=C14,BF14,VLOOKUP(C14,Dato_Pesc!$W$5:$AF$68,5,0)),"")</f>
        <v/>
      </c>
      <c r="BF14" s="126" t="str">
        <f>IFERROR(VLOOKUP(C14,Dato_Pesc!$W$5:$AF$68,8),"")</f>
        <v/>
      </c>
    </row>
    <row r="15" spans="2:58" ht="15.75" x14ac:dyDescent="0.25">
      <c r="B15" s="15">
        <f t="shared" si="9"/>
        <v>5</v>
      </c>
      <c r="C15" s="5" t="str">
        <f>IFERROR(VLOOKUP('Reporte Asistencia Laboral'!D15,EMPLEADO!C:Q,15,0),"")</f>
        <v>GUEVARA HERRERA VICENTE PATRICIO</v>
      </c>
      <c r="D15" s="6" t="str">
        <f>IF(AND(ISTEXT(EMPLEADO!C9)),EMPLEADO!C9,"")</f>
        <v>110533025-0</v>
      </c>
      <c r="E15" s="5" t="str">
        <f>IFERROR(VLOOKUP(D15,EMPLEADO!C:E,2,FALSE),"")</f>
        <v>DIARIO</v>
      </c>
      <c r="F15" s="7">
        <f>IFERROR(ROUND(VLOOKUP('Reporte Asistencia Laboral'!D15,EMPLEADO!C:AE,3,FALSE)/30*AD15,2),"")</f>
        <v>0</v>
      </c>
      <c r="G15" s="318"/>
      <c r="H15" s="318"/>
      <c r="I15" s="318"/>
      <c r="J15" s="318"/>
      <c r="K15" s="318"/>
      <c r="L15" s="318"/>
      <c r="M15" s="318"/>
      <c r="N15" s="319"/>
      <c r="O15" s="318"/>
      <c r="P15" s="318"/>
      <c r="Q15" s="319"/>
      <c r="R15" s="319"/>
      <c r="S15" s="319"/>
      <c r="T15" s="319"/>
      <c r="U15" s="319"/>
      <c r="V15" s="245"/>
      <c r="W15" s="73" t="str">
        <f t="shared" ref="W15" si="12">IFERROR(IF($G$10="S",+G15,IF($G$10="D",+G15,0))+IF($H$10="S",+H15,IF($H$10="D",+H15,0))+IF($I$10="S",+I15,IF($I$10="D",+I15,0))+IF($J$10="S",+J15,IF($J$10="D",+J15,0))+IF($K$10="S",+K15,IF($K$10="D",+K15,0))+IF($L$10="S",+L15,IF($L$10="D",+L15,0))+IF($M$10="S",+M15,IF($M$10="D",+M15,0))+IF($N$10="S",+N15,IF($N$10="D",+N15,0))+IF($O$10="S",+O15,IF($O$10="D",+O15,0))+IF($P$10="S",+P15,IF($P$10="D",+P15,0))+IF($Q$10="S",+Q15,IF($Q$10="D",+Q15,0))+IF($R$10="S",+R15,IF($R$10="D",+R15,0))+IF($S$10="S",+S15,IF($S$10="D",+S15,0))+IF($T$10="S",+T15,IF($T$10="D",+T15,0))+IF($U$10="S",+U15,IF($U$10="D",+U15,0))+IF($V$10="S",+V15,IF($V$10="D",+V15,0)),"")</f>
        <v/>
      </c>
      <c r="X15" s="73">
        <f t="shared" ref="X15" si="13">IF($G$6="F",G15,0)+IF($H$6="F",+H15,0)+IF($I$6="F",+I15,0)+IF($J$6="F",+J15,0)+IF($K$6="F",+K15,0)+IF($L$6="F",+L15,0)+IF($M$6="F",+M15,0)+IF($N$6="F",+N15,0)+IF($O$6="F",+O15,0)+IF($P$6="F",+P15,0)+IF($Q$6="F",+Q15,0)+IF($R$6="F",+R15,0)+IF($S$6="F",+S15,0)+IF($T$6="F",+T15,0)+IF($U$6="F",+U15,0)+IF($V$6="F",+V15,0)</f>
        <v>0</v>
      </c>
      <c r="Y15" s="97" t="str">
        <f t="shared" ref="Y15" si="14">IFERROR(IF($G$2="F",0,IF(G15&gt;8,G15-8,0))+IF($H$2="F",0,IF(H15&gt;8,H15-8,0))+IF($I$2="F",0,IF(I15&gt;8,I15-8,0))+IF($J$2="F",0,IF(J15&gt;8,J15-8,0))+IF($K$2="F",0,IF(K15&gt;8,K15-8,0))+IF($L$2="F",0,IF(L15&gt;8,L15-8,0))+IF($M$2="F",0,IF(M15&gt;8,M15-8,0))+IF($N$2="F",0,IF(N15&gt;8,N15-8,0))+IF($O$2="F",0,IF(O15&gt;8,O15-8,0))+IF($P$2="F",0,IF(P15&gt;8,P15-8,0))+IF($Q$2="F",0,IF(Q15&gt;8,Q15-8,0))+IF($R$2="F",0,IF(R15&gt;8,R15-8,0))+IF($S$2="F",0,IF(S15&gt;8,S15-8,0))+IF($T$2="F",0,IF(T15&gt;8,T15-8,0))+IF($U$2="F",0,IF(U15&gt;8,U15-8,0))+IF($V$2="F",0,IF(V15&gt;8,V15-8,0)),"")</f>
        <v/>
      </c>
      <c r="Z15" s="110"/>
      <c r="AA15" s="151"/>
      <c r="AB15" s="293" t="str">
        <f>IFERROR(VLOOKUP(C15,EMPLEADO!B:AD,29,0),"")</f>
        <v>GP2</v>
      </c>
      <c r="AC15" s="8">
        <f t="shared" ref="AC15" si="15">+SUM(G15:V15)</f>
        <v>0</v>
      </c>
      <c r="AD15" s="73">
        <f t="shared" ref="AD15" si="16">IF(COUNT(G15:V15)&gt;15,COUNT(G15:V15)-1,COUNT(G15:U15))+AA15</f>
        <v>0</v>
      </c>
      <c r="AE15" s="8" t="str">
        <f t="shared" ref="AE15" si="17">IFERROR(IF(Z15="N",0,Y15),"")</f>
        <v/>
      </c>
      <c r="AF15" s="73" t="str">
        <f t="shared" ref="AF15" si="18">IFERROR(IF(Z15="N",W15+X15+Y15,W15+X15),"")</f>
        <v/>
      </c>
      <c r="AG15" s="289">
        <f>IFERROR(VLOOKUP(C15,'CONTROL H.E.'!C:EQ,144,0),"")</f>
        <v>0</v>
      </c>
      <c r="AH15" s="289">
        <f>IFERROR(VLOOKUP(C15,'CONTROL H.E.'!C:EQ,145,0),"")</f>
        <v>0</v>
      </c>
      <c r="AI15" s="274">
        <f>IFERROR(VLOOKUP(C15,'CONTROL H.E. Transf.'!C:BK,60,0),"")</f>
        <v>0</v>
      </c>
      <c r="AJ15" s="274">
        <f>IFERROR(VLOOKUP(C15,'CONTROL H.E. Transf.'!C:BK,61,0),"")</f>
        <v>0</v>
      </c>
      <c r="AK15" s="257" t="str">
        <f>IFERROR(ROUND((VLOOKUP(D15,EMPLEADO!C:F,3,FALSE)/240*1.5*(AE15+AG15+AI15)+(VLOOKUP(D15,EMPLEADO!C:F,3,FALSE)/240*2*(AF15+AH15+AJ15))),2),"")</f>
        <v/>
      </c>
      <c r="AL15" s="261" t="str">
        <f>IFERROR(IF(C15=BA15,VLOOKUP(C15,Dato_Pesc!E:G,2,FALSE)," ")," ")</f>
        <v xml:space="preserve"> </v>
      </c>
      <c r="AM15" s="262">
        <f>IFERROR(IF(C15=BA15,VLOOKUP(C15,Dato_Pesc!E:G,3,FALSE),0),0)</f>
        <v>0</v>
      </c>
      <c r="AN15" s="263" t="str">
        <f>IFERROR(IF(C15=BB15,VLOOKUP(C15,Dato_Pesc!H:J,2,0)," ")," ")</f>
        <v xml:space="preserve"> </v>
      </c>
      <c r="AO15" s="264">
        <f>IFERROR(IF(C15=BB15,VLOOKUP(C15,Dato_Pesc!H:J,3,FALSE),0),0)</f>
        <v>0</v>
      </c>
      <c r="AP15" s="278" t="str">
        <f>IFERROR(IF(C15=BC15,VLOOKUP(C15,Dato_Pesc!P:R,2,FALSE)," ")," ")</f>
        <v xml:space="preserve"> </v>
      </c>
      <c r="AQ15" s="265">
        <f>IFERROR(IF(C15=BC15,VLOOKUP(C15,Dato_Pesc!P:R,3,FALSE),0),0)</f>
        <v>0</v>
      </c>
      <c r="AR15" s="266" t="str">
        <f>IFERROR(IF(C15=BD15,VLOOKUP(C15,Dato_Pesc!S:U,2,FALSE)," ")," ")</f>
        <v xml:space="preserve"> </v>
      </c>
      <c r="AS15" s="279">
        <f>IFERROR(IF(C15=BD15,VLOOKUP(C15,Dato_Pesc!S:U,3,FALSE),0),0)</f>
        <v>0</v>
      </c>
      <c r="AT15" s="285" t="str">
        <f>IFERROR(IF(C15=BE15,VLOOKUP(C15,Dato_Pesc!AA:AC,2,FALSE)," ")," ")</f>
        <v xml:space="preserve"> </v>
      </c>
      <c r="AU15" s="267">
        <f>IFERROR(IF(C15=BE15,VLOOKUP(C15,Dato_Pesc!AA:AC,3,FALSE),0),0)</f>
        <v>0</v>
      </c>
      <c r="AV15" s="268" t="str">
        <f>IFERROR(IF(C15=BF15,VLOOKUP(C15,Dato_Pesc!AD:AF,2,FALSE)," ")," ")</f>
        <v xml:space="preserve"> </v>
      </c>
      <c r="AW15" s="286">
        <f>IFERROR(IF(C15=BF15,VLOOKUP(C15,Dato_Pesc!AD:AF,3,FALSE),0),0)</f>
        <v>0</v>
      </c>
      <c r="AX15" s="281">
        <f ca="1">IFERROR(ROUND(((SUMIF('$ NOCHE_PESC'!$B$4:$C$10,AL15,'$ NOCHE_PESC'!$C$4:$C$10))*AM15)+((SUMIF('$ NOCHE_PESC'!$B$4:$C$10,AN15,'$ NOCHE_PESC'!$C$4:$C$10))*AO15)+((SUMIF('$ NOCHE_PESC'!$B$4:$C$10,AP15,'$ NOCHE_PESC'!$C$4:$C$10))*AQ15)+((SUMIF('$ NOCHE_PESC'!$B$4:$C$10,AR15,'$ NOCHE_PESC'!$C$4:$C$10))*AS15)+((SUMIF('$ NOCHE_PESC'!$B$4:$C$10,AT15,'$ NOCHE_PESC'!$C$4:$C$10))*AU15)+((SUMIF('$ NOCHE_PESC'!$B$4:$C$10,AV15,'$ NOCHE_PESC'!$C$4:$C$10))*AW15),2),"")</f>
        <v>0</v>
      </c>
      <c r="AY15" s="291">
        <f t="shared" ref="AY15" si="19">SUM(AM15+AO15+AQ15+AS15+AU15+AW15)</f>
        <v>0</v>
      </c>
      <c r="BA15" s="126" t="str">
        <f>IFERROR(IF(BB15=C15,BB15,VLOOKUP(C15,Dato_Pesc!$A$5:$J$67,5,0)),"")</f>
        <v/>
      </c>
      <c r="BB15" s="126" t="str">
        <f>IFERROR(VLOOKUP(C15,Dato_Pesc!$A$5:$J$67,8),"")</f>
        <v/>
      </c>
      <c r="BC15" s="126" t="str">
        <f>IFERROR(IF(BD15=C15,BD15,VLOOKUP(C15,Dato_Pesc!$L$5:$U$67,5,0)),"")</f>
        <v/>
      </c>
      <c r="BD15" s="126" t="str">
        <f>IFERROR(VLOOKUP(C15,Dato_Pesc!$L$5:$U$67,8),"")</f>
        <v/>
      </c>
      <c r="BE15" s="126" t="str">
        <f>IFERROR(IF(BF15=C15,BF15,VLOOKUP(C15,Dato_Pesc!$W$5:$AF$68,5,0)),"")</f>
        <v/>
      </c>
      <c r="BF15" s="126" t="str">
        <f>IFERROR(VLOOKUP(C15,Dato_Pesc!$W$5:$AF$68,8),"")</f>
        <v/>
      </c>
    </row>
    <row r="16" spans="2:58" ht="15.75" x14ac:dyDescent="0.25">
      <c r="B16" s="15">
        <f t="shared" si="9"/>
        <v>6</v>
      </c>
      <c r="C16" s="5" t="str">
        <f>IFERROR(VLOOKUP('Reporte Asistencia Laboral'!D16,EMPLEADO!C:Q,15,0),"")</f>
        <v>PINARGOTE BERMELLO ANGEL EUGENIO</v>
      </c>
      <c r="D16" s="6" t="str">
        <f>IF(AND(ISTEXT(EMPLEADO!C10)),EMPLEADO!C10,"")</f>
        <v>131350790-5</v>
      </c>
      <c r="E16" s="5" t="str">
        <f>IFERROR(VLOOKUP(D16,EMPLEADO!C:E,2,FALSE),"")</f>
        <v>DIARIO</v>
      </c>
      <c r="F16" s="7">
        <f>IFERROR(ROUND(VLOOKUP('Reporte Asistencia Laboral'!D16,EMPLEADO!C:AE,3,FALSE)/30*AD16,2),"")</f>
        <v>0</v>
      </c>
      <c r="G16" s="318"/>
      <c r="H16" s="318"/>
      <c r="I16" s="318"/>
      <c r="J16" s="318"/>
      <c r="K16" s="319"/>
      <c r="L16" s="319"/>
      <c r="M16" s="319"/>
      <c r="N16" s="319"/>
      <c r="O16" s="318"/>
      <c r="P16" s="318"/>
      <c r="Q16" s="319"/>
      <c r="R16" s="319"/>
      <c r="S16" s="319"/>
      <c r="T16" s="319"/>
      <c r="U16" s="319"/>
      <c r="V16" s="245"/>
      <c r="W16" s="73" t="str">
        <f t="shared" ref="W16:W17" si="20">IFERROR(IF($G$10="S",+G16,IF($G$10="D",+G16,0))+IF($H$10="S",+H16,IF($H$10="D",+H16,0))+IF($I$10="S",+I16,IF($I$10="D",+I16,0))+IF($J$10="S",+J16,IF($J$10="D",+J16,0))+IF($K$10="S",+K16,IF($K$10="D",+K16,0))+IF($L$10="S",+L16,IF($L$10="D",+L16,0))+IF($M$10="S",+M16,IF($M$10="D",+M16,0))+IF($N$10="S",+N16,IF($N$10="D",+N16,0))+IF($O$10="S",+O16,IF($O$10="D",+O16,0))+IF($P$10="S",+P16,IF($P$10="D",+P16,0))+IF($Q$10="S",+Q16,IF($Q$10="D",+Q16,0))+IF($R$10="S",+R16,IF($R$10="D",+R16,0))+IF($S$10="S",+S16,IF($S$10="D",+S16,0))+IF($T$10="S",+T16,IF($T$10="D",+T16,0))+IF($U$10="S",+U16,IF($U$10="D",+U16,0))+IF($V$10="S",+V16,IF($V$10="D",+V16,0)),"")</f>
        <v/>
      </c>
      <c r="X16" s="73">
        <f t="shared" ref="X16:X17" si="21">IF($G$6="F",G16,0)+IF($H$6="F",+H16,0)+IF($I$6="F",+I16,0)+IF($J$6="F",+J16,0)+IF($K$6="F",+K16,0)+IF($L$6="F",+L16,0)+IF($M$6="F",+M16,0)+IF($N$6="F",+N16,0)+IF($O$6="F",+O16,0)+IF($P$6="F",+P16,0)+IF($Q$6="F",+Q16,0)+IF($R$6="F",+R16,0)+IF($S$6="F",+S16,0)+IF($T$6="F",+T16,0)+IF($U$6="F",+U16,0)+IF($V$6="F",+V16,0)</f>
        <v>0</v>
      </c>
      <c r="Y16" s="97" t="str">
        <f t="shared" ref="Y16:Y17" si="22">IFERROR(IF($G$2="F",0,IF(G16&gt;8,G16-8,0))+IF($H$2="F",0,IF(H16&gt;8,H16-8,0))+IF($I$2="F",0,IF(I16&gt;8,I16-8,0))+IF($J$2="F",0,IF(J16&gt;8,J16-8,0))+IF($K$2="F",0,IF(K16&gt;8,K16-8,0))+IF($L$2="F",0,IF(L16&gt;8,L16-8,0))+IF($M$2="F",0,IF(M16&gt;8,M16-8,0))+IF($N$2="F",0,IF(N16&gt;8,N16-8,0))+IF($O$2="F",0,IF(O16&gt;8,O16-8,0))+IF($P$2="F",0,IF(P16&gt;8,P16-8,0))+IF($Q$2="F",0,IF(Q16&gt;8,Q16-8,0))+IF($R$2="F",0,IF(R16&gt;8,R16-8,0))+IF($S$2="F",0,IF(S16&gt;8,S16-8,0))+IF($T$2="F",0,IF(T16&gt;8,T16-8,0))+IF($U$2="F",0,IF(U16&gt;8,U16-8,0))+IF($V$2="F",0,IF(V16&gt;8,V16-8,0)),"")</f>
        <v/>
      </c>
      <c r="Z16" s="110"/>
      <c r="AA16" s="151"/>
      <c r="AB16" s="293" t="str">
        <f>IFERROR(VLOOKUP(C16,EMPLEADO!B:AD,29,0),"")</f>
        <v>GP1</v>
      </c>
      <c r="AC16" s="8">
        <f t="shared" ref="AC16:AC17" si="23">+SUM(G16:V16)</f>
        <v>0</v>
      </c>
      <c r="AD16" s="73">
        <f t="shared" ref="AD16:AD17" si="24">IF(COUNT(G16:V16)&gt;15,COUNT(G16:V16)-1,COUNT(G16:U16))+AA16</f>
        <v>0</v>
      </c>
      <c r="AE16" s="8" t="str">
        <f t="shared" ref="AE16:AE17" si="25">IFERROR(IF(Z16="N",0,Y16),"")</f>
        <v/>
      </c>
      <c r="AF16" s="73" t="str">
        <f t="shared" ref="AF16:AF17" si="26">IFERROR(IF(Z16="N",W16+X16+Y16,W16+X16),"")</f>
        <v/>
      </c>
      <c r="AG16" s="289">
        <f>IFERROR(VLOOKUP(C16,'CONTROL H.E.'!C:EQ,144,0),"")</f>
        <v>0</v>
      </c>
      <c r="AH16" s="289">
        <f>IFERROR(VLOOKUP(C16,'CONTROL H.E.'!C:EQ,145,0),"")</f>
        <v>0</v>
      </c>
      <c r="AI16" s="274">
        <f>IFERROR(VLOOKUP(C16,'CONTROL H.E. Transf.'!C:BK,60,0),"")</f>
        <v>0</v>
      </c>
      <c r="AJ16" s="274">
        <f>IFERROR(VLOOKUP(C16,'CONTROL H.E. Transf.'!C:BK,61,0),"")</f>
        <v>0</v>
      </c>
      <c r="AK16" s="257" t="str">
        <f>IFERROR(ROUND((VLOOKUP(D16,EMPLEADO!C:F,3,FALSE)/240*1.5*(AE16+AG16+AI16)+(VLOOKUP(D16,EMPLEADO!C:F,3,FALSE)/240*2*(AF16+AH16+AJ16))),2),"")</f>
        <v/>
      </c>
      <c r="AL16" s="261" t="str">
        <f>IFERROR(IF(C16=BA16,VLOOKUP(C16,Dato_Pesc!E:G,2,FALSE)," ")," ")</f>
        <v xml:space="preserve"> </v>
      </c>
      <c r="AM16" s="262">
        <f>IFERROR(IF(C16=BA16,VLOOKUP(C16,Dato_Pesc!E:G,3,FALSE),0),0)</f>
        <v>0</v>
      </c>
      <c r="AN16" s="263" t="str">
        <f>IFERROR(IF(C16=BB16,VLOOKUP(C16,Dato_Pesc!H:J,2,0)," ")," ")</f>
        <v xml:space="preserve"> </v>
      </c>
      <c r="AO16" s="264">
        <f>IFERROR(IF(C16=BB16,VLOOKUP(C16,Dato_Pesc!H:J,3,FALSE),0),0)</f>
        <v>0</v>
      </c>
      <c r="AP16" s="278" t="str">
        <f>IFERROR(IF(C16=BC16,VLOOKUP(C16,Dato_Pesc!P:R,2,FALSE)," ")," ")</f>
        <v xml:space="preserve"> </v>
      </c>
      <c r="AQ16" s="265">
        <f>IFERROR(IF(C16=BC16,VLOOKUP(C16,Dato_Pesc!P:R,3,FALSE),0),0)</f>
        <v>0</v>
      </c>
      <c r="AR16" s="266" t="str">
        <f>IFERROR(IF(C16=BD16,VLOOKUP(C16,Dato_Pesc!S:U,2,FALSE)," ")," ")</f>
        <v xml:space="preserve"> </v>
      </c>
      <c r="AS16" s="279">
        <f>IFERROR(IF(C16=BD16,VLOOKUP(C16,Dato_Pesc!S:U,3,FALSE),0),0)</f>
        <v>0</v>
      </c>
      <c r="AT16" s="285" t="str">
        <f>IFERROR(IF(C16=BE16,VLOOKUP(C16,Dato_Pesc!AA:AC,2,FALSE)," ")," ")</f>
        <v xml:space="preserve"> </v>
      </c>
      <c r="AU16" s="267">
        <f>IFERROR(IF(C16=BE16,VLOOKUP(C16,Dato_Pesc!AA:AC,3,FALSE),0),0)</f>
        <v>0</v>
      </c>
      <c r="AV16" s="268" t="str">
        <f>IFERROR(IF(C16=BF16,VLOOKUP(C16,Dato_Pesc!AD:AF,2,FALSE)," ")," ")</f>
        <v xml:space="preserve"> </v>
      </c>
      <c r="AW16" s="286">
        <f>IFERROR(IF(C16=BF16,VLOOKUP(C16,Dato_Pesc!AD:AF,3,FALSE),0),0)</f>
        <v>0</v>
      </c>
      <c r="AX16" s="281">
        <f ca="1">IFERROR(ROUND(((SUMIF('$ NOCHE_PESC'!$B$4:$C$10,AL16,'$ NOCHE_PESC'!$C$4:$C$10))*AM16)+((SUMIF('$ NOCHE_PESC'!$B$4:$C$10,AN16,'$ NOCHE_PESC'!$C$4:$C$10))*AO16)+((SUMIF('$ NOCHE_PESC'!$B$4:$C$10,AP16,'$ NOCHE_PESC'!$C$4:$C$10))*AQ16)+((SUMIF('$ NOCHE_PESC'!$B$4:$C$10,AR16,'$ NOCHE_PESC'!$C$4:$C$10))*AS16)+((SUMIF('$ NOCHE_PESC'!$B$4:$C$10,AT16,'$ NOCHE_PESC'!$C$4:$C$10))*AU16)+((SUMIF('$ NOCHE_PESC'!$B$4:$C$10,AV16,'$ NOCHE_PESC'!$C$4:$C$10))*AW16),2),"")</f>
        <v>0</v>
      </c>
      <c r="AY16" s="291">
        <f t="shared" ref="AY16:AY17" si="27">SUM(AM16+AO16+AQ16+AS16+AU16+AW16)</f>
        <v>0</v>
      </c>
      <c r="BA16" s="126" t="str">
        <f>IFERROR(IF(BB16=C16,BB16,VLOOKUP(C16,Dato_Pesc!$A$5:$J$67,5,0)),"")</f>
        <v/>
      </c>
      <c r="BB16" s="126" t="str">
        <f>IFERROR(VLOOKUP(C16,Dato_Pesc!$A$5:$J$67,8),"")</f>
        <v/>
      </c>
      <c r="BC16" s="126" t="str">
        <f>IFERROR(IF(BD16=C16,BD16,VLOOKUP(C16,Dato_Pesc!$L$5:$U$67,5,0)),"")</f>
        <v/>
      </c>
      <c r="BD16" s="126" t="str">
        <f>IFERROR(VLOOKUP(C16,Dato_Pesc!$L$5:$U$67,8),"")</f>
        <v/>
      </c>
      <c r="BE16" s="126" t="str">
        <f>IFERROR(IF(BF16=C16,BF16,VLOOKUP(C16,Dato_Pesc!$W$5:$AF$68,5,0)),"")</f>
        <v/>
      </c>
      <c r="BF16" s="126" t="str">
        <f>IFERROR(VLOOKUP(C16,Dato_Pesc!$W$5:$AF$68,8),"")</f>
        <v/>
      </c>
    </row>
    <row r="17" spans="2:58" ht="15.75" x14ac:dyDescent="0.25">
      <c r="B17" s="15">
        <f t="shared" si="9"/>
        <v>7</v>
      </c>
      <c r="C17" s="5" t="str">
        <f>IFERROR(VLOOKUP('Reporte Asistencia Laboral'!D17,EMPLEADO!C:Q,15,0),"")</f>
        <v>MARQUEZ FERNANDEZ AUGUSTO ANTONIO</v>
      </c>
      <c r="D17" s="6" t="str">
        <f>IF(AND(ISTEXT(EMPLEADO!C11)),EMPLEADO!C11,"")</f>
        <v>131289138-3</v>
      </c>
      <c r="E17" s="5" t="str">
        <f>IFERROR(VLOOKUP(D17,EMPLEADO!C:E,2,FALSE),"")</f>
        <v>DIARIO</v>
      </c>
      <c r="F17" s="7">
        <f>IFERROR(ROUND(VLOOKUP('Reporte Asistencia Laboral'!D17,EMPLEADO!C:AE,3,FALSE)/30*AD17,2),"")</f>
        <v>0</v>
      </c>
      <c r="G17" s="318"/>
      <c r="H17" s="318"/>
      <c r="I17" s="318"/>
      <c r="J17" s="318"/>
      <c r="K17" s="318"/>
      <c r="L17" s="318"/>
      <c r="M17" s="318"/>
      <c r="N17" s="319"/>
      <c r="O17" s="318"/>
      <c r="P17" s="318"/>
      <c r="Q17" s="319"/>
      <c r="R17" s="319"/>
      <c r="S17" s="319"/>
      <c r="T17" s="319"/>
      <c r="U17" s="319"/>
      <c r="V17" s="245"/>
      <c r="W17" s="73" t="str">
        <f t="shared" si="20"/>
        <v/>
      </c>
      <c r="X17" s="73">
        <f t="shared" si="21"/>
        <v>0</v>
      </c>
      <c r="Y17" s="97" t="str">
        <f t="shared" si="22"/>
        <v/>
      </c>
      <c r="Z17" s="110"/>
      <c r="AA17" s="151"/>
      <c r="AB17" s="293" t="str">
        <f>IFERROR(VLOOKUP(C17,EMPLEADO!B:AD,29,0),"")</f>
        <v>GP1</v>
      </c>
      <c r="AC17" s="8">
        <f t="shared" si="23"/>
        <v>0</v>
      </c>
      <c r="AD17" s="73">
        <f t="shared" si="24"/>
        <v>0</v>
      </c>
      <c r="AE17" s="8" t="str">
        <f t="shared" si="25"/>
        <v/>
      </c>
      <c r="AF17" s="73" t="str">
        <f t="shared" si="26"/>
        <v/>
      </c>
      <c r="AG17" s="289">
        <f>IFERROR(VLOOKUP(C17,'CONTROL H.E.'!C:EQ,144,0),"")</f>
        <v>0</v>
      </c>
      <c r="AH17" s="289">
        <f>IFERROR(VLOOKUP(C17,'CONTROL H.E.'!C:EQ,145,0),"")</f>
        <v>0</v>
      </c>
      <c r="AI17" s="274">
        <f>IFERROR(VLOOKUP(C17,'CONTROL H.E. Transf.'!C:BK,60,0),"")</f>
        <v>0</v>
      </c>
      <c r="AJ17" s="274">
        <f>IFERROR(VLOOKUP(C17,'CONTROL H.E. Transf.'!C:BK,61,0),"")</f>
        <v>0</v>
      </c>
      <c r="AK17" s="257" t="str">
        <f>IFERROR(ROUND((VLOOKUP(D17,EMPLEADO!C:F,3,FALSE)/240*1.5*(AE17+AG17+AI17)+(VLOOKUP(D17,EMPLEADO!C:F,3,FALSE)/240*2*(AF17+AH17+AJ17))),2),"")</f>
        <v/>
      </c>
      <c r="AL17" s="261" t="str">
        <f>IFERROR(IF(C17=BA17,VLOOKUP(C17,Dato_Pesc!E:G,2,FALSE)," ")," ")</f>
        <v xml:space="preserve"> </v>
      </c>
      <c r="AM17" s="262">
        <f>IFERROR(IF(C17=BA17,VLOOKUP(C17,Dato_Pesc!E:G,3,FALSE),0),0)</f>
        <v>0</v>
      </c>
      <c r="AN17" s="263" t="str">
        <f>IFERROR(IF(C17=BB17,VLOOKUP(C17,Dato_Pesc!H:J,2,0)," ")," ")</f>
        <v xml:space="preserve"> </v>
      </c>
      <c r="AO17" s="264">
        <f>IFERROR(IF(C17=BB17,VLOOKUP(C17,Dato_Pesc!H:J,3,FALSE),0),0)</f>
        <v>0</v>
      </c>
      <c r="AP17" s="278" t="str">
        <f>IFERROR(IF(C17=BC17,VLOOKUP(C17,Dato_Pesc!P:R,2,FALSE)," ")," ")</f>
        <v xml:space="preserve"> </v>
      </c>
      <c r="AQ17" s="265">
        <f>IFERROR(IF(C17=BC17,VLOOKUP(C17,Dato_Pesc!P:R,3,FALSE),0),0)</f>
        <v>0</v>
      </c>
      <c r="AR17" s="266" t="str">
        <f>IFERROR(IF(C17=BD17,VLOOKUP(C17,Dato_Pesc!S:U,2,FALSE)," ")," ")</f>
        <v xml:space="preserve"> </v>
      </c>
      <c r="AS17" s="279">
        <f>IFERROR(IF(C17=BD17,VLOOKUP(C17,Dato_Pesc!S:U,3,FALSE),0),0)</f>
        <v>0</v>
      </c>
      <c r="AT17" s="285" t="str">
        <f>IFERROR(IF(C17=BE17,VLOOKUP(C17,Dato_Pesc!AA:AC,2,FALSE)," ")," ")</f>
        <v xml:space="preserve"> </v>
      </c>
      <c r="AU17" s="267">
        <f>IFERROR(IF(C17=BE17,VLOOKUP(C17,Dato_Pesc!AA:AC,3,FALSE),0),0)</f>
        <v>0</v>
      </c>
      <c r="AV17" s="268" t="str">
        <f>IFERROR(IF(C17=BF17,VLOOKUP(C17,Dato_Pesc!AD:AF,2,FALSE)," ")," ")</f>
        <v xml:space="preserve"> </v>
      </c>
      <c r="AW17" s="286">
        <f>IFERROR(IF(C17=BF17,VLOOKUP(C17,Dato_Pesc!AD:AF,3,FALSE),0),0)</f>
        <v>0</v>
      </c>
      <c r="AX17" s="281">
        <f ca="1">IFERROR(ROUND(((SUMIF('$ NOCHE_PESC'!$B$4:$C$10,AL17,'$ NOCHE_PESC'!$C$4:$C$10))*AM17)+((SUMIF('$ NOCHE_PESC'!$B$4:$C$10,AN17,'$ NOCHE_PESC'!$C$4:$C$10))*AO17)+((SUMIF('$ NOCHE_PESC'!$B$4:$C$10,AP17,'$ NOCHE_PESC'!$C$4:$C$10))*AQ17)+((SUMIF('$ NOCHE_PESC'!$B$4:$C$10,AR17,'$ NOCHE_PESC'!$C$4:$C$10))*AS17)+((SUMIF('$ NOCHE_PESC'!$B$4:$C$10,AT17,'$ NOCHE_PESC'!$C$4:$C$10))*AU17)+((SUMIF('$ NOCHE_PESC'!$B$4:$C$10,AV17,'$ NOCHE_PESC'!$C$4:$C$10))*AW17),2),"")</f>
        <v>0</v>
      </c>
      <c r="AY17" s="291">
        <f t="shared" si="27"/>
        <v>0</v>
      </c>
      <c r="BA17" s="126" t="str">
        <f>IFERROR(IF(BB17=C17,BB17,VLOOKUP(C17,Dato_Pesc!$A$5:$J$67,5,0)),"")</f>
        <v/>
      </c>
      <c r="BB17" s="126" t="str">
        <f>IFERROR(VLOOKUP(C17,Dato_Pesc!$A$5:$J$67,8),"")</f>
        <v/>
      </c>
      <c r="BC17" s="126" t="str">
        <f>IFERROR(IF(BD17=C17,BD17,VLOOKUP(C17,Dato_Pesc!$L$5:$U$67,5,0)),"")</f>
        <v/>
      </c>
      <c r="BD17" s="126" t="str">
        <f>IFERROR(VLOOKUP(C17,Dato_Pesc!$L$5:$U$67,8),"")</f>
        <v/>
      </c>
      <c r="BE17" s="126" t="str">
        <f>IFERROR(IF(BF17=C17,BF17,VLOOKUP(C17,Dato_Pesc!$W$5:$AF$68,5,0)),"")</f>
        <v/>
      </c>
      <c r="BF17" s="126" t="str">
        <f>IFERROR(VLOOKUP(C17,Dato_Pesc!$W$5:$AF$68,8),"")</f>
        <v/>
      </c>
    </row>
    <row r="18" spans="2:58" ht="15.75" x14ac:dyDescent="0.25">
      <c r="B18" s="15">
        <f t="shared" si="9"/>
        <v>8</v>
      </c>
      <c r="C18" s="5" t="str">
        <f>IFERROR(VLOOKUP('Reporte Asistencia Laboral'!D18,EMPLEADO!C:Q,15,0),"")</f>
        <v>CARRION CORONEL JORGE LUIS</v>
      </c>
      <c r="D18" s="6" t="str">
        <f>IF(AND(ISTEXT(EMPLEADO!C12)),EMPLEADO!C12,"")</f>
        <v>110601446-5</v>
      </c>
      <c r="E18" s="5" t="str">
        <f>IFERROR(VLOOKUP(D18,EMPLEADO!C:E,2,FALSE),"")</f>
        <v>DIARIO</v>
      </c>
      <c r="F18" s="7">
        <f>IFERROR(ROUND(VLOOKUP('Reporte Asistencia Laboral'!D18,EMPLEADO!C:AE,3,FALSE)/30*AD18,2),"")</f>
        <v>0</v>
      </c>
      <c r="G18" s="159"/>
      <c r="H18" s="245"/>
      <c r="I18" s="245"/>
      <c r="J18" s="159"/>
      <c r="K18" s="159"/>
      <c r="L18" s="159"/>
      <c r="M18" s="159"/>
      <c r="N18" s="159"/>
      <c r="O18" s="245"/>
      <c r="P18" s="245"/>
      <c r="Q18" s="159"/>
      <c r="R18" s="159"/>
      <c r="S18" s="159"/>
      <c r="T18" s="159"/>
      <c r="U18" s="159"/>
      <c r="V18" s="245"/>
      <c r="W18" s="73" t="str">
        <f t="shared" ref="W18" si="28">IFERROR(IF($G$10="S",+G18,IF($G$10="D",+G18,0))+IF($H$10="S",+H18,IF($H$10="D",+H18,0))+IF($I$10="S",+I18,IF($I$10="D",+I18,0))+IF($J$10="S",+J18,IF($J$10="D",+J18,0))+IF($K$10="S",+K18,IF($K$10="D",+K18,0))+IF($L$10="S",+L18,IF($L$10="D",+L18,0))+IF($M$10="S",+M18,IF($M$10="D",+M18,0))+IF($N$10="S",+N18,IF($N$10="D",+N18,0))+IF($O$10="S",+O18,IF($O$10="D",+O18,0))+IF($P$10="S",+P18,IF($P$10="D",+P18,0))+IF($Q$10="S",+Q18,IF($Q$10="D",+Q18,0))+IF($R$10="S",+R18,IF($R$10="D",+R18,0))+IF($S$10="S",+S18,IF($S$10="D",+S18,0))+IF($T$10="S",+T18,IF($T$10="D",+T18,0))+IF($U$10="S",+U18,IF($U$10="D",+U18,0))+IF($V$10="S",+V18,IF($V$10="D",+V18,0)),"")</f>
        <v/>
      </c>
      <c r="X18" s="73">
        <f t="shared" ref="X18" si="29">IF($G$6="F",G18,0)+IF($H$6="F",+H18,0)+IF($I$6="F",+I18,0)+IF($J$6="F",+J18,0)+IF($K$6="F",+K18,0)+IF($L$6="F",+L18,0)+IF($M$6="F",+M18,0)+IF($N$6="F",+N18,0)+IF($O$6="F",+O18,0)+IF($P$6="F",+P18,0)+IF($Q$6="F",+Q18,0)+IF($R$6="F",+R18,0)+IF($S$6="F",+S18,0)+IF($T$6="F",+T18,0)+IF($U$6="F",+U18,0)+IF($V$6="F",+V18,0)</f>
        <v>0</v>
      </c>
      <c r="Y18" s="97" t="str">
        <f t="shared" ref="Y18" si="30">IFERROR(IF($G$2="F",0,IF(G18&gt;8,G18-8,0))+IF($H$2="F",0,IF(H18&gt;8,H18-8,0))+IF($I$2="F",0,IF(I18&gt;8,I18-8,0))+IF($J$2="F",0,IF(J18&gt;8,J18-8,0))+IF($K$2="F",0,IF(K18&gt;8,K18-8,0))+IF($L$2="F",0,IF(L18&gt;8,L18-8,0))+IF($M$2="F",0,IF(M18&gt;8,M18-8,0))+IF($N$2="F",0,IF(N18&gt;8,N18-8,0))+IF($O$2="F",0,IF(O18&gt;8,O18-8,0))+IF($P$2="F",0,IF(P18&gt;8,P18-8,0))+IF($Q$2="F",0,IF(Q18&gt;8,Q18-8,0))+IF($R$2="F",0,IF(R18&gt;8,R18-8,0))+IF($S$2="F",0,IF(S18&gt;8,S18-8,0))+IF($T$2="F",0,IF(T18&gt;8,T18-8,0))+IF($U$2="F",0,IF(U18&gt;8,U18-8,0))+IF($V$2="F",0,IF(V18&gt;8,V18-8,0)),"")</f>
        <v/>
      </c>
      <c r="Z18" s="110"/>
      <c r="AA18" s="151"/>
      <c r="AB18" s="293" t="str">
        <f>IFERROR(VLOOKUP(C18,EMPLEADO!B:AD,29,0),"")</f>
        <v>GP1</v>
      </c>
      <c r="AC18" s="8">
        <f t="shared" ref="AC18" si="31">+SUM(G18:V18)</f>
        <v>0</v>
      </c>
      <c r="AD18" s="73">
        <f t="shared" ref="AD18" si="32">IF(COUNT(G18:V18)&gt;15,COUNT(G18:V18)-1,COUNT(G18:U18))+AA18</f>
        <v>0</v>
      </c>
      <c r="AE18" s="8" t="str">
        <f t="shared" ref="AE18" si="33">IFERROR(IF(Z18="N",0,Y18),"")</f>
        <v/>
      </c>
      <c r="AF18" s="73" t="str">
        <f t="shared" ref="AF18" si="34">IFERROR(IF(Z18="N",W18+X18+Y18,W18+X18),"")</f>
        <v/>
      </c>
      <c r="AG18" s="289">
        <f>IFERROR(VLOOKUP(C18,'CONTROL H.E.'!C:EQ,144,0),"")</f>
        <v>0</v>
      </c>
      <c r="AH18" s="289">
        <f>IFERROR(VLOOKUP(C18,'CONTROL H.E.'!C:EQ,145,0),"")</f>
        <v>0</v>
      </c>
      <c r="AI18" s="274">
        <f>IFERROR(VLOOKUP(C18,'CONTROL H.E. Transf.'!C:BK,60,0),"")</f>
        <v>0</v>
      </c>
      <c r="AJ18" s="274">
        <f>IFERROR(VLOOKUP(C18,'CONTROL H.E. Transf.'!C:BK,61,0),"")</f>
        <v>0</v>
      </c>
      <c r="AK18" s="257" t="str">
        <f>IFERROR(ROUND((VLOOKUP(D18,EMPLEADO!C:F,3,FALSE)/240*1.5*(AE18+AG18+AI18)+(VLOOKUP(D18,EMPLEADO!C:F,3,FALSE)/240*2*(AF18+AH18+AJ18))),2),"")</f>
        <v/>
      </c>
      <c r="AL18" s="261" t="str">
        <f>IFERROR(IF(C18=BA18,VLOOKUP(C18,Dato_Pesc!E:G,2,FALSE)," ")," ")</f>
        <v xml:space="preserve"> </v>
      </c>
      <c r="AM18" s="262">
        <f>IFERROR(IF(C18=BA18,VLOOKUP(C18,Dato_Pesc!E:G,3,FALSE),0),0)</f>
        <v>0</v>
      </c>
      <c r="AN18" s="263" t="str">
        <f>IFERROR(IF(C18=BB18,VLOOKUP(C18,Dato_Pesc!H:J,2,0)," ")," ")</f>
        <v xml:space="preserve"> </v>
      </c>
      <c r="AO18" s="264">
        <f>IFERROR(IF(C18=BB18,VLOOKUP(C18,Dato_Pesc!H:J,3,FALSE),0),0)</f>
        <v>0</v>
      </c>
      <c r="AP18" s="278" t="str">
        <f>IFERROR(IF(C18=BC18,VLOOKUP(C18,Dato_Pesc!P:R,2,FALSE)," ")," ")</f>
        <v xml:space="preserve"> </v>
      </c>
      <c r="AQ18" s="265">
        <f>IFERROR(IF(C18=BC18,VLOOKUP(C18,Dato_Pesc!P:R,3,FALSE),0),0)</f>
        <v>0</v>
      </c>
      <c r="AR18" s="266" t="str">
        <f>IFERROR(IF(C18=BD18,VLOOKUP(C18,Dato_Pesc!S:U,2,FALSE)," ")," ")</f>
        <v xml:space="preserve"> </v>
      </c>
      <c r="AS18" s="279">
        <f>IFERROR(IF(C18=BD18,VLOOKUP(C18,Dato_Pesc!S:U,3,FALSE),0),0)</f>
        <v>0</v>
      </c>
      <c r="AT18" s="285" t="str">
        <f>IFERROR(IF(C18=BE18,VLOOKUP(C18,Dato_Pesc!AA:AC,2,FALSE)," ")," ")</f>
        <v xml:space="preserve"> </v>
      </c>
      <c r="AU18" s="267">
        <f>IFERROR(IF(C18=BE18,VLOOKUP(C18,Dato_Pesc!AA:AC,3,FALSE),0),0)</f>
        <v>0</v>
      </c>
      <c r="AV18" s="268" t="str">
        <f>IFERROR(IF(C18=BF18,VLOOKUP(C18,Dato_Pesc!AD:AF,2,FALSE)," ")," ")</f>
        <v xml:space="preserve"> </v>
      </c>
      <c r="AW18" s="286">
        <f>IFERROR(IF(C18=BF18,VLOOKUP(C18,Dato_Pesc!AD:AF,3,FALSE),0),0)</f>
        <v>0</v>
      </c>
      <c r="AX18" s="281">
        <f ca="1">IFERROR(ROUND(((SUMIF('$ NOCHE_PESC'!$B$4:$C$10,AL18,'$ NOCHE_PESC'!$C$4:$C$10))*AM18)+((SUMIF('$ NOCHE_PESC'!$B$4:$C$10,AN18,'$ NOCHE_PESC'!$C$4:$C$10))*AO18)+((SUMIF('$ NOCHE_PESC'!$B$4:$C$10,AP18,'$ NOCHE_PESC'!$C$4:$C$10))*AQ18)+((SUMIF('$ NOCHE_PESC'!$B$4:$C$10,AR18,'$ NOCHE_PESC'!$C$4:$C$10))*AS18)+((SUMIF('$ NOCHE_PESC'!$B$4:$C$10,AT18,'$ NOCHE_PESC'!$C$4:$C$10))*AU18)+((SUMIF('$ NOCHE_PESC'!$B$4:$C$10,AV18,'$ NOCHE_PESC'!$C$4:$C$10))*AW18),2),"")</f>
        <v>0</v>
      </c>
      <c r="AY18" s="291">
        <f t="shared" ref="AY18" si="35">SUM(AM18+AO18+AQ18+AS18+AU18+AW18)</f>
        <v>0</v>
      </c>
      <c r="BA18" s="126" t="str">
        <f>IFERROR(IF(BB18=C18,BB18,VLOOKUP(C18,Dato_Pesc!$A$5:$J$67,5,0)),"")</f>
        <v/>
      </c>
      <c r="BB18" s="126" t="str">
        <f>IFERROR(VLOOKUP(C18,Dato_Pesc!$A$5:$J$67,8),"")</f>
        <v/>
      </c>
      <c r="BC18" s="126" t="str">
        <f>IFERROR(IF(BD18=C18,BD18,VLOOKUP(C18,Dato_Pesc!$L$5:$U$67,5,0)),"")</f>
        <v/>
      </c>
      <c r="BD18" s="126" t="str">
        <f>IFERROR(VLOOKUP(C18,Dato_Pesc!$L$5:$U$67,8),"")</f>
        <v/>
      </c>
      <c r="BE18" s="126" t="str">
        <f>IFERROR(IF(BF18=C18,BF18,VLOOKUP(C18,Dato_Pesc!$W$5:$AF$68,5,0)),"")</f>
        <v/>
      </c>
      <c r="BF18" s="126" t="str">
        <f>IFERROR(VLOOKUP(C18,Dato_Pesc!$W$5:$AF$68,8),"")</f>
        <v/>
      </c>
    </row>
    <row r="19" spans="2:58" ht="15.75" x14ac:dyDescent="0.25">
      <c r="B19" s="15">
        <f t="shared" si="9"/>
        <v>9</v>
      </c>
      <c r="C19" s="5" t="str">
        <f>IFERROR(VLOOKUP('Reporte Asistencia Laboral'!D19,EMPLEADO!C:Q,15,0),"")</f>
        <v/>
      </c>
      <c r="D19" s="6" t="str">
        <f>IF(AND(ISTEXT(EMPLEADO!C13)),EMPLEADO!C13,"")</f>
        <v/>
      </c>
      <c r="E19" s="5" t="str">
        <f>IFERROR(VLOOKUP(D19,EMPLEADO!C:E,2,FALSE),"")</f>
        <v/>
      </c>
      <c r="F19" s="7" t="str">
        <f>IFERROR(ROUND(VLOOKUP('Reporte Asistencia Laboral'!D19,EMPLEADO!C:AE,3,FALSE)/30*AD19,2),"")</f>
        <v/>
      </c>
      <c r="G19" s="159"/>
      <c r="H19" s="245"/>
      <c r="I19" s="245"/>
      <c r="J19" s="159"/>
      <c r="K19" s="159"/>
      <c r="L19" s="159"/>
      <c r="M19" s="159"/>
      <c r="N19" s="159"/>
      <c r="O19" s="245"/>
      <c r="P19" s="245"/>
      <c r="Q19" s="159"/>
      <c r="R19" s="159"/>
      <c r="S19" s="159"/>
      <c r="T19" s="159"/>
      <c r="U19" s="159"/>
      <c r="V19" s="245"/>
      <c r="W19" s="73" t="str">
        <f t="shared" ref="W19:W21" si="36">IFERROR(IF($G$10="S",+G19,IF($G$10="D",+G19,0))+IF($H$10="S",+H19,IF($H$10="D",+H19,0))+IF($I$10="S",+I19,IF($I$10="D",+I19,0))+IF($J$10="S",+J19,IF($J$10="D",+J19,0))+IF($K$10="S",+K19,IF($K$10="D",+K19,0))+IF($L$10="S",+L19,IF($L$10="D",+L19,0))+IF($M$10="S",+M19,IF($M$10="D",+M19,0))+IF($N$10="S",+N19,IF($N$10="D",+N19,0))+IF($O$10="S",+O19,IF($O$10="D",+O19,0))+IF($P$10="S",+P19,IF($P$10="D",+P19,0))+IF($Q$10="S",+Q19,IF($Q$10="D",+Q19,0))+IF($R$10="S",+R19,IF($R$10="D",+R19,0))+IF($S$10="S",+S19,IF($S$10="D",+S19,0))+IF($T$10="S",+T19,IF($T$10="D",+T19,0))+IF($U$10="S",+U19,IF($U$10="D",+U19,0))+IF($V$10="S",+V19,IF($V$10="D",+V19,0)),"")</f>
        <v/>
      </c>
      <c r="X19" s="73">
        <f t="shared" ref="X19:X21" si="37">IF($G$6="F",G19,0)+IF($H$6="F",+H19,0)+IF($I$6="F",+I19,0)+IF($J$6="F",+J19,0)+IF($K$6="F",+K19,0)+IF($L$6="F",+L19,0)+IF($M$6="F",+M19,0)+IF($N$6="F",+N19,0)+IF($O$6="F",+O19,0)+IF($P$6="F",+P19,0)+IF($Q$6="F",+Q19,0)+IF($R$6="F",+R19,0)+IF($S$6="F",+S19,0)+IF($T$6="F",+T19,0)+IF($U$6="F",+U19,0)+IF($V$6="F",+V19,0)</f>
        <v>0</v>
      </c>
      <c r="Y19" s="97" t="str">
        <f t="shared" ref="Y19:Y21" si="38">IFERROR(IF($G$2="F",0,IF(G19&gt;8,G19-8,0))+IF($H$2="F",0,IF(H19&gt;8,H19-8,0))+IF($I$2="F",0,IF(I19&gt;8,I19-8,0))+IF($J$2="F",0,IF(J19&gt;8,J19-8,0))+IF($K$2="F",0,IF(K19&gt;8,K19-8,0))+IF($L$2="F",0,IF(L19&gt;8,L19-8,0))+IF($M$2="F",0,IF(M19&gt;8,M19-8,0))+IF($N$2="F",0,IF(N19&gt;8,N19-8,0))+IF($O$2="F",0,IF(O19&gt;8,O19-8,0))+IF($P$2="F",0,IF(P19&gt;8,P19-8,0))+IF($Q$2="F",0,IF(Q19&gt;8,Q19-8,0))+IF($R$2="F",0,IF(R19&gt;8,R19-8,0))+IF($S$2="F",0,IF(S19&gt;8,S19-8,0))+IF($T$2="F",0,IF(T19&gt;8,T19-8,0))+IF($U$2="F",0,IF(U19&gt;8,U19-8,0))+IF($V$2="F",0,IF(V19&gt;8,V19-8,0)),"")</f>
        <v/>
      </c>
      <c r="Z19" s="110"/>
      <c r="AA19" s="151"/>
      <c r="AB19" s="293" t="str">
        <f>IFERROR(VLOOKUP(C19,EMPLEADO!B:AD,29,0),"")</f>
        <v/>
      </c>
      <c r="AC19" s="8">
        <f t="shared" ref="AC19:AC21" si="39">+SUM(G19:V19)</f>
        <v>0</v>
      </c>
      <c r="AD19" s="73">
        <f t="shared" ref="AD19:AD21" si="40">IF(COUNT(G19:V19)&gt;15,COUNT(G19:V19)-1,COUNT(G19:U19))+AA19</f>
        <v>0</v>
      </c>
      <c r="AE19" s="8" t="str">
        <f t="shared" ref="AE19:AE21" si="41">IFERROR(IF(Z19="N",0,Y19),"")</f>
        <v/>
      </c>
      <c r="AF19" s="73" t="str">
        <f t="shared" ref="AF19:AF21" si="42">IFERROR(IF(Z19="N",W19+X19+Y19,W19+X19),"")</f>
        <v/>
      </c>
      <c r="AG19" s="289">
        <f>IFERROR(VLOOKUP(C19,'CONTROL H.E.'!C:EQ,144,0),"")</f>
        <v>0</v>
      </c>
      <c r="AH19" s="289">
        <f>IFERROR(VLOOKUP(C19,'CONTROL H.E.'!C:EQ,145,0),"")</f>
        <v>0</v>
      </c>
      <c r="AI19" s="274">
        <f>IFERROR(VLOOKUP(C19,'CONTROL H.E. Transf.'!C:BK,60,0),"")</f>
        <v>0</v>
      </c>
      <c r="AJ19" s="274">
        <f>IFERROR(VLOOKUP(C19,'CONTROL H.E. Transf.'!C:BK,61,0),"")</f>
        <v>0</v>
      </c>
      <c r="AK19" s="257" t="str">
        <f>IFERROR(ROUND((VLOOKUP(D19,EMPLEADO!C:F,3,FALSE)/240*1.5*(AE19+AG19+AI19)+(VLOOKUP(D19,EMPLEADO!C:F,3,FALSE)/240*2*(AF19+AH19+AJ19))),2),"")</f>
        <v/>
      </c>
      <c r="AL19" s="261" t="str">
        <f>IFERROR(IF(C19=BA19,VLOOKUP(C19,Dato_Pesc!E:G,2,FALSE)," ")," ")</f>
        <v xml:space="preserve"> </v>
      </c>
      <c r="AM19" s="262">
        <f>IFERROR(IF(C19=BA19,VLOOKUP(C19,Dato_Pesc!E:G,3,FALSE),0),0)</f>
        <v>0</v>
      </c>
      <c r="AN19" s="263" t="str">
        <f>IFERROR(IF(C19=BB19,VLOOKUP(C19,Dato_Pesc!H:J,2,0)," ")," ")</f>
        <v xml:space="preserve"> </v>
      </c>
      <c r="AO19" s="264">
        <f>IFERROR(IF(C19=BB19,VLOOKUP(C19,Dato_Pesc!H:J,3,FALSE),0),0)</f>
        <v>0</v>
      </c>
      <c r="AP19" s="278" t="str">
        <f>IFERROR(IF(C19=BC19,VLOOKUP(C19,Dato_Pesc!P:R,2,FALSE)," ")," ")</f>
        <v xml:space="preserve"> </v>
      </c>
      <c r="AQ19" s="265">
        <f>IFERROR(IF(C19=BC19,VLOOKUP(C19,Dato_Pesc!P:R,3,FALSE),0),0)</f>
        <v>0</v>
      </c>
      <c r="AR19" s="266" t="str">
        <f>IFERROR(IF(C19=BD19,VLOOKUP(C19,Dato_Pesc!S:U,2,FALSE)," ")," ")</f>
        <v xml:space="preserve"> </v>
      </c>
      <c r="AS19" s="279">
        <f>IFERROR(IF(C19=BD19,VLOOKUP(C19,Dato_Pesc!S:U,3,FALSE),0),0)</f>
        <v>0</v>
      </c>
      <c r="AT19" s="285" t="str">
        <f>IFERROR(IF(C19=BE19,VLOOKUP(C19,Dato_Pesc!AA:AC,2,FALSE)," ")," ")</f>
        <v xml:space="preserve"> </v>
      </c>
      <c r="AU19" s="267">
        <f>IFERROR(IF(C19=BE19,VLOOKUP(C19,Dato_Pesc!AA:AC,3,FALSE),0),0)</f>
        <v>0</v>
      </c>
      <c r="AV19" s="268" t="str">
        <f>IFERROR(IF(C19=BF19,VLOOKUP(C19,Dato_Pesc!AD:AF,2,FALSE)," ")," ")</f>
        <v xml:space="preserve"> </v>
      </c>
      <c r="AW19" s="286">
        <f>IFERROR(IF(C19=BF19,VLOOKUP(C19,Dato_Pesc!AD:AF,3,FALSE),0),0)</f>
        <v>0</v>
      </c>
      <c r="AX19" s="281">
        <f ca="1">IFERROR(ROUND(((SUMIF('$ NOCHE_PESC'!$B$4:$C$10,AL19,'$ NOCHE_PESC'!$C$4:$C$10))*AM19)+((SUMIF('$ NOCHE_PESC'!$B$4:$C$10,AN19,'$ NOCHE_PESC'!$C$4:$C$10))*AO19)+((SUMIF('$ NOCHE_PESC'!$B$4:$C$10,AP19,'$ NOCHE_PESC'!$C$4:$C$10))*AQ19)+((SUMIF('$ NOCHE_PESC'!$B$4:$C$10,AR19,'$ NOCHE_PESC'!$C$4:$C$10))*AS19)+((SUMIF('$ NOCHE_PESC'!$B$4:$C$10,AT19,'$ NOCHE_PESC'!$C$4:$C$10))*AU19)+((SUMIF('$ NOCHE_PESC'!$B$4:$C$10,AV19,'$ NOCHE_PESC'!$C$4:$C$10))*AW19),2),"")</f>
        <v>0</v>
      </c>
      <c r="AY19" s="291">
        <f t="shared" ref="AY19:AY21" si="43">SUM(AM19+AO19+AQ19+AS19+AU19+AW19)</f>
        <v>0</v>
      </c>
      <c r="BA19" s="126" t="str">
        <f>IFERROR(IF(BB19=C19,BB19,VLOOKUP(C19,Dato_Pesc!$A$5:$J$67,5,0)),"")</f>
        <v/>
      </c>
      <c r="BB19" s="126" t="str">
        <f>IFERROR(VLOOKUP(C19,Dato_Pesc!$A$5:$J$67,8),"")</f>
        <v/>
      </c>
      <c r="BC19" s="126" t="str">
        <f>IFERROR(IF(BD19=C19,BD19,VLOOKUP(C19,Dato_Pesc!$L$5:$U$67,5,0)),"")</f>
        <v/>
      </c>
      <c r="BD19" s="126" t="str">
        <f>IFERROR(VLOOKUP(C19,Dato_Pesc!$L$5:$U$67,8),"")</f>
        <v/>
      </c>
      <c r="BE19" s="126" t="str">
        <f>IFERROR(IF(BF19=C19,BF19,VLOOKUP(C19,Dato_Pesc!$W$5:$AF$68,5,0)),"")</f>
        <v/>
      </c>
      <c r="BF19" s="126" t="str">
        <f>IFERROR(VLOOKUP(C19,Dato_Pesc!$W$5:$AF$68,8),"")</f>
        <v/>
      </c>
    </row>
    <row r="20" spans="2:58" ht="15.75" x14ac:dyDescent="0.25">
      <c r="B20" s="15">
        <f t="shared" si="9"/>
        <v>10</v>
      </c>
      <c r="C20" s="5" t="str">
        <f>IFERROR(VLOOKUP('Reporte Asistencia Laboral'!D20,EMPLEADO!C:Q,15,0),"")</f>
        <v/>
      </c>
      <c r="D20" s="6" t="str">
        <f>IF(AND(ISTEXT(EMPLEADO!C14)),EMPLEADO!C14,"")</f>
        <v/>
      </c>
      <c r="E20" s="5" t="str">
        <f>IFERROR(VLOOKUP(D20,EMPLEADO!C:E,2,FALSE),"")</f>
        <v/>
      </c>
      <c r="F20" s="7" t="str">
        <f>IFERROR(ROUND(VLOOKUP('Reporte Asistencia Laboral'!D20,EMPLEADO!C:AE,3,FALSE)/30*AD20,2),"")</f>
        <v/>
      </c>
      <c r="G20" s="159"/>
      <c r="H20" s="245"/>
      <c r="I20" s="245"/>
      <c r="J20" s="159"/>
      <c r="K20" s="159"/>
      <c r="L20" s="159"/>
      <c r="M20" s="159"/>
      <c r="N20" s="159"/>
      <c r="O20" s="245"/>
      <c r="P20" s="245"/>
      <c r="Q20" s="159"/>
      <c r="R20" s="159"/>
      <c r="S20" s="159"/>
      <c r="T20" s="159"/>
      <c r="U20" s="159"/>
      <c r="V20" s="245"/>
      <c r="W20" s="73" t="str">
        <f t="shared" si="36"/>
        <v/>
      </c>
      <c r="X20" s="73">
        <f t="shared" si="37"/>
        <v>0</v>
      </c>
      <c r="Y20" s="97" t="str">
        <f t="shared" si="38"/>
        <v/>
      </c>
      <c r="Z20" s="110"/>
      <c r="AA20" s="151"/>
      <c r="AB20" s="293" t="str">
        <f>IFERROR(VLOOKUP(C20,EMPLEADO!B:AD,29,0),"")</f>
        <v/>
      </c>
      <c r="AC20" s="8">
        <f t="shared" si="39"/>
        <v>0</v>
      </c>
      <c r="AD20" s="73">
        <f t="shared" si="40"/>
        <v>0</v>
      </c>
      <c r="AE20" s="8" t="str">
        <f t="shared" si="41"/>
        <v/>
      </c>
      <c r="AF20" s="73" t="str">
        <f t="shared" si="42"/>
        <v/>
      </c>
      <c r="AG20" s="289">
        <f>IFERROR(VLOOKUP(C20,'CONTROL H.E.'!C:EQ,144,0),"")</f>
        <v>0</v>
      </c>
      <c r="AH20" s="289">
        <f>IFERROR(VLOOKUP(C20,'CONTROL H.E.'!C:EQ,145,0),"")</f>
        <v>0</v>
      </c>
      <c r="AI20" s="274">
        <f>IFERROR(VLOOKUP(C20,'CONTROL H.E. Transf.'!C:BK,60,0),"")</f>
        <v>0</v>
      </c>
      <c r="AJ20" s="274">
        <f>IFERROR(VLOOKUP(C20,'CONTROL H.E. Transf.'!C:BK,61,0),"")</f>
        <v>0</v>
      </c>
      <c r="AK20" s="257" t="str">
        <f>IFERROR(ROUND((VLOOKUP(D20,EMPLEADO!C:F,3,FALSE)/240*1.5*(AE20+AG20+AI20)+(VLOOKUP(D20,EMPLEADO!C:F,3,FALSE)/240*2*(AF20+AH20+AJ20))),2),"")</f>
        <v/>
      </c>
      <c r="AL20" s="261" t="str">
        <f>IFERROR(IF(C20=BA20,VLOOKUP(C20,Dato_Pesc!E:G,2,FALSE)," ")," ")</f>
        <v xml:space="preserve"> </v>
      </c>
      <c r="AM20" s="262">
        <f>IFERROR(IF(C20=BA20,VLOOKUP(C20,Dato_Pesc!E:G,3,FALSE),0),0)</f>
        <v>0</v>
      </c>
      <c r="AN20" s="263" t="str">
        <f>IFERROR(IF(C20=BB20,VLOOKUP(C20,Dato_Pesc!H:J,2,0)," ")," ")</f>
        <v xml:space="preserve"> </v>
      </c>
      <c r="AO20" s="264">
        <f>IFERROR(IF(C20=BB20,VLOOKUP(C20,Dato_Pesc!H:J,3,FALSE),0),0)</f>
        <v>0</v>
      </c>
      <c r="AP20" s="278" t="str">
        <f>IFERROR(IF(C20=BC20,VLOOKUP(C20,Dato_Pesc!P:R,2,FALSE)," ")," ")</f>
        <v xml:space="preserve"> </v>
      </c>
      <c r="AQ20" s="265">
        <f>IFERROR(IF(C20=BC20,VLOOKUP(C20,Dato_Pesc!P:R,3,FALSE),0),0)</f>
        <v>0</v>
      </c>
      <c r="AR20" s="266" t="str">
        <f>IFERROR(IF(C20=BD20,VLOOKUP(C20,Dato_Pesc!S:U,2,FALSE)," ")," ")</f>
        <v xml:space="preserve"> </v>
      </c>
      <c r="AS20" s="279">
        <f>IFERROR(IF(C20=BD20,VLOOKUP(C20,Dato_Pesc!S:U,3,FALSE),0),0)</f>
        <v>0</v>
      </c>
      <c r="AT20" s="285" t="str">
        <f>IFERROR(IF(C20=BE20,VLOOKUP(C20,Dato_Pesc!AA:AC,2,FALSE)," ")," ")</f>
        <v xml:space="preserve"> </v>
      </c>
      <c r="AU20" s="267">
        <f>IFERROR(IF(C20=BE20,VLOOKUP(C20,Dato_Pesc!AA:AC,3,FALSE),0),0)</f>
        <v>0</v>
      </c>
      <c r="AV20" s="268" t="str">
        <f>IFERROR(IF(C20=BF20,VLOOKUP(C20,Dato_Pesc!AD:AF,2,FALSE)," ")," ")</f>
        <v xml:space="preserve"> </v>
      </c>
      <c r="AW20" s="286">
        <f>IFERROR(IF(C20=BF20,VLOOKUP(C20,Dato_Pesc!AD:AF,3,FALSE),0),0)</f>
        <v>0</v>
      </c>
      <c r="AX20" s="281">
        <f ca="1">IFERROR(ROUND(((SUMIF('$ NOCHE_PESC'!$B$4:$C$10,AL20,'$ NOCHE_PESC'!$C$4:$C$10))*AM20)+((SUMIF('$ NOCHE_PESC'!$B$4:$C$10,AN20,'$ NOCHE_PESC'!$C$4:$C$10))*AO20)+((SUMIF('$ NOCHE_PESC'!$B$4:$C$10,AP20,'$ NOCHE_PESC'!$C$4:$C$10))*AQ20)+((SUMIF('$ NOCHE_PESC'!$B$4:$C$10,AR20,'$ NOCHE_PESC'!$C$4:$C$10))*AS20)+((SUMIF('$ NOCHE_PESC'!$B$4:$C$10,AT20,'$ NOCHE_PESC'!$C$4:$C$10))*AU20)+((SUMIF('$ NOCHE_PESC'!$B$4:$C$10,AV20,'$ NOCHE_PESC'!$C$4:$C$10))*AW20),2),"")</f>
        <v>0</v>
      </c>
      <c r="AY20" s="291">
        <f t="shared" si="43"/>
        <v>0</v>
      </c>
      <c r="BA20" s="126" t="str">
        <f>IFERROR(IF(BB20=C20,BB20,VLOOKUP(C20,Dato_Pesc!$A$5:$J$67,5,0)),"")</f>
        <v/>
      </c>
      <c r="BB20" s="126" t="str">
        <f>IFERROR(VLOOKUP(C20,Dato_Pesc!$A$5:$J$67,8),"")</f>
        <v/>
      </c>
      <c r="BC20" s="126" t="str">
        <f>IFERROR(IF(BD20=C20,BD20,VLOOKUP(C20,Dato_Pesc!$L$5:$U$67,5,0)),"")</f>
        <v/>
      </c>
      <c r="BD20" s="126" t="str">
        <f>IFERROR(VLOOKUP(C20,Dato_Pesc!$L$5:$U$67,8),"")</f>
        <v/>
      </c>
      <c r="BE20" s="126" t="str">
        <f>IFERROR(IF(BF20=C20,BF20,VLOOKUP(C20,Dato_Pesc!$W$5:$AF$68,5,0)),"")</f>
        <v/>
      </c>
      <c r="BF20" s="126" t="str">
        <f>IFERROR(VLOOKUP(C20,Dato_Pesc!$W$5:$AF$68,8),"")</f>
        <v/>
      </c>
    </row>
    <row r="21" spans="2:58" ht="15.75" x14ac:dyDescent="0.25">
      <c r="B21" s="15">
        <f t="shared" si="9"/>
        <v>11</v>
      </c>
      <c r="C21" s="5" t="str">
        <f>IFERROR(VLOOKUP('Reporte Asistencia Laboral'!D21,EMPLEADO!C:Q,15,0),"")</f>
        <v/>
      </c>
      <c r="D21" s="6" t="str">
        <f>IF(AND(ISTEXT(EMPLEADO!C15)),EMPLEADO!C15,"")</f>
        <v/>
      </c>
      <c r="E21" s="5" t="str">
        <f>IFERROR(VLOOKUP(D21,EMPLEADO!C:E,2,FALSE),"")</f>
        <v/>
      </c>
      <c r="F21" s="7" t="str">
        <f>IFERROR(ROUND(VLOOKUP('Reporte Asistencia Laboral'!D21,EMPLEADO!C:AE,3,FALSE)/30*AD21,2),"")</f>
        <v/>
      </c>
      <c r="G21" s="159"/>
      <c r="H21" s="245"/>
      <c r="I21" s="245"/>
      <c r="J21" s="159"/>
      <c r="K21" s="159"/>
      <c r="L21" s="159"/>
      <c r="M21" s="159"/>
      <c r="N21" s="159"/>
      <c r="O21" s="245"/>
      <c r="P21" s="245"/>
      <c r="Q21" s="159"/>
      <c r="R21" s="159"/>
      <c r="S21" s="159"/>
      <c r="T21" s="159"/>
      <c r="U21" s="159"/>
      <c r="V21" s="245"/>
      <c r="W21" s="73" t="str">
        <f t="shared" si="36"/>
        <v/>
      </c>
      <c r="X21" s="73">
        <f t="shared" si="37"/>
        <v>0</v>
      </c>
      <c r="Y21" s="97" t="str">
        <f t="shared" si="38"/>
        <v/>
      </c>
      <c r="Z21" s="110"/>
      <c r="AA21" s="151"/>
      <c r="AB21" s="293" t="str">
        <f>IFERROR(VLOOKUP(C21,EMPLEADO!B:AD,29,0),"")</f>
        <v/>
      </c>
      <c r="AC21" s="8">
        <f t="shared" si="39"/>
        <v>0</v>
      </c>
      <c r="AD21" s="73">
        <f t="shared" si="40"/>
        <v>0</v>
      </c>
      <c r="AE21" s="8" t="str">
        <f t="shared" si="41"/>
        <v/>
      </c>
      <c r="AF21" s="73" t="str">
        <f t="shared" si="42"/>
        <v/>
      </c>
      <c r="AG21" s="289">
        <f>IFERROR(VLOOKUP(C21,'CONTROL H.E.'!C:EQ,144,0),"")</f>
        <v>0</v>
      </c>
      <c r="AH21" s="289">
        <f>IFERROR(VLOOKUP(C21,'CONTROL H.E.'!C:EQ,145,0),"")</f>
        <v>0</v>
      </c>
      <c r="AI21" s="274">
        <f>IFERROR(VLOOKUP(C21,'CONTROL H.E. Transf.'!C:BK,60,0),"")</f>
        <v>0</v>
      </c>
      <c r="AJ21" s="274">
        <f>IFERROR(VLOOKUP(C21,'CONTROL H.E. Transf.'!C:BK,61,0),"")</f>
        <v>0</v>
      </c>
      <c r="AK21" s="257" t="str">
        <f>IFERROR(ROUND((VLOOKUP(D21,EMPLEADO!C:F,3,FALSE)/240*1.5*(AE21+AG21+AI21)+(VLOOKUP(D21,EMPLEADO!C:F,3,FALSE)/240*2*(AF21+AH21+AJ21))),2),"")</f>
        <v/>
      </c>
      <c r="AL21" s="261" t="str">
        <f>IFERROR(IF(C21=BA21,VLOOKUP(C21,Dato_Pesc!E:G,2,FALSE)," ")," ")</f>
        <v xml:space="preserve"> </v>
      </c>
      <c r="AM21" s="262">
        <f>IFERROR(IF(C21=BA21,VLOOKUP(C21,Dato_Pesc!E:G,3,FALSE),0),0)</f>
        <v>0</v>
      </c>
      <c r="AN21" s="263" t="str">
        <f>IFERROR(IF(C21=BB21,VLOOKUP(C21,Dato_Pesc!H:J,2,0)," ")," ")</f>
        <v xml:space="preserve"> </v>
      </c>
      <c r="AO21" s="264">
        <f>IFERROR(IF(C21=BB21,VLOOKUP(C21,Dato_Pesc!H:J,3,FALSE),0),0)</f>
        <v>0</v>
      </c>
      <c r="AP21" s="278" t="str">
        <f>IFERROR(IF(C21=BC21,VLOOKUP(C21,Dato_Pesc!P:R,2,FALSE)," ")," ")</f>
        <v xml:space="preserve"> </v>
      </c>
      <c r="AQ21" s="265">
        <f>IFERROR(IF(C21=BC21,VLOOKUP(C21,Dato_Pesc!P:R,3,FALSE),0),0)</f>
        <v>0</v>
      </c>
      <c r="AR21" s="266" t="str">
        <f>IFERROR(IF(C21=BD21,VLOOKUP(C21,Dato_Pesc!S:U,2,FALSE)," ")," ")</f>
        <v xml:space="preserve"> </v>
      </c>
      <c r="AS21" s="279">
        <f>IFERROR(IF(C21=BD21,VLOOKUP(C21,Dato_Pesc!S:U,3,FALSE),0),0)</f>
        <v>0</v>
      </c>
      <c r="AT21" s="285" t="str">
        <f>IFERROR(IF(C21=BE21,VLOOKUP(C21,Dato_Pesc!AA:AC,2,FALSE)," ")," ")</f>
        <v xml:space="preserve"> </v>
      </c>
      <c r="AU21" s="267">
        <f>IFERROR(IF(C21=BE21,VLOOKUP(C21,Dato_Pesc!AA:AC,3,FALSE),0),0)</f>
        <v>0</v>
      </c>
      <c r="AV21" s="268" t="str">
        <f>IFERROR(IF(C21=BF21,VLOOKUP(C21,Dato_Pesc!AD:AF,2,FALSE)," ")," ")</f>
        <v xml:space="preserve"> </v>
      </c>
      <c r="AW21" s="286">
        <f>IFERROR(IF(C21=BF21,VLOOKUP(C21,Dato_Pesc!AD:AF,3,FALSE),0),0)</f>
        <v>0</v>
      </c>
      <c r="AX21" s="281">
        <f ca="1">IFERROR(ROUND(((SUMIF('$ NOCHE_PESC'!$B$4:$C$10,AL21,'$ NOCHE_PESC'!$C$4:$C$10))*AM21)+((SUMIF('$ NOCHE_PESC'!$B$4:$C$10,AN21,'$ NOCHE_PESC'!$C$4:$C$10))*AO21)+((SUMIF('$ NOCHE_PESC'!$B$4:$C$10,AP21,'$ NOCHE_PESC'!$C$4:$C$10))*AQ21)+((SUMIF('$ NOCHE_PESC'!$B$4:$C$10,AR21,'$ NOCHE_PESC'!$C$4:$C$10))*AS21)+((SUMIF('$ NOCHE_PESC'!$B$4:$C$10,AT21,'$ NOCHE_PESC'!$C$4:$C$10))*AU21)+((SUMIF('$ NOCHE_PESC'!$B$4:$C$10,AV21,'$ NOCHE_PESC'!$C$4:$C$10))*AW21),2),"")</f>
        <v>0</v>
      </c>
      <c r="AY21" s="291">
        <f t="shared" si="43"/>
        <v>0</v>
      </c>
    </row>
  </sheetData>
  <sheetProtection selectLockedCells="1"/>
  <autoFilter ref="AA10:AB10"/>
  <dataConsolidate/>
  <mergeCells count="10">
    <mergeCell ref="AT9:AW9"/>
    <mergeCell ref="AU7:AW7"/>
    <mergeCell ref="C3:E3"/>
    <mergeCell ref="C4:E4"/>
    <mergeCell ref="AG9:AH9"/>
    <mergeCell ref="G9:V9"/>
    <mergeCell ref="AI9:AK9"/>
    <mergeCell ref="AL9:AO9"/>
    <mergeCell ref="AP9:AS9"/>
    <mergeCell ref="G5:V5"/>
  </mergeCells>
  <conditionalFormatting sqref="AM11:AM21 AO11:AO21 AQ11:AQ21 AS11:AS21 AU11:AU21 AW11:AW21">
    <cfRule type="cellIs" dxfId="118" priority="19" operator="equal">
      <formula>0</formula>
    </cfRule>
  </conditionalFormatting>
  <conditionalFormatting sqref="G10:U10">
    <cfRule type="containsText" dxfId="117" priority="16" operator="containsText" text="D">
      <formula>NOT(ISERROR(SEARCH("D",G10)))</formula>
    </cfRule>
    <cfRule type="containsText" dxfId="116" priority="17" operator="containsText" text="S">
      <formula>NOT(ISERROR(SEARCH("S",G10)))</formula>
    </cfRule>
  </conditionalFormatting>
  <conditionalFormatting sqref="G6:U6">
    <cfRule type="containsText" dxfId="115" priority="15" operator="containsText" text="F">
      <formula>NOT(ISERROR(SEARCH("F",G6)))</formula>
    </cfRule>
  </conditionalFormatting>
  <conditionalFormatting sqref="AL11:AW21">
    <cfRule type="containsBlanks" dxfId="114" priority="3">
      <formula>LEN(TRIM(AL11))=0</formula>
    </cfRule>
  </conditionalFormatting>
  <conditionalFormatting sqref="AB11:AB21">
    <cfRule type="containsText" dxfId="113" priority="1" operator="containsText" text="GP2">
      <formula>NOT(ISERROR(SEARCH("GP2",AB11)))</formula>
    </cfRule>
    <cfRule type="containsText" dxfId="112" priority="2" operator="containsText" text="GP1">
      <formula>NOT(ISERROR(SEARCH("GP1",AB11)))</formula>
    </cfRule>
  </conditionalFormatting>
  <pageMargins left="0.12" right="0" top="1.1023622047244095" bottom="0.74803149606299213" header="0" footer="0"/>
  <pageSetup paperSize="9" scale="65" orientation="landscape" horizontalDpi="4294967293" verticalDpi="72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92D050"/>
  </sheetPr>
  <dimension ref="A1:FB33"/>
  <sheetViews>
    <sheetView topLeftCell="B1" zoomScale="70" zoomScaleNormal="70" workbookViewId="0">
      <pane xSplit="4" ySplit="9" topLeftCell="DP13" activePane="bottomRight" state="frozen"/>
      <selection activeCell="D22" sqref="D22"/>
      <selection pane="topRight" activeCell="D22" sqref="D22"/>
      <selection pane="bottomLeft" activeCell="D22" sqref="D22"/>
      <selection pane="bottomRight" activeCell="B17" sqref="A17:XFD17"/>
    </sheetView>
  </sheetViews>
  <sheetFormatPr baseColWidth="10" defaultRowHeight="15" x14ac:dyDescent="0.25"/>
  <cols>
    <col min="1" max="1" width="2.85546875" style="1" hidden="1" customWidth="1"/>
    <col min="2" max="2" width="7.85546875" style="1" customWidth="1"/>
    <col min="3" max="3" width="44.42578125" style="1" customWidth="1"/>
    <col min="4" max="4" width="14.7109375" style="1" customWidth="1"/>
    <col min="5" max="5" width="10.42578125" style="1" hidden="1" customWidth="1"/>
    <col min="6" max="11" width="7.7109375" style="1" customWidth="1"/>
    <col min="12" max="12" width="6.7109375" style="1" customWidth="1"/>
    <col min="13" max="13" width="9.7109375" style="1" customWidth="1"/>
    <col min="14" max="17" width="7.7109375" style="1" customWidth="1"/>
    <col min="18" max="19" width="9.7109375" style="1" customWidth="1"/>
    <col min="20" max="25" width="7.7109375" style="1" customWidth="1"/>
    <col min="26" max="26" width="6.7109375" style="1" customWidth="1"/>
    <col min="27" max="27" width="9.7109375" style="1" customWidth="1"/>
    <col min="28" max="31" width="7.7109375" style="1" customWidth="1"/>
    <col min="32" max="33" width="9.7109375" style="1" customWidth="1"/>
    <col min="34" max="39" width="7.7109375" style="1" customWidth="1"/>
    <col min="40" max="40" width="6.7109375" style="1" customWidth="1"/>
    <col min="41" max="41" width="9.7109375" style="1" customWidth="1"/>
    <col min="42" max="45" width="7.7109375" style="1" customWidth="1"/>
    <col min="46" max="47" width="9.7109375" style="1" customWidth="1"/>
    <col min="48" max="53" width="7.7109375" style="1" customWidth="1"/>
    <col min="54" max="54" width="6.7109375" style="1" customWidth="1"/>
    <col min="55" max="55" width="9.7109375" style="1" customWidth="1"/>
    <col min="56" max="59" width="7.7109375" style="1" customWidth="1"/>
    <col min="60" max="61" width="9.7109375" style="1" customWidth="1"/>
    <col min="62" max="67" width="7.7109375" style="1" customWidth="1"/>
    <col min="68" max="68" width="6.7109375" style="1" customWidth="1"/>
    <col min="69" max="69" width="9.7109375" style="1" customWidth="1"/>
    <col min="70" max="73" width="7.7109375" style="1" customWidth="1"/>
    <col min="74" max="75" width="9.7109375" style="1" customWidth="1"/>
    <col min="76" max="81" width="7.7109375" style="1" customWidth="1"/>
    <col min="82" max="82" width="6.7109375" style="1" customWidth="1"/>
    <col min="83" max="83" width="9.7109375" style="1" customWidth="1"/>
    <col min="84" max="87" width="7.7109375" style="1" customWidth="1"/>
    <col min="88" max="89" width="9.7109375" style="1" customWidth="1"/>
    <col min="90" max="95" width="7.7109375" style="1" customWidth="1"/>
    <col min="96" max="96" width="6.7109375" style="1" customWidth="1"/>
    <col min="97" max="97" width="9.7109375" style="1" customWidth="1"/>
    <col min="98" max="101" width="7.7109375" style="1" customWidth="1"/>
    <col min="102" max="103" width="9.7109375" style="1" customWidth="1"/>
    <col min="104" max="109" width="7.7109375" style="1" customWidth="1"/>
    <col min="110" max="110" width="6.7109375" style="1" customWidth="1"/>
    <col min="111" max="111" width="9.7109375" style="1" customWidth="1"/>
    <col min="112" max="115" width="7.7109375" style="1" customWidth="1"/>
    <col min="116" max="117" width="9.7109375" style="1" customWidth="1"/>
    <col min="118" max="123" width="7.7109375" style="1" customWidth="1"/>
    <col min="124" max="124" width="6.7109375" style="1" customWidth="1"/>
    <col min="125" max="125" width="9.7109375" style="1" customWidth="1"/>
    <col min="126" max="129" width="7.7109375" style="1" customWidth="1"/>
    <col min="130" max="131" width="9.7109375" style="1" customWidth="1"/>
    <col min="132" max="137" width="7.7109375" style="1" customWidth="1"/>
    <col min="138" max="138" width="8.140625" style="1" bestFit="1" customWidth="1"/>
    <col min="139" max="139" width="9.7109375" style="1" customWidth="1"/>
    <col min="140" max="143" width="7.7109375" style="1" customWidth="1"/>
    <col min="144" max="145" width="9.7109375" style="1" customWidth="1"/>
    <col min="146" max="146" width="15.42578125" style="156" bestFit="1" customWidth="1"/>
    <col min="147" max="147" width="11.5703125" style="156" bestFit="1" customWidth="1"/>
    <col min="148" max="148" width="4.7109375" style="9" customWidth="1"/>
    <col min="152" max="153" width="11.42578125" style="1"/>
    <col min="158" max="158" width="4.7109375" style="9" customWidth="1"/>
    <col min="159" max="16384" width="11.42578125" style="1"/>
  </cols>
  <sheetData>
    <row r="1" spans="2:158" ht="79.5" customHeight="1" x14ac:dyDescent="0.25">
      <c r="F1" s="171" t="s">
        <v>127</v>
      </c>
      <c r="G1" s="169"/>
      <c r="H1" s="350" t="s">
        <v>128</v>
      </c>
      <c r="I1" s="350"/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173"/>
      <c r="AI1" s="173"/>
      <c r="AJ1" s="173"/>
      <c r="AK1" s="173"/>
      <c r="AL1" s="173"/>
      <c r="AM1" s="173"/>
      <c r="AN1" s="173"/>
      <c r="AO1" s="173"/>
      <c r="AP1" s="173"/>
      <c r="AQ1" s="173"/>
      <c r="AR1" s="173"/>
      <c r="AS1" s="173"/>
      <c r="AT1" s="173"/>
      <c r="AU1" s="173"/>
      <c r="AV1" s="173"/>
      <c r="AW1" s="173"/>
      <c r="AX1" s="173"/>
      <c r="AY1" s="173"/>
      <c r="AZ1" s="173"/>
      <c r="BA1" s="173"/>
      <c r="BB1" s="173"/>
      <c r="BC1" s="173"/>
      <c r="BD1" s="173"/>
      <c r="BE1" s="173"/>
      <c r="BF1" s="173"/>
      <c r="BG1" s="173"/>
      <c r="BH1" s="173"/>
      <c r="BI1" s="173"/>
      <c r="BJ1" s="173"/>
      <c r="BK1" s="173"/>
      <c r="BL1" s="173"/>
      <c r="BM1" s="173"/>
      <c r="BN1" s="173"/>
      <c r="BO1" s="173"/>
      <c r="BP1" s="173"/>
      <c r="BQ1" s="173"/>
      <c r="BR1" s="173"/>
      <c r="BS1" s="173"/>
      <c r="BT1" s="173"/>
      <c r="BU1" s="173"/>
      <c r="BV1" s="173"/>
      <c r="BW1" s="173"/>
      <c r="BX1" s="173"/>
      <c r="BY1" s="173"/>
      <c r="BZ1" s="173"/>
      <c r="CA1" s="173"/>
      <c r="CB1" s="173"/>
      <c r="CC1" s="173"/>
      <c r="CD1" s="173"/>
      <c r="CE1" s="173"/>
      <c r="CF1" s="173"/>
      <c r="CG1" s="173"/>
      <c r="CH1" s="173"/>
      <c r="CI1" s="173"/>
      <c r="CJ1" s="173"/>
      <c r="CK1" s="173"/>
      <c r="CL1" s="173"/>
      <c r="CM1" s="173"/>
      <c r="CN1" s="173"/>
      <c r="CO1" s="173"/>
      <c r="CP1" s="173"/>
      <c r="CQ1" s="173"/>
      <c r="CR1" s="173"/>
      <c r="CS1" s="173"/>
      <c r="CT1" s="173"/>
      <c r="CU1" s="173"/>
      <c r="CV1" s="173"/>
      <c r="CW1" s="173"/>
      <c r="CX1" s="173"/>
      <c r="CY1" s="173"/>
      <c r="CZ1" s="173"/>
      <c r="DA1" s="173"/>
      <c r="DB1" s="173"/>
      <c r="DC1" s="173"/>
      <c r="DD1" s="173"/>
      <c r="DE1" s="173"/>
      <c r="DF1" s="173"/>
      <c r="DG1" s="173"/>
      <c r="DH1" s="173"/>
      <c r="DI1" s="173"/>
      <c r="DJ1" s="173"/>
      <c r="DK1" s="173"/>
      <c r="DL1" s="173"/>
      <c r="DM1" s="173"/>
      <c r="DN1" s="173"/>
      <c r="DO1" s="173"/>
      <c r="DP1" s="173"/>
      <c r="DQ1" s="173"/>
      <c r="DR1" s="173"/>
      <c r="DS1" s="173"/>
      <c r="DT1" s="173"/>
      <c r="DU1" s="173"/>
      <c r="DV1" s="173"/>
      <c r="DW1" s="173"/>
      <c r="DX1" s="173"/>
      <c r="DY1" s="173"/>
      <c r="DZ1" s="173"/>
      <c r="EA1" s="173"/>
      <c r="EB1" s="173"/>
      <c r="EC1" s="173"/>
      <c r="ED1" s="173"/>
      <c r="EE1" s="173"/>
      <c r="EF1" s="173"/>
      <c r="EG1" s="173"/>
      <c r="EH1" s="173"/>
      <c r="EI1" s="173"/>
      <c r="EJ1" s="173"/>
      <c r="EK1" s="173"/>
      <c r="EL1" s="173"/>
      <c r="EM1" s="173"/>
      <c r="EN1" s="173"/>
      <c r="EO1" s="173"/>
    </row>
    <row r="2" spans="2:158" ht="22.5" x14ac:dyDescent="0.4">
      <c r="C2" s="365" t="str">
        <f>+'Reporte Asistencia Laboral'!$C$3:$E$3</f>
        <v>BIOCASCAJAL CIA. LTDA.</v>
      </c>
      <c r="D2" s="365"/>
      <c r="E2" s="365"/>
      <c r="F2" s="367"/>
      <c r="G2" s="367"/>
      <c r="H2" s="367"/>
      <c r="I2" s="367"/>
      <c r="J2" s="367"/>
      <c r="K2" s="367"/>
      <c r="L2" s="367"/>
      <c r="M2" s="367"/>
      <c r="N2" s="367"/>
      <c r="O2" s="367"/>
      <c r="P2" s="367"/>
      <c r="Q2" s="367"/>
      <c r="R2" s="367"/>
      <c r="S2" s="367"/>
      <c r="T2" s="174"/>
      <c r="U2" s="174"/>
      <c r="V2" s="174"/>
      <c r="W2" s="174"/>
      <c r="X2" s="174"/>
      <c r="Y2" s="174"/>
      <c r="Z2" s="174"/>
      <c r="AA2" s="174"/>
      <c r="AB2" s="174"/>
      <c r="AC2" s="174"/>
      <c r="AD2" s="174"/>
      <c r="AE2" s="174"/>
      <c r="AF2" s="174"/>
      <c r="AG2" s="174"/>
      <c r="AH2" s="174"/>
      <c r="AI2" s="174"/>
      <c r="AJ2" s="174"/>
      <c r="AK2" s="174"/>
      <c r="AL2" s="174"/>
      <c r="AM2" s="174"/>
      <c r="AN2" s="174"/>
      <c r="AO2" s="174"/>
      <c r="AP2" s="174"/>
      <c r="AQ2" s="174"/>
      <c r="AR2" s="174"/>
      <c r="AS2" s="174"/>
      <c r="AT2" s="174"/>
      <c r="AU2" s="174"/>
      <c r="AV2" s="174"/>
      <c r="AW2" s="174"/>
      <c r="AX2" s="174"/>
      <c r="AY2" s="174"/>
      <c r="AZ2" s="174"/>
      <c r="BA2" s="174"/>
      <c r="BB2" s="174"/>
      <c r="BC2" s="174"/>
      <c r="BD2" s="174"/>
      <c r="BE2" s="174"/>
      <c r="BF2" s="174"/>
      <c r="BG2" s="174"/>
      <c r="BH2" s="174"/>
      <c r="BI2" s="174"/>
      <c r="BJ2" s="174"/>
      <c r="BK2" s="174"/>
      <c r="BL2" s="174"/>
      <c r="BM2" s="174"/>
      <c r="BN2" s="174"/>
      <c r="BO2" s="174"/>
      <c r="BP2" s="174"/>
      <c r="BQ2" s="174"/>
      <c r="BR2" s="174"/>
      <c r="BS2" s="174"/>
      <c r="BT2" s="174"/>
      <c r="BU2" s="174"/>
      <c r="BV2" s="174"/>
      <c r="BW2" s="174"/>
      <c r="BX2" s="174"/>
      <c r="BY2" s="174"/>
      <c r="BZ2" s="174"/>
      <c r="CA2" s="174"/>
      <c r="CB2" s="174"/>
      <c r="CC2" s="174"/>
      <c r="CD2" s="174"/>
      <c r="CE2" s="174"/>
      <c r="CF2" s="174"/>
      <c r="CG2" s="174"/>
      <c r="CH2" s="174"/>
      <c r="CI2" s="174"/>
      <c r="CJ2" s="174"/>
      <c r="CK2" s="174"/>
      <c r="CL2" s="174"/>
      <c r="CM2" s="174"/>
      <c r="CN2" s="174"/>
      <c r="CO2" s="174"/>
      <c r="CP2" s="174"/>
      <c r="CQ2" s="174"/>
      <c r="CR2" s="174"/>
      <c r="CS2" s="174"/>
      <c r="CT2" s="174"/>
      <c r="CU2" s="174"/>
      <c r="CV2" s="174"/>
      <c r="CW2" s="174"/>
      <c r="CX2" s="174"/>
      <c r="CY2" s="174"/>
      <c r="CZ2" s="174"/>
      <c r="DA2" s="174"/>
      <c r="DB2" s="174"/>
      <c r="DC2" s="174"/>
      <c r="DD2" s="174"/>
      <c r="DE2" s="174"/>
      <c r="DF2" s="174"/>
      <c r="DG2" s="174"/>
      <c r="DH2" s="174"/>
      <c r="DI2" s="174"/>
      <c r="DJ2" s="174"/>
      <c r="DK2" s="174"/>
      <c r="DL2" s="174"/>
      <c r="DM2" s="174"/>
      <c r="DN2" s="174"/>
      <c r="DO2" s="174"/>
      <c r="DP2" s="174"/>
      <c r="DQ2" s="174"/>
      <c r="DR2" s="174"/>
      <c r="DS2" s="174"/>
      <c r="DT2" s="174"/>
      <c r="DU2" s="174"/>
      <c r="DV2" s="174"/>
      <c r="DW2" s="174"/>
      <c r="DX2" s="174"/>
      <c r="DY2" s="174"/>
      <c r="DZ2" s="174"/>
      <c r="EA2" s="174"/>
      <c r="EB2" s="174"/>
      <c r="EC2" s="174"/>
      <c r="ED2" s="174"/>
      <c r="EE2" s="174"/>
      <c r="EF2" s="174"/>
      <c r="EG2" s="174"/>
      <c r="EH2" s="174"/>
      <c r="EI2" s="174"/>
      <c r="EJ2" s="174"/>
      <c r="EK2" s="174"/>
      <c r="EL2" s="174"/>
      <c r="EM2" s="174"/>
      <c r="EN2" s="174"/>
      <c r="EO2" s="174"/>
    </row>
    <row r="3" spans="2:158" ht="23.25" thickBot="1" x14ac:dyDescent="0.45">
      <c r="C3" s="366" t="s">
        <v>100</v>
      </c>
      <c r="D3" s="366"/>
      <c r="E3" s="366"/>
    </row>
    <row r="4" spans="2:158" ht="25.5" customHeight="1" thickBot="1" x14ac:dyDescent="0.3">
      <c r="C4" s="35" t="str">
        <f>IF(VARIOS!B4&gt;=14,IF(C5=0," ",+VARIOS!B11)," ")</f>
        <v xml:space="preserve"> </v>
      </c>
      <c r="F4" s="170"/>
      <c r="T4" s="170"/>
      <c r="AH4" s="170"/>
      <c r="AV4" s="170"/>
      <c r="BJ4" s="170"/>
      <c r="BX4" s="170"/>
      <c r="CL4" s="170"/>
      <c r="CZ4" s="170"/>
      <c r="DN4" s="170"/>
      <c r="EB4" s="170"/>
    </row>
    <row r="5" spans="2:158" ht="24" thickBot="1" x14ac:dyDescent="0.4">
      <c r="B5" s="67" t="s">
        <v>98</v>
      </c>
      <c r="C5" s="166"/>
      <c r="D5" s="70" t="s">
        <v>101</v>
      </c>
      <c r="F5" s="351"/>
      <c r="G5" s="352"/>
      <c r="H5" s="352"/>
      <c r="I5" s="352"/>
      <c r="J5" s="352"/>
      <c r="K5" s="352"/>
      <c r="L5" s="352"/>
      <c r="M5" s="352"/>
      <c r="N5" s="352"/>
      <c r="O5" s="352"/>
      <c r="P5" s="352"/>
      <c r="Q5" s="352"/>
      <c r="R5" s="352"/>
      <c r="S5" s="353"/>
      <c r="T5" s="351"/>
      <c r="U5" s="352"/>
      <c r="V5" s="352"/>
      <c r="W5" s="352"/>
      <c r="X5" s="352"/>
      <c r="Y5" s="352"/>
      <c r="Z5" s="352"/>
      <c r="AA5" s="352"/>
      <c r="AB5" s="352"/>
      <c r="AC5" s="352"/>
      <c r="AD5" s="352"/>
      <c r="AE5" s="352"/>
      <c r="AF5" s="352"/>
      <c r="AG5" s="353"/>
      <c r="AH5" s="351"/>
      <c r="AI5" s="352"/>
      <c r="AJ5" s="352"/>
      <c r="AK5" s="352"/>
      <c r="AL5" s="352"/>
      <c r="AM5" s="352"/>
      <c r="AN5" s="352"/>
      <c r="AO5" s="352"/>
      <c r="AP5" s="352"/>
      <c r="AQ5" s="352"/>
      <c r="AR5" s="352"/>
      <c r="AS5" s="352"/>
      <c r="AT5" s="352"/>
      <c r="AU5" s="353"/>
      <c r="AV5" s="351"/>
      <c r="AW5" s="352"/>
      <c r="AX5" s="352"/>
      <c r="AY5" s="352"/>
      <c r="AZ5" s="352"/>
      <c r="BA5" s="352"/>
      <c r="BB5" s="352"/>
      <c r="BC5" s="352"/>
      <c r="BD5" s="352"/>
      <c r="BE5" s="352"/>
      <c r="BF5" s="352"/>
      <c r="BG5" s="352"/>
      <c r="BH5" s="352"/>
      <c r="BI5" s="353"/>
      <c r="BJ5" s="351"/>
      <c r="BK5" s="352"/>
      <c r="BL5" s="352"/>
      <c r="BM5" s="352"/>
      <c r="BN5" s="352"/>
      <c r="BO5" s="352"/>
      <c r="BP5" s="352"/>
      <c r="BQ5" s="352"/>
      <c r="BR5" s="352"/>
      <c r="BS5" s="352"/>
      <c r="BT5" s="352"/>
      <c r="BU5" s="352"/>
      <c r="BV5" s="352"/>
      <c r="BW5" s="353"/>
      <c r="BX5" s="351"/>
      <c r="BY5" s="352"/>
      <c r="BZ5" s="352"/>
      <c r="CA5" s="352"/>
      <c r="CB5" s="352"/>
      <c r="CC5" s="352"/>
      <c r="CD5" s="352"/>
      <c r="CE5" s="352"/>
      <c r="CF5" s="352"/>
      <c r="CG5" s="352"/>
      <c r="CH5" s="352"/>
      <c r="CI5" s="352"/>
      <c r="CJ5" s="352"/>
      <c r="CK5" s="353"/>
      <c r="CL5" s="351"/>
      <c r="CM5" s="352"/>
      <c r="CN5" s="352"/>
      <c r="CO5" s="352"/>
      <c r="CP5" s="352"/>
      <c r="CQ5" s="352"/>
      <c r="CR5" s="352"/>
      <c r="CS5" s="352"/>
      <c r="CT5" s="352"/>
      <c r="CU5" s="352"/>
      <c r="CV5" s="352"/>
      <c r="CW5" s="352"/>
      <c r="CX5" s="352"/>
      <c r="CY5" s="353"/>
      <c r="CZ5" s="351"/>
      <c r="DA5" s="352"/>
      <c r="DB5" s="352"/>
      <c r="DC5" s="352"/>
      <c r="DD5" s="352"/>
      <c r="DE5" s="352"/>
      <c r="DF5" s="352"/>
      <c r="DG5" s="352"/>
      <c r="DH5" s="352"/>
      <c r="DI5" s="352"/>
      <c r="DJ5" s="352"/>
      <c r="DK5" s="352"/>
      <c r="DL5" s="352"/>
      <c r="DM5" s="353"/>
      <c r="DN5" s="351"/>
      <c r="DO5" s="352"/>
      <c r="DP5" s="352"/>
      <c r="DQ5" s="352"/>
      <c r="DR5" s="352"/>
      <c r="DS5" s="352"/>
      <c r="DT5" s="352"/>
      <c r="DU5" s="352"/>
      <c r="DV5" s="352"/>
      <c r="DW5" s="352"/>
      <c r="DX5" s="352"/>
      <c r="DY5" s="352"/>
      <c r="DZ5" s="352"/>
      <c r="EA5" s="353"/>
      <c r="EB5" s="351"/>
      <c r="EC5" s="352"/>
      <c r="ED5" s="352"/>
      <c r="EE5" s="352"/>
      <c r="EF5" s="352"/>
      <c r="EG5" s="352"/>
      <c r="EH5" s="352"/>
      <c r="EI5" s="352"/>
      <c r="EJ5" s="352"/>
      <c r="EK5" s="352"/>
      <c r="EL5" s="352"/>
      <c r="EM5" s="352"/>
      <c r="EN5" s="352"/>
      <c r="EO5" s="353"/>
    </row>
    <row r="6" spans="2:158" s="3" customFormat="1" ht="24" thickBot="1" x14ac:dyDescent="0.4">
      <c r="B6" s="98" t="s">
        <v>99</v>
      </c>
      <c r="C6" s="167"/>
      <c r="D6" s="81"/>
      <c r="F6" s="354" t="str">
        <f>IF(F5=0,"↑↑INGRESE DIA POR FAVOR↑↑",IF(WEEKDAY(F5)=7,"OJO H.E. AL 100%",IF(WEEKDAY(F5)=1,"OJO H.E. AL 100%",IF(F4="F","OJO H.E. AL 100%","INGRESAR HORAS EXTRAS"))))</f>
        <v>↑↑INGRESE DIA POR FAVOR↑↑</v>
      </c>
      <c r="G6" s="355"/>
      <c r="H6" s="355"/>
      <c r="I6" s="355"/>
      <c r="J6" s="355"/>
      <c r="K6" s="355"/>
      <c r="L6" s="355"/>
      <c r="M6" s="355"/>
      <c r="N6" s="355"/>
      <c r="O6" s="355"/>
      <c r="P6" s="355"/>
      <c r="Q6" s="355"/>
      <c r="R6" s="355"/>
      <c r="S6" s="356"/>
      <c r="T6" s="354" t="str">
        <f>IF(T5=0,"↑↑INGRESE DIA POR FAVOR↑↑",IF(WEEKDAY(T5)=7,"OJO H.E. AL 100%",IF(WEEKDAY(T5)=1,"OJO H.E. AL 100%",IF(T4="F","OJO H.E. AL 100%","INGRESAR HORAS EXTRAS"))))</f>
        <v>↑↑INGRESE DIA POR FAVOR↑↑</v>
      </c>
      <c r="U6" s="355"/>
      <c r="V6" s="355"/>
      <c r="W6" s="355"/>
      <c r="X6" s="355"/>
      <c r="Y6" s="355"/>
      <c r="Z6" s="355"/>
      <c r="AA6" s="355"/>
      <c r="AB6" s="355"/>
      <c r="AC6" s="355"/>
      <c r="AD6" s="355"/>
      <c r="AE6" s="355"/>
      <c r="AF6" s="355"/>
      <c r="AG6" s="356"/>
      <c r="AH6" s="354" t="str">
        <f>IF(AH5=0,"↑↑INGRESE DIA POR FAVOR↑↑",IF(WEEKDAY(AH5)=7,"OJO H.E. AL 100%",IF(WEEKDAY(AH5)=1,"OJO H.E. AL 100%",IF(AH4="F","OJO H.E. AL 100%","INGRESAR HORAS EXTRAS"))))</f>
        <v>↑↑INGRESE DIA POR FAVOR↑↑</v>
      </c>
      <c r="AI6" s="355"/>
      <c r="AJ6" s="355"/>
      <c r="AK6" s="355"/>
      <c r="AL6" s="355"/>
      <c r="AM6" s="355"/>
      <c r="AN6" s="355"/>
      <c r="AO6" s="355"/>
      <c r="AP6" s="355"/>
      <c r="AQ6" s="355"/>
      <c r="AR6" s="355"/>
      <c r="AS6" s="355"/>
      <c r="AT6" s="355"/>
      <c r="AU6" s="356"/>
      <c r="AV6" s="354" t="str">
        <f>IF(AV5=0,"↑↑INGRESE DIA POR FAVOR↑↑",IF(WEEKDAY(AV5)=7,"OJO H.E. AL 100%",IF(WEEKDAY(AV5)=1,"OJO H.E. AL 100%",IF(AV4="F","OJO H.E. AL 100%","INGRESAR HORAS EXTRAS"))))</f>
        <v>↑↑INGRESE DIA POR FAVOR↑↑</v>
      </c>
      <c r="AW6" s="355"/>
      <c r="AX6" s="355"/>
      <c r="AY6" s="355"/>
      <c r="AZ6" s="355"/>
      <c r="BA6" s="355"/>
      <c r="BB6" s="355"/>
      <c r="BC6" s="355"/>
      <c r="BD6" s="355"/>
      <c r="BE6" s="355"/>
      <c r="BF6" s="355"/>
      <c r="BG6" s="355"/>
      <c r="BH6" s="355"/>
      <c r="BI6" s="356"/>
      <c r="BJ6" s="354" t="str">
        <f>IF(BJ5=0,"↑↑INGRESE DIA POR FAVOR↑↑",IF(WEEKDAY(BJ5)=7,"OJO H.E. AL 100%",IF(WEEKDAY(BJ5)=1,"OJO H.E. AL 100%",IF(BJ4="F","OJO H.E. AL 100%","INGRESAR HORAS EXTRAS"))))</f>
        <v>↑↑INGRESE DIA POR FAVOR↑↑</v>
      </c>
      <c r="BK6" s="355"/>
      <c r="BL6" s="355"/>
      <c r="BM6" s="355"/>
      <c r="BN6" s="355"/>
      <c r="BO6" s="355"/>
      <c r="BP6" s="355"/>
      <c r="BQ6" s="355"/>
      <c r="BR6" s="355"/>
      <c r="BS6" s="355"/>
      <c r="BT6" s="355"/>
      <c r="BU6" s="355"/>
      <c r="BV6" s="355"/>
      <c r="BW6" s="356"/>
      <c r="BX6" s="354" t="str">
        <f>IF(BX5=0,"↑↑INGRESE DIA POR FAVOR↑↑",IF(WEEKDAY(BX5)=7,"OJO H.E. AL 100%",IF(WEEKDAY(BX5)=1,"OJO H.E. AL 100%",IF(BX4="F","OJO H.E. AL 100%","INGRESAR HORAS EXTRAS"))))</f>
        <v>↑↑INGRESE DIA POR FAVOR↑↑</v>
      </c>
      <c r="BY6" s="355"/>
      <c r="BZ6" s="355"/>
      <c r="CA6" s="355"/>
      <c r="CB6" s="355"/>
      <c r="CC6" s="355"/>
      <c r="CD6" s="355"/>
      <c r="CE6" s="355"/>
      <c r="CF6" s="355"/>
      <c r="CG6" s="355"/>
      <c r="CH6" s="355"/>
      <c r="CI6" s="355"/>
      <c r="CJ6" s="355"/>
      <c r="CK6" s="356"/>
      <c r="CL6" s="354" t="str">
        <f>IF(CL5=0,"↑↑INGRESE DIA POR FAVOR↑↑",IF(WEEKDAY(CL5)=7,"OJO H.E. AL 100%",IF(WEEKDAY(CL5)=1,"OJO H.E. AL 100%",IF(CL4="F","OJO H.E. AL 100%","INGRESAR HORAS EXTRAS"))))</f>
        <v>↑↑INGRESE DIA POR FAVOR↑↑</v>
      </c>
      <c r="CM6" s="355"/>
      <c r="CN6" s="355"/>
      <c r="CO6" s="355"/>
      <c r="CP6" s="355"/>
      <c r="CQ6" s="355"/>
      <c r="CR6" s="355"/>
      <c r="CS6" s="355"/>
      <c r="CT6" s="355"/>
      <c r="CU6" s="355"/>
      <c r="CV6" s="355"/>
      <c r="CW6" s="355"/>
      <c r="CX6" s="355"/>
      <c r="CY6" s="356"/>
      <c r="CZ6" s="354" t="str">
        <f>IF(CZ5=0,"↑↑INGRESE DIA POR FAVOR↑↑",IF(WEEKDAY(CZ5)=7,"OJO H.E. AL 100%",IF(WEEKDAY(CZ5)=1,"OJO H.E. AL 100%",IF(CZ4="F","OJO H.E. AL 100%","INGRESAR HORAS EXTRAS"))))</f>
        <v>↑↑INGRESE DIA POR FAVOR↑↑</v>
      </c>
      <c r="DA6" s="355"/>
      <c r="DB6" s="355"/>
      <c r="DC6" s="355"/>
      <c r="DD6" s="355"/>
      <c r="DE6" s="355"/>
      <c r="DF6" s="355"/>
      <c r="DG6" s="355"/>
      <c r="DH6" s="355"/>
      <c r="DI6" s="355"/>
      <c r="DJ6" s="355"/>
      <c r="DK6" s="355"/>
      <c r="DL6" s="355"/>
      <c r="DM6" s="356"/>
      <c r="DN6" s="354" t="str">
        <f>IF(DN5=0,"↑↑INGRESE DIA POR FAVOR↑↑",IF(WEEKDAY(DN5)=7,"OJO H.E. AL 100%",IF(WEEKDAY(DN5)=1,"OJO H.E. AL 100%",IF(DN4="F","OJO H.E. AL 100%","INGRESAR HORAS EXTRAS"))))</f>
        <v>↑↑INGRESE DIA POR FAVOR↑↑</v>
      </c>
      <c r="DO6" s="355"/>
      <c r="DP6" s="355"/>
      <c r="DQ6" s="355"/>
      <c r="DR6" s="355"/>
      <c r="DS6" s="355"/>
      <c r="DT6" s="355"/>
      <c r="DU6" s="355"/>
      <c r="DV6" s="355"/>
      <c r="DW6" s="355"/>
      <c r="DX6" s="355"/>
      <c r="DY6" s="355"/>
      <c r="DZ6" s="355"/>
      <c r="EA6" s="356"/>
      <c r="EB6" s="354" t="str">
        <f>IF(EB5=0,"↑↑INGRESE DIA POR FAVOR↑↑",IF(WEEKDAY(EB5)=7,"OJO H.E. AL 100%",IF(WEEKDAY(EB5)=1,"OJO H.E. AL 100%",IF(EB4="F","OJO H.E. AL 100%","INGRESAR HORAS EXTRAS"))))</f>
        <v>↑↑INGRESE DIA POR FAVOR↑↑</v>
      </c>
      <c r="EC6" s="355"/>
      <c r="ED6" s="355"/>
      <c r="EE6" s="355"/>
      <c r="EF6" s="355"/>
      <c r="EG6" s="355"/>
      <c r="EH6" s="355"/>
      <c r="EI6" s="355"/>
      <c r="EJ6" s="355"/>
      <c r="EK6" s="355"/>
      <c r="EL6" s="355"/>
      <c r="EM6" s="355"/>
      <c r="EN6" s="355"/>
      <c r="EO6" s="356"/>
      <c r="EP6" s="248">
        <f>SUM(EP10:EP13)</f>
        <v>0</v>
      </c>
      <c r="EQ6" s="248">
        <f>SUM(EQ10:EQ13)</f>
        <v>0</v>
      </c>
      <c r="ER6" s="9"/>
      <c r="FB6" s="9"/>
    </row>
    <row r="7" spans="2:158" ht="24" thickBot="1" x14ac:dyDescent="0.4">
      <c r="B7" s="44" t="s">
        <v>88</v>
      </c>
      <c r="C7" s="84" t="e">
        <f>VLOOKUP(C5,VARIOS!B16:D40,3,0)</f>
        <v>#N/A</v>
      </c>
      <c r="F7" s="357" t="s">
        <v>29</v>
      </c>
      <c r="G7" s="357"/>
      <c r="H7" s="357"/>
      <c r="I7" s="357"/>
      <c r="J7" s="357"/>
      <c r="K7" s="357"/>
      <c r="L7" s="357"/>
      <c r="M7" s="357"/>
      <c r="N7" s="357"/>
      <c r="O7" s="357"/>
      <c r="P7" s="357"/>
      <c r="Q7" s="357"/>
      <c r="R7" s="357"/>
      <c r="S7" s="358"/>
      <c r="T7" s="357" t="s">
        <v>29</v>
      </c>
      <c r="U7" s="357"/>
      <c r="V7" s="357"/>
      <c r="W7" s="357"/>
      <c r="X7" s="357"/>
      <c r="Y7" s="357"/>
      <c r="Z7" s="357"/>
      <c r="AA7" s="357"/>
      <c r="AB7" s="357"/>
      <c r="AC7" s="357"/>
      <c r="AD7" s="357"/>
      <c r="AE7" s="357"/>
      <c r="AF7" s="357"/>
      <c r="AG7" s="358"/>
      <c r="AH7" s="357" t="s">
        <v>29</v>
      </c>
      <c r="AI7" s="357"/>
      <c r="AJ7" s="357"/>
      <c r="AK7" s="357"/>
      <c r="AL7" s="357"/>
      <c r="AM7" s="357"/>
      <c r="AN7" s="357"/>
      <c r="AO7" s="357"/>
      <c r="AP7" s="357"/>
      <c r="AQ7" s="357"/>
      <c r="AR7" s="357"/>
      <c r="AS7" s="357"/>
      <c r="AT7" s="357"/>
      <c r="AU7" s="358"/>
      <c r="AV7" s="357" t="s">
        <v>29</v>
      </c>
      <c r="AW7" s="357"/>
      <c r="AX7" s="357"/>
      <c r="AY7" s="357"/>
      <c r="AZ7" s="357"/>
      <c r="BA7" s="357"/>
      <c r="BB7" s="357"/>
      <c r="BC7" s="357"/>
      <c r="BD7" s="357"/>
      <c r="BE7" s="357"/>
      <c r="BF7" s="357"/>
      <c r="BG7" s="357"/>
      <c r="BH7" s="357"/>
      <c r="BI7" s="358"/>
      <c r="BJ7" s="357" t="s">
        <v>29</v>
      </c>
      <c r="BK7" s="357"/>
      <c r="BL7" s="357"/>
      <c r="BM7" s="357"/>
      <c r="BN7" s="357"/>
      <c r="BO7" s="357"/>
      <c r="BP7" s="357"/>
      <c r="BQ7" s="357"/>
      <c r="BR7" s="357"/>
      <c r="BS7" s="357"/>
      <c r="BT7" s="357"/>
      <c r="BU7" s="357"/>
      <c r="BV7" s="357"/>
      <c r="BW7" s="358"/>
      <c r="BX7" s="357" t="s">
        <v>29</v>
      </c>
      <c r="BY7" s="357"/>
      <c r="BZ7" s="357"/>
      <c r="CA7" s="357"/>
      <c r="CB7" s="357"/>
      <c r="CC7" s="357"/>
      <c r="CD7" s="357"/>
      <c r="CE7" s="357"/>
      <c r="CF7" s="357"/>
      <c r="CG7" s="357"/>
      <c r="CH7" s="357"/>
      <c r="CI7" s="357"/>
      <c r="CJ7" s="357"/>
      <c r="CK7" s="358"/>
      <c r="CL7" s="357" t="s">
        <v>29</v>
      </c>
      <c r="CM7" s="357"/>
      <c r="CN7" s="357"/>
      <c r="CO7" s="357"/>
      <c r="CP7" s="357"/>
      <c r="CQ7" s="357"/>
      <c r="CR7" s="357"/>
      <c r="CS7" s="357"/>
      <c r="CT7" s="357"/>
      <c r="CU7" s="357"/>
      <c r="CV7" s="357"/>
      <c r="CW7" s="357"/>
      <c r="CX7" s="357"/>
      <c r="CY7" s="358"/>
      <c r="CZ7" s="357" t="s">
        <v>29</v>
      </c>
      <c r="DA7" s="357"/>
      <c r="DB7" s="357"/>
      <c r="DC7" s="357"/>
      <c r="DD7" s="357"/>
      <c r="DE7" s="357"/>
      <c r="DF7" s="357"/>
      <c r="DG7" s="357"/>
      <c r="DH7" s="357"/>
      <c r="DI7" s="357"/>
      <c r="DJ7" s="357"/>
      <c r="DK7" s="357"/>
      <c r="DL7" s="357"/>
      <c r="DM7" s="358"/>
      <c r="DN7" s="357" t="s">
        <v>29</v>
      </c>
      <c r="DO7" s="357"/>
      <c r="DP7" s="357"/>
      <c r="DQ7" s="357"/>
      <c r="DR7" s="357"/>
      <c r="DS7" s="357"/>
      <c r="DT7" s="357"/>
      <c r="DU7" s="357"/>
      <c r="DV7" s="357"/>
      <c r="DW7" s="357"/>
      <c r="DX7" s="357"/>
      <c r="DY7" s="357"/>
      <c r="DZ7" s="357"/>
      <c r="EA7" s="358"/>
      <c r="EB7" s="357" t="s">
        <v>29</v>
      </c>
      <c r="EC7" s="357"/>
      <c r="ED7" s="357"/>
      <c r="EE7" s="357"/>
      <c r="EF7" s="357"/>
      <c r="EG7" s="357"/>
      <c r="EH7" s="357"/>
      <c r="EI7" s="357"/>
      <c r="EJ7" s="357"/>
      <c r="EK7" s="357"/>
      <c r="EL7" s="357"/>
      <c r="EM7" s="357"/>
      <c r="EN7" s="357"/>
      <c r="EO7" s="358"/>
      <c r="EP7" s="368" t="s">
        <v>12</v>
      </c>
      <c r="EQ7" s="369"/>
    </row>
    <row r="8" spans="2:158" s="155" customFormat="1" ht="69.75" customHeight="1" thickBot="1" x14ac:dyDescent="0.3">
      <c r="F8" s="359" t="s">
        <v>94</v>
      </c>
      <c r="G8" s="360"/>
      <c r="H8" s="360"/>
      <c r="I8" s="360"/>
      <c r="J8" s="360"/>
      <c r="K8" s="360"/>
      <c r="L8" s="360"/>
      <c r="M8" s="361"/>
      <c r="N8" s="362" t="s">
        <v>119</v>
      </c>
      <c r="O8" s="363"/>
      <c r="P8" s="363"/>
      <c r="Q8" s="363"/>
      <c r="R8" s="363"/>
      <c r="S8" s="364"/>
      <c r="T8" s="359" t="s">
        <v>94</v>
      </c>
      <c r="U8" s="360"/>
      <c r="V8" s="360"/>
      <c r="W8" s="360"/>
      <c r="X8" s="360"/>
      <c r="Y8" s="360"/>
      <c r="Z8" s="360"/>
      <c r="AA8" s="361"/>
      <c r="AB8" s="362" t="s">
        <v>119</v>
      </c>
      <c r="AC8" s="363"/>
      <c r="AD8" s="363"/>
      <c r="AE8" s="363"/>
      <c r="AF8" s="363"/>
      <c r="AG8" s="364"/>
      <c r="AH8" s="359" t="s">
        <v>94</v>
      </c>
      <c r="AI8" s="360"/>
      <c r="AJ8" s="360"/>
      <c r="AK8" s="360"/>
      <c r="AL8" s="360"/>
      <c r="AM8" s="360"/>
      <c r="AN8" s="360"/>
      <c r="AO8" s="361"/>
      <c r="AP8" s="362" t="s">
        <v>119</v>
      </c>
      <c r="AQ8" s="363"/>
      <c r="AR8" s="363"/>
      <c r="AS8" s="363"/>
      <c r="AT8" s="363"/>
      <c r="AU8" s="364"/>
      <c r="AV8" s="359" t="s">
        <v>94</v>
      </c>
      <c r="AW8" s="360"/>
      <c r="AX8" s="360"/>
      <c r="AY8" s="360"/>
      <c r="AZ8" s="360"/>
      <c r="BA8" s="360"/>
      <c r="BB8" s="360"/>
      <c r="BC8" s="361"/>
      <c r="BD8" s="362" t="s">
        <v>119</v>
      </c>
      <c r="BE8" s="363"/>
      <c r="BF8" s="363"/>
      <c r="BG8" s="363"/>
      <c r="BH8" s="363"/>
      <c r="BI8" s="364"/>
      <c r="BJ8" s="359" t="s">
        <v>94</v>
      </c>
      <c r="BK8" s="360"/>
      <c r="BL8" s="360"/>
      <c r="BM8" s="360"/>
      <c r="BN8" s="360"/>
      <c r="BO8" s="360"/>
      <c r="BP8" s="360"/>
      <c r="BQ8" s="361"/>
      <c r="BR8" s="362" t="s">
        <v>119</v>
      </c>
      <c r="BS8" s="363"/>
      <c r="BT8" s="363"/>
      <c r="BU8" s="363"/>
      <c r="BV8" s="363"/>
      <c r="BW8" s="364"/>
      <c r="BX8" s="359" t="s">
        <v>94</v>
      </c>
      <c r="BY8" s="360"/>
      <c r="BZ8" s="360"/>
      <c r="CA8" s="360"/>
      <c r="CB8" s="360"/>
      <c r="CC8" s="360"/>
      <c r="CD8" s="360"/>
      <c r="CE8" s="361"/>
      <c r="CF8" s="362" t="s">
        <v>119</v>
      </c>
      <c r="CG8" s="363"/>
      <c r="CH8" s="363"/>
      <c r="CI8" s="363"/>
      <c r="CJ8" s="363"/>
      <c r="CK8" s="364"/>
      <c r="CL8" s="359" t="s">
        <v>94</v>
      </c>
      <c r="CM8" s="360"/>
      <c r="CN8" s="360"/>
      <c r="CO8" s="360"/>
      <c r="CP8" s="360"/>
      <c r="CQ8" s="360"/>
      <c r="CR8" s="360"/>
      <c r="CS8" s="361"/>
      <c r="CT8" s="362" t="s">
        <v>119</v>
      </c>
      <c r="CU8" s="363"/>
      <c r="CV8" s="363"/>
      <c r="CW8" s="363"/>
      <c r="CX8" s="363"/>
      <c r="CY8" s="364"/>
      <c r="CZ8" s="359" t="s">
        <v>94</v>
      </c>
      <c r="DA8" s="360"/>
      <c r="DB8" s="360"/>
      <c r="DC8" s="360"/>
      <c r="DD8" s="360"/>
      <c r="DE8" s="360"/>
      <c r="DF8" s="360"/>
      <c r="DG8" s="361"/>
      <c r="DH8" s="362" t="s">
        <v>119</v>
      </c>
      <c r="DI8" s="363"/>
      <c r="DJ8" s="363"/>
      <c r="DK8" s="363"/>
      <c r="DL8" s="363"/>
      <c r="DM8" s="364"/>
      <c r="DN8" s="359" t="s">
        <v>94</v>
      </c>
      <c r="DO8" s="360"/>
      <c r="DP8" s="360"/>
      <c r="DQ8" s="360"/>
      <c r="DR8" s="360"/>
      <c r="DS8" s="360"/>
      <c r="DT8" s="360"/>
      <c r="DU8" s="361"/>
      <c r="DV8" s="362" t="s">
        <v>119</v>
      </c>
      <c r="DW8" s="363"/>
      <c r="DX8" s="363"/>
      <c r="DY8" s="363"/>
      <c r="DZ8" s="363"/>
      <c r="EA8" s="364"/>
      <c r="EB8" s="359" t="s">
        <v>94</v>
      </c>
      <c r="EC8" s="360"/>
      <c r="ED8" s="360"/>
      <c r="EE8" s="360"/>
      <c r="EF8" s="360"/>
      <c r="EG8" s="360"/>
      <c r="EH8" s="360"/>
      <c r="EI8" s="361"/>
      <c r="EJ8" s="362" t="s">
        <v>119</v>
      </c>
      <c r="EK8" s="363"/>
      <c r="EL8" s="363"/>
      <c r="EM8" s="363"/>
      <c r="EN8" s="363"/>
      <c r="EO8" s="364"/>
      <c r="EP8" s="234"/>
      <c r="EQ8" s="235"/>
      <c r="ER8" s="156"/>
      <c r="ES8" s="157"/>
      <c r="ET8" s="157"/>
      <c r="EU8" s="157"/>
      <c r="EX8" s="157"/>
      <c r="EY8" s="157"/>
      <c r="EZ8" s="157"/>
      <c r="FA8" s="157"/>
      <c r="FB8" s="156"/>
    </row>
    <row r="9" spans="2:158" ht="54.95" customHeight="1" x14ac:dyDescent="0.25">
      <c r="B9" s="10" t="s">
        <v>13</v>
      </c>
      <c r="C9" s="80" t="s">
        <v>0</v>
      </c>
      <c r="D9" s="79" t="s">
        <v>33</v>
      </c>
      <c r="E9" s="37" t="s">
        <v>1</v>
      </c>
      <c r="F9" s="175" t="s">
        <v>92</v>
      </c>
      <c r="G9" s="176" t="s">
        <v>93</v>
      </c>
      <c r="H9" s="175" t="s">
        <v>92</v>
      </c>
      <c r="I9" s="176" t="s">
        <v>93</v>
      </c>
      <c r="J9" s="175" t="s">
        <v>92</v>
      </c>
      <c r="K9" s="176" t="s">
        <v>93</v>
      </c>
      <c r="L9" s="183" t="s">
        <v>96</v>
      </c>
      <c r="M9" s="177" t="s">
        <v>91</v>
      </c>
      <c r="N9" s="178" t="s">
        <v>92</v>
      </c>
      <c r="O9" s="179" t="s">
        <v>93</v>
      </c>
      <c r="P9" s="178" t="s">
        <v>92</v>
      </c>
      <c r="Q9" s="179" t="s">
        <v>93</v>
      </c>
      <c r="R9" s="184" t="s">
        <v>97</v>
      </c>
      <c r="S9" s="180" t="s">
        <v>91</v>
      </c>
      <c r="T9" s="175" t="s">
        <v>92</v>
      </c>
      <c r="U9" s="176" t="s">
        <v>93</v>
      </c>
      <c r="V9" s="175" t="s">
        <v>92</v>
      </c>
      <c r="W9" s="176" t="s">
        <v>93</v>
      </c>
      <c r="X9" s="175" t="s">
        <v>92</v>
      </c>
      <c r="Y9" s="176" t="s">
        <v>93</v>
      </c>
      <c r="Z9" s="183" t="s">
        <v>96</v>
      </c>
      <c r="AA9" s="177" t="s">
        <v>91</v>
      </c>
      <c r="AB9" s="178" t="s">
        <v>92</v>
      </c>
      <c r="AC9" s="179" t="s">
        <v>93</v>
      </c>
      <c r="AD9" s="178" t="s">
        <v>92</v>
      </c>
      <c r="AE9" s="179" t="s">
        <v>93</v>
      </c>
      <c r="AF9" s="184" t="s">
        <v>97</v>
      </c>
      <c r="AG9" s="180" t="s">
        <v>91</v>
      </c>
      <c r="AH9" s="175" t="s">
        <v>92</v>
      </c>
      <c r="AI9" s="176" t="s">
        <v>93</v>
      </c>
      <c r="AJ9" s="175" t="s">
        <v>92</v>
      </c>
      <c r="AK9" s="176" t="s">
        <v>93</v>
      </c>
      <c r="AL9" s="175" t="s">
        <v>92</v>
      </c>
      <c r="AM9" s="176" t="s">
        <v>93</v>
      </c>
      <c r="AN9" s="183" t="s">
        <v>96</v>
      </c>
      <c r="AO9" s="177" t="s">
        <v>91</v>
      </c>
      <c r="AP9" s="178" t="s">
        <v>92</v>
      </c>
      <c r="AQ9" s="179" t="s">
        <v>93</v>
      </c>
      <c r="AR9" s="178" t="s">
        <v>92</v>
      </c>
      <c r="AS9" s="179" t="s">
        <v>93</v>
      </c>
      <c r="AT9" s="184" t="s">
        <v>97</v>
      </c>
      <c r="AU9" s="180" t="s">
        <v>91</v>
      </c>
      <c r="AV9" s="175" t="s">
        <v>92</v>
      </c>
      <c r="AW9" s="176" t="s">
        <v>93</v>
      </c>
      <c r="AX9" s="175" t="s">
        <v>92</v>
      </c>
      <c r="AY9" s="176" t="s">
        <v>93</v>
      </c>
      <c r="AZ9" s="175" t="s">
        <v>92</v>
      </c>
      <c r="BA9" s="176" t="s">
        <v>93</v>
      </c>
      <c r="BB9" s="183" t="s">
        <v>96</v>
      </c>
      <c r="BC9" s="177" t="s">
        <v>91</v>
      </c>
      <c r="BD9" s="178" t="s">
        <v>92</v>
      </c>
      <c r="BE9" s="179" t="s">
        <v>93</v>
      </c>
      <c r="BF9" s="178" t="s">
        <v>92</v>
      </c>
      <c r="BG9" s="179" t="s">
        <v>93</v>
      </c>
      <c r="BH9" s="184" t="s">
        <v>97</v>
      </c>
      <c r="BI9" s="180" t="s">
        <v>91</v>
      </c>
      <c r="BJ9" s="175" t="s">
        <v>92</v>
      </c>
      <c r="BK9" s="176" t="s">
        <v>93</v>
      </c>
      <c r="BL9" s="175" t="s">
        <v>92</v>
      </c>
      <c r="BM9" s="176" t="s">
        <v>93</v>
      </c>
      <c r="BN9" s="175" t="s">
        <v>92</v>
      </c>
      <c r="BO9" s="176" t="s">
        <v>93</v>
      </c>
      <c r="BP9" s="183" t="s">
        <v>96</v>
      </c>
      <c r="BQ9" s="177" t="s">
        <v>91</v>
      </c>
      <c r="BR9" s="178" t="s">
        <v>92</v>
      </c>
      <c r="BS9" s="179" t="s">
        <v>93</v>
      </c>
      <c r="BT9" s="178" t="s">
        <v>92</v>
      </c>
      <c r="BU9" s="179" t="s">
        <v>93</v>
      </c>
      <c r="BV9" s="184" t="s">
        <v>97</v>
      </c>
      <c r="BW9" s="180" t="s">
        <v>91</v>
      </c>
      <c r="BX9" s="175" t="s">
        <v>92</v>
      </c>
      <c r="BY9" s="176" t="s">
        <v>93</v>
      </c>
      <c r="BZ9" s="175" t="s">
        <v>92</v>
      </c>
      <c r="CA9" s="176" t="s">
        <v>93</v>
      </c>
      <c r="CB9" s="175" t="s">
        <v>92</v>
      </c>
      <c r="CC9" s="176" t="s">
        <v>93</v>
      </c>
      <c r="CD9" s="183" t="s">
        <v>96</v>
      </c>
      <c r="CE9" s="177" t="s">
        <v>91</v>
      </c>
      <c r="CF9" s="178" t="s">
        <v>92</v>
      </c>
      <c r="CG9" s="179" t="s">
        <v>93</v>
      </c>
      <c r="CH9" s="178" t="s">
        <v>92</v>
      </c>
      <c r="CI9" s="179" t="s">
        <v>93</v>
      </c>
      <c r="CJ9" s="184" t="s">
        <v>97</v>
      </c>
      <c r="CK9" s="180" t="s">
        <v>91</v>
      </c>
      <c r="CL9" s="175" t="s">
        <v>92</v>
      </c>
      <c r="CM9" s="176" t="s">
        <v>93</v>
      </c>
      <c r="CN9" s="175" t="s">
        <v>92</v>
      </c>
      <c r="CO9" s="176" t="s">
        <v>93</v>
      </c>
      <c r="CP9" s="175" t="s">
        <v>92</v>
      </c>
      <c r="CQ9" s="176" t="s">
        <v>93</v>
      </c>
      <c r="CR9" s="183" t="s">
        <v>96</v>
      </c>
      <c r="CS9" s="177" t="s">
        <v>91</v>
      </c>
      <c r="CT9" s="178" t="s">
        <v>92</v>
      </c>
      <c r="CU9" s="179" t="s">
        <v>93</v>
      </c>
      <c r="CV9" s="178" t="s">
        <v>92</v>
      </c>
      <c r="CW9" s="179" t="s">
        <v>93</v>
      </c>
      <c r="CX9" s="184" t="s">
        <v>97</v>
      </c>
      <c r="CY9" s="180" t="s">
        <v>91</v>
      </c>
      <c r="CZ9" s="175" t="s">
        <v>92</v>
      </c>
      <c r="DA9" s="176" t="s">
        <v>93</v>
      </c>
      <c r="DB9" s="175" t="s">
        <v>92</v>
      </c>
      <c r="DC9" s="176" t="s">
        <v>93</v>
      </c>
      <c r="DD9" s="175" t="s">
        <v>92</v>
      </c>
      <c r="DE9" s="176" t="s">
        <v>93</v>
      </c>
      <c r="DF9" s="183" t="s">
        <v>96</v>
      </c>
      <c r="DG9" s="177" t="s">
        <v>91</v>
      </c>
      <c r="DH9" s="178" t="s">
        <v>92</v>
      </c>
      <c r="DI9" s="179" t="s">
        <v>93</v>
      </c>
      <c r="DJ9" s="178" t="s">
        <v>92</v>
      </c>
      <c r="DK9" s="179" t="s">
        <v>93</v>
      </c>
      <c r="DL9" s="184" t="s">
        <v>97</v>
      </c>
      <c r="DM9" s="180" t="s">
        <v>91</v>
      </c>
      <c r="DN9" s="175" t="s">
        <v>92</v>
      </c>
      <c r="DO9" s="176" t="s">
        <v>93</v>
      </c>
      <c r="DP9" s="175" t="s">
        <v>92</v>
      </c>
      <c r="DQ9" s="176" t="s">
        <v>93</v>
      </c>
      <c r="DR9" s="175" t="s">
        <v>92</v>
      </c>
      <c r="DS9" s="176" t="s">
        <v>93</v>
      </c>
      <c r="DT9" s="183" t="s">
        <v>96</v>
      </c>
      <c r="DU9" s="177" t="s">
        <v>91</v>
      </c>
      <c r="DV9" s="178" t="s">
        <v>92</v>
      </c>
      <c r="DW9" s="179" t="s">
        <v>93</v>
      </c>
      <c r="DX9" s="178" t="s">
        <v>92</v>
      </c>
      <c r="DY9" s="179" t="s">
        <v>93</v>
      </c>
      <c r="DZ9" s="184" t="s">
        <v>97</v>
      </c>
      <c r="EA9" s="180" t="s">
        <v>91</v>
      </c>
      <c r="EB9" s="175" t="s">
        <v>92</v>
      </c>
      <c r="EC9" s="176" t="s">
        <v>93</v>
      </c>
      <c r="ED9" s="175" t="s">
        <v>92</v>
      </c>
      <c r="EE9" s="176" t="s">
        <v>93</v>
      </c>
      <c r="EF9" s="175" t="s">
        <v>92</v>
      </c>
      <c r="EG9" s="176" t="s">
        <v>93</v>
      </c>
      <c r="EH9" s="183" t="s">
        <v>96</v>
      </c>
      <c r="EI9" s="177" t="s">
        <v>91</v>
      </c>
      <c r="EJ9" s="178" t="s">
        <v>92</v>
      </c>
      <c r="EK9" s="179" t="s">
        <v>93</v>
      </c>
      <c r="EL9" s="178" t="s">
        <v>92</v>
      </c>
      <c r="EM9" s="179" t="s">
        <v>93</v>
      </c>
      <c r="EN9" s="184" t="s">
        <v>97</v>
      </c>
      <c r="EO9" s="180" t="s">
        <v>91</v>
      </c>
      <c r="EP9" s="182" t="s">
        <v>45</v>
      </c>
      <c r="EQ9" s="181" t="s">
        <v>46</v>
      </c>
      <c r="ER9" s="3"/>
      <c r="FB9" s="3"/>
    </row>
    <row r="10" spans="2:158" ht="30" customHeight="1" x14ac:dyDescent="0.3">
      <c r="B10" s="23">
        <f>'Reporte Asistencia Laboral'!B11</f>
        <v>1</v>
      </c>
      <c r="C10" s="77" t="str">
        <f>IFERROR(VLOOKUP(D10,EMPLEADO!C:Q,15,0),"")</f>
        <v>MATAILO PINTA MIGUEL ANGEL</v>
      </c>
      <c r="D10" s="6" t="str">
        <f>'Reporte Asistencia Laboral'!D11</f>
        <v>110352731-1</v>
      </c>
      <c r="E10" s="38" t="s">
        <v>23</v>
      </c>
      <c r="F10" s="186"/>
      <c r="G10" s="187"/>
      <c r="H10" s="186"/>
      <c r="I10" s="187"/>
      <c r="J10" s="186"/>
      <c r="K10" s="187"/>
      <c r="L10" s="185">
        <f t="shared" ref="L10:L13" si="0">IF($F$6="OJO H.E. AL 100%",0,(G10-F10)*24+(I10-H10)*24+(K10-J10)*24)</f>
        <v>0</v>
      </c>
      <c r="M10" s="188"/>
      <c r="N10" s="186"/>
      <c r="O10" s="187"/>
      <c r="P10" s="186"/>
      <c r="Q10" s="187"/>
      <c r="R10" s="189">
        <f t="shared" ref="R10:R13" si="1">(+O10-N10)*24+(Q10-P10)*24</f>
        <v>0</v>
      </c>
      <c r="S10" s="188"/>
      <c r="T10" s="186"/>
      <c r="U10" s="187"/>
      <c r="V10" s="186"/>
      <c r="W10" s="187"/>
      <c r="X10" s="186"/>
      <c r="Y10" s="187"/>
      <c r="Z10" s="185">
        <f t="shared" ref="Z10:Z13" si="2">IF($T$6="OJO H.E. AL 100%",0,(U10-T10)*24+(W10-V10)*24+(Y10-X10)*24)</f>
        <v>0</v>
      </c>
      <c r="AA10" s="188"/>
      <c r="AB10" s="186"/>
      <c r="AC10" s="187"/>
      <c r="AD10" s="186"/>
      <c r="AE10" s="187"/>
      <c r="AF10" s="189">
        <f t="shared" ref="AF10:AF13" si="3">(+AC10-AB10)*24+(AE10-AD10)*24</f>
        <v>0</v>
      </c>
      <c r="AG10" s="188"/>
      <c r="AH10" s="186"/>
      <c r="AI10" s="187"/>
      <c r="AJ10" s="186"/>
      <c r="AK10" s="187"/>
      <c r="AL10" s="186"/>
      <c r="AM10" s="187"/>
      <c r="AN10" s="185">
        <f t="shared" ref="AN10:AN13" si="4">IF($AH$6="OJO H.E. AL 100%",0,(AI10-AH10)*24+(AK10-AJ10)*24+(AM10-AL10)*24)</f>
        <v>0</v>
      </c>
      <c r="AO10" s="188"/>
      <c r="AP10" s="186"/>
      <c r="AQ10" s="187"/>
      <c r="AR10" s="186"/>
      <c r="AS10" s="187"/>
      <c r="AT10" s="190">
        <f t="shared" ref="AT10:AT13" si="5">(+AQ10-AP10)*24+(AS10-AR10)*24</f>
        <v>0</v>
      </c>
      <c r="AU10" s="188"/>
      <c r="AV10" s="186"/>
      <c r="AW10" s="187"/>
      <c r="AX10" s="186"/>
      <c r="AY10" s="187"/>
      <c r="AZ10" s="186"/>
      <c r="BA10" s="187"/>
      <c r="BB10" s="185">
        <f t="shared" ref="BB10:BB13" si="6">IF($AV$6="OJO H.E. AL 100%",0,(AW10-AV10)*24+(AY10-AX10)*24+(BA10-AZ10)*24)</f>
        <v>0</v>
      </c>
      <c r="BC10" s="188"/>
      <c r="BD10" s="186"/>
      <c r="BE10" s="187"/>
      <c r="BF10" s="186"/>
      <c r="BG10" s="187"/>
      <c r="BH10" s="190">
        <f t="shared" ref="BH10:BH13" si="7">(+BE10-BD10)*24+(BG10-BF10)*24</f>
        <v>0</v>
      </c>
      <c r="BI10" s="188"/>
      <c r="BJ10" s="186"/>
      <c r="BK10" s="187"/>
      <c r="BL10" s="186"/>
      <c r="BM10" s="187"/>
      <c r="BN10" s="186"/>
      <c r="BO10" s="187"/>
      <c r="BP10" s="185">
        <f t="shared" ref="BP10:BP13" si="8">IF($BJ$6="OJO H.E. AL 100%",0,(BK10-BJ10)*24+(BM10-BL10)*24+(BO10-BN10)*24)</f>
        <v>0</v>
      </c>
      <c r="BQ10" s="188"/>
      <c r="BR10" s="186"/>
      <c r="BS10" s="187"/>
      <c r="BT10" s="186"/>
      <c r="BU10" s="187"/>
      <c r="BV10" s="190">
        <f t="shared" ref="BV10:BV13" si="9">(+BS10-BR10)*24+(BU10-BT10)*24</f>
        <v>0</v>
      </c>
      <c r="BW10" s="188"/>
      <c r="BX10" s="186"/>
      <c r="BY10" s="187"/>
      <c r="BZ10" s="186"/>
      <c r="CA10" s="187"/>
      <c r="CB10" s="186"/>
      <c r="CC10" s="187"/>
      <c r="CD10" s="185">
        <f t="shared" ref="CD10:CD13" si="10">IF($BX$6="OJO H.E. AL 100%",0,(BY10-BX10)*24+(CA10-BZ10)*24+(CC10-CB10)*24)</f>
        <v>0</v>
      </c>
      <c r="CE10" s="188"/>
      <c r="CF10" s="186"/>
      <c r="CG10" s="187"/>
      <c r="CH10" s="186"/>
      <c r="CI10" s="187"/>
      <c r="CJ10" s="190">
        <f t="shared" ref="CJ10:CJ13" si="11">(+CG10-CF10)*24+(CI10-CH10)*24</f>
        <v>0</v>
      </c>
      <c r="CK10" s="188"/>
      <c r="CL10" s="186"/>
      <c r="CM10" s="187"/>
      <c r="CN10" s="186"/>
      <c r="CO10" s="187"/>
      <c r="CP10" s="186"/>
      <c r="CQ10" s="187"/>
      <c r="CR10" s="185">
        <f t="shared" ref="CR10:CR13" si="12">IF($CL$6="OJO H.E. AL 100%",0,(CM10-CL10)*24+(CO10-CN10)*24+(CQ10-CP10)*24)</f>
        <v>0</v>
      </c>
      <c r="CS10" s="188"/>
      <c r="CT10" s="186"/>
      <c r="CU10" s="187"/>
      <c r="CV10" s="186"/>
      <c r="CW10" s="187"/>
      <c r="CX10" s="190">
        <f t="shared" ref="CX10:CX13" si="13">(+CU10-CT10)*24+(CW10-CV10)*24</f>
        <v>0</v>
      </c>
      <c r="CY10" s="188"/>
      <c r="CZ10" s="186"/>
      <c r="DA10" s="187"/>
      <c r="DB10" s="186"/>
      <c r="DC10" s="187"/>
      <c r="DD10" s="186"/>
      <c r="DE10" s="187"/>
      <c r="DF10" s="185">
        <f t="shared" ref="DF10:DF13" si="14">IF($CZ$6="OJO H.E. AL 100%",0,(DA10-CZ10)*24+(DC10-DB10)*24+(DE10-DD10)*24)</f>
        <v>0</v>
      </c>
      <c r="DG10" s="188"/>
      <c r="DH10" s="186"/>
      <c r="DI10" s="187"/>
      <c r="DJ10" s="186"/>
      <c r="DK10" s="187"/>
      <c r="DL10" s="190">
        <f t="shared" ref="DL10:DL13" si="15">(+DI10-DH10)*24+(DK10-DJ10)*24</f>
        <v>0</v>
      </c>
      <c r="DM10" s="188"/>
      <c r="DN10" s="186"/>
      <c r="DO10" s="187"/>
      <c r="DP10" s="186"/>
      <c r="DQ10" s="187"/>
      <c r="DR10" s="186"/>
      <c r="DS10" s="187"/>
      <c r="DT10" s="185">
        <f t="shared" ref="DT10:DT13" si="16">IF($DN$6="OJO H.E. AL 100%",0,(DO10-DN10)*24+(DQ10-DP10)*24+(DS10-DR10)*24)</f>
        <v>0</v>
      </c>
      <c r="DU10" s="188"/>
      <c r="DV10" s="186"/>
      <c r="DW10" s="187"/>
      <c r="DX10" s="186"/>
      <c r="DY10" s="187"/>
      <c r="DZ10" s="190">
        <f t="shared" ref="DZ10:DZ13" si="17">(+DW10-DV10)*24+(DY10-DX10)*24</f>
        <v>0</v>
      </c>
      <c r="EA10" s="188"/>
      <c r="EB10" s="186"/>
      <c r="EC10" s="187"/>
      <c r="ED10" s="186"/>
      <c r="EE10" s="187"/>
      <c r="EF10" s="186"/>
      <c r="EG10" s="187"/>
      <c r="EH10" s="185">
        <f t="shared" ref="EH10:EH13" si="18">IF($EB$6="OJO H.E. AL 100%",0,(EC10-EB10)*24+(EE10-ED10)*24+(EG10-EF10)*24)</f>
        <v>0</v>
      </c>
      <c r="EI10" s="188"/>
      <c r="EJ10" s="186"/>
      <c r="EK10" s="187"/>
      <c r="EL10" s="186"/>
      <c r="EM10" s="187"/>
      <c r="EN10" s="190">
        <f t="shared" ref="EN10:EN13" si="19">(+EK10-EJ10)*24+(EM10-EL10)*24</f>
        <v>0</v>
      </c>
      <c r="EO10" s="188"/>
      <c r="EP10" s="191">
        <f t="shared" ref="EP10:EP13" si="20">L10+Z10+AN10+BB10+BP10+CD10+CR10+DF10+DT10+EH10</f>
        <v>0</v>
      </c>
      <c r="EQ10" s="192">
        <f t="shared" ref="EQ10:EQ13" si="21">R10+AF10+AT10+BH10+BV10+CJ10+CX10+DL10+DZ10+EN10</f>
        <v>0</v>
      </c>
      <c r="ER10" s="36"/>
      <c r="FB10" s="36"/>
    </row>
    <row r="11" spans="2:158" ht="30" customHeight="1" x14ac:dyDescent="0.3">
      <c r="B11" s="23">
        <f>'Reporte Asistencia Laboral'!B12</f>
        <v>2</v>
      </c>
      <c r="C11" s="77" t="str">
        <f>IFERROR(VLOOKUP(D11,EMPLEADO!C:Q,15,0),"")</f>
        <v>HELGUERO MARTINEZ CARLOS RENE</v>
      </c>
      <c r="D11" s="6" t="str">
        <f>'Reporte Asistencia Laboral'!D12</f>
        <v>070362264-7</v>
      </c>
      <c r="E11" s="38" t="s">
        <v>17</v>
      </c>
      <c r="F11" s="186"/>
      <c r="G11" s="187"/>
      <c r="H11" s="186"/>
      <c r="I11" s="187"/>
      <c r="J11" s="186"/>
      <c r="K11" s="187"/>
      <c r="L11" s="185">
        <f t="shared" si="0"/>
        <v>0</v>
      </c>
      <c r="M11" s="188"/>
      <c r="N11" s="186"/>
      <c r="O11" s="187"/>
      <c r="P11" s="186"/>
      <c r="Q11" s="187"/>
      <c r="R11" s="189">
        <f t="shared" si="1"/>
        <v>0</v>
      </c>
      <c r="S11" s="188"/>
      <c r="T11" s="186"/>
      <c r="U11" s="187"/>
      <c r="V11" s="186"/>
      <c r="W11" s="187"/>
      <c r="X11" s="186"/>
      <c r="Y11" s="187"/>
      <c r="Z11" s="185">
        <f t="shared" si="2"/>
        <v>0</v>
      </c>
      <c r="AA11" s="188"/>
      <c r="AB11" s="186"/>
      <c r="AC11" s="187"/>
      <c r="AD11" s="186"/>
      <c r="AE11" s="187"/>
      <c r="AF11" s="189">
        <f t="shared" si="3"/>
        <v>0</v>
      </c>
      <c r="AG11" s="188"/>
      <c r="AH11" s="186"/>
      <c r="AI11" s="187"/>
      <c r="AJ11" s="186"/>
      <c r="AK11" s="187"/>
      <c r="AL11" s="186"/>
      <c r="AM11" s="187"/>
      <c r="AN11" s="185">
        <f t="shared" si="4"/>
        <v>0</v>
      </c>
      <c r="AO11" s="188"/>
      <c r="AP11" s="186"/>
      <c r="AQ11" s="187"/>
      <c r="AR11" s="186"/>
      <c r="AS11" s="187"/>
      <c r="AT11" s="190">
        <f t="shared" si="5"/>
        <v>0</v>
      </c>
      <c r="AU11" s="188"/>
      <c r="AV11" s="186"/>
      <c r="AW11" s="187"/>
      <c r="AX11" s="186"/>
      <c r="AY11" s="187"/>
      <c r="AZ11" s="186"/>
      <c r="BA11" s="187"/>
      <c r="BB11" s="185">
        <f t="shared" si="6"/>
        <v>0</v>
      </c>
      <c r="BC11" s="188"/>
      <c r="BD11" s="186"/>
      <c r="BE11" s="187"/>
      <c r="BF11" s="186"/>
      <c r="BG11" s="187"/>
      <c r="BH11" s="190">
        <f t="shared" si="7"/>
        <v>0</v>
      </c>
      <c r="BI11" s="188"/>
      <c r="BJ11" s="186"/>
      <c r="BK11" s="187"/>
      <c r="BL11" s="186"/>
      <c r="BM11" s="187"/>
      <c r="BN11" s="186"/>
      <c r="BO11" s="187"/>
      <c r="BP11" s="185">
        <f t="shared" si="8"/>
        <v>0</v>
      </c>
      <c r="BQ11" s="188"/>
      <c r="BR11" s="186"/>
      <c r="BS11" s="187"/>
      <c r="BT11" s="186"/>
      <c r="BU11" s="187"/>
      <c r="BV11" s="190">
        <f t="shared" si="9"/>
        <v>0</v>
      </c>
      <c r="BW11" s="188"/>
      <c r="BX11" s="186"/>
      <c r="BY11" s="187"/>
      <c r="BZ11" s="186"/>
      <c r="CA11" s="187"/>
      <c r="CB11" s="186"/>
      <c r="CC11" s="187"/>
      <c r="CD11" s="185">
        <f t="shared" si="10"/>
        <v>0</v>
      </c>
      <c r="CE11" s="188"/>
      <c r="CF11" s="186"/>
      <c r="CG11" s="187"/>
      <c r="CH11" s="186"/>
      <c r="CI11" s="187"/>
      <c r="CJ11" s="190">
        <f t="shared" si="11"/>
        <v>0</v>
      </c>
      <c r="CK11" s="188"/>
      <c r="CL11" s="186"/>
      <c r="CM11" s="187"/>
      <c r="CN11" s="186"/>
      <c r="CO11" s="187"/>
      <c r="CP11" s="186"/>
      <c r="CQ11" s="187"/>
      <c r="CR11" s="185">
        <f t="shared" si="12"/>
        <v>0</v>
      </c>
      <c r="CS11" s="188"/>
      <c r="CT11" s="186"/>
      <c r="CU11" s="187"/>
      <c r="CV11" s="186"/>
      <c r="CW11" s="187"/>
      <c r="CX11" s="190">
        <f t="shared" si="13"/>
        <v>0</v>
      </c>
      <c r="CY11" s="188"/>
      <c r="CZ11" s="186"/>
      <c r="DA11" s="187"/>
      <c r="DB11" s="186"/>
      <c r="DC11" s="187"/>
      <c r="DD11" s="186"/>
      <c r="DE11" s="187"/>
      <c r="DF11" s="185">
        <f t="shared" si="14"/>
        <v>0</v>
      </c>
      <c r="DG11" s="188"/>
      <c r="DH11" s="186"/>
      <c r="DI11" s="187"/>
      <c r="DJ11" s="186"/>
      <c r="DK11" s="187"/>
      <c r="DL11" s="190">
        <f t="shared" si="15"/>
        <v>0</v>
      </c>
      <c r="DM11" s="188"/>
      <c r="DN11" s="186"/>
      <c r="DO11" s="187"/>
      <c r="DP11" s="186"/>
      <c r="DQ11" s="187"/>
      <c r="DR11" s="186"/>
      <c r="DS11" s="187"/>
      <c r="DT11" s="185">
        <f t="shared" si="16"/>
        <v>0</v>
      </c>
      <c r="DU11" s="188"/>
      <c r="DV11" s="186"/>
      <c r="DW11" s="187"/>
      <c r="DX11" s="186"/>
      <c r="DY11" s="187"/>
      <c r="DZ11" s="190">
        <f t="shared" si="17"/>
        <v>0</v>
      </c>
      <c r="EA11" s="188"/>
      <c r="EB11" s="186"/>
      <c r="EC11" s="187"/>
      <c r="ED11" s="186"/>
      <c r="EE11" s="187"/>
      <c r="EF11" s="186"/>
      <c r="EG11" s="187"/>
      <c r="EH11" s="185">
        <f t="shared" si="18"/>
        <v>0</v>
      </c>
      <c r="EI11" s="188"/>
      <c r="EJ11" s="186"/>
      <c r="EK11" s="187"/>
      <c r="EL11" s="186"/>
      <c r="EM11" s="187"/>
      <c r="EN11" s="190">
        <f t="shared" si="19"/>
        <v>0</v>
      </c>
      <c r="EO11" s="188"/>
      <c r="EP11" s="191">
        <f t="shared" si="20"/>
        <v>0</v>
      </c>
      <c r="EQ11" s="192">
        <f t="shared" si="21"/>
        <v>0</v>
      </c>
      <c r="ER11" s="36"/>
      <c r="FB11" s="36"/>
    </row>
    <row r="12" spans="2:158" ht="30" customHeight="1" x14ac:dyDescent="0.3">
      <c r="B12" s="23">
        <f>'Reporte Asistencia Laboral'!B13</f>
        <v>3</v>
      </c>
      <c r="C12" s="77" t="str">
        <f>IFERROR(VLOOKUP(D12,EMPLEADO!C:Q,15,0),"")</f>
        <v>ACARO HERRERA ESTALIN RODRIGO</v>
      </c>
      <c r="D12" s="6" t="str">
        <f>'Reporte Asistencia Laboral'!D13</f>
        <v>115049676-6</v>
      </c>
      <c r="E12" s="38" t="s">
        <v>17</v>
      </c>
      <c r="F12" s="186"/>
      <c r="G12" s="187"/>
      <c r="H12" s="186"/>
      <c r="I12" s="187"/>
      <c r="J12" s="186"/>
      <c r="K12" s="187"/>
      <c r="L12" s="185">
        <f t="shared" si="0"/>
        <v>0</v>
      </c>
      <c r="M12" s="188"/>
      <c r="N12" s="186"/>
      <c r="O12" s="187"/>
      <c r="P12" s="186"/>
      <c r="Q12" s="187"/>
      <c r="R12" s="189">
        <f t="shared" si="1"/>
        <v>0</v>
      </c>
      <c r="S12" s="188"/>
      <c r="T12" s="186"/>
      <c r="U12" s="187"/>
      <c r="V12" s="186"/>
      <c r="W12" s="187"/>
      <c r="X12" s="186"/>
      <c r="Y12" s="187"/>
      <c r="Z12" s="185">
        <f t="shared" si="2"/>
        <v>0</v>
      </c>
      <c r="AA12" s="188"/>
      <c r="AB12" s="186"/>
      <c r="AC12" s="187"/>
      <c r="AD12" s="186"/>
      <c r="AE12" s="187"/>
      <c r="AF12" s="189">
        <f t="shared" si="3"/>
        <v>0</v>
      </c>
      <c r="AG12" s="188"/>
      <c r="AH12" s="186"/>
      <c r="AI12" s="187"/>
      <c r="AJ12" s="186"/>
      <c r="AK12" s="187"/>
      <c r="AL12" s="186"/>
      <c r="AM12" s="187"/>
      <c r="AN12" s="185">
        <f t="shared" si="4"/>
        <v>0</v>
      </c>
      <c r="AO12" s="188"/>
      <c r="AP12" s="186"/>
      <c r="AQ12" s="187"/>
      <c r="AR12" s="186"/>
      <c r="AS12" s="187"/>
      <c r="AT12" s="190">
        <f t="shared" si="5"/>
        <v>0</v>
      </c>
      <c r="AU12" s="188"/>
      <c r="AV12" s="186"/>
      <c r="AW12" s="187"/>
      <c r="AX12" s="186"/>
      <c r="AY12" s="187"/>
      <c r="AZ12" s="186"/>
      <c r="BA12" s="187"/>
      <c r="BB12" s="185">
        <f t="shared" si="6"/>
        <v>0</v>
      </c>
      <c r="BC12" s="188"/>
      <c r="BD12" s="186"/>
      <c r="BE12" s="187"/>
      <c r="BF12" s="186"/>
      <c r="BG12" s="187"/>
      <c r="BH12" s="190">
        <f t="shared" si="7"/>
        <v>0</v>
      </c>
      <c r="BI12" s="188"/>
      <c r="BJ12" s="186"/>
      <c r="BK12" s="187"/>
      <c r="BL12" s="186"/>
      <c r="BM12" s="187"/>
      <c r="BN12" s="186"/>
      <c r="BO12" s="187"/>
      <c r="BP12" s="185">
        <f t="shared" si="8"/>
        <v>0</v>
      </c>
      <c r="BQ12" s="188"/>
      <c r="BR12" s="186"/>
      <c r="BS12" s="187"/>
      <c r="BT12" s="186"/>
      <c r="BU12" s="187"/>
      <c r="BV12" s="190">
        <f t="shared" si="9"/>
        <v>0</v>
      </c>
      <c r="BW12" s="188"/>
      <c r="BX12" s="186"/>
      <c r="BY12" s="187"/>
      <c r="BZ12" s="186"/>
      <c r="CA12" s="187"/>
      <c r="CB12" s="186"/>
      <c r="CC12" s="187"/>
      <c r="CD12" s="185">
        <f t="shared" si="10"/>
        <v>0</v>
      </c>
      <c r="CE12" s="188"/>
      <c r="CF12" s="186"/>
      <c r="CG12" s="187"/>
      <c r="CH12" s="186"/>
      <c r="CI12" s="187"/>
      <c r="CJ12" s="190">
        <f t="shared" si="11"/>
        <v>0</v>
      </c>
      <c r="CK12" s="188"/>
      <c r="CL12" s="186"/>
      <c r="CM12" s="187"/>
      <c r="CN12" s="186"/>
      <c r="CO12" s="187"/>
      <c r="CP12" s="186"/>
      <c r="CQ12" s="187"/>
      <c r="CR12" s="185">
        <f t="shared" si="12"/>
        <v>0</v>
      </c>
      <c r="CS12" s="188"/>
      <c r="CT12" s="186"/>
      <c r="CU12" s="187"/>
      <c r="CV12" s="186"/>
      <c r="CW12" s="187"/>
      <c r="CX12" s="190">
        <f t="shared" si="13"/>
        <v>0</v>
      </c>
      <c r="CY12" s="188"/>
      <c r="CZ12" s="186"/>
      <c r="DA12" s="187"/>
      <c r="DB12" s="186"/>
      <c r="DC12" s="187"/>
      <c r="DD12" s="186"/>
      <c r="DE12" s="187"/>
      <c r="DF12" s="185">
        <f t="shared" si="14"/>
        <v>0</v>
      </c>
      <c r="DG12" s="188"/>
      <c r="DH12" s="186"/>
      <c r="DI12" s="187"/>
      <c r="DJ12" s="186"/>
      <c r="DK12" s="187"/>
      <c r="DL12" s="190">
        <f t="shared" si="15"/>
        <v>0</v>
      </c>
      <c r="DM12" s="188"/>
      <c r="DN12" s="186"/>
      <c r="DO12" s="187"/>
      <c r="DP12" s="186"/>
      <c r="DQ12" s="187"/>
      <c r="DR12" s="186"/>
      <c r="DS12" s="187"/>
      <c r="DT12" s="185">
        <f t="shared" si="16"/>
        <v>0</v>
      </c>
      <c r="DU12" s="188"/>
      <c r="DV12" s="186"/>
      <c r="DW12" s="187"/>
      <c r="DX12" s="186"/>
      <c r="DY12" s="187"/>
      <c r="DZ12" s="190">
        <f t="shared" si="17"/>
        <v>0</v>
      </c>
      <c r="EA12" s="188"/>
      <c r="EB12" s="186"/>
      <c r="EC12" s="187"/>
      <c r="ED12" s="186"/>
      <c r="EE12" s="187"/>
      <c r="EF12" s="186"/>
      <c r="EG12" s="187"/>
      <c r="EH12" s="185">
        <f t="shared" si="18"/>
        <v>0</v>
      </c>
      <c r="EI12" s="188"/>
      <c r="EJ12" s="186"/>
      <c r="EK12" s="187"/>
      <c r="EL12" s="186"/>
      <c r="EM12" s="187"/>
      <c r="EN12" s="190">
        <f t="shared" si="19"/>
        <v>0</v>
      </c>
      <c r="EO12" s="188"/>
      <c r="EP12" s="191">
        <f t="shared" si="20"/>
        <v>0</v>
      </c>
      <c r="EQ12" s="192">
        <f t="shared" si="21"/>
        <v>0</v>
      </c>
      <c r="ER12" s="36"/>
      <c r="FB12" s="36"/>
    </row>
    <row r="13" spans="2:158" ht="30" customHeight="1" x14ac:dyDescent="0.3">
      <c r="B13" s="23">
        <f>'Reporte Asistencia Laboral'!B14</f>
        <v>4</v>
      </c>
      <c r="C13" s="77" t="str">
        <f>IFERROR(VLOOKUP(D13,EMPLEADO!C:Q,15,0),"")</f>
        <v>ZHANAY CABRERA ELVIS WLADIMIR</v>
      </c>
      <c r="D13" s="6" t="str">
        <f>'Reporte Asistencia Laboral'!D14</f>
        <v>110581707-4</v>
      </c>
      <c r="E13" s="39" t="s">
        <v>17</v>
      </c>
      <c r="F13" s="186"/>
      <c r="G13" s="187"/>
      <c r="H13" s="186"/>
      <c r="I13" s="187"/>
      <c r="J13" s="186"/>
      <c r="K13" s="187"/>
      <c r="L13" s="185">
        <f t="shared" si="0"/>
        <v>0</v>
      </c>
      <c r="M13" s="188"/>
      <c r="N13" s="186"/>
      <c r="O13" s="187"/>
      <c r="P13" s="186"/>
      <c r="Q13" s="187"/>
      <c r="R13" s="189">
        <f t="shared" si="1"/>
        <v>0</v>
      </c>
      <c r="S13" s="188"/>
      <c r="T13" s="186"/>
      <c r="U13" s="187"/>
      <c r="V13" s="186"/>
      <c r="W13" s="187"/>
      <c r="X13" s="186"/>
      <c r="Y13" s="187"/>
      <c r="Z13" s="185">
        <f t="shared" si="2"/>
        <v>0</v>
      </c>
      <c r="AA13" s="188"/>
      <c r="AB13" s="186"/>
      <c r="AC13" s="187"/>
      <c r="AD13" s="186"/>
      <c r="AE13" s="187"/>
      <c r="AF13" s="189">
        <f t="shared" si="3"/>
        <v>0</v>
      </c>
      <c r="AG13" s="188"/>
      <c r="AH13" s="186"/>
      <c r="AI13" s="187"/>
      <c r="AJ13" s="186"/>
      <c r="AK13" s="187"/>
      <c r="AL13" s="186"/>
      <c r="AM13" s="187"/>
      <c r="AN13" s="185">
        <f t="shared" si="4"/>
        <v>0</v>
      </c>
      <c r="AO13" s="188"/>
      <c r="AP13" s="186"/>
      <c r="AQ13" s="187"/>
      <c r="AR13" s="186"/>
      <c r="AS13" s="187"/>
      <c r="AT13" s="190">
        <f t="shared" si="5"/>
        <v>0</v>
      </c>
      <c r="AU13" s="188"/>
      <c r="AV13" s="186"/>
      <c r="AW13" s="187"/>
      <c r="AX13" s="186"/>
      <c r="AY13" s="187"/>
      <c r="AZ13" s="186"/>
      <c r="BA13" s="187"/>
      <c r="BB13" s="185">
        <f t="shared" si="6"/>
        <v>0</v>
      </c>
      <c r="BC13" s="188"/>
      <c r="BD13" s="186"/>
      <c r="BE13" s="187"/>
      <c r="BF13" s="186"/>
      <c r="BG13" s="187"/>
      <c r="BH13" s="190">
        <f t="shared" si="7"/>
        <v>0</v>
      </c>
      <c r="BI13" s="188"/>
      <c r="BJ13" s="186"/>
      <c r="BK13" s="187"/>
      <c r="BL13" s="186"/>
      <c r="BM13" s="187"/>
      <c r="BN13" s="186"/>
      <c r="BO13" s="187"/>
      <c r="BP13" s="185">
        <f t="shared" si="8"/>
        <v>0</v>
      </c>
      <c r="BQ13" s="188"/>
      <c r="BR13" s="186"/>
      <c r="BS13" s="187"/>
      <c r="BT13" s="186"/>
      <c r="BU13" s="187"/>
      <c r="BV13" s="190">
        <f t="shared" si="9"/>
        <v>0</v>
      </c>
      <c r="BW13" s="188"/>
      <c r="BX13" s="186"/>
      <c r="BY13" s="187"/>
      <c r="BZ13" s="186"/>
      <c r="CA13" s="187"/>
      <c r="CB13" s="186"/>
      <c r="CC13" s="187"/>
      <c r="CD13" s="185">
        <f t="shared" si="10"/>
        <v>0</v>
      </c>
      <c r="CE13" s="188"/>
      <c r="CF13" s="186"/>
      <c r="CG13" s="187"/>
      <c r="CH13" s="186"/>
      <c r="CI13" s="187"/>
      <c r="CJ13" s="190">
        <f t="shared" si="11"/>
        <v>0</v>
      </c>
      <c r="CK13" s="188"/>
      <c r="CL13" s="186"/>
      <c r="CM13" s="187"/>
      <c r="CN13" s="186"/>
      <c r="CO13" s="187"/>
      <c r="CP13" s="186"/>
      <c r="CQ13" s="187"/>
      <c r="CR13" s="185">
        <f t="shared" si="12"/>
        <v>0</v>
      </c>
      <c r="CS13" s="188"/>
      <c r="CT13" s="186"/>
      <c r="CU13" s="187"/>
      <c r="CV13" s="186"/>
      <c r="CW13" s="187"/>
      <c r="CX13" s="190">
        <f t="shared" si="13"/>
        <v>0</v>
      </c>
      <c r="CY13" s="188"/>
      <c r="CZ13" s="186"/>
      <c r="DA13" s="187"/>
      <c r="DB13" s="186"/>
      <c r="DC13" s="187"/>
      <c r="DD13" s="186"/>
      <c r="DE13" s="187"/>
      <c r="DF13" s="185">
        <f t="shared" si="14"/>
        <v>0</v>
      </c>
      <c r="DG13" s="188"/>
      <c r="DH13" s="186"/>
      <c r="DI13" s="187"/>
      <c r="DJ13" s="186"/>
      <c r="DK13" s="187"/>
      <c r="DL13" s="190">
        <f t="shared" si="15"/>
        <v>0</v>
      </c>
      <c r="DM13" s="188"/>
      <c r="DN13" s="186"/>
      <c r="DO13" s="187"/>
      <c r="DP13" s="186"/>
      <c r="DQ13" s="187"/>
      <c r="DR13" s="186"/>
      <c r="DS13" s="187"/>
      <c r="DT13" s="185">
        <f t="shared" si="16"/>
        <v>0</v>
      </c>
      <c r="DU13" s="188"/>
      <c r="DV13" s="186"/>
      <c r="DW13" s="187"/>
      <c r="DX13" s="186"/>
      <c r="DY13" s="187"/>
      <c r="DZ13" s="190">
        <f t="shared" si="17"/>
        <v>0</v>
      </c>
      <c r="EA13" s="188"/>
      <c r="EB13" s="186"/>
      <c r="EC13" s="187"/>
      <c r="ED13" s="186"/>
      <c r="EE13" s="187"/>
      <c r="EF13" s="186"/>
      <c r="EG13" s="187"/>
      <c r="EH13" s="185">
        <f t="shared" si="18"/>
        <v>0</v>
      </c>
      <c r="EI13" s="188"/>
      <c r="EJ13" s="186"/>
      <c r="EK13" s="187"/>
      <c r="EL13" s="186"/>
      <c r="EM13" s="187"/>
      <c r="EN13" s="190">
        <f t="shared" si="19"/>
        <v>0</v>
      </c>
      <c r="EO13" s="188"/>
      <c r="EP13" s="191">
        <f t="shared" si="20"/>
        <v>0</v>
      </c>
      <c r="EQ13" s="192">
        <f t="shared" si="21"/>
        <v>0</v>
      </c>
      <c r="ER13" s="36"/>
      <c r="FB13" s="36"/>
    </row>
    <row r="14" spans="2:158" ht="30" customHeight="1" x14ac:dyDescent="0.3">
      <c r="B14" s="23">
        <f>'Reporte Asistencia Laboral'!B15</f>
        <v>5</v>
      </c>
      <c r="C14" s="77" t="str">
        <f>IFERROR(VLOOKUP(D14,EMPLEADO!C:Q,15,0),"")</f>
        <v>GUEVARA HERRERA VICENTE PATRICIO</v>
      </c>
      <c r="D14" s="6" t="str">
        <f>'Reporte Asistencia Laboral'!D15</f>
        <v>110533025-0</v>
      </c>
      <c r="E14" s="150"/>
      <c r="F14" s="186"/>
      <c r="G14" s="187"/>
      <c r="H14" s="186"/>
      <c r="I14" s="187"/>
      <c r="J14" s="186"/>
      <c r="K14" s="187"/>
      <c r="L14" s="185">
        <f t="shared" ref="L14" si="22">IF($F$6="OJO H.E. AL 100%",0,(G14-F14)*24+(I14-H14)*24+(K14-J14)*24)</f>
        <v>0</v>
      </c>
      <c r="M14" s="188"/>
      <c r="N14" s="186"/>
      <c r="O14" s="187"/>
      <c r="P14" s="186"/>
      <c r="Q14" s="187"/>
      <c r="R14" s="189">
        <f t="shared" ref="R14" si="23">(+O14-N14)*24+(Q14-P14)*24</f>
        <v>0</v>
      </c>
      <c r="S14" s="188"/>
      <c r="T14" s="186"/>
      <c r="U14" s="187"/>
      <c r="V14" s="186"/>
      <c r="W14" s="187"/>
      <c r="X14" s="186"/>
      <c r="Y14" s="187"/>
      <c r="Z14" s="185">
        <f t="shared" ref="Z14" si="24">IF($T$6="OJO H.E. AL 100%",0,(U14-T14)*24+(W14-V14)*24+(Y14-X14)*24)</f>
        <v>0</v>
      </c>
      <c r="AA14" s="188"/>
      <c r="AB14" s="186"/>
      <c r="AC14" s="187"/>
      <c r="AD14" s="186"/>
      <c r="AE14" s="187"/>
      <c r="AF14" s="189">
        <f t="shared" ref="AF14" si="25">(+AC14-AB14)*24+(AE14-AD14)*24</f>
        <v>0</v>
      </c>
      <c r="AG14" s="188"/>
      <c r="AH14" s="186"/>
      <c r="AI14" s="187"/>
      <c r="AJ14" s="186"/>
      <c r="AK14" s="187"/>
      <c r="AL14" s="186"/>
      <c r="AM14" s="187"/>
      <c r="AN14" s="185">
        <f t="shared" ref="AN14" si="26">IF($AH$6="OJO H.E. AL 100%",0,(AI14-AH14)*24+(AK14-AJ14)*24+(AM14-AL14)*24)</f>
        <v>0</v>
      </c>
      <c r="AO14" s="188"/>
      <c r="AP14" s="186"/>
      <c r="AQ14" s="187"/>
      <c r="AR14" s="186"/>
      <c r="AS14" s="187"/>
      <c r="AT14" s="190">
        <f t="shared" ref="AT14" si="27">(+AQ14-AP14)*24+(AS14-AR14)*24</f>
        <v>0</v>
      </c>
      <c r="AU14" s="188"/>
      <c r="AV14" s="186"/>
      <c r="AW14" s="187"/>
      <c r="AX14" s="186"/>
      <c r="AY14" s="187"/>
      <c r="AZ14" s="186"/>
      <c r="BA14" s="187"/>
      <c r="BB14" s="185">
        <f t="shared" ref="BB14" si="28">IF($AV$6="OJO H.E. AL 100%",0,(AW14-AV14)*24+(AY14-AX14)*24+(BA14-AZ14)*24)</f>
        <v>0</v>
      </c>
      <c r="BC14" s="188"/>
      <c r="BD14" s="186"/>
      <c r="BE14" s="187"/>
      <c r="BF14" s="186"/>
      <c r="BG14" s="187"/>
      <c r="BH14" s="190">
        <f t="shared" ref="BH14" si="29">(+BE14-BD14)*24+(BG14-BF14)*24</f>
        <v>0</v>
      </c>
      <c r="BI14" s="188"/>
      <c r="BJ14" s="186"/>
      <c r="BK14" s="187"/>
      <c r="BL14" s="186"/>
      <c r="BM14" s="187"/>
      <c r="BN14" s="186"/>
      <c r="BO14" s="187"/>
      <c r="BP14" s="185">
        <f t="shared" ref="BP14" si="30">IF($BJ$6="OJO H.E. AL 100%",0,(BK14-BJ14)*24+(BM14-BL14)*24+(BO14-BN14)*24)</f>
        <v>0</v>
      </c>
      <c r="BQ14" s="188"/>
      <c r="BR14" s="186"/>
      <c r="BS14" s="187"/>
      <c r="BT14" s="186"/>
      <c r="BU14" s="187"/>
      <c r="BV14" s="190">
        <f t="shared" ref="BV14" si="31">(+BS14-BR14)*24+(BU14-BT14)*24</f>
        <v>0</v>
      </c>
      <c r="BW14" s="188"/>
      <c r="BX14" s="186"/>
      <c r="BY14" s="187"/>
      <c r="BZ14" s="186"/>
      <c r="CA14" s="187"/>
      <c r="CB14" s="186"/>
      <c r="CC14" s="187"/>
      <c r="CD14" s="185">
        <f t="shared" ref="CD14" si="32">IF($BX$6="OJO H.E. AL 100%",0,(BY14-BX14)*24+(CA14-BZ14)*24+(CC14-CB14)*24)</f>
        <v>0</v>
      </c>
      <c r="CE14" s="188"/>
      <c r="CF14" s="186"/>
      <c r="CG14" s="187"/>
      <c r="CH14" s="186"/>
      <c r="CI14" s="187"/>
      <c r="CJ14" s="190">
        <f t="shared" ref="CJ14" si="33">(+CG14-CF14)*24+(CI14-CH14)*24</f>
        <v>0</v>
      </c>
      <c r="CK14" s="188"/>
      <c r="CL14" s="186"/>
      <c r="CM14" s="187"/>
      <c r="CN14" s="186"/>
      <c r="CO14" s="187"/>
      <c r="CP14" s="186"/>
      <c r="CQ14" s="187"/>
      <c r="CR14" s="185">
        <f t="shared" ref="CR14" si="34">IF($CL$6="OJO H.E. AL 100%",0,(CM14-CL14)*24+(CO14-CN14)*24+(CQ14-CP14)*24)</f>
        <v>0</v>
      </c>
      <c r="CS14" s="188"/>
      <c r="CT14" s="186"/>
      <c r="CU14" s="187"/>
      <c r="CV14" s="186"/>
      <c r="CW14" s="187"/>
      <c r="CX14" s="190">
        <f t="shared" ref="CX14" si="35">(+CU14-CT14)*24+(CW14-CV14)*24</f>
        <v>0</v>
      </c>
      <c r="CY14" s="188"/>
      <c r="CZ14" s="186"/>
      <c r="DA14" s="187"/>
      <c r="DB14" s="186"/>
      <c r="DC14" s="187"/>
      <c r="DD14" s="186"/>
      <c r="DE14" s="187"/>
      <c r="DF14" s="185">
        <f t="shared" ref="DF14" si="36">IF($CZ$6="OJO H.E. AL 100%",0,(DA14-CZ14)*24+(DC14-DB14)*24+(DE14-DD14)*24)</f>
        <v>0</v>
      </c>
      <c r="DG14" s="188"/>
      <c r="DH14" s="186"/>
      <c r="DI14" s="187"/>
      <c r="DJ14" s="186"/>
      <c r="DK14" s="187"/>
      <c r="DL14" s="190">
        <f t="shared" ref="DL14" si="37">(+DI14-DH14)*24+(DK14-DJ14)*24</f>
        <v>0</v>
      </c>
      <c r="DM14" s="188"/>
      <c r="DN14" s="186"/>
      <c r="DO14" s="187"/>
      <c r="DP14" s="186"/>
      <c r="DQ14" s="187"/>
      <c r="DR14" s="186"/>
      <c r="DS14" s="187"/>
      <c r="DT14" s="185">
        <f t="shared" ref="DT14" si="38">IF($DN$6="OJO H.E. AL 100%",0,(DO14-DN14)*24+(DQ14-DP14)*24+(DS14-DR14)*24)</f>
        <v>0</v>
      </c>
      <c r="DU14" s="188"/>
      <c r="DV14" s="186"/>
      <c r="DW14" s="187"/>
      <c r="DX14" s="186"/>
      <c r="DY14" s="187"/>
      <c r="DZ14" s="190">
        <f t="shared" ref="DZ14" si="39">(+DW14-DV14)*24+(DY14-DX14)*24</f>
        <v>0</v>
      </c>
      <c r="EA14" s="188"/>
      <c r="EB14" s="186"/>
      <c r="EC14" s="187"/>
      <c r="ED14" s="186"/>
      <c r="EE14" s="187"/>
      <c r="EF14" s="186"/>
      <c r="EG14" s="187"/>
      <c r="EH14" s="185">
        <f t="shared" ref="EH14" si="40">IF($EB$6="OJO H.E. AL 100%",0,(EC14-EB14)*24+(EE14-ED14)*24+(EG14-EF14)*24)</f>
        <v>0</v>
      </c>
      <c r="EI14" s="188"/>
      <c r="EJ14" s="186"/>
      <c r="EK14" s="187"/>
      <c r="EL14" s="186"/>
      <c r="EM14" s="187"/>
      <c r="EN14" s="190">
        <f t="shared" ref="EN14" si="41">(+EK14-EJ14)*24+(EM14-EL14)*24</f>
        <v>0</v>
      </c>
      <c r="EO14" s="188"/>
      <c r="EP14" s="191">
        <f t="shared" ref="EP14" si="42">L14+Z14+AN14+BB14+BP14+CD14+CR14+DF14+DT14+EH14</f>
        <v>0</v>
      </c>
      <c r="EQ14" s="192">
        <f t="shared" ref="EQ14" si="43">R14+AF14+AT14+BH14+BV14+CJ14+CX14+DL14+DZ14+EN14</f>
        <v>0</v>
      </c>
      <c r="FB14" s="36"/>
    </row>
    <row r="15" spans="2:158" ht="30" customHeight="1" x14ac:dyDescent="0.3">
      <c r="B15" s="23">
        <f>'Reporte Asistencia Laboral'!B16</f>
        <v>6</v>
      </c>
      <c r="C15" s="77" t="str">
        <f>IFERROR(VLOOKUP(D15,EMPLEADO!C:Q,15,0),"")</f>
        <v>PINARGOTE BERMELLO ANGEL EUGENIO</v>
      </c>
      <c r="D15" s="6" t="str">
        <f>'Reporte Asistencia Laboral'!D16</f>
        <v>131350790-5</v>
      </c>
      <c r="E15" s="150"/>
      <c r="F15" s="186"/>
      <c r="G15" s="187"/>
      <c r="H15" s="186"/>
      <c r="I15" s="187"/>
      <c r="J15" s="186"/>
      <c r="K15" s="187"/>
      <c r="L15" s="185">
        <f t="shared" ref="L15" si="44">IF($F$6="OJO H.E. AL 100%",0,(G15-F15)*24+(I15-H15)*24+(K15-J15)*24)</f>
        <v>0</v>
      </c>
      <c r="M15" s="188"/>
      <c r="N15" s="186"/>
      <c r="O15" s="187"/>
      <c r="P15" s="186"/>
      <c r="Q15" s="187"/>
      <c r="R15" s="189">
        <f t="shared" ref="R15" si="45">(+O15-N15)*24+(Q15-P15)*24</f>
        <v>0</v>
      </c>
      <c r="S15" s="188"/>
      <c r="T15" s="186"/>
      <c r="U15" s="187"/>
      <c r="V15" s="186"/>
      <c r="W15" s="187"/>
      <c r="X15" s="186"/>
      <c r="Y15" s="187"/>
      <c r="Z15" s="185">
        <f t="shared" ref="Z15" si="46">IF($T$6="OJO H.E. AL 100%",0,(U15-T15)*24+(W15-V15)*24+(Y15-X15)*24)</f>
        <v>0</v>
      </c>
      <c r="AA15" s="188"/>
      <c r="AB15" s="186"/>
      <c r="AC15" s="187"/>
      <c r="AD15" s="186"/>
      <c r="AE15" s="187"/>
      <c r="AF15" s="189">
        <f t="shared" ref="AF15" si="47">(+AC15-AB15)*24+(AE15-AD15)*24</f>
        <v>0</v>
      </c>
      <c r="AG15" s="188"/>
      <c r="AH15" s="186"/>
      <c r="AI15" s="187"/>
      <c r="AJ15" s="186"/>
      <c r="AK15" s="187"/>
      <c r="AL15" s="186"/>
      <c r="AM15" s="187"/>
      <c r="AN15" s="185">
        <f t="shared" ref="AN15" si="48">IF($AH$6="OJO H.E. AL 100%",0,(AI15-AH15)*24+(AK15-AJ15)*24+(AM15-AL15)*24)</f>
        <v>0</v>
      </c>
      <c r="AO15" s="188"/>
      <c r="AP15" s="186"/>
      <c r="AQ15" s="187"/>
      <c r="AR15" s="186"/>
      <c r="AS15" s="187"/>
      <c r="AT15" s="190">
        <f t="shared" ref="AT15" si="49">(+AQ15-AP15)*24+(AS15-AR15)*24</f>
        <v>0</v>
      </c>
      <c r="AU15" s="188"/>
      <c r="AV15" s="186"/>
      <c r="AW15" s="187"/>
      <c r="AX15" s="186"/>
      <c r="AY15" s="187"/>
      <c r="AZ15" s="186"/>
      <c r="BA15" s="187"/>
      <c r="BB15" s="185">
        <f t="shared" ref="BB15" si="50">IF($AV$6="OJO H.E. AL 100%",0,(AW15-AV15)*24+(AY15-AX15)*24+(BA15-AZ15)*24)</f>
        <v>0</v>
      </c>
      <c r="BC15" s="188"/>
      <c r="BD15" s="186"/>
      <c r="BE15" s="187"/>
      <c r="BF15" s="186"/>
      <c r="BG15" s="187"/>
      <c r="BH15" s="190">
        <f t="shared" ref="BH15" si="51">(+BE15-BD15)*24+(BG15-BF15)*24</f>
        <v>0</v>
      </c>
      <c r="BI15" s="188"/>
      <c r="BJ15" s="186"/>
      <c r="BK15" s="187"/>
      <c r="BL15" s="186"/>
      <c r="BM15" s="187"/>
      <c r="BN15" s="186"/>
      <c r="BO15" s="187"/>
      <c r="BP15" s="185">
        <f t="shared" ref="BP15" si="52">IF($BJ$6="OJO H.E. AL 100%",0,(BK15-BJ15)*24+(BM15-BL15)*24+(BO15-BN15)*24)</f>
        <v>0</v>
      </c>
      <c r="BQ15" s="188"/>
      <c r="BR15" s="186"/>
      <c r="BS15" s="187"/>
      <c r="BT15" s="186"/>
      <c r="BU15" s="187"/>
      <c r="BV15" s="190">
        <f t="shared" ref="BV15" si="53">(+BS15-BR15)*24+(BU15-BT15)*24</f>
        <v>0</v>
      </c>
      <c r="BW15" s="188"/>
      <c r="BX15" s="186"/>
      <c r="BY15" s="187"/>
      <c r="BZ15" s="186"/>
      <c r="CA15" s="187"/>
      <c r="CB15" s="186"/>
      <c r="CC15" s="187"/>
      <c r="CD15" s="185">
        <f t="shared" ref="CD15" si="54">IF($BX$6="OJO H.E. AL 100%",0,(BY15-BX15)*24+(CA15-BZ15)*24+(CC15-CB15)*24)</f>
        <v>0</v>
      </c>
      <c r="CE15" s="188"/>
      <c r="CF15" s="186"/>
      <c r="CG15" s="187"/>
      <c r="CH15" s="186"/>
      <c r="CI15" s="187"/>
      <c r="CJ15" s="190">
        <f t="shared" ref="CJ15" si="55">(+CG15-CF15)*24+(CI15-CH15)*24</f>
        <v>0</v>
      </c>
      <c r="CK15" s="188"/>
      <c r="CL15" s="186"/>
      <c r="CM15" s="187"/>
      <c r="CN15" s="186"/>
      <c r="CO15" s="187"/>
      <c r="CP15" s="186"/>
      <c r="CQ15" s="187"/>
      <c r="CR15" s="185">
        <f t="shared" ref="CR15" si="56">IF($CL$6="OJO H.E. AL 100%",0,(CM15-CL15)*24+(CO15-CN15)*24+(CQ15-CP15)*24)</f>
        <v>0</v>
      </c>
      <c r="CS15" s="188"/>
      <c r="CT15" s="186"/>
      <c r="CU15" s="187"/>
      <c r="CV15" s="186"/>
      <c r="CW15" s="187"/>
      <c r="CX15" s="190">
        <f t="shared" ref="CX15" si="57">(+CU15-CT15)*24+(CW15-CV15)*24</f>
        <v>0</v>
      </c>
      <c r="CY15" s="188"/>
      <c r="CZ15" s="186"/>
      <c r="DA15" s="187"/>
      <c r="DB15" s="186"/>
      <c r="DC15" s="187"/>
      <c r="DD15" s="186"/>
      <c r="DE15" s="187"/>
      <c r="DF15" s="185">
        <f t="shared" ref="DF15" si="58">IF($CZ$6="OJO H.E. AL 100%",0,(DA15-CZ15)*24+(DC15-DB15)*24+(DE15-DD15)*24)</f>
        <v>0</v>
      </c>
      <c r="DG15" s="188"/>
      <c r="DH15" s="186"/>
      <c r="DI15" s="187"/>
      <c r="DJ15" s="186"/>
      <c r="DK15" s="187"/>
      <c r="DL15" s="190">
        <f t="shared" ref="DL15" si="59">(+DI15-DH15)*24+(DK15-DJ15)*24</f>
        <v>0</v>
      </c>
      <c r="DM15" s="188"/>
      <c r="DN15" s="186"/>
      <c r="DO15" s="187"/>
      <c r="DP15" s="186"/>
      <c r="DQ15" s="187"/>
      <c r="DR15" s="186"/>
      <c r="DS15" s="187"/>
      <c r="DT15" s="185">
        <f t="shared" ref="DT15" si="60">IF($DN$6="OJO H.E. AL 100%",0,(DO15-DN15)*24+(DQ15-DP15)*24+(DS15-DR15)*24)</f>
        <v>0</v>
      </c>
      <c r="DU15" s="188"/>
      <c r="DV15" s="186"/>
      <c r="DW15" s="187"/>
      <c r="DX15" s="186"/>
      <c r="DY15" s="187"/>
      <c r="DZ15" s="190">
        <f t="shared" ref="DZ15" si="61">(+DW15-DV15)*24+(DY15-DX15)*24</f>
        <v>0</v>
      </c>
      <c r="EA15" s="188"/>
      <c r="EB15" s="186"/>
      <c r="EC15" s="187"/>
      <c r="ED15" s="186"/>
      <c r="EE15" s="187"/>
      <c r="EF15" s="186"/>
      <c r="EG15" s="187"/>
      <c r="EH15" s="185">
        <f t="shared" ref="EH15" si="62">IF($EB$6="OJO H.E. AL 100%",0,(EC15-EB15)*24+(EE15-ED15)*24+(EG15-EF15)*24)</f>
        <v>0</v>
      </c>
      <c r="EI15" s="188"/>
      <c r="EJ15" s="186"/>
      <c r="EK15" s="187"/>
      <c r="EL15" s="186"/>
      <c r="EM15" s="187"/>
      <c r="EN15" s="190">
        <f t="shared" ref="EN15" si="63">(+EK15-EJ15)*24+(EM15-EL15)*24</f>
        <v>0</v>
      </c>
      <c r="EO15" s="188"/>
      <c r="EP15" s="191">
        <f t="shared" ref="EP15" si="64">L15+Z15+AN15+BB15+BP15+CD15+CR15+DF15+DT15+EH15</f>
        <v>0</v>
      </c>
      <c r="EQ15" s="192">
        <f t="shared" ref="EQ15" si="65">R15+AF15+AT15+BH15+BV15+CJ15+CX15+DL15+DZ15+EN15</f>
        <v>0</v>
      </c>
      <c r="FB15" s="36"/>
    </row>
    <row r="16" spans="2:158" ht="30" customHeight="1" x14ac:dyDescent="0.3">
      <c r="B16" s="23">
        <f>'Reporte Asistencia Laboral'!B17</f>
        <v>7</v>
      </c>
      <c r="C16" s="77" t="str">
        <f>IFERROR(VLOOKUP(D16,EMPLEADO!C:Q,15,0),"")</f>
        <v>MARQUEZ FERNANDEZ AUGUSTO ANTONIO</v>
      </c>
      <c r="D16" s="6" t="str">
        <f>'Reporte Asistencia Laboral'!D17</f>
        <v>131289138-3</v>
      </c>
      <c r="E16" s="150"/>
      <c r="F16" s="186"/>
      <c r="G16" s="187"/>
      <c r="H16" s="186"/>
      <c r="I16" s="187"/>
      <c r="J16" s="186"/>
      <c r="K16" s="187"/>
      <c r="L16" s="185">
        <f t="shared" ref="L16" si="66">IF($F$6="OJO H.E. AL 100%",0,(G16-F16)*24+(I16-H16)*24+(K16-J16)*24)</f>
        <v>0</v>
      </c>
      <c r="M16" s="188"/>
      <c r="N16" s="186"/>
      <c r="O16" s="187"/>
      <c r="P16" s="186"/>
      <c r="Q16" s="187"/>
      <c r="R16" s="189">
        <f t="shared" ref="R16" si="67">(+O16-N16)*24+(Q16-P16)*24</f>
        <v>0</v>
      </c>
      <c r="S16" s="188"/>
      <c r="T16" s="186"/>
      <c r="U16" s="187"/>
      <c r="V16" s="186"/>
      <c r="W16" s="187"/>
      <c r="X16" s="186"/>
      <c r="Y16" s="187"/>
      <c r="Z16" s="185">
        <f t="shared" ref="Z16" si="68">IF($T$6="OJO H.E. AL 100%",0,(U16-T16)*24+(W16-V16)*24+(Y16-X16)*24)</f>
        <v>0</v>
      </c>
      <c r="AA16" s="188"/>
      <c r="AB16" s="186"/>
      <c r="AC16" s="187"/>
      <c r="AD16" s="186"/>
      <c r="AE16" s="187"/>
      <c r="AF16" s="189">
        <f t="shared" ref="AF16" si="69">(+AC16-AB16)*24+(AE16-AD16)*24</f>
        <v>0</v>
      </c>
      <c r="AG16" s="188"/>
      <c r="AH16" s="186"/>
      <c r="AI16" s="187"/>
      <c r="AJ16" s="186"/>
      <c r="AK16" s="187"/>
      <c r="AL16" s="186"/>
      <c r="AM16" s="187"/>
      <c r="AN16" s="185">
        <f t="shared" ref="AN16" si="70">IF($AH$6="OJO H.E. AL 100%",0,(AI16-AH16)*24+(AK16-AJ16)*24+(AM16-AL16)*24)</f>
        <v>0</v>
      </c>
      <c r="AO16" s="188"/>
      <c r="AP16" s="186"/>
      <c r="AQ16" s="187"/>
      <c r="AR16" s="186"/>
      <c r="AS16" s="187"/>
      <c r="AT16" s="190">
        <f t="shared" ref="AT16" si="71">(+AQ16-AP16)*24+(AS16-AR16)*24</f>
        <v>0</v>
      </c>
      <c r="AU16" s="188"/>
      <c r="AV16" s="186"/>
      <c r="AW16" s="187"/>
      <c r="AX16" s="186"/>
      <c r="AY16" s="187"/>
      <c r="AZ16" s="186"/>
      <c r="BA16" s="187"/>
      <c r="BB16" s="185">
        <f t="shared" ref="BB16" si="72">IF($AV$6="OJO H.E. AL 100%",0,(AW16-AV16)*24+(AY16-AX16)*24+(BA16-AZ16)*24)</f>
        <v>0</v>
      </c>
      <c r="BC16" s="188"/>
      <c r="BD16" s="186"/>
      <c r="BE16" s="187"/>
      <c r="BF16" s="186"/>
      <c r="BG16" s="187"/>
      <c r="BH16" s="190">
        <f t="shared" ref="BH16" si="73">(+BE16-BD16)*24+(BG16-BF16)*24</f>
        <v>0</v>
      </c>
      <c r="BI16" s="188"/>
      <c r="BJ16" s="186"/>
      <c r="BK16" s="187"/>
      <c r="BL16" s="186"/>
      <c r="BM16" s="187"/>
      <c r="BN16" s="186"/>
      <c r="BO16" s="187"/>
      <c r="BP16" s="185">
        <f t="shared" ref="BP16" si="74">IF($BJ$6="OJO H.E. AL 100%",0,(BK16-BJ16)*24+(BM16-BL16)*24+(BO16-BN16)*24)</f>
        <v>0</v>
      </c>
      <c r="BQ16" s="188"/>
      <c r="BR16" s="186"/>
      <c r="BS16" s="187"/>
      <c r="BT16" s="186"/>
      <c r="BU16" s="187"/>
      <c r="BV16" s="190">
        <f t="shared" ref="BV16" si="75">(+BS16-BR16)*24+(BU16-BT16)*24</f>
        <v>0</v>
      </c>
      <c r="BW16" s="188"/>
      <c r="BX16" s="186"/>
      <c r="BY16" s="187"/>
      <c r="BZ16" s="186"/>
      <c r="CA16" s="187"/>
      <c r="CB16" s="186"/>
      <c r="CC16" s="187"/>
      <c r="CD16" s="185">
        <f t="shared" ref="CD16" si="76">IF($BX$6="OJO H.E. AL 100%",0,(BY16-BX16)*24+(CA16-BZ16)*24+(CC16-CB16)*24)</f>
        <v>0</v>
      </c>
      <c r="CE16" s="188"/>
      <c r="CF16" s="186"/>
      <c r="CG16" s="187"/>
      <c r="CH16" s="186"/>
      <c r="CI16" s="187"/>
      <c r="CJ16" s="190">
        <f t="shared" ref="CJ16" si="77">(+CG16-CF16)*24+(CI16-CH16)*24</f>
        <v>0</v>
      </c>
      <c r="CK16" s="188"/>
      <c r="CL16" s="186"/>
      <c r="CM16" s="187"/>
      <c r="CN16" s="186"/>
      <c r="CO16" s="187"/>
      <c r="CP16" s="186"/>
      <c r="CQ16" s="187"/>
      <c r="CR16" s="185">
        <f t="shared" ref="CR16" si="78">IF($CL$6="OJO H.E. AL 100%",0,(CM16-CL16)*24+(CO16-CN16)*24+(CQ16-CP16)*24)</f>
        <v>0</v>
      </c>
      <c r="CS16" s="188"/>
      <c r="CT16" s="186"/>
      <c r="CU16" s="187"/>
      <c r="CV16" s="186"/>
      <c r="CW16" s="187"/>
      <c r="CX16" s="190">
        <f t="shared" ref="CX16" si="79">(+CU16-CT16)*24+(CW16-CV16)*24</f>
        <v>0</v>
      </c>
      <c r="CY16" s="188"/>
      <c r="CZ16" s="186"/>
      <c r="DA16" s="187"/>
      <c r="DB16" s="186"/>
      <c r="DC16" s="187"/>
      <c r="DD16" s="186"/>
      <c r="DE16" s="187"/>
      <c r="DF16" s="185">
        <f t="shared" ref="DF16" si="80">IF($CZ$6="OJO H.E. AL 100%",0,(DA16-CZ16)*24+(DC16-DB16)*24+(DE16-DD16)*24)</f>
        <v>0</v>
      </c>
      <c r="DG16" s="188"/>
      <c r="DH16" s="186"/>
      <c r="DI16" s="187"/>
      <c r="DJ16" s="186"/>
      <c r="DK16" s="187"/>
      <c r="DL16" s="190">
        <f t="shared" ref="DL16" si="81">(+DI16-DH16)*24+(DK16-DJ16)*24</f>
        <v>0</v>
      </c>
      <c r="DM16" s="188"/>
      <c r="DN16" s="186"/>
      <c r="DO16" s="187"/>
      <c r="DP16" s="186"/>
      <c r="DQ16" s="187"/>
      <c r="DR16" s="186"/>
      <c r="DS16" s="187"/>
      <c r="DT16" s="185">
        <f t="shared" ref="DT16" si="82">IF($DN$6="OJO H.E. AL 100%",0,(DO16-DN16)*24+(DQ16-DP16)*24+(DS16-DR16)*24)</f>
        <v>0</v>
      </c>
      <c r="DU16" s="188"/>
      <c r="DV16" s="186"/>
      <c r="DW16" s="187"/>
      <c r="DX16" s="186"/>
      <c r="DY16" s="187"/>
      <c r="DZ16" s="190">
        <f t="shared" ref="DZ16" si="83">(+DW16-DV16)*24+(DY16-DX16)*24</f>
        <v>0</v>
      </c>
      <c r="EA16" s="188"/>
      <c r="EB16" s="186"/>
      <c r="EC16" s="187"/>
      <c r="ED16" s="186"/>
      <c r="EE16" s="187"/>
      <c r="EF16" s="186"/>
      <c r="EG16" s="187"/>
      <c r="EH16" s="185">
        <f t="shared" ref="EH16" si="84">IF($EB$6="OJO H.E. AL 100%",0,(EC16-EB16)*24+(EE16-ED16)*24+(EG16-EF16)*24)</f>
        <v>0</v>
      </c>
      <c r="EI16" s="188"/>
      <c r="EJ16" s="186"/>
      <c r="EK16" s="187"/>
      <c r="EL16" s="186"/>
      <c r="EM16" s="187"/>
      <c r="EN16" s="190">
        <f t="shared" ref="EN16" si="85">(+EK16-EJ16)*24+(EM16-EL16)*24</f>
        <v>0</v>
      </c>
      <c r="EO16" s="188"/>
      <c r="EP16" s="191">
        <f t="shared" ref="EP16" si="86">L16+Z16+AN16+BB16+BP16+CD16+CR16+DF16+DT16+EH16</f>
        <v>0</v>
      </c>
      <c r="EQ16" s="192">
        <f t="shared" ref="EQ16" si="87">R16+AF16+AT16+BH16+BV16+CJ16+CX16+DL16+DZ16+EN16</f>
        <v>0</v>
      </c>
      <c r="FB16" s="36"/>
    </row>
    <row r="17" spans="2:158" ht="30" customHeight="1" x14ac:dyDescent="0.3">
      <c r="B17" s="23">
        <f>'Reporte Asistencia Laboral'!B18</f>
        <v>8</v>
      </c>
      <c r="C17" s="77" t="str">
        <f>IFERROR(VLOOKUP(D17,EMPLEADO!C:Q,15,0),"")</f>
        <v>CARRION CORONEL JORGE LUIS</v>
      </c>
      <c r="D17" s="6" t="str">
        <f>'Reporte Asistencia Laboral'!D18</f>
        <v>110601446-5</v>
      </c>
      <c r="E17" s="150"/>
      <c r="F17" s="186"/>
      <c r="G17" s="187"/>
      <c r="H17" s="186"/>
      <c r="I17" s="187"/>
      <c r="J17" s="186"/>
      <c r="K17" s="187"/>
      <c r="L17" s="185">
        <f t="shared" ref="L17:L18" si="88">IF($F$6="OJO H.E. AL 100%",0,(G17-F17)*24+(I17-H17)*24+(K17-J17)*24)</f>
        <v>0</v>
      </c>
      <c r="M17" s="188"/>
      <c r="N17" s="186"/>
      <c r="O17" s="187"/>
      <c r="P17" s="186"/>
      <c r="Q17" s="187"/>
      <c r="R17" s="189">
        <f t="shared" ref="R17:R18" si="89">(+O17-N17)*24+(Q17-P17)*24</f>
        <v>0</v>
      </c>
      <c r="S17" s="188"/>
      <c r="T17" s="186"/>
      <c r="U17" s="187"/>
      <c r="V17" s="186"/>
      <c r="W17" s="187"/>
      <c r="X17" s="186"/>
      <c r="Y17" s="187"/>
      <c r="Z17" s="185">
        <f t="shared" ref="Z17:Z18" si="90">IF($T$6="OJO H.E. AL 100%",0,(U17-T17)*24+(W17-V17)*24+(Y17-X17)*24)</f>
        <v>0</v>
      </c>
      <c r="AA17" s="188"/>
      <c r="AB17" s="186"/>
      <c r="AC17" s="187"/>
      <c r="AD17" s="186"/>
      <c r="AE17" s="187"/>
      <c r="AF17" s="189">
        <f t="shared" ref="AF17:AF18" si="91">(+AC17-AB17)*24+(AE17-AD17)*24</f>
        <v>0</v>
      </c>
      <c r="AG17" s="188"/>
      <c r="AH17" s="186"/>
      <c r="AI17" s="187"/>
      <c r="AJ17" s="186"/>
      <c r="AK17" s="187"/>
      <c r="AL17" s="186"/>
      <c r="AM17" s="187"/>
      <c r="AN17" s="185">
        <f t="shared" ref="AN17:AN18" si="92">IF($AH$6="OJO H.E. AL 100%",0,(AI17-AH17)*24+(AK17-AJ17)*24+(AM17-AL17)*24)</f>
        <v>0</v>
      </c>
      <c r="AO17" s="188"/>
      <c r="AP17" s="186"/>
      <c r="AQ17" s="187"/>
      <c r="AR17" s="186"/>
      <c r="AS17" s="187"/>
      <c r="AT17" s="190">
        <f t="shared" ref="AT17:AT18" si="93">(+AQ17-AP17)*24+(AS17-AR17)*24</f>
        <v>0</v>
      </c>
      <c r="AU17" s="188"/>
      <c r="AV17" s="186"/>
      <c r="AW17" s="187"/>
      <c r="AX17" s="186"/>
      <c r="AY17" s="187"/>
      <c r="AZ17" s="186"/>
      <c r="BA17" s="187"/>
      <c r="BB17" s="185">
        <f t="shared" ref="BB17:BB18" si="94">IF($AV$6="OJO H.E. AL 100%",0,(AW17-AV17)*24+(AY17-AX17)*24+(BA17-AZ17)*24)</f>
        <v>0</v>
      </c>
      <c r="BC17" s="188"/>
      <c r="BD17" s="186"/>
      <c r="BE17" s="187"/>
      <c r="BF17" s="186"/>
      <c r="BG17" s="187"/>
      <c r="BH17" s="190">
        <f t="shared" ref="BH17:BH18" si="95">(+BE17-BD17)*24+(BG17-BF17)*24</f>
        <v>0</v>
      </c>
      <c r="BI17" s="188"/>
      <c r="BJ17" s="186"/>
      <c r="BK17" s="187"/>
      <c r="BL17" s="186"/>
      <c r="BM17" s="187"/>
      <c r="BN17" s="186"/>
      <c r="BO17" s="187"/>
      <c r="BP17" s="185">
        <f t="shared" ref="BP17:BP18" si="96">IF($BJ$6="OJO H.E. AL 100%",0,(BK17-BJ17)*24+(BM17-BL17)*24+(BO17-BN17)*24)</f>
        <v>0</v>
      </c>
      <c r="BQ17" s="188"/>
      <c r="BR17" s="186"/>
      <c r="BS17" s="187"/>
      <c r="BT17" s="186"/>
      <c r="BU17" s="187"/>
      <c r="BV17" s="190">
        <f t="shared" ref="BV17:BV18" si="97">(+BS17-BR17)*24+(BU17-BT17)*24</f>
        <v>0</v>
      </c>
      <c r="BW17" s="188"/>
      <c r="BX17" s="186"/>
      <c r="BY17" s="187"/>
      <c r="BZ17" s="186"/>
      <c r="CA17" s="187"/>
      <c r="CB17" s="186"/>
      <c r="CC17" s="187"/>
      <c r="CD17" s="185">
        <f t="shared" ref="CD17:CD18" si="98">IF($BX$6="OJO H.E. AL 100%",0,(BY17-BX17)*24+(CA17-BZ17)*24+(CC17-CB17)*24)</f>
        <v>0</v>
      </c>
      <c r="CE17" s="188"/>
      <c r="CF17" s="186"/>
      <c r="CG17" s="187"/>
      <c r="CH17" s="186"/>
      <c r="CI17" s="187"/>
      <c r="CJ17" s="190">
        <f t="shared" ref="CJ17:CJ18" si="99">(+CG17-CF17)*24+(CI17-CH17)*24</f>
        <v>0</v>
      </c>
      <c r="CK17" s="188"/>
      <c r="CL17" s="186"/>
      <c r="CM17" s="187"/>
      <c r="CN17" s="186"/>
      <c r="CO17" s="187"/>
      <c r="CP17" s="186"/>
      <c r="CQ17" s="187"/>
      <c r="CR17" s="185">
        <f t="shared" ref="CR17:CR18" si="100">IF($CL$6="OJO H.E. AL 100%",0,(CM17-CL17)*24+(CO17-CN17)*24+(CQ17-CP17)*24)</f>
        <v>0</v>
      </c>
      <c r="CS17" s="188"/>
      <c r="CT17" s="186"/>
      <c r="CU17" s="187"/>
      <c r="CV17" s="186"/>
      <c r="CW17" s="187"/>
      <c r="CX17" s="190">
        <f t="shared" ref="CX17:CX18" si="101">(+CU17-CT17)*24+(CW17-CV17)*24</f>
        <v>0</v>
      </c>
      <c r="CY17" s="188"/>
      <c r="CZ17" s="186"/>
      <c r="DA17" s="187"/>
      <c r="DB17" s="186"/>
      <c r="DC17" s="187"/>
      <c r="DD17" s="186"/>
      <c r="DE17" s="187"/>
      <c r="DF17" s="185">
        <f t="shared" ref="DF17:DF18" si="102">IF($CZ$6="OJO H.E. AL 100%",0,(DA17-CZ17)*24+(DC17-DB17)*24+(DE17-DD17)*24)</f>
        <v>0</v>
      </c>
      <c r="DG17" s="188"/>
      <c r="DH17" s="186"/>
      <c r="DI17" s="187"/>
      <c r="DJ17" s="186"/>
      <c r="DK17" s="187"/>
      <c r="DL17" s="190">
        <f t="shared" ref="DL17:DL18" si="103">(+DI17-DH17)*24+(DK17-DJ17)*24</f>
        <v>0</v>
      </c>
      <c r="DM17" s="188"/>
      <c r="DN17" s="186"/>
      <c r="DO17" s="187"/>
      <c r="DP17" s="186"/>
      <c r="DQ17" s="187"/>
      <c r="DR17" s="186"/>
      <c r="DS17" s="187"/>
      <c r="DT17" s="185">
        <f t="shared" ref="DT17:DT18" si="104">IF($DN$6="OJO H.E. AL 100%",0,(DO17-DN17)*24+(DQ17-DP17)*24+(DS17-DR17)*24)</f>
        <v>0</v>
      </c>
      <c r="DU17" s="188"/>
      <c r="DV17" s="186"/>
      <c r="DW17" s="187"/>
      <c r="DX17" s="186"/>
      <c r="DY17" s="187"/>
      <c r="DZ17" s="190">
        <f t="shared" ref="DZ17:DZ18" si="105">(+DW17-DV17)*24+(DY17-DX17)*24</f>
        <v>0</v>
      </c>
      <c r="EA17" s="188"/>
      <c r="EB17" s="186"/>
      <c r="EC17" s="187"/>
      <c r="ED17" s="186"/>
      <c r="EE17" s="187"/>
      <c r="EF17" s="186"/>
      <c r="EG17" s="187"/>
      <c r="EH17" s="185">
        <f t="shared" ref="EH17:EH18" si="106">IF($EB$6="OJO H.E. AL 100%",0,(EC17-EB17)*24+(EE17-ED17)*24+(EG17-EF17)*24)</f>
        <v>0</v>
      </c>
      <c r="EI17" s="188"/>
      <c r="EJ17" s="186"/>
      <c r="EK17" s="187"/>
      <c r="EL17" s="186"/>
      <c r="EM17" s="187"/>
      <c r="EN17" s="190">
        <f t="shared" ref="EN17:EN18" si="107">(+EK17-EJ17)*24+(EM17-EL17)*24</f>
        <v>0</v>
      </c>
      <c r="EO17" s="188"/>
      <c r="EP17" s="191">
        <f t="shared" ref="EP17:EP18" si="108">L17+Z17+AN17+BB17+BP17+CD17+CR17+DF17+DT17+EH17</f>
        <v>0</v>
      </c>
      <c r="EQ17" s="192">
        <f t="shared" ref="EQ17:EQ18" si="109">R17+AF17+AT17+BH17+BV17+CJ17+CX17+DL17+DZ17+EN17</f>
        <v>0</v>
      </c>
      <c r="FB17" s="36"/>
    </row>
    <row r="18" spans="2:158" ht="30" customHeight="1" x14ac:dyDescent="0.3">
      <c r="B18" s="23">
        <f>'Reporte Asistencia Laboral'!B19</f>
        <v>9</v>
      </c>
      <c r="C18" s="77" t="str">
        <f>IFERROR(VLOOKUP(D18,EMPLEADO!C:Q,15,0),"")</f>
        <v/>
      </c>
      <c r="D18" s="6" t="str">
        <f>'Reporte Asistencia Laboral'!D19</f>
        <v/>
      </c>
      <c r="E18" s="150"/>
      <c r="F18" s="186"/>
      <c r="G18" s="187"/>
      <c r="H18" s="186"/>
      <c r="I18" s="187"/>
      <c r="J18" s="186"/>
      <c r="K18" s="187"/>
      <c r="L18" s="185">
        <f t="shared" si="88"/>
        <v>0</v>
      </c>
      <c r="M18" s="188"/>
      <c r="N18" s="186"/>
      <c r="O18" s="187"/>
      <c r="P18" s="186"/>
      <c r="Q18" s="187"/>
      <c r="R18" s="189">
        <f t="shared" si="89"/>
        <v>0</v>
      </c>
      <c r="S18" s="188"/>
      <c r="T18" s="186"/>
      <c r="U18" s="187"/>
      <c r="V18" s="186"/>
      <c r="W18" s="187"/>
      <c r="X18" s="186"/>
      <c r="Y18" s="187"/>
      <c r="Z18" s="185">
        <f t="shared" si="90"/>
        <v>0</v>
      </c>
      <c r="AA18" s="188"/>
      <c r="AB18" s="186"/>
      <c r="AC18" s="187"/>
      <c r="AD18" s="186"/>
      <c r="AE18" s="187"/>
      <c r="AF18" s="189">
        <f t="shared" si="91"/>
        <v>0</v>
      </c>
      <c r="AG18" s="188"/>
      <c r="AH18" s="186"/>
      <c r="AI18" s="187"/>
      <c r="AJ18" s="186"/>
      <c r="AK18" s="187"/>
      <c r="AL18" s="186"/>
      <c r="AM18" s="187"/>
      <c r="AN18" s="185">
        <f t="shared" si="92"/>
        <v>0</v>
      </c>
      <c r="AO18" s="188"/>
      <c r="AP18" s="186"/>
      <c r="AQ18" s="187"/>
      <c r="AR18" s="186"/>
      <c r="AS18" s="187"/>
      <c r="AT18" s="190">
        <f t="shared" si="93"/>
        <v>0</v>
      </c>
      <c r="AU18" s="188"/>
      <c r="AV18" s="186"/>
      <c r="AW18" s="187"/>
      <c r="AX18" s="186"/>
      <c r="AY18" s="187"/>
      <c r="AZ18" s="186"/>
      <c r="BA18" s="187"/>
      <c r="BB18" s="185">
        <f t="shared" si="94"/>
        <v>0</v>
      </c>
      <c r="BC18" s="188"/>
      <c r="BD18" s="186"/>
      <c r="BE18" s="187"/>
      <c r="BF18" s="186"/>
      <c r="BG18" s="187"/>
      <c r="BH18" s="190">
        <f t="shared" si="95"/>
        <v>0</v>
      </c>
      <c r="BI18" s="188"/>
      <c r="BJ18" s="186"/>
      <c r="BK18" s="187"/>
      <c r="BL18" s="186"/>
      <c r="BM18" s="187"/>
      <c r="BN18" s="186"/>
      <c r="BO18" s="187"/>
      <c r="BP18" s="185">
        <f t="shared" si="96"/>
        <v>0</v>
      </c>
      <c r="BQ18" s="188"/>
      <c r="BR18" s="186"/>
      <c r="BS18" s="187"/>
      <c r="BT18" s="186"/>
      <c r="BU18" s="187"/>
      <c r="BV18" s="190">
        <f t="shared" si="97"/>
        <v>0</v>
      </c>
      <c r="BW18" s="188"/>
      <c r="BX18" s="186"/>
      <c r="BY18" s="187"/>
      <c r="BZ18" s="186"/>
      <c r="CA18" s="187"/>
      <c r="CB18" s="186"/>
      <c r="CC18" s="187"/>
      <c r="CD18" s="185">
        <f t="shared" si="98"/>
        <v>0</v>
      </c>
      <c r="CE18" s="188"/>
      <c r="CF18" s="186"/>
      <c r="CG18" s="187"/>
      <c r="CH18" s="186"/>
      <c r="CI18" s="187"/>
      <c r="CJ18" s="190">
        <f t="shared" si="99"/>
        <v>0</v>
      </c>
      <c r="CK18" s="188"/>
      <c r="CL18" s="186"/>
      <c r="CM18" s="187"/>
      <c r="CN18" s="186"/>
      <c r="CO18" s="187"/>
      <c r="CP18" s="186"/>
      <c r="CQ18" s="187"/>
      <c r="CR18" s="185">
        <f t="shared" si="100"/>
        <v>0</v>
      </c>
      <c r="CS18" s="188"/>
      <c r="CT18" s="186"/>
      <c r="CU18" s="187"/>
      <c r="CV18" s="186"/>
      <c r="CW18" s="187"/>
      <c r="CX18" s="190">
        <f t="shared" si="101"/>
        <v>0</v>
      </c>
      <c r="CY18" s="188"/>
      <c r="CZ18" s="186"/>
      <c r="DA18" s="187"/>
      <c r="DB18" s="186"/>
      <c r="DC18" s="187"/>
      <c r="DD18" s="186"/>
      <c r="DE18" s="187"/>
      <c r="DF18" s="185">
        <f t="shared" si="102"/>
        <v>0</v>
      </c>
      <c r="DG18" s="188"/>
      <c r="DH18" s="186"/>
      <c r="DI18" s="187"/>
      <c r="DJ18" s="186"/>
      <c r="DK18" s="187"/>
      <c r="DL18" s="190">
        <f t="shared" si="103"/>
        <v>0</v>
      </c>
      <c r="DM18" s="188"/>
      <c r="DN18" s="186"/>
      <c r="DO18" s="187"/>
      <c r="DP18" s="186"/>
      <c r="DQ18" s="187"/>
      <c r="DR18" s="186"/>
      <c r="DS18" s="187"/>
      <c r="DT18" s="185">
        <f t="shared" si="104"/>
        <v>0</v>
      </c>
      <c r="DU18" s="188"/>
      <c r="DV18" s="186"/>
      <c r="DW18" s="187"/>
      <c r="DX18" s="186"/>
      <c r="DY18" s="187"/>
      <c r="DZ18" s="190">
        <f t="shared" si="105"/>
        <v>0</v>
      </c>
      <c r="EA18" s="188"/>
      <c r="EB18" s="186"/>
      <c r="EC18" s="187"/>
      <c r="ED18" s="186"/>
      <c r="EE18" s="187"/>
      <c r="EF18" s="186"/>
      <c r="EG18" s="187"/>
      <c r="EH18" s="185">
        <f t="shared" si="106"/>
        <v>0</v>
      </c>
      <c r="EI18" s="188"/>
      <c r="EJ18" s="186"/>
      <c r="EK18" s="187"/>
      <c r="EL18" s="186"/>
      <c r="EM18" s="187"/>
      <c r="EN18" s="190">
        <f t="shared" si="107"/>
        <v>0</v>
      </c>
      <c r="EO18" s="188"/>
      <c r="EP18" s="191">
        <f t="shared" si="108"/>
        <v>0</v>
      </c>
      <c r="EQ18" s="192">
        <f t="shared" si="109"/>
        <v>0</v>
      </c>
      <c r="FB18" s="36"/>
    </row>
    <row r="19" spans="2:158" ht="30" customHeight="1" x14ac:dyDescent="0.3">
      <c r="B19" s="305"/>
      <c r="C19" s="306"/>
      <c r="D19" s="307"/>
      <c r="E19" s="150"/>
      <c r="F19" s="311"/>
      <c r="G19" s="311"/>
      <c r="H19" s="311"/>
      <c r="I19" s="311"/>
      <c r="J19" s="311"/>
      <c r="K19" s="311"/>
      <c r="L19" s="312"/>
      <c r="M19" s="313"/>
      <c r="N19" s="311"/>
      <c r="O19" s="311"/>
      <c r="P19" s="311"/>
      <c r="Q19" s="311"/>
      <c r="R19" s="314"/>
      <c r="S19" s="313"/>
      <c r="T19" s="311"/>
      <c r="U19" s="311"/>
      <c r="V19" s="311"/>
      <c r="W19" s="311"/>
      <c r="X19" s="311"/>
      <c r="Y19" s="311"/>
      <c r="Z19" s="312"/>
      <c r="AA19" s="313"/>
      <c r="AB19" s="311"/>
      <c r="AC19" s="311"/>
      <c r="AD19" s="311"/>
      <c r="AE19" s="311"/>
      <c r="AF19" s="314"/>
      <c r="AG19" s="313"/>
      <c r="AH19" s="311"/>
      <c r="AI19" s="311"/>
      <c r="AJ19" s="311"/>
      <c r="AK19" s="311"/>
      <c r="AL19" s="311"/>
      <c r="AM19" s="311"/>
      <c r="AN19" s="312"/>
      <c r="AO19" s="313"/>
      <c r="AP19" s="311"/>
      <c r="AQ19" s="311"/>
      <c r="AR19" s="311"/>
      <c r="AS19" s="311"/>
      <c r="AT19" s="315"/>
      <c r="AU19" s="313"/>
      <c r="AV19" s="311"/>
      <c r="AW19" s="311"/>
      <c r="AX19" s="311"/>
      <c r="AY19" s="311"/>
      <c r="AZ19" s="311"/>
      <c r="BA19" s="311"/>
      <c r="BB19" s="312"/>
      <c r="BC19" s="313"/>
      <c r="BD19" s="311"/>
      <c r="BE19" s="311"/>
      <c r="BF19" s="311"/>
      <c r="BG19" s="311"/>
      <c r="BH19" s="315"/>
      <c r="BI19" s="313"/>
      <c r="BJ19" s="311"/>
      <c r="BK19" s="311"/>
      <c r="BL19" s="311"/>
      <c r="BM19" s="311"/>
      <c r="BN19" s="311"/>
      <c r="BO19" s="311"/>
      <c r="BP19" s="312"/>
      <c r="BQ19" s="313"/>
      <c r="BR19" s="311"/>
      <c r="BS19" s="311"/>
      <c r="BT19" s="311"/>
      <c r="BU19" s="311"/>
      <c r="BV19" s="315"/>
      <c r="BW19" s="313"/>
      <c r="BX19" s="311"/>
      <c r="BY19" s="311"/>
      <c r="BZ19" s="311"/>
      <c r="CA19" s="311"/>
      <c r="CB19" s="311"/>
      <c r="CC19" s="311"/>
      <c r="CD19" s="312"/>
      <c r="CE19" s="313"/>
      <c r="CF19" s="311"/>
      <c r="CG19" s="311"/>
      <c r="CH19" s="311"/>
      <c r="CI19" s="311"/>
      <c r="CJ19" s="315"/>
      <c r="CK19" s="313"/>
      <c r="CL19" s="311"/>
      <c r="CM19" s="311"/>
      <c r="CN19" s="311"/>
      <c r="CO19" s="311"/>
      <c r="CP19" s="311"/>
      <c r="CQ19" s="311"/>
      <c r="CR19" s="312"/>
      <c r="CS19" s="313"/>
      <c r="CT19" s="311"/>
      <c r="CU19" s="311"/>
      <c r="CV19" s="311"/>
      <c r="CW19" s="311"/>
      <c r="CX19" s="315"/>
      <c r="CY19" s="313"/>
      <c r="CZ19" s="311"/>
      <c r="DA19" s="311"/>
      <c r="DB19" s="311"/>
      <c r="DC19" s="311"/>
      <c r="DD19" s="311"/>
      <c r="DE19" s="311"/>
      <c r="DF19" s="312"/>
      <c r="DG19" s="313"/>
      <c r="DH19" s="311"/>
      <c r="DI19" s="311"/>
      <c r="DJ19" s="311"/>
      <c r="DK19" s="311"/>
      <c r="DL19" s="315"/>
      <c r="DM19" s="313"/>
      <c r="DN19" s="311"/>
      <c r="DO19" s="311"/>
      <c r="DP19" s="311"/>
      <c r="DQ19" s="311"/>
      <c r="DR19" s="311"/>
      <c r="DS19" s="311"/>
      <c r="DT19" s="312"/>
      <c r="DU19" s="313"/>
      <c r="DV19" s="311"/>
      <c r="DW19" s="311"/>
      <c r="DX19" s="311"/>
      <c r="DY19" s="311"/>
      <c r="DZ19" s="315"/>
      <c r="EA19" s="313"/>
      <c r="EB19" s="311"/>
      <c r="EC19" s="311"/>
      <c r="ED19" s="311"/>
      <c r="EE19" s="311"/>
      <c r="EF19" s="311"/>
      <c r="EG19" s="311"/>
      <c r="EH19" s="312"/>
      <c r="EI19" s="313"/>
      <c r="EJ19" s="311"/>
      <c r="EK19" s="311"/>
      <c r="EL19" s="311"/>
      <c r="EM19" s="311"/>
      <c r="EN19" s="315"/>
      <c r="EO19" s="313"/>
      <c r="EP19" s="191"/>
      <c r="EQ19" s="192"/>
      <c r="FB19" s="36"/>
    </row>
    <row r="20" spans="2:158" ht="30" customHeight="1" x14ac:dyDescent="0.3">
      <c r="B20" s="305"/>
      <c r="C20" s="306"/>
      <c r="D20" s="307"/>
      <c r="E20" s="150"/>
      <c r="F20" s="311"/>
      <c r="G20" s="311"/>
      <c r="H20" s="311"/>
      <c r="I20" s="311"/>
      <c r="J20" s="311"/>
      <c r="K20" s="311"/>
      <c r="L20" s="312"/>
      <c r="M20" s="313"/>
      <c r="N20" s="311"/>
      <c r="O20" s="311"/>
      <c r="P20" s="311"/>
      <c r="Q20" s="311"/>
      <c r="R20" s="314"/>
      <c r="S20" s="313"/>
      <c r="T20" s="311"/>
      <c r="U20" s="311"/>
      <c r="V20" s="311"/>
      <c r="W20" s="311"/>
      <c r="X20" s="311"/>
      <c r="Y20" s="311"/>
      <c r="Z20" s="312"/>
      <c r="AA20" s="313"/>
      <c r="AB20" s="311"/>
      <c r="AC20" s="311"/>
      <c r="AD20" s="311"/>
      <c r="AE20" s="311"/>
      <c r="AF20" s="314"/>
      <c r="AG20" s="313"/>
      <c r="AH20" s="311"/>
      <c r="AI20" s="311"/>
      <c r="AJ20" s="311"/>
      <c r="AK20" s="311"/>
      <c r="AL20" s="311"/>
      <c r="AM20" s="311"/>
      <c r="AN20" s="312"/>
      <c r="AO20" s="313"/>
      <c r="AP20" s="311"/>
      <c r="AQ20" s="311"/>
      <c r="AR20" s="311"/>
      <c r="AS20" s="311"/>
      <c r="AT20" s="315"/>
      <c r="AU20" s="313"/>
      <c r="AV20" s="311"/>
      <c r="AW20" s="311"/>
      <c r="AX20" s="311"/>
      <c r="AY20" s="311"/>
      <c r="AZ20" s="311"/>
      <c r="BA20" s="311"/>
      <c r="BB20" s="312"/>
      <c r="BC20" s="313"/>
      <c r="BD20" s="311"/>
      <c r="BE20" s="311"/>
      <c r="BF20" s="311"/>
      <c r="BG20" s="311"/>
      <c r="BH20" s="315"/>
      <c r="BI20" s="313"/>
      <c r="BJ20" s="311"/>
      <c r="BK20" s="311"/>
      <c r="BL20" s="311"/>
      <c r="BM20" s="311"/>
      <c r="BN20" s="311"/>
      <c r="BO20" s="311"/>
      <c r="BP20" s="312"/>
      <c r="BQ20" s="313"/>
      <c r="BR20" s="311"/>
      <c r="BS20" s="311"/>
      <c r="BT20" s="311"/>
      <c r="BU20" s="311"/>
      <c r="BV20" s="315"/>
      <c r="BW20" s="313"/>
      <c r="BX20" s="311"/>
      <c r="BY20" s="311"/>
      <c r="BZ20" s="311"/>
      <c r="CA20" s="311"/>
      <c r="CB20" s="311"/>
      <c r="CC20" s="311"/>
      <c r="CD20" s="312"/>
      <c r="CE20" s="313"/>
      <c r="CF20" s="311"/>
      <c r="CG20" s="311"/>
      <c r="CH20" s="311"/>
      <c r="CI20" s="311"/>
      <c r="CJ20" s="315"/>
      <c r="CK20" s="313"/>
      <c r="CL20" s="311"/>
      <c r="CM20" s="311"/>
      <c r="CN20" s="311"/>
      <c r="CO20" s="311"/>
      <c r="CP20" s="311"/>
      <c r="CQ20" s="311"/>
      <c r="CR20" s="312"/>
      <c r="CS20" s="313"/>
      <c r="CT20" s="311"/>
      <c r="CU20" s="311"/>
      <c r="CV20" s="311"/>
      <c r="CW20" s="311"/>
      <c r="CX20" s="315"/>
      <c r="CY20" s="313"/>
      <c r="CZ20" s="311"/>
      <c r="DA20" s="311"/>
      <c r="DB20" s="311"/>
      <c r="DC20" s="311"/>
      <c r="DD20" s="311"/>
      <c r="DE20" s="311"/>
      <c r="DF20" s="312"/>
      <c r="DG20" s="313"/>
      <c r="DH20" s="311"/>
      <c r="DI20" s="311"/>
      <c r="DJ20" s="311"/>
      <c r="DK20" s="311"/>
      <c r="DL20" s="315"/>
      <c r="DM20" s="313"/>
      <c r="DN20" s="311"/>
      <c r="DO20" s="311"/>
      <c r="DP20" s="311"/>
      <c r="DQ20" s="311"/>
      <c r="DR20" s="311"/>
      <c r="DS20" s="311"/>
      <c r="DT20" s="312"/>
      <c r="DU20" s="313"/>
      <c r="DV20" s="311"/>
      <c r="DW20" s="311"/>
      <c r="DX20" s="311"/>
      <c r="DY20" s="311"/>
      <c r="DZ20" s="315"/>
      <c r="EA20" s="313"/>
      <c r="EB20" s="311"/>
      <c r="EC20" s="311"/>
      <c r="ED20" s="311"/>
      <c r="EE20" s="311"/>
      <c r="EF20" s="311"/>
      <c r="EG20" s="311"/>
      <c r="EH20" s="312"/>
      <c r="EI20" s="313"/>
      <c r="EJ20" s="311"/>
      <c r="EK20" s="311"/>
      <c r="EL20" s="311"/>
      <c r="EM20" s="311"/>
      <c r="EN20" s="315"/>
      <c r="EO20" s="313"/>
      <c r="EP20" s="191"/>
      <c r="EQ20" s="192"/>
      <c r="FB20" s="36"/>
    </row>
    <row r="21" spans="2:158" ht="15.75" thickBot="1" x14ac:dyDescent="0.3"/>
    <row r="22" spans="2:158" ht="15" customHeight="1" x14ac:dyDescent="0.3">
      <c r="C22" s="70" t="s">
        <v>120</v>
      </c>
      <c r="D22" s="29"/>
      <c r="F22" s="341"/>
      <c r="G22" s="342"/>
      <c r="H22" s="342"/>
      <c r="I22" s="342"/>
      <c r="J22" s="342"/>
      <c r="K22" s="342"/>
      <c r="L22" s="342"/>
      <c r="M22" s="343"/>
      <c r="N22" s="341"/>
      <c r="O22" s="342"/>
      <c r="P22" s="342"/>
      <c r="Q22" s="342"/>
      <c r="R22" s="342"/>
      <c r="S22" s="343"/>
      <c r="T22" s="341"/>
      <c r="U22" s="342"/>
      <c r="V22" s="342"/>
      <c r="W22" s="342"/>
      <c r="X22" s="342"/>
      <c r="Y22" s="342"/>
      <c r="Z22" s="342"/>
      <c r="AA22" s="343"/>
      <c r="AB22" s="341"/>
      <c r="AC22" s="342"/>
      <c r="AD22" s="342"/>
      <c r="AE22" s="342"/>
      <c r="AF22" s="342"/>
      <c r="AG22" s="343"/>
      <c r="AH22" s="341"/>
      <c r="AI22" s="342"/>
      <c r="AJ22" s="342"/>
      <c r="AK22" s="342"/>
      <c r="AL22" s="342"/>
      <c r="AM22" s="342"/>
      <c r="AN22" s="342"/>
      <c r="AO22" s="343"/>
      <c r="AP22" s="341"/>
      <c r="AQ22" s="342"/>
      <c r="AR22" s="342"/>
      <c r="AS22" s="342"/>
      <c r="AT22" s="342"/>
      <c r="AU22" s="343"/>
      <c r="AV22" s="341"/>
      <c r="AW22" s="342"/>
      <c r="AX22" s="342"/>
      <c r="AY22" s="342"/>
      <c r="AZ22" s="342"/>
      <c r="BA22" s="342"/>
      <c r="BB22" s="342"/>
      <c r="BC22" s="343"/>
      <c r="BD22" s="341"/>
      <c r="BE22" s="342"/>
      <c r="BF22" s="342"/>
      <c r="BG22" s="342"/>
      <c r="BH22" s="342"/>
      <c r="BI22" s="343"/>
      <c r="BJ22" s="341"/>
      <c r="BK22" s="342"/>
      <c r="BL22" s="342"/>
      <c r="BM22" s="342"/>
      <c r="BN22" s="342"/>
      <c r="BO22" s="342"/>
      <c r="BP22" s="342"/>
      <c r="BQ22" s="343"/>
      <c r="BR22" s="341"/>
      <c r="BS22" s="342"/>
      <c r="BT22" s="342"/>
      <c r="BU22" s="342"/>
      <c r="BV22" s="342"/>
      <c r="BW22" s="343"/>
      <c r="BX22" s="341"/>
      <c r="BY22" s="342"/>
      <c r="BZ22" s="342"/>
      <c r="CA22" s="342"/>
      <c r="CB22" s="342"/>
      <c r="CC22" s="342"/>
      <c r="CD22" s="342"/>
      <c r="CE22" s="343"/>
      <c r="CF22" s="341"/>
      <c r="CG22" s="342"/>
      <c r="CH22" s="342"/>
      <c r="CI22" s="342"/>
      <c r="CJ22" s="342"/>
      <c r="CK22" s="343"/>
      <c r="CL22" s="341"/>
      <c r="CM22" s="342"/>
      <c r="CN22" s="342"/>
      <c r="CO22" s="342"/>
      <c r="CP22" s="342"/>
      <c r="CQ22" s="342"/>
      <c r="CR22" s="342"/>
      <c r="CS22" s="343"/>
      <c r="CT22" s="341"/>
      <c r="CU22" s="342"/>
      <c r="CV22" s="342"/>
      <c r="CW22" s="342"/>
      <c r="CX22" s="342"/>
      <c r="CY22" s="343"/>
      <c r="CZ22" s="341"/>
      <c r="DA22" s="342"/>
      <c r="DB22" s="342"/>
      <c r="DC22" s="342"/>
      <c r="DD22" s="342"/>
      <c r="DE22" s="342"/>
      <c r="DF22" s="342"/>
      <c r="DG22" s="343"/>
      <c r="DH22" s="341"/>
      <c r="DI22" s="342"/>
      <c r="DJ22" s="342"/>
      <c r="DK22" s="342"/>
      <c r="DL22" s="342"/>
      <c r="DM22" s="343"/>
      <c r="DN22" s="341"/>
      <c r="DO22" s="342"/>
      <c r="DP22" s="342"/>
      <c r="DQ22" s="342"/>
      <c r="DR22" s="342"/>
      <c r="DS22" s="342"/>
      <c r="DT22" s="342"/>
      <c r="DU22" s="343"/>
      <c r="DV22" s="341"/>
      <c r="DW22" s="342"/>
      <c r="DX22" s="342"/>
      <c r="DY22" s="342"/>
      <c r="DZ22" s="342"/>
      <c r="EA22" s="343"/>
      <c r="EB22" s="341"/>
      <c r="EC22" s="342"/>
      <c r="ED22" s="342"/>
      <c r="EE22" s="342"/>
      <c r="EF22" s="342"/>
      <c r="EG22" s="342"/>
      <c r="EH22" s="342"/>
      <c r="EI22" s="343"/>
      <c r="EJ22" s="341"/>
      <c r="EK22" s="342"/>
      <c r="EL22" s="342"/>
      <c r="EM22" s="342"/>
      <c r="EN22" s="342"/>
      <c r="EO22" s="343"/>
      <c r="ES22" s="96"/>
      <c r="ET22" s="96"/>
      <c r="EU22" s="96"/>
      <c r="EX22" s="96"/>
      <c r="EY22" s="96"/>
      <c r="EZ22" s="96"/>
      <c r="FA22" s="96"/>
    </row>
    <row r="23" spans="2:158" x14ac:dyDescent="0.25">
      <c r="B23" s="35" t="s">
        <v>168</v>
      </c>
      <c r="F23" s="344"/>
      <c r="G23" s="345"/>
      <c r="H23" s="345"/>
      <c r="I23" s="345"/>
      <c r="J23" s="345"/>
      <c r="K23" s="345"/>
      <c r="L23" s="345"/>
      <c r="M23" s="346"/>
      <c r="N23" s="344"/>
      <c r="O23" s="345"/>
      <c r="P23" s="345"/>
      <c r="Q23" s="345"/>
      <c r="R23" s="345"/>
      <c r="S23" s="346"/>
      <c r="T23" s="344"/>
      <c r="U23" s="345"/>
      <c r="V23" s="345"/>
      <c r="W23" s="345"/>
      <c r="X23" s="345"/>
      <c r="Y23" s="345"/>
      <c r="Z23" s="345"/>
      <c r="AA23" s="346"/>
      <c r="AB23" s="344"/>
      <c r="AC23" s="345"/>
      <c r="AD23" s="345"/>
      <c r="AE23" s="345"/>
      <c r="AF23" s="345"/>
      <c r="AG23" s="346"/>
      <c r="AH23" s="344"/>
      <c r="AI23" s="345"/>
      <c r="AJ23" s="345"/>
      <c r="AK23" s="345"/>
      <c r="AL23" s="345"/>
      <c r="AM23" s="345"/>
      <c r="AN23" s="345"/>
      <c r="AO23" s="346"/>
      <c r="AP23" s="344"/>
      <c r="AQ23" s="345"/>
      <c r="AR23" s="345"/>
      <c r="AS23" s="345"/>
      <c r="AT23" s="345"/>
      <c r="AU23" s="346"/>
      <c r="AV23" s="344"/>
      <c r="AW23" s="345"/>
      <c r="AX23" s="345"/>
      <c r="AY23" s="345"/>
      <c r="AZ23" s="345"/>
      <c r="BA23" s="345"/>
      <c r="BB23" s="345"/>
      <c r="BC23" s="346"/>
      <c r="BD23" s="344"/>
      <c r="BE23" s="345"/>
      <c r="BF23" s="345"/>
      <c r="BG23" s="345"/>
      <c r="BH23" s="345"/>
      <c r="BI23" s="346"/>
      <c r="BJ23" s="344"/>
      <c r="BK23" s="345"/>
      <c r="BL23" s="345"/>
      <c r="BM23" s="345"/>
      <c r="BN23" s="345"/>
      <c r="BO23" s="345"/>
      <c r="BP23" s="345"/>
      <c r="BQ23" s="346"/>
      <c r="BR23" s="344"/>
      <c r="BS23" s="345"/>
      <c r="BT23" s="345"/>
      <c r="BU23" s="345"/>
      <c r="BV23" s="345"/>
      <c r="BW23" s="346"/>
      <c r="BX23" s="344"/>
      <c r="BY23" s="345"/>
      <c r="BZ23" s="345"/>
      <c r="CA23" s="345"/>
      <c r="CB23" s="345"/>
      <c r="CC23" s="345"/>
      <c r="CD23" s="345"/>
      <c r="CE23" s="346"/>
      <c r="CF23" s="344"/>
      <c r="CG23" s="345"/>
      <c r="CH23" s="345"/>
      <c r="CI23" s="345"/>
      <c r="CJ23" s="345"/>
      <c r="CK23" s="346"/>
      <c r="CL23" s="344"/>
      <c r="CM23" s="345"/>
      <c r="CN23" s="345"/>
      <c r="CO23" s="345"/>
      <c r="CP23" s="345"/>
      <c r="CQ23" s="345"/>
      <c r="CR23" s="345"/>
      <c r="CS23" s="346"/>
      <c r="CT23" s="344"/>
      <c r="CU23" s="345"/>
      <c r="CV23" s="345"/>
      <c r="CW23" s="345"/>
      <c r="CX23" s="345"/>
      <c r="CY23" s="346"/>
      <c r="CZ23" s="344"/>
      <c r="DA23" s="345"/>
      <c r="DB23" s="345"/>
      <c r="DC23" s="345"/>
      <c r="DD23" s="345"/>
      <c r="DE23" s="345"/>
      <c r="DF23" s="345"/>
      <c r="DG23" s="346"/>
      <c r="DH23" s="344"/>
      <c r="DI23" s="345"/>
      <c r="DJ23" s="345"/>
      <c r="DK23" s="345"/>
      <c r="DL23" s="345"/>
      <c r="DM23" s="346"/>
      <c r="DN23" s="344"/>
      <c r="DO23" s="345"/>
      <c r="DP23" s="345"/>
      <c r="DQ23" s="345"/>
      <c r="DR23" s="345"/>
      <c r="DS23" s="345"/>
      <c r="DT23" s="345"/>
      <c r="DU23" s="346"/>
      <c r="DV23" s="344"/>
      <c r="DW23" s="345"/>
      <c r="DX23" s="345"/>
      <c r="DY23" s="345"/>
      <c r="DZ23" s="345"/>
      <c r="EA23" s="346"/>
      <c r="EB23" s="344"/>
      <c r="EC23" s="345"/>
      <c r="ED23" s="345"/>
      <c r="EE23" s="345"/>
      <c r="EF23" s="345"/>
      <c r="EG23" s="345"/>
      <c r="EH23" s="345"/>
      <c r="EI23" s="346"/>
      <c r="EJ23" s="344"/>
      <c r="EK23" s="345"/>
      <c r="EL23" s="345"/>
      <c r="EM23" s="345"/>
      <c r="EN23" s="345"/>
      <c r="EO23" s="346"/>
      <c r="ES23" s="96"/>
      <c r="ET23" s="96"/>
      <c r="EU23" s="96"/>
      <c r="EX23" s="96"/>
      <c r="EY23" s="96"/>
      <c r="EZ23" s="96"/>
      <c r="FA23" s="96"/>
    </row>
    <row r="24" spans="2:158" x14ac:dyDescent="0.25">
      <c r="F24" s="344"/>
      <c r="G24" s="345"/>
      <c r="H24" s="345"/>
      <c r="I24" s="345"/>
      <c r="J24" s="345"/>
      <c r="K24" s="345"/>
      <c r="L24" s="345"/>
      <c r="M24" s="346"/>
      <c r="N24" s="344"/>
      <c r="O24" s="345"/>
      <c r="P24" s="345"/>
      <c r="Q24" s="345"/>
      <c r="R24" s="345"/>
      <c r="S24" s="346"/>
      <c r="T24" s="344"/>
      <c r="U24" s="345"/>
      <c r="V24" s="345"/>
      <c r="W24" s="345"/>
      <c r="X24" s="345"/>
      <c r="Y24" s="345"/>
      <c r="Z24" s="345"/>
      <c r="AA24" s="346"/>
      <c r="AB24" s="344"/>
      <c r="AC24" s="345"/>
      <c r="AD24" s="345"/>
      <c r="AE24" s="345"/>
      <c r="AF24" s="345"/>
      <c r="AG24" s="346"/>
      <c r="AH24" s="344"/>
      <c r="AI24" s="345"/>
      <c r="AJ24" s="345"/>
      <c r="AK24" s="345"/>
      <c r="AL24" s="345"/>
      <c r="AM24" s="345"/>
      <c r="AN24" s="345"/>
      <c r="AO24" s="346"/>
      <c r="AP24" s="344"/>
      <c r="AQ24" s="345"/>
      <c r="AR24" s="345"/>
      <c r="AS24" s="345"/>
      <c r="AT24" s="345"/>
      <c r="AU24" s="346"/>
      <c r="AV24" s="344"/>
      <c r="AW24" s="345"/>
      <c r="AX24" s="345"/>
      <c r="AY24" s="345"/>
      <c r="AZ24" s="345"/>
      <c r="BA24" s="345"/>
      <c r="BB24" s="345"/>
      <c r="BC24" s="346"/>
      <c r="BD24" s="344"/>
      <c r="BE24" s="345"/>
      <c r="BF24" s="345"/>
      <c r="BG24" s="345"/>
      <c r="BH24" s="345"/>
      <c r="BI24" s="346"/>
      <c r="BJ24" s="344"/>
      <c r="BK24" s="345"/>
      <c r="BL24" s="345"/>
      <c r="BM24" s="345"/>
      <c r="BN24" s="345"/>
      <c r="BO24" s="345"/>
      <c r="BP24" s="345"/>
      <c r="BQ24" s="346"/>
      <c r="BR24" s="344"/>
      <c r="BS24" s="345"/>
      <c r="BT24" s="345"/>
      <c r="BU24" s="345"/>
      <c r="BV24" s="345"/>
      <c r="BW24" s="346"/>
      <c r="BX24" s="344"/>
      <c r="BY24" s="345"/>
      <c r="BZ24" s="345"/>
      <c r="CA24" s="345"/>
      <c r="CB24" s="345"/>
      <c r="CC24" s="345"/>
      <c r="CD24" s="345"/>
      <c r="CE24" s="346"/>
      <c r="CF24" s="344"/>
      <c r="CG24" s="345"/>
      <c r="CH24" s="345"/>
      <c r="CI24" s="345"/>
      <c r="CJ24" s="345"/>
      <c r="CK24" s="346"/>
      <c r="CL24" s="344"/>
      <c r="CM24" s="345"/>
      <c r="CN24" s="345"/>
      <c r="CO24" s="345"/>
      <c r="CP24" s="345"/>
      <c r="CQ24" s="345"/>
      <c r="CR24" s="345"/>
      <c r="CS24" s="346"/>
      <c r="CT24" s="344"/>
      <c r="CU24" s="345"/>
      <c r="CV24" s="345"/>
      <c r="CW24" s="345"/>
      <c r="CX24" s="345"/>
      <c r="CY24" s="346"/>
      <c r="CZ24" s="344"/>
      <c r="DA24" s="345"/>
      <c r="DB24" s="345"/>
      <c r="DC24" s="345"/>
      <c r="DD24" s="345"/>
      <c r="DE24" s="345"/>
      <c r="DF24" s="345"/>
      <c r="DG24" s="346"/>
      <c r="DH24" s="344"/>
      <c r="DI24" s="345"/>
      <c r="DJ24" s="345"/>
      <c r="DK24" s="345"/>
      <c r="DL24" s="345"/>
      <c r="DM24" s="346"/>
      <c r="DN24" s="344"/>
      <c r="DO24" s="345"/>
      <c r="DP24" s="345"/>
      <c r="DQ24" s="345"/>
      <c r="DR24" s="345"/>
      <c r="DS24" s="345"/>
      <c r="DT24" s="345"/>
      <c r="DU24" s="346"/>
      <c r="DV24" s="344"/>
      <c r="DW24" s="345"/>
      <c r="DX24" s="345"/>
      <c r="DY24" s="345"/>
      <c r="DZ24" s="345"/>
      <c r="EA24" s="346"/>
      <c r="EB24" s="344"/>
      <c r="EC24" s="345"/>
      <c r="ED24" s="345"/>
      <c r="EE24" s="345"/>
      <c r="EF24" s="345"/>
      <c r="EG24" s="345"/>
      <c r="EH24" s="345"/>
      <c r="EI24" s="346"/>
      <c r="EJ24" s="344"/>
      <c r="EK24" s="345"/>
      <c r="EL24" s="345"/>
      <c r="EM24" s="345"/>
      <c r="EN24" s="345"/>
      <c r="EO24" s="346"/>
      <c r="ES24" s="96"/>
      <c r="ET24" s="96"/>
      <c r="EU24" s="96"/>
      <c r="EX24" s="96"/>
      <c r="EY24" s="96"/>
      <c r="EZ24" s="96"/>
      <c r="FA24" s="96"/>
    </row>
    <row r="25" spans="2:158" x14ac:dyDescent="0.25">
      <c r="F25" s="344"/>
      <c r="G25" s="345"/>
      <c r="H25" s="345"/>
      <c r="I25" s="345"/>
      <c r="J25" s="345"/>
      <c r="K25" s="345"/>
      <c r="L25" s="345"/>
      <c r="M25" s="346"/>
      <c r="N25" s="344"/>
      <c r="O25" s="345"/>
      <c r="P25" s="345"/>
      <c r="Q25" s="345"/>
      <c r="R25" s="345"/>
      <c r="S25" s="346"/>
      <c r="T25" s="344"/>
      <c r="U25" s="345"/>
      <c r="V25" s="345"/>
      <c r="W25" s="345"/>
      <c r="X25" s="345"/>
      <c r="Y25" s="345"/>
      <c r="Z25" s="345"/>
      <c r="AA25" s="346"/>
      <c r="AB25" s="344"/>
      <c r="AC25" s="345"/>
      <c r="AD25" s="345"/>
      <c r="AE25" s="345"/>
      <c r="AF25" s="345"/>
      <c r="AG25" s="346"/>
      <c r="AH25" s="344"/>
      <c r="AI25" s="345"/>
      <c r="AJ25" s="345"/>
      <c r="AK25" s="345"/>
      <c r="AL25" s="345"/>
      <c r="AM25" s="345"/>
      <c r="AN25" s="345"/>
      <c r="AO25" s="346"/>
      <c r="AP25" s="344"/>
      <c r="AQ25" s="345"/>
      <c r="AR25" s="345"/>
      <c r="AS25" s="345"/>
      <c r="AT25" s="345"/>
      <c r="AU25" s="346"/>
      <c r="AV25" s="344"/>
      <c r="AW25" s="345"/>
      <c r="AX25" s="345"/>
      <c r="AY25" s="345"/>
      <c r="AZ25" s="345"/>
      <c r="BA25" s="345"/>
      <c r="BB25" s="345"/>
      <c r="BC25" s="346"/>
      <c r="BD25" s="344"/>
      <c r="BE25" s="345"/>
      <c r="BF25" s="345"/>
      <c r="BG25" s="345"/>
      <c r="BH25" s="345"/>
      <c r="BI25" s="346"/>
      <c r="BJ25" s="344"/>
      <c r="BK25" s="345"/>
      <c r="BL25" s="345"/>
      <c r="BM25" s="345"/>
      <c r="BN25" s="345"/>
      <c r="BO25" s="345"/>
      <c r="BP25" s="345"/>
      <c r="BQ25" s="346"/>
      <c r="BR25" s="344"/>
      <c r="BS25" s="345"/>
      <c r="BT25" s="345"/>
      <c r="BU25" s="345"/>
      <c r="BV25" s="345"/>
      <c r="BW25" s="346"/>
      <c r="BX25" s="344"/>
      <c r="BY25" s="345"/>
      <c r="BZ25" s="345"/>
      <c r="CA25" s="345"/>
      <c r="CB25" s="345"/>
      <c r="CC25" s="345"/>
      <c r="CD25" s="345"/>
      <c r="CE25" s="346"/>
      <c r="CF25" s="344"/>
      <c r="CG25" s="345"/>
      <c r="CH25" s="345"/>
      <c r="CI25" s="345"/>
      <c r="CJ25" s="345"/>
      <c r="CK25" s="346"/>
      <c r="CL25" s="344"/>
      <c r="CM25" s="345"/>
      <c r="CN25" s="345"/>
      <c r="CO25" s="345"/>
      <c r="CP25" s="345"/>
      <c r="CQ25" s="345"/>
      <c r="CR25" s="345"/>
      <c r="CS25" s="346"/>
      <c r="CT25" s="344"/>
      <c r="CU25" s="345"/>
      <c r="CV25" s="345"/>
      <c r="CW25" s="345"/>
      <c r="CX25" s="345"/>
      <c r="CY25" s="346"/>
      <c r="CZ25" s="344"/>
      <c r="DA25" s="345"/>
      <c r="DB25" s="345"/>
      <c r="DC25" s="345"/>
      <c r="DD25" s="345"/>
      <c r="DE25" s="345"/>
      <c r="DF25" s="345"/>
      <c r="DG25" s="346"/>
      <c r="DH25" s="344"/>
      <c r="DI25" s="345"/>
      <c r="DJ25" s="345"/>
      <c r="DK25" s="345"/>
      <c r="DL25" s="345"/>
      <c r="DM25" s="346"/>
      <c r="DN25" s="344"/>
      <c r="DO25" s="345"/>
      <c r="DP25" s="345"/>
      <c r="DQ25" s="345"/>
      <c r="DR25" s="345"/>
      <c r="DS25" s="345"/>
      <c r="DT25" s="345"/>
      <c r="DU25" s="346"/>
      <c r="DV25" s="344"/>
      <c r="DW25" s="345"/>
      <c r="DX25" s="345"/>
      <c r="DY25" s="345"/>
      <c r="DZ25" s="345"/>
      <c r="EA25" s="346"/>
      <c r="EB25" s="344"/>
      <c r="EC25" s="345"/>
      <c r="ED25" s="345"/>
      <c r="EE25" s="345"/>
      <c r="EF25" s="345"/>
      <c r="EG25" s="345"/>
      <c r="EH25" s="345"/>
      <c r="EI25" s="346"/>
      <c r="EJ25" s="344"/>
      <c r="EK25" s="345"/>
      <c r="EL25" s="345"/>
      <c r="EM25" s="345"/>
      <c r="EN25" s="345"/>
      <c r="EO25" s="346"/>
      <c r="ES25" s="96"/>
      <c r="ET25" s="96"/>
      <c r="EU25" s="96"/>
      <c r="EX25" s="96"/>
      <c r="EY25" s="96"/>
      <c r="EZ25" s="96"/>
      <c r="FA25" s="96"/>
    </row>
    <row r="26" spans="2:158" ht="15.75" thickBot="1" x14ac:dyDescent="0.3">
      <c r="B26" s="35" t="s">
        <v>125</v>
      </c>
      <c r="D26" s="29" t="s">
        <v>126</v>
      </c>
      <c r="F26" s="347"/>
      <c r="G26" s="348"/>
      <c r="H26" s="348"/>
      <c r="I26" s="348"/>
      <c r="J26" s="348"/>
      <c r="K26" s="348"/>
      <c r="L26" s="348"/>
      <c r="M26" s="349"/>
      <c r="N26" s="347"/>
      <c r="O26" s="348"/>
      <c r="P26" s="348"/>
      <c r="Q26" s="348"/>
      <c r="R26" s="348"/>
      <c r="S26" s="349"/>
      <c r="T26" s="347"/>
      <c r="U26" s="348"/>
      <c r="V26" s="348"/>
      <c r="W26" s="348"/>
      <c r="X26" s="348"/>
      <c r="Y26" s="348"/>
      <c r="Z26" s="348"/>
      <c r="AA26" s="349"/>
      <c r="AB26" s="347"/>
      <c r="AC26" s="348"/>
      <c r="AD26" s="348"/>
      <c r="AE26" s="348"/>
      <c r="AF26" s="348"/>
      <c r="AG26" s="349"/>
      <c r="AH26" s="347"/>
      <c r="AI26" s="348"/>
      <c r="AJ26" s="348"/>
      <c r="AK26" s="348"/>
      <c r="AL26" s="348"/>
      <c r="AM26" s="348"/>
      <c r="AN26" s="348"/>
      <c r="AO26" s="349"/>
      <c r="AP26" s="347"/>
      <c r="AQ26" s="348"/>
      <c r="AR26" s="348"/>
      <c r="AS26" s="348"/>
      <c r="AT26" s="348"/>
      <c r="AU26" s="349"/>
      <c r="AV26" s="347"/>
      <c r="AW26" s="348"/>
      <c r="AX26" s="348"/>
      <c r="AY26" s="348"/>
      <c r="AZ26" s="348"/>
      <c r="BA26" s="348"/>
      <c r="BB26" s="348"/>
      <c r="BC26" s="349"/>
      <c r="BD26" s="347"/>
      <c r="BE26" s="348"/>
      <c r="BF26" s="348"/>
      <c r="BG26" s="348"/>
      <c r="BH26" s="348"/>
      <c r="BI26" s="349"/>
      <c r="BJ26" s="347"/>
      <c r="BK26" s="348"/>
      <c r="BL26" s="348"/>
      <c r="BM26" s="348"/>
      <c r="BN26" s="348"/>
      <c r="BO26" s="348"/>
      <c r="BP26" s="348"/>
      <c r="BQ26" s="349"/>
      <c r="BR26" s="347"/>
      <c r="BS26" s="348"/>
      <c r="BT26" s="348"/>
      <c r="BU26" s="348"/>
      <c r="BV26" s="348"/>
      <c r="BW26" s="349"/>
      <c r="BX26" s="347"/>
      <c r="BY26" s="348"/>
      <c r="BZ26" s="348"/>
      <c r="CA26" s="348"/>
      <c r="CB26" s="348"/>
      <c r="CC26" s="348"/>
      <c r="CD26" s="348"/>
      <c r="CE26" s="349"/>
      <c r="CF26" s="347"/>
      <c r="CG26" s="348"/>
      <c r="CH26" s="348"/>
      <c r="CI26" s="348"/>
      <c r="CJ26" s="348"/>
      <c r="CK26" s="349"/>
      <c r="CL26" s="347"/>
      <c r="CM26" s="348"/>
      <c r="CN26" s="348"/>
      <c r="CO26" s="348"/>
      <c r="CP26" s="348"/>
      <c r="CQ26" s="348"/>
      <c r="CR26" s="348"/>
      <c r="CS26" s="349"/>
      <c r="CT26" s="347"/>
      <c r="CU26" s="348"/>
      <c r="CV26" s="348"/>
      <c r="CW26" s="348"/>
      <c r="CX26" s="348"/>
      <c r="CY26" s="349"/>
      <c r="CZ26" s="347"/>
      <c r="DA26" s="348"/>
      <c r="DB26" s="348"/>
      <c r="DC26" s="348"/>
      <c r="DD26" s="348"/>
      <c r="DE26" s="348"/>
      <c r="DF26" s="348"/>
      <c r="DG26" s="349"/>
      <c r="DH26" s="347"/>
      <c r="DI26" s="348"/>
      <c r="DJ26" s="348"/>
      <c r="DK26" s="348"/>
      <c r="DL26" s="348"/>
      <c r="DM26" s="349"/>
      <c r="DN26" s="347"/>
      <c r="DO26" s="348"/>
      <c r="DP26" s="348"/>
      <c r="DQ26" s="348"/>
      <c r="DR26" s="348"/>
      <c r="DS26" s="348"/>
      <c r="DT26" s="348"/>
      <c r="DU26" s="349"/>
      <c r="DV26" s="347"/>
      <c r="DW26" s="348"/>
      <c r="DX26" s="348"/>
      <c r="DY26" s="348"/>
      <c r="DZ26" s="348"/>
      <c r="EA26" s="349"/>
      <c r="EB26" s="347"/>
      <c r="EC26" s="348"/>
      <c r="ED26" s="348"/>
      <c r="EE26" s="348"/>
      <c r="EF26" s="348"/>
      <c r="EG26" s="348"/>
      <c r="EH26" s="348"/>
      <c r="EI26" s="349"/>
      <c r="EJ26" s="347"/>
      <c r="EK26" s="348"/>
      <c r="EL26" s="348"/>
      <c r="EM26" s="348"/>
      <c r="EN26" s="348"/>
      <c r="EO26" s="349"/>
      <c r="ES26" s="96"/>
      <c r="ET26" s="96"/>
      <c r="EU26" s="96"/>
      <c r="EX26" s="96"/>
      <c r="EY26" s="96"/>
      <c r="EZ26" s="96"/>
      <c r="FA26" s="96"/>
    </row>
    <row r="27" spans="2:158" x14ac:dyDescent="0.25">
      <c r="ES27" s="96"/>
      <c r="ET27" s="96"/>
      <c r="EU27" s="96"/>
      <c r="EX27" s="96"/>
      <c r="EY27" s="96"/>
      <c r="EZ27" s="96"/>
      <c r="FA27" s="96"/>
    </row>
    <row r="28" spans="2:158" x14ac:dyDescent="0.25">
      <c r="ES28" s="96"/>
      <c r="ET28" s="96"/>
      <c r="EU28" s="96"/>
      <c r="EX28" s="96"/>
      <c r="EY28" s="96"/>
      <c r="EZ28" s="96"/>
      <c r="FA28" s="96"/>
    </row>
    <row r="29" spans="2:158" x14ac:dyDescent="0.25">
      <c r="ES29" s="96"/>
      <c r="ET29" s="96"/>
      <c r="EU29" s="96"/>
      <c r="EX29" s="96"/>
      <c r="EY29" s="96"/>
      <c r="EZ29" s="96"/>
      <c r="FA29" s="96"/>
    </row>
    <row r="30" spans="2:158" x14ac:dyDescent="0.25">
      <c r="ES30" s="96"/>
      <c r="ET30" s="96"/>
      <c r="EU30" s="96"/>
      <c r="EX30" s="96"/>
      <c r="EY30" s="96"/>
      <c r="EZ30" s="96"/>
      <c r="FA30" s="96"/>
    </row>
    <row r="31" spans="2:158" x14ac:dyDescent="0.25">
      <c r="ES31" s="96"/>
      <c r="ET31" s="96"/>
      <c r="EU31" s="96"/>
      <c r="EX31" s="96"/>
      <c r="EY31" s="96"/>
      <c r="EZ31" s="96"/>
      <c r="FA31" s="96"/>
    </row>
    <row r="32" spans="2:158" x14ac:dyDescent="0.25">
      <c r="ES32" s="96"/>
      <c r="ET32" s="96"/>
      <c r="EU32" s="96"/>
      <c r="EX32" s="96"/>
      <c r="EY32" s="96"/>
      <c r="EZ32" s="96"/>
      <c r="FA32" s="96"/>
    </row>
    <row r="33" spans="149:157" x14ac:dyDescent="0.25">
      <c r="ES33" s="96"/>
      <c r="ET33" s="96"/>
      <c r="EU33" s="96"/>
      <c r="EX33" s="96"/>
      <c r="EY33" s="96"/>
      <c r="EZ33" s="96"/>
      <c r="FA33" s="96"/>
    </row>
  </sheetData>
  <mergeCells count="75">
    <mergeCell ref="EP7:EQ7"/>
    <mergeCell ref="F8:M8"/>
    <mergeCell ref="N8:S8"/>
    <mergeCell ref="F7:S7"/>
    <mergeCell ref="F22:M26"/>
    <mergeCell ref="N22:S26"/>
    <mergeCell ref="T22:AA26"/>
    <mergeCell ref="AB22:AG26"/>
    <mergeCell ref="AH22:AO26"/>
    <mergeCell ref="AP22:AU26"/>
    <mergeCell ref="T8:AA8"/>
    <mergeCell ref="AB8:AG8"/>
    <mergeCell ref="BJ22:BQ26"/>
    <mergeCell ref="BR22:BW26"/>
    <mergeCell ref="BX22:CE26"/>
    <mergeCell ref="CF22:CK26"/>
    <mergeCell ref="C2:E2"/>
    <mergeCell ref="C3:E3"/>
    <mergeCell ref="F5:S5"/>
    <mergeCell ref="F2:S2"/>
    <mergeCell ref="F6:S6"/>
    <mergeCell ref="T5:AG5"/>
    <mergeCell ref="T6:AG6"/>
    <mergeCell ref="T7:AG7"/>
    <mergeCell ref="AV22:BC26"/>
    <mergeCell ref="BD22:BI26"/>
    <mergeCell ref="AV5:BI5"/>
    <mergeCell ref="AV6:BI6"/>
    <mergeCell ref="AV7:BI7"/>
    <mergeCell ref="AV8:BC8"/>
    <mergeCell ref="BD8:BI8"/>
    <mergeCell ref="AH5:AU5"/>
    <mergeCell ref="AH6:AU6"/>
    <mergeCell ref="AH7:AU7"/>
    <mergeCell ref="AH8:AO8"/>
    <mergeCell ref="AP8:AU8"/>
    <mergeCell ref="BJ5:BW5"/>
    <mergeCell ref="BJ6:BW6"/>
    <mergeCell ref="BJ7:BW7"/>
    <mergeCell ref="BJ8:BQ8"/>
    <mergeCell ref="BR8:BW8"/>
    <mergeCell ref="CL22:CS26"/>
    <mergeCell ref="CT22:CY26"/>
    <mergeCell ref="BX5:CK5"/>
    <mergeCell ref="BX6:CK6"/>
    <mergeCell ref="BX7:CK7"/>
    <mergeCell ref="BX8:CE8"/>
    <mergeCell ref="CF8:CK8"/>
    <mergeCell ref="CL5:CY5"/>
    <mergeCell ref="CL6:CY6"/>
    <mergeCell ref="CL7:CY7"/>
    <mergeCell ref="CL8:CS8"/>
    <mergeCell ref="CT8:CY8"/>
    <mergeCell ref="DV22:EA26"/>
    <mergeCell ref="CZ5:DM5"/>
    <mergeCell ref="CZ6:DM6"/>
    <mergeCell ref="CZ7:DM7"/>
    <mergeCell ref="CZ8:DG8"/>
    <mergeCell ref="DH8:DM8"/>
    <mergeCell ref="EB22:EI26"/>
    <mergeCell ref="EJ22:EO26"/>
    <mergeCell ref="H1:AG1"/>
    <mergeCell ref="EB5:EO5"/>
    <mergeCell ref="EB6:EO6"/>
    <mergeCell ref="EB7:EO7"/>
    <mergeCell ref="EB8:EI8"/>
    <mergeCell ref="EJ8:EO8"/>
    <mergeCell ref="CZ22:DG26"/>
    <mergeCell ref="DH22:DM26"/>
    <mergeCell ref="DN5:EA5"/>
    <mergeCell ref="DN6:EA6"/>
    <mergeCell ref="DN7:EA7"/>
    <mergeCell ref="DN8:DU8"/>
    <mergeCell ref="DV8:EA8"/>
    <mergeCell ref="DN22:DU26"/>
  </mergeCells>
  <conditionalFormatting sqref="F6:G6 L6:O6 R6:S6">
    <cfRule type="cellIs" dxfId="111" priority="182" operator="equal">
      <formula>"OJO H.E. AL 100%"</formula>
    </cfRule>
    <cfRule type="cellIs" dxfId="110" priority="183" operator="equal">
      <formula>"""OJO H.E. AL 100%"""</formula>
    </cfRule>
  </conditionalFormatting>
  <conditionalFormatting sqref="F4">
    <cfRule type="cellIs" dxfId="109" priority="181" operator="equal">
      <formula>"F"</formula>
    </cfRule>
  </conditionalFormatting>
  <conditionalFormatting sqref="C5">
    <cfRule type="containsBlanks" dxfId="108" priority="162">
      <formula>LEN(TRIM(C5))=0</formula>
    </cfRule>
  </conditionalFormatting>
  <conditionalFormatting sqref="C6">
    <cfRule type="containsBlanks" dxfId="107" priority="161">
      <formula>LEN(TRIM(C6))=0</formula>
    </cfRule>
  </conditionalFormatting>
  <conditionalFormatting sqref="J6:K6">
    <cfRule type="cellIs" dxfId="106" priority="156" operator="equal">
      <formula>"OJO H.E. AL 100%"</formula>
    </cfRule>
    <cfRule type="cellIs" dxfId="105" priority="157" operator="equal">
      <formula>"""OJO H.E. AL 100%"""</formula>
    </cfRule>
  </conditionalFormatting>
  <conditionalFormatting sqref="H6:I6">
    <cfRule type="cellIs" dxfId="104" priority="159" operator="equal">
      <formula>"OJO H.E. AL 100%"</formula>
    </cfRule>
    <cfRule type="cellIs" dxfId="103" priority="160" operator="equal">
      <formula>"""OJO H.E. AL 100%"""</formula>
    </cfRule>
  </conditionalFormatting>
  <conditionalFormatting sqref="P6:Q6">
    <cfRule type="cellIs" dxfId="102" priority="154" operator="equal">
      <formula>"OJO H.E. AL 100%"</formula>
    </cfRule>
    <cfRule type="cellIs" dxfId="101" priority="155" operator="equal">
      <formula>"""OJO H.E. AL 100%"""</formula>
    </cfRule>
  </conditionalFormatting>
  <conditionalFormatting sqref="T4">
    <cfRule type="cellIs" dxfId="100" priority="151" operator="equal">
      <formula>"F"</formula>
    </cfRule>
  </conditionalFormatting>
  <conditionalFormatting sqref="AH4">
    <cfRule type="cellIs" dxfId="99" priority="142" operator="equal">
      <formula>"F"</formula>
    </cfRule>
  </conditionalFormatting>
  <conditionalFormatting sqref="AV4">
    <cfRule type="cellIs" dxfId="98" priority="133" operator="equal">
      <formula>"F"</formula>
    </cfRule>
  </conditionalFormatting>
  <conditionalFormatting sqref="BJ4">
    <cfRule type="cellIs" dxfId="97" priority="124" operator="equal">
      <formula>"F"</formula>
    </cfRule>
  </conditionalFormatting>
  <conditionalFormatting sqref="BX4">
    <cfRule type="cellIs" dxfId="96" priority="115" operator="equal">
      <formula>"F"</formula>
    </cfRule>
  </conditionalFormatting>
  <conditionalFormatting sqref="CL4">
    <cfRule type="cellIs" dxfId="95" priority="106" operator="equal">
      <formula>"F"</formula>
    </cfRule>
  </conditionalFormatting>
  <conditionalFormatting sqref="CZ4">
    <cfRule type="cellIs" dxfId="94" priority="97" operator="equal">
      <formula>"F"</formula>
    </cfRule>
  </conditionalFormatting>
  <conditionalFormatting sqref="DN4">
    <cfRule type="cellIs" dxfId="93" priority="88" operator="equal">
      <formula>"F"</formula>
    </cfRule>
  </conditionalFormatting>
  <conditionalFormatting sqref="EB4">
    <cfRule type="cellIs" dxfId="92" priority="79" operator="equal">
      <formula>"F"</formula>
    </cfRule>
  </conditionalFormatting>
  <conditionalFormatting sqref="T6:U6 Z6:AC6 AF6:AG6">
    <cfRule type="cellIs" dxfId="91" priority="71" operator="equal">
      <formula>"OJO H.E. AL 100%"</formula>
    </cfRule>
    <cfRule type="cellIs" dxfId="90" priority="72" operator="equal">
      <formula>"""OJO H.E. AL 100%"""</formula>
    </cfRule>
  </conditionalFormatting>
  <conditionalFormatting sqref="X6:Y6">
    <cfRule type="cellIs" dxfId="89" priority="67" operator="equal">
      <formula>"OJO H.E. AL 100%"</formula>
    </cfRule>
    <cfRule type="cellIs" dxfId="88" priority="68" operator="equal">
      <formula>"""OJO H.E. AL 100%"""</formula>
    </cfRule>
  </conditionalFormatting>
  <conditionalFormatting sqref="V6:W6">
    <cfRule type="cellIs" dxfId="87" priority="69" operator="equal">
      <formula>"OJO H.E. AL 100%"</formula>
    </cfRule>
    <cfRule type="cellIs" dxfId="86" priority="70" operator="equal">
      <formula>"""OJO H.E. AL 100%"""</formula>
    </cfRule>
  </conditionalFormatting>
  <conditionalFormatting sqref="AD6:AE6">
    <cfRule type="cellIs" dxfId="85" priority="65" operator="equal">
      <formula>"OJO H.E. AL 100%"</formula>
    </cfRule>
    <cfRule type="cellIs" dxfId="84" priority="66" operator="equal">
      <formula>"""OJO H.E. AL 100%"""</formula>
    </cfRule>
  </conditionalFormatting>
  <conditionalFormatting sqref="AH6:AI6 AN6:AQ6 AT6:AU6">
    <cfRule type="cellIs" dxfId="83" priority="63" operator="equal">
      <formula>"OJO H.E. AL 100%"</formula>
    </cfRule>
    <cfRule type="cellIs" dxfId="82" priority="64" operator="equal">
      <formula>"""OJO H.E. AL 100%"""</formula>
    </cfRule>
  </conditionalFormatting>
  <conditionalFormatting sqref="AL6:AM6">
    <cfRule type="cellIs" dxfId="81" priority="59" operator="equal">
      <formula>"OJO H.E. AL 100%"</formula>
    </cfRule>
    <cfRule type="cellIs" dxfId="80" priority="60" operator="equal">
      <formula>"""OJO H.E. AL 100%"""</formula>
    </cfRule>
  </conditionalFormatting>
  <conditionalFormatting sqref="AJ6:AK6">
    <cfRule type="cellIs" dxfId="79" priority="61" operator="equal">
      <formula>"OJO H.E. AL 100%"</formula>
    </cfRule>
    <cfRule type="cellIs" dxfId="78" priority="62" operator="equal">
      <formula>"""OJO H.E. AL 100%"""</formula>
    </cfRule>
  </conditionalFormatting>
  <conditionalFormatting sqref="AR6:AS6">
    <cfRule type="cellIs" dxfId="77" priority="57" operator="equal">
      <formula>"OJO H.E. AL 100%"</formula>
    </cfRule>
    <cfRule type="cellIs" dxfId="76" priority="58" operator="equal">
      <formula>"""OJO H.E. AL 100%"""</formula>
    </cfRule>
  </conditionalFormatting>
  <conditionalFormatting sqref="AV6:AW6 BB6:BE6 BH6:BI6">
    <cfRule type="cellIs" dxfId="75" priority="55" operator="equal">
      <formula>"OJO H.E. AL 100%"</formula>
    </cfRule>
    <cfRule type="cellIs" dxfId="74" priority="56" operator="equal">
      <formula>"""OJO H.E. AL 100%"""</formula>
    </cfRule>
  </conditionalFormatting>
  <conditionalFormatting sqref="AZ6:BA6">
    <cfRule type="cellIs" dxfId="73" priority="51" operator="equal">
      <formula>"OJO H.E. AL 100%"</formula>
    </cfRule>
    <cfRule type="cellIs" dxfId="72" priority="52" operator="equal">
      <formula>"""OJO H.E. AL 100%"""</formula>
    </cfRule>
  </conditionalFormatting>
  <conditionalFormatting sqref="AX6:AY6">
    <cfRule type="cellIs" dxfId="71" priority="53" operator="equal">
      <formula>"OJO H.E. AL 100%"</formula>
    </cfRule>
    <cfRule type="cellIs" dxfId="70" priority="54" operator="equal">
      <formula>"""OJO H.E. AL 100%"""</formula>
    </cfRule>
  </conditionalFormatting>
  <conditionalFormatting sqref="BF6:BG6">
    <cfRule type="cellIs" dxfId="69" priority="49" operator="equal">
      <formula>"OJO H.E. AL 100%"</formula>
    </cfRule>
    <cfRule type="cellIs" dxfId="68" priority="50" operator="equal">
      <formula>"""OJO H.E. AL 100%"""</formula>
    </cfRule>
  </conditionalFormatting>
  <conditionalFormatting sqref="BJ6:BK6 BP6:BS6 BV6:BW6">
    <cfRule type="cellIs" dxfId="67" priority="47" operator="equal">
      <formula>"OJO H.E. AL 100%"</formula>
    </cfRule>
    <cfRule type="cellIs" dxfId="66" priority="48" operator="equal">
      <formula>"""OJO H.E. AL 100%"""</formula>
    </cfRule>
  </conditionalFormatting>
  <conditionalFormatting sqref="BN6:BO6">
    <cfRule type="cellIs" dxfId="65" priority="43" operator="equal">
      <formula>"OJO H.E. AL 100%"</formula>
    </cfRule>
    <cfRule type="cellIs" dxfId="64" priority="44" operator="equal">
      <formula>"""OJO H.E. AL 100%"""</formula>
    </cfRule>
  </conditionalFormatting>
  <conditionalFormatting sqref="BL6:BM6">
    <cfRule type="cellIs" dxfId="63" priority="45" operator="equal">
      <formula>"OJO H.E. AL 100%"</formula>
    </cfRule>
    <cfRule type="cellIs" dxfId="62" priority="46" operator="equal">
      <formula>"""OJO H.E. AL 100%"""</formula>
    </cfRule>
  </conditionalFormatting>
  <conditionalFormatting sqref="BT6:BU6">
    <cfRule type="cellIs" dxfId="61" priority="41" operator="equal">
      <formula>"OJO H.E. AL 100%"</formula>
    </cfRule>
    <cfRule type="cellIs" dxfId="60" priority="42" operator="equal">
      <formula>"""OJO H.E. AL 100%"""</formula>
    </cfRule>
  </conditionalFormatting>
  <conditionalFormatting sqref="BX6:BY6 CD6:CG6 CJ6:CK6">
    <cfRule type="cellIs" dxfId="59" priority="39" operator="equal">
      <formula>"OJO H.E. AL 100%"</formula>
    </cfRule>
    <cfRule type="cellIs" dxfId="58" priority="40" operator="equal">
      <formula>"""OJO H.E. AL 100%"""</formula>
    </cfRule>
  </conditionalFormatting>
  <conditionalFormatting sqref="CB6:CC6">
    <cfRule type="cellIs" dxfId="57" priority="35" operator="equal">
      <formula>"OJO H.E. AL 100%"</formula>
    </cfRule>
    <cfRule type="cellIs" dxfId="56" priority="36" operator="equal">
      <formula>"""OJO H.E. AL 100%"""</formula>
    </cfRule>
  </conditionalFormatting>
  <conditionalFormatting sqref="BZ6:CA6">
    <cfRule type="cellIs" dxfId="55" priority="37" operator="equal">
      <formula>"OJO H.E. AL 100%"</formula>
    </cfRule>
    <cfRule type="cellIs" dxfId="54" priority="38" operator="equal">
      <formula>"""OJO H.E. AL 100%"""</formula>
    </cfRule>
  </conditionalFormatting>
  <conditionalFormatting sqref="CH6:CI6">
    <cfRule type="cellIs" dxfId="53" priority="33" operator="equal">
      <formula>"OJO H.E. AL 100%"</formula>
    </cfRule>
    <cfRule type="cellIs" dxfId="52" priority="34" operator="equal">
      <formula>"""OJO H.E. AL 100%"""</formula>
    </cfRule>
  </conditionalFormatting>
  <conditionalFormatting sqref="CL6:CM6 CR6:CU6 CX6:CY6">
    <cfRule type="cellIs" dxfId="51" priority="31" operator="equal">
      <formula>"OJO H.E. AL 100%"</formula>
    </cfRule>
    <cfRule type="cellIs" dxfId="50" priority="32" operator="equal">
      <formula>"""OJO H.E. AL 100%"""</formula>
    </cfRule>
  </conditionalFormatting>
  <conditionalFormatting sqref="CP6:CQ6">
    <cfRule type="cellIs" dxfId="49" priority="27" operator="equal">
      <formula>"OJO H.E. AL 100%"</formula>
    </cfRule>
    <cfRule type="cellIs" dxfId="48" priority="28" operator="equal">
      <formula>"""OJO H.E. AL 100%"""</formula>
    </cfRule>
  </conditionalFormatting>
  <conditionalFormatting sqref="CN6:CO6">
    <cfRule type="cellIs" dxfId="47" priority="29" operator="equal">
      <formula>"OJO H.E. AL 100%"</formula>
    </cfRule>
    <cfRule type="cellIs" dxfId="46" priority="30" operator="equal">
      <formula>"""OJO H.E. AL 100%"""</formula>
    </cfRule>
  </conditionalFormatting>
  <conditionalFormatting sqref="CV6:CW6">
    <cfRule type="cellIs" dxfId="45" priority="25" operator="equal">
      <formula>"OJO H.E. AL 100%"</formula>
    </cfRule>
    <cfRule type="cellIs" dxfId="44" priority="26" operator="equal">
      <formula>"""OJO H.E. AL 100%"""</formula>
    </cfRule>
  </conditionalFormatting>
  <conditionalFormatting sqref="CZ6:DA6 DF6:DI6 DL6:DM6">
    <cfRule type="cellIs" dxfId="43" priority="23" operator="equal">
      <formula>"OJO H.E. AL 100%"</formula>
    </cfRule>
    <cfRule type="cellIs" dxfId="42" priority="24" operator="equal">
      <formula>"""OJO H.E. AL 100%"""</formula>
    </cfRule>
  </conditionalFormatting>
  <conditionalFormatting sqref="DD6:DE6">
    <cfRule type="cellIs" dxfId="41" priority="19" operator="equal">
      <formula>"OJO H.E. AL 100%"</formula>
    </cfRule>
    <cfRule type="cellIs" dxfId="40" priority="20" operator="equal">
      <formula>"""OJO H.E. AL 100%"""</formula>
    </cfRule>
  </conditionalFormatting>
  <conditionalFormatting sqref="DB6:DC6">
    <cfRule type="cellIs" dxfId="39" priority="21" operator="equal">
      <formula>"OJO H.E. AL 100%"</formula>
    </cfRule>
    <cfRule type="cellIs" dxfId="38" priority="22" operator="equal">
      <formula>"""OJO H.E. AL 100%"""</formula>
    </cfRule>
  </conditionalFormatting>
  <conditionalFormatting sqref="DJ6:DK6">
    <cfRule type="cellIs" dxfId="37" priority="17" operator="equal">
      <formula>"OJO H.E. AL 100%"</formula>
    </cfRule>
    <cfRule type="cellIs" dxfId="36" priority="18" operator="equal">
      <formula>"""OJO H.E. AL 100%"""</formula>
    </cfRule>
  </conditionalFormatting>
  <conditionalFormatting sqref="DN6:DO6 DT6:DW6 DZ6:EA6">
    <cfRule type="cellIs" dxfId="35" priority="15" operator="equal">
      <formula>"OJO H.E. AL 100%"</formula>
    </cfRule>
    <cfRule type="cellIs" dxfId="34" priority="16" operator="equal">
      <formula>"""OJO H.E. AL 100%"""</formula>
    </cfRule>
  </conditionalFormatting>
  <conditionalFormatting sqref="DR6:DS6">
    <cfRule type="cellIs" dxfId="33" priority="11" operator="equal">
      <formula>"OJO H.E. AL 100%"</formula>
    </cfRule>
    <cfRule type="cellIs" dxfId="32" priority="12" operator="equal">
      <formula>"""OJO H.E. AL 100%"""</formula>
    </cfRule>
  </conditionalFormatting>
  <conditionalFormatting sqref="DP6:DQ6">
    <cfRule type="cellIs" dxfId="31" priority="13" operator="equal">
      <formula>"OJO H.E. AL 100%"</formula>
    </cfRule>
    <cfRule type="cellIs" dxfId="30" priority="14" operator="equal">
      <formula>"""OJO H.E. AL 100%"""</formula>
    </cfRule>
  </conditionalFormatting>
  <conditionalFormatting sqref="DX6:DY6">
    <cfRule type="cellIs" dxfId="29" priority="9" operator="equal">
      <formula>"OJO H.E. AL 100%"</formula>
    </cfRule>
    <cfRule type="cellIs" dxfId="28" priority="10" operator="equal">
      <formula>"""OJO H.E. AL 100%"""</formula>
    </cfRule>
  </conditionalFormatting>
  <conditionalFormatting sqref="EB6:EC6 EH6:EK6 EN6:EO6">
    <cfRule type="cellIs" dxfId="27" priority="7" operator="equal">
      <formula>"OJO H.E. AL 100%"</formula>
    </cfRule>
    <cfRule type="cellIs" dxfId="26" priority="8" operator="equal">
      <formula>"""OJO H.E. AL 100%"""</formula>
    </cfRule>
  </conditionalFormatting>
  <conditionalFormatting sqref="EF6:EG6">
    <cfRule type="cellIs" dxfId="25" priority="3" operator="equal">
      <formula>"OJO H.E. AL 100%"</formula>
    </cfRule>
    <cfRule type="cellIs" dxfId="24" priority="4" operator="equal">
      <formula>"""OJO H.E. AL 100%"""</formula>
    </cfRule>
  </conditionalFormatting>
  <conditionalFormatting sqref="ED6:EE6">
    <cfRule type="cellIs" dxfId="23" priority="5" operator="equal">
      <formula>"OJO H.E. AL 100%"</formula>
    </cfRule>
    <cfRule type="cellIs" dxfId="22" priority="6" operator="equal">
      <formula>"""OJO H.E. AL 100%"""</formula>
    </cfRule>
  </conditionalFormatting>
  <conditionalFormatting sqref="EL6:EM6">
    <cfRule type="cellIs" dxfId="21" priority="1" operator="equal">
      <formula>"OJO H.E. AL 100%"</formula>
    </cfRule>
    <cfRule type="cellIs" dxfId="20" priority="2" operator="equal">
      <formula>"""OJO H.E. AL 100%"""</formula>
    </cfRule>
  </conditionalFormatting>
  <pageMargins left="0.51181102362204722" right="0.11811023622047245" top="0.15748031496062992" bottom="0.15748031496062992" header="0.31496062992125984" footer="0.31496062992125984"/>
  <pageSetup scale="75" orientation="portrait" horizontalDpi="120" verticalDpi="72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NOCHE_PESC'!$B$16:$B$26</xm:f>
          </x14:formula1>
          <xm:sqref>E10:E13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92D050"/>
  </sheetPr>
  <dimension ref="A1:BV32"/>
  <sheetViews>
    <sheetView topLeftCell="B1" zoomScale="60" zoomScaleNormal="60" workbookViewId="0">
      <pane xSplit="4" ySplit="9" topLeftCell="AC10" activePane="bottomRight" state="frozen"/>
      <selection activeCell="D22" sqref="D22"/>
      <selection pane="topRight" activeCell="D22" sqref="D22"/>
      <selection pane="bottomLeft" activeCell="D22" sqref="D22"/>
      <selection pane="bottomRight" activeCell="B17" sqref="A17:XFD17"/>
    </sheetView>
  </sheetViews>
  <sheetFormatPr baseColWidth="10" defaultRowHeight="15" x14ac:dyDescent="0.25"/>
  <cols>
    <col min="1" max="1" width="2.85546875" style="1" hidden="1" customWidth="1"/>
    <col min="2" max="2" width="7.85546875" style="1" customWidth="1"/>
    <col min="3" max="3" width="42.7109375" style="1" customWidth="1"/>
    <col min="4" max="4" width="14.7109375" style="1" customWidth="1"/>
    <col min="5" max="5" width="19" style="1" hidden="1" customWidth="1"/>
    <col min="6" max="7" width="7.7109375" style="1" customWidth="1"/>
    <col min="8" max="8" width="7.85546875" style="1" customWidth="1"/>
    <col min="9" max="9" width="9.7109375" style="1" customWidth="1"/>
    <col min="10" max="11" width="7.7109375" style="1" customWidth="1"/>
    <col min="12" max="12" width="6.7109375" style="1" customWidth="1"/>
    <col min="13" max="13" width="9.7109375" style="1" customWidth="1"/>
    <col min="14" max="14" width="7.7109375" style="1" customWidth="1"/>
    <col min="15" max="15" width="8.7109375" style="1" customWidth="1"/>
    <col min="16" max="16" width="6.7109375" style="1" customWidth="1"/>
    <col min="17" max="17" width="10" style="1" bestFit="1" customWidth="1"/>
    <col min="18" max="18" width="7.7109375" style="1" customWidth="1"/>
    <col min="19" max="19" width="8.140625" style="1" customWidth="1"/>
    <col min="20" max="20" width="6.7109375" style="1" customWidth="1"/>
    <col min="21" max="21" width="9.7109375" style="1" customWidth="1"/>
    <col min="22" max="23" width="7.7109375" style="1" customWidth="1"/>
    <col min="24" max="24" width="6.7109375" style="1" customWidth="1"/>
    <col min="25" max="25" width="10.7109375" style="1" customWidth="1"/>
    <col min="26" max="27" width="7.7109375" style="1" customWidth="1"/>
    <col min="28" max="28" width="6.7109375" style="1" customWidth="1"/>
    <col min="29" max="29" width="9.7109375" style="1" customWidth="1"/>
    <col min="30" max="31" width="7.7109375" style="1" customWidth="1"/>
    <col min="32" max="32" width="6.7109375" style="1" customWidth="1"/>
    <col min="33" max="33" width="10.7109375" style="1" customWidth="1"/>
    <col min="34" max="35" width="7.7109375" style="1" customWidth="1"/>
    <col min="36" max="36" width="6.7109375" style="1" customWidth="1"/>
    <col min="37" max="37" width="9.7109375" style="1" customWidth="1"/>
    <col min="38" max="39" width="7.7109375" style="1" customWidth="1"/>
    <col min="40" max="40" width="6.7109375" style="1" customWidth="1"/>
    <col min="41" max="41" width="10.7109375" style="1" customWidth="1"/>
    <col min="42" max="43" width="7.7109375" style="1" customWidth="1"/>
    <col min="44" max="44" width="6.7109375" style="1" customWidth="1"/>
    <col min="45" max="45" width="9.7109375" style="1" customWidth="1"/>
    <col min="46" max="47" width="7.7109375" style="1" customWidth="1"/>
    <col min="48" max="48" width="6.7109375" style="1" customWidth="1"/>
    <col min="49" max="49" width="10.7109375" style="1" customWidth="1"/>
    <col min="50" max="51" width="7.7109375" style="1" customWidth="1"/>
    <col min="52" max="52" width="6.7109375" style="1" customWidth="1"/>
    <col min="53" max="53" width="9.7109375" style="1" customWidth="1"/>
    <col min="54" max="55" width="7.7109375" style="1" customWidth="1"/>
    <col min="56" max="56" width="6.7109375" style="1" customWidth="1"/>
    <col min="57" max="57" width="10.7109375" style="1" customWidth="1"/>
    <col min="58" max="59" width="7.7109375" style="1" customWidth="1"/>
    <col min="60" max="60" width="6.7109375" style="1" customWidth="1"/>
    <col min="61" max="61" width="9.7109375" style="1" customWidth="1"/>
    <col min="62" max="62" width="15.42578125" style="9" bestFit="1" customWidth="1"/>
    <col min="63" max="63" width="11.5703125" style="9" bestFit="1" customWidth="1"/>
    <col min="64" max="64" width="4.7109375" style="9" customWidth="1"/>
    <col min="68" max="69" width="11.42578125" style="1"/>
    <col min="74" max="74" width="4.7109375" style="9" customWidth="1"/>
    <col min="75" max="16384" width="11.42578125" style="1"/>
  </cols>
  <sheetData>
    <row r="1" spans="2:74" ht="57.75" customHeight="1" x14ac:dyDescent="0.4">
      <c r="C1" s="391" t="s">
        <v>179</v>
      </c>
      <c r="D1" s="391"/>
      <c r="E1" s="227"/>
      <c r="F1" s="168" t="s">
        <v>127</v>
      </c>
      <c r="G1" s="169"/>
      <c r="H1" s="392" t="s">
        <v>128</v>
      </c>
      <c r="I1" s="392"/>
      <c r="J1" s="392"/>
      <c r="K1" s="392"/>
      <c r="L1" s="392"/>
      <c r="M1" s="392"/>
      <c r="N1" s="392"/>
      <c r="O1" s="392"/>
      <c r="P1" s="392"/>
      <c r="Q1" s="392"/>
      <c r="R1" s="392"/>
      <c r="S1" s="392"/>
      <c r="T1" s="392"/>
      <c r="U1" s="392"/>
      <c r="V1" s="392"/>
      <c r="W1" s="392"/>
      <c r="X1" s="392"/>
      <c r="Y1" s="392"/>
      <c r="Z1" s="392"/>
      <c r="AA1" s="392"/>
      <c r="AB1" s="392"/>
      <c r="AC1" s="392"/>
      <c r="AD1" s="392"/>
      <c r="AE1" s="392"/>
      <c r="AF1" s="392"/>
      <c r="AG1" s="392"/>
    </row>
    <row r="2" spans="2:74" ht="22.5" x14ac:dyDescent="0.4">
      <c r="C2" s="373" t="str">
        <f>+'Reporte Asistencia Laboral'!$C$3:$E$3</f>
        <v>BIOCASCAJAL CIA. LTDA.</v>
      </c>
      <c r="D2" s="373"/>
      <c r="E2" s="373"/>
      <c r="F2" s="367"/>
      <c r="G2" s="367"/>
      <c r="H2" s="367"/>
      <c r="I2" s="367"/>
      <c r="J2" s="367"/>
      <c r="K2" s="367"/>
      <c r="L2" s="367"/>
      <c r="M2" s="367"/>
      <c r="N2" s="367"/>
      <c r="O2" s="367"/>
      <c r="P2" s="367"/>
      <c r="Q2" s="367"/>
      <c r="R2" s="367"/>
      <c r="S2" s="367"/>
      <c r="T2" s="367"/>
      <c r="U2" s="367"/>
      <c r="V2" s="367"/>
      <c r="W2" s="367"/>
      <c r="X2" s="367"/>
      <c r="Y2" s="367"/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367"/>
      <c r="AP2" s="367"/>
      <c r="AQ2" s="367"/>
      <c r="AR2" s="367"/>
      <c r="AS2" s="367"/>
      <c r="AT2" s="367"/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7"/>
      <c r="BF2" s="367"/>
      <c r="BG2" s="367"/>
      <c r="BH2" s="367"/>
      <c r="BI2" s="367"/>
    </row>
    <row r="3" spans="2:74" ht="23.25" thickBot="1" x14ac:dyDescent="0.45">
      <c r="C3" s="366" t="s">
        <v>100</v>
      </c>
      <c r="D3" s="366"/>
      <c r="E3" s="366"/>
    </row>
    <row r="4" spans="2:74" ht="25.5" customHeight="1" thickBot="1" x14ac:dyDescent="0.3">
      <c r="C4" s="35" t="str">
        <f>IF(VARIOS!B4&gt;=14,IF(C5=0," ",+VARIOS!B11)," ")</f>
        <v xml:space="preserve"> </v>
      </c>
      <c r="F4" s="102"/>
      <c r="H4" s="128"/>
      <c r="N4" s="102"/>
      <c r="V4" s="102"/>
      <c r="AD4" s="102"/>
      <c r="AL4" s="102"/>
      <c r="AT4" s="102"/>
      <c r="BB4" s="102"/>
    </row>
    <row r="5" spans="2:74" ht="21.95" customHeight="1" thickBot="1" x14ac:dyDescent="0.4">
      <c r="B5" s="67" t="s">
        <v>98</v>
      </c>
      <c r="C5" s="172">
        <f>+'CONTROL H.E.'!C5</f>
        <v>0</v>
      </c>
      <c r="D5" s="70"/>
      <c r="F5" s="374">
        <f>Dato_Transf!B2</f>
        <v>0</v>
      </c>
      <c r="G5" s="375"/>
      <c r="H5" s="375"/>
      <c r="I5" s="375"/>
      <c r="J5" s="375"/>
      <c r="K5" s="375"/>
      <c r="L5" s="375"/>
      <c r="M5" s="376"/>
      <c r="N5" s="374">
        <f>Dato_Transf!I2</f>
        <v>0</v>
      </c>
      <c r="O5" s="375"/>
      <c r="P5" s="375"/>
      <c r="Q5" s="375"/>
      <c r="R5" s="375"/>
      <c r="S5" s="375"/>
      <c r="T5" s="375"/>
      <c r="U5" s="376"/>
      <c r="V5" s="374">
        <f>Dato_Transf!P2</f>
        <v>0</v>
      </c>
      <c r="W5" s="375"/>
      <c r="X5" s="375"/>
      <c r="Y5" s="375"/>
      <c r="Z5" s="375"/>
      <c r="AA5" s="375"/>
      <c r="AB5" s="375"/>
      <c r="AC5" s="376"/>
      <c r="AD5" s="374">
        <f>Dato_Transf!W2</f>
        <v>0</v>
      </c>
      <c r="AE5" s="375"/>
      <c r="AF5" s="375"/>
      <c r="AG5" s="375"/>
      <c r="AH5" s="375"/>
      <c r="AI5" s="375"/>
      <c r="AJ5" s="375"/>
      <c r="AK5" s="376"/>
      <c r="AL5" s="374">
        <f>Dato_Transf!AD2</f>
        <v>0</v>
      </c>
      <c r="AM5" s="375"/>
      <c r="AN5" s="375"/>
      <c r="AO5" s="375"/>
      <c r="AP5" s="375"/>
      <c r="AQ5" s="375"/>
      <c r="AR5" s="375"/>
      <c r="AS5" s="376"/>
      <c r="AT5" s="374">
        <f>Dato_Transf!AK2</f>
        <v>0</v>
      </c>
      <c r="AU5" s="375"/>
      <c r="AV5" s="375"/>
      <c r="AW5" s="375"/>
      <c r="AX5" s="375"/>
      <c r="AY5" s="375"/>
      <c r="AZ5" s="375"/>
      <c r="BA5" s="376"/>
      <c r="BB5" s="374">
        <f>Dato_Transf!AR2</f>
        <v>0</v>
      </c>
      <c r="BC5" s="375"/>
      <c r="BD5" s="375"/>
      <c r="BE5" s="375"/>
      <c r="BF5" s="375"/>
      <c r="BG5" s="375"/>
      <c r="BH5" s="375"/>
      <c r="BI5" s="376"/>
    </row>
    <row r="6" spans="2:74" s="3" customFormat="1" ht="21.95" customHeight="1" thickBot="1" x14ac:dyDescent="0.35">
      <c r="B6" s="98" t="s">
        <v>99</v>
      </c>
      <c r="C6" s="172">
        <f>+'CONTROL H.E.'!C6</f>
        <v>0</v>
      </c>
      <c r="D6" s="81" t="s">
        <v>169</v>
      </c>
      <c r="F6" s="370" t="str">
        <f>IF(F5=0,"INGRESE DIA POR FAVOR",IF(WEEKDAY(F5)=7,"OJO H.E. AL 100%",IF(WEEKDAY(F5)=1,"OJO H.E. AL 100%",IF(F4="F","OJO H.E. AL 100%","INGRESAR HORAS EXTRAS"))))</f>
        <v>INGRESE DIA POR FAVOR</v>
      </c>
      <c r="G6" s="371"/>
      <c r="H6" s="371"/>
      <c r="I6" s="371"/>
      <c r="J6" s="371"/>
      <c r="K6" s="371"/>
      <c r="L6" s="371"/>
      <c r="M6" s="372"/>
      <c r="N6" s="370" t="str">
        <f>IF(N5=0,"INGRESE DIA POR FAVOR",IF(WEEKDAY(N5)=7,"OJO H.E. AL 100%",IF(WEEKDAY(N5)=1,"OJO H.E. AL 100%",IF(N4="F","OJO H.E. AL 100%","INGRESAR HORAS EXTRAS"))))</f>
        <v>INGRESE DIA POR FAVOR</v>
      </c>
      <c r="O6" s="371"/>
      <c r="P6" s="371"/>
      <c r="Q6" s="371"/>
      <c r="R6" s="371"/>
      <c r="S6" s="371"/>
      <c r="T6" s="371"/>
      <c r="U6" s="372"/>
      <c r="V6" s="370" t="str">
        <f>IF(V5=0,"INGRESE DIA POR FAVOR",IF(WEEKDAY(V5)=7,"OJO H.E. AL 100%",IF(WEEKDAY(V5)=1,"OJO H.E. AL 100%",IF(V4="F","OJO H.E. AL 100%","INGRESAR HORAS EXTRAS"))))</f>
        <v>INGRESE DIA POR FAVOR</v>
      </c>
      <c r="W6" s="371"/>
      <c r="X6" s="371"/>
      <c r="Y6" s="371"/>
      <c r="Z6" s="371"/>
      <c r="AA6" s="371"/>
      <c r="AB6" s="371"/>
      <c r="AC6" s="372"/>
      <c r="AD6" s="370" t="str">
        <f>IF(AD5=0,"INGRESE DIA POR FAVOR",IF(WEEKDAY(AD5)=7,"OJO H.E. AL 100%",IF(WEEKDAY(AD5)=1,"OJO H.E. AL 100%",IF(AD4="F","OJO H.E. AL 100%","INGRESAR HORAS EXTRAS"))))</f>
        <v>INGRESE DIA POR FAVOR</v>
      </c>
      <c r="AE6" s="371"/>
      <c r="AF6" s="371"/>
      <c r="AG6" s="371"/>
      <c r="AH6" s="371"/>
      <c r="AI6" s="371"/>
      <c r="AJ6" s="371"/>
      <c r="AK6" s="372"/>
      <c r="AL6" s="370" t="str">
        <f>IF(AL5=0,"INGRESE DIA POR FAVOR",IF(WEEKDAY(AL5)=7,"OJO H.E. AL 100%",IF(WEEKDAY(AL5)=1,"OJO H.E. AL 100%",IF(AL4="F","OJO H.E. AL 100%","INGRESAR HORAS EXTRAS"))))</f>
        <v>INGRESE DIA POR FAVOR</v>
      </c>
      <c r="AM6" s="371"/>
      <c r="AN6" s="371"/>
      <c r="AO6" s="371"/>
      <c r="AP6" s="371"/>
      <c r="AQ6" s="371"/>
      <c r="AR6" s="371"/>
      <c r="AS6" s="372"/>
      <c r="AT6" s="370" t="str">
        <f>IF(AT5=0,"INGRESE DIA POR FAVOR",IF(WEEKDAY(AT5)=7,"OJO H.E. AL 100%",IF(WEEKDAY(AT5)=1,"OJO H.E. AL 100%",IF(AT4="F","OJO H.E. AL 100%","INGRESAR HORAS EXTRAS"))))</f>
        <v>INGRESE DIA POR FAVOR</v>
      </c>
      <c r="AU6" s="371"/>
      <c r="AV6" s="371"/>
      <c r="AW6" s="371"/>
      <c r="AX6" s="371"/>
      <c r="AY6" s="371"/>
      <c r="AZ6" s="371"/>
      <c r="BA6" s="372"/>
      <c r="BB6" s="370" t="str">
        <f>IF(BB5=0,"INGRESE DIA POR FAVOR",IF(WEEKDAY(BB5)=7,"OJO H.E. AL 100%",IF(WEEKDAY(BB5)=1,"OJO H.E. AL 100%",IF(BB4="F","OJO H.E. AL 100%","INGRESAR HORAS EXTRAS"))))</f>
        <v>INGRESE DIA POR FAVOR</v>
      </c>
      <c r="BC6" s="371"/>
      <c r="BD6" s="371"/>
      <c r="BE6" s="371"/>
      <c r="BF6" s="371"/>
      <c r="BG6" s="371"/>
      <c r="BH6" s="371"/>
      <c r="BI6" s="372"/>
      <c r="BJ6" s="9"/>
      <c r="BK6" s="9"/>
      <c r="BL6" s="9"/>
      <c r="BV6" s="9"/>
    </row>
    <row r="7" spans="2:74" ht="19.5" thickBot="1" x14ac:dyDescent="0.3">
      <c r="B7" s="44" t="s">
        <v>88</v>
      </c>
      <c r="C7" s="84" t="e">
        <f>VLOOKUP(C5,VARIOS!B16:D40,3,0)</f>
        <v>#N/A</v>
      </c>
      <c r="F7" s="386" t="s">
        <v>12</v>
      </c>
      <c r="G7" s="386"/>
      <c r="H7" s="386"/>
      <c r="I7" s="386"/>
      <c r="J7" s="386"/>
      <c r="K7" s="386"/>
      <c r="L7" s="386"/>
      <c r="M7" s="387"/>
      <c r="N7" s="385" t="s">
        <v>12</v>
      </c>
      <c r="O7" s="386"/>
      <c r="P7" s="386"/>
      <c r="Q7" s="386"/>
      <c r="R7" s="386"/>
      <c r="S7" s="386"/>
      <c r="T7" s="386"/>
      <c r="U7" s="387"/>
      <c r="V7" s="385" t="s">
        <v>12</v>
      </c>
      <c r="W7" s="386"/>
      <c r="X7" s="386"/>
      <c r="Y7" s="386"/>
      <c r="Z7" s="386"/>
      <c r="AA7" s="386"/>
      <c r="AB7" s="386"/>
      <c r="AC7" s="387"/>
      <c r="AD7" s="385" t="s">
        <v>12</v>
      </c>
      <c r="AE7" s="386"/>
      <c r="AF7" s="386"/>
      <c r="AG7" s="386"/>
      <c r="AH7" s="386"/>
      <c r="AI7" s="386"/>
      <c r="AJ7" s="386"/>
      <c r="AK7" s="387"/>
      <c r="AL7" s="385" t="s">
        <v>12</v>
      </c>
      <c r="AM7" s="386"/>
      <c r="AN7" s="386"/>
      <c r="AO7" s="386"/>
      <c r="AP7" s="386"/>
      <c r="AQ7" s="386"/>
      <c r="AR7" s="386"/>
      <c r="AS7" s="387"/>
      <c r="AT7" s="385" t="s">
        <v>12</v>
      </c>
      <c r="AU7" s="386"/>
      <c r="AV7" s="386"/>
      <c r="AW7" s="386"/>
      <c r="AX7" s="386"/>
      <c r="AY7" s="386"/>
      <c r="AZ7" s="386"/>
      <c r="BA7" s="387"/>
      <c r="BB7" s="385" t="s">
        <v>12</v>
      </c>
      <c r="BC7" s="386"/>
      <c r="BD7" s="386"/>
      <c r="BE7" s="386"/>
      <c r="BF7" s="386"/>
      <c r="BG7" s="386"/>
      <c r="BH7" s="386"/>
      <c r="BI7" s="387"/>
      <c r="BJ7" s="377" t="s">
        <v>12</v>
      </c>
      <c r="BK7" s="378"/>
    </row>
    <row r="8" spans="2:74" ht="39.75" customHeight="1" thickBot="1" x14ac:dyDescent="0.3">
      <c r="F8" s="379" t="s">
        <v>94</v>
      </c>
      <c r="G8" s="380"/>
      <c r="H8" s="380"/>
      <c r="I8" s="381"/>
      <c r="J8" s="382" t="s">
        <v>119</v>
      </c>
      <c r="K8" s="383"/>
      <c r="L8" s="383"/>
      <c r="M8" s="384"/>
      <c r="N8" s="379" t="s">
        <v>94</v>
      </c>
      <c r="O8" s="380"/>
      <c r="P8" s="380"/>
      <c r="Q8" s="381"/>
      <c r="R8" s="379" t="s">
        <v>95</v>
      </c>
      <c r="S8" s="380"/>
      <c r="T8" s="380"/>
      <c r="U8" s="381"/>
      <c r="V8" s="379" t="s">
        <v>94</v>
      </c>
      <c r="W8" s="380"/>
      <c r="X8" s="380"/>
      <c r="Y8" s="381"/>
      <c r="Z8" s="379" t="s">
        <v>95</v>
      </c>
      <c r="AA8" s="380"/>
      <c r="AB8" s="380"/>
      <c r="AC8" s="381"/>
      <c r="AD8" s="379" t="s">
        <v>94</v>
      </c>
      <c r="AE8" s="380"/>
      <c r="AF8" s="380"/>
      <c r="AG8" s="381"/>
      <c r="AH8" s="379" t="s">
        <v>95</v>
      </c>
      <c r="AI8" s="380"/>
      <c r="AJ8" s="380"/>
      <c r="AK8" s="381"/>
      <c r="AL8" s="379" t="s">
        <v>94</v>
      </c>
      <c r="AM8" s="380"/>
      <c r="AN8" s="380"/>
      <c r="AO8" s="381"/>
      <c r="AP8" s="379" t="s">
        <v>95</v>
      </c>
      <c r="AQ8" s="380"/>
      <c r="AR8" s="380"/>
      <c r="AS8" s="381"/>
      <c r="AT8" s="379" t="s">
        <v>94</v>
      </c>
      <c r="AU8" s="380"/>
      <c r="AV8" s="380"/>
      <c r="AW8" s="381"/>
      <c r="AX8" s="379" t="s">
        <v>95</v>
      </c>
      <c r="AY8" s="380"/>
      <c r="AZ8" s="380"/>
      <c r="BA8" s="381"/>
      <c r="BB8" s="379" t="s">
        <v>94</v>
      </c>
      <c r="BC8" s="380"/>
      <c r="BD8" s="380"/>
      <c r="BE8" s="381"/>
      <c r="BF8" s="379" t="s">
        <v>95</v>
      </c>
      <c r="BG8" s="380"/>
      <c r="BH8" s="380"/>
      <c r="BI8" s="381"/>
      <c r="BJ8" s="228"/>
      <c r="BK8" s="229"/>
    </row>
    <row r="9" spans="2:74" ht="54.95" customHeight="1" x14ac:dyDescent="0.25">
      <c r="B9" s="10" t="s">
        <v>13</v>
      </c>
      <c r="C9" s="80" t="s">
        <v>0</v>
      </c>
      <c r="D9" s="79" t="s">
        <v>33</v>
      </c>
      <c r="E9" s="37" t="s">
        <v>1</v>
      </c>
      <c r="F9" s="230" t="s">
        <v>92</v>
      </c>
      <c r="G9" s="231" t="s">
        <v>93</v>
      </c>
      <c r="H9" s="232" t="s">
        <v>96</v>
      </c>
      <c r="I9" s="233" t="s">
        <v>91</v>
      </c>
      <c r="J9" s="230" t="s">
        <v>92</v>
      </c>
      <c r="K9" s="231" t="s">
        <v>93</v>
      </c>
      <c r="L9" s="232" t="s">
        <v>97</v>
      </c>
      <c r="M9" s="233" t="s">
        <v>91</v>
      </c>
      <c r="N9" s="230" t="s">
        <v>92</v>
      </c>
      <c r="O9" s="231" t="s">
        <v>93</v>
      </c>
      <c r="P9" s="232" t="s">
        <v>96</v>
      </c>
      <c r="Q9" s="233" t="s">
        <v>91</v>
      </c>
      <c r="R9" s="230" t="s">
        <v>92</v>
      </c>
      <c r="S9" s="231" t="s">
        <v>93</v>
      </c>
      <c r="T9" s="232" t="s">
        <v>97</v>
      </c>
      <c r="U9" s="233" t="s">
        <v>91</v>
      </c>
      <c r="V9" s="230" t="s">
        <v>92</v>
      </c>
      <c r="W9" s="231" t="s">
        <v>93</v>
      </c>
      <c r="X9" s="232" t="s">
        <v>96</v>
      </c>
      <c r="Y9" s="233" t="s">
        <v>91</v>
      </c>
      <c r="Z9" s="230" t="s">
        <v>92</v>
      </c>
      <c r="AA9" s="231" t="s">
        <v>93</v>
      </c>
      <c r="AB9" s="232" t="s">
        <v>97</v>
      </c>
      <c r="AC9" s="233" t="s">
        <v>91</v>
      </c>
      <c r="AD9" s="230" t="s">
        <v>92</v>
      </c>
      <c r="AE9" s="231" t="s">
        <v>93</v>
      </c>
      <c r="AF9" s="232" t="s">
        <v>96</v>
      </c>
      <c r="AG9" s="233" t="s">
        <v>91</v>
      </c>
      <c r="AH9" s="230" t="s">
        <v>92</v>
      </c>
      <c r="AI9" s="231" t="s">
        <v>93</v>
      </c>
      <c r="AJ9" s="232" t="s">
        <v>97</v>
      </c>
      <c r="AK9" s="233" t="s">
        <v>91</v>
      </c>
      <c r="AL9" s="230" t="s">
        <v>92</v>
      </c>
      <c r="AM9" s="231" t="s">
        <v>93</v>
      </c>
      <c r="AN9" s="232" t="s">
        <v>96</v>
      </c>
      <c r="AO9" s="233" t="s">
        <v>91</v>
      </c>
      <c r="AP9" s="230" t="s">
        <v>92</v>
      </c>
      <c r="AQ9" s="231" t="s">
        <v>93</v>
      </c>
      <c r="AR9" s="232" t="s">
        <v>97</v>
      </c>
      <c r="AS9" s="233" t="s">
        <v>91</v>
      </c>
      <c r="AT9" s="230" t="s">
        <v>92</v>
      </c>
      <c r="AU9" s="231" t="s">
        <v>93</v>
      </c>
      <c r="AV9" s="232" t="s">
        <v>96</v>
      </c>
      <c r="AW9" s="233" t="s">
        <v>91</v>
      </c>
      <c r="AX9" s="230" t="s">
        <v>92</v>
      </c>
      <c r="AY9" s="231" t="s">
        <v>93</v>
      </c>
      <c r="AZ9" s="232" t="s">
        <v>97</v>
      </c>
      <c r="BA9" s="233" t="s">
        <v>91</v>
      </c>
      <c r="BB9" s="230" t="s">
        <v>92</v>
      </c>
      <c r="BC9" s="231" t="s">
        <v>93</v>
      </c>
      <c r="BD9" s="232" t="s">
        <v>96</v>
      </c>
      <c r="BE9" s="233" t="s">
        <v>91</v>
      </c>
      <c r="BF9" s="230" t="s">
        <v>92</v>
      </c>
      <c r="BG9" s="231" t="s">
        <v>93</v>
      </c>
      <c r="BH9" s="232" t="s">
        <v>97</v>
      </c>
      <c r="BI9" s="233" t="s">
        <v>91</v>
      </c>
      <c r="BJ9" s="13" t="s">
        <v>45</v>
      </c>
      <c r="BK9" s="37" t="s">
        <v>46</v>
      </c>
      <c r="BL9" s="3"/>
      <c r="BV9" s="3"/>
    </row>
    <row r="10" spans="2:74" ht="30" customHeight="1" x14ac:dyDescent="0.3">
      <c r="B10" s="23">
        <f>'Reporte Asistencia Laboral'!B11</f>
        <v>1</v>
      </c>
      <c r="C10" s="77" t="str">
        <f>IFERROR(VLOOKUP(D10,EMPLEADO!C:Q,15,0),"")</f>
        <v>MATAILO PINTA MIGUEL ANGEL</v>
      </c>
      <c r="D10" s="6" t="str">
        <f>'Reporte Asistencia Laboral'!D11</f>
        <v>110352731-1</v>
      </c>
      <c r="E10" s="38" t="s">
        <v>23</v>
      </c>
      <c r="F10" s="53">
        <f>IFERROR(VLOOKUP($C10,Dato_Transf!$A:$G,3,FALSE()),0)</f>
        <v>0</v>
      </c>
      <c r="G10" s="53">
        <f>IFERROR(VLOOKUP($C10,Dato_Transf!$A:$G,4,FALSE()),0)</f>
        <v>0</v>
      </c>
      <c r="H10" s="101">
        <f t="shared" ref="H10" si="0">IF($F$6="OJO H.E. AL 100%",0,(G10-F10)*24)</f>
        <v>0</v>
      </c>
      <c r="I10" s="47" t="str">
        <f>IF(H10=0," ",VLOOKUP($C10,Dato_Transf!$A:$G,7,FALSE()))</f>
        <v xml:space="preserve"> </v>
      </c>
      <c r="J10" s="53">
        <f>IFERROR(VLOOKUP($C10,Dato_Transf!$A:$G,5,FALSE()),0)</f>
        <v>0</v>
      </c>
      <c r="K10" s="53">
        <f>IFERROR(VLOOKUP($C10,Dato_Transf!$A:$G,6,FALSE()),0)</f>
        <v>0</v>
      </c>
      <c r="L10" s="101">
        <f t="shared" ref="L10" si="1">(+K10-J10)*24</f>
        <v>0</v>
      </c>
      <c r="M10" s="47" t="str">
        <f>IF(L10=0," ",VLOOKUP($C10,Dato_Transf!$A:$G,7,FALSE()))</f>
        <v xml:space="preserve"> </v>
      </c>
      <c r="N10" s="53">
        <f>IFERROR(VLOOKUP($C10,Dato_Transf!$H:$N,3,FALSE()),0)</f>
        <v>0</v>
      </c>
      <c r="O10" s="53">
        <f>IFERROR(VLOOKUP($C10,Dato_Transf!$H:$N,4,FALSE()),0)</f>
        <v>0</v>
      </c>
      <c r="P10" s="101">
        <f t="shared" ref="P10:P13" si="2">IF($F$6="OJO H.E. AL 100%",0,(O10-N10)*24)</f>
        <v>0</v>
      </c>
      <c r="Q10" s="47" t="str">
        <f>IF(P10=0," ",VLOOKUP($C10,Dato_Transf!$H:$N,7,FALSE()))</f>
        <v xml:space="preserve"> </v>
      </c>
      <c r="R10" s="53">
        <f>IFERROR(VLOOKUP($C10,Dato_Transf!$H:$N,5,FALSE()),0)</f>
        <v>0</v>
      </c>
      <c r="S10" s="53">
        <f>IFERROR(VLOOKUP($C10,Dato_Transf!$H:$N,6,FALSE()),0)</f>
        <v>0</v>
      </c>
      <c r="T10" s="101">
        <f t="shared" ref="T10:T13" si="3">(+S10-R10)*24</f>
        <v>0</v>
      </c>
      <c r="U10" s="47" t="str">
        <f>IF(T10=0," ",VLOOKUP($C10,Dato_Transf!$H:$N,7,FALSE()))</f>
        <v xml:space="preserve"> </v>
      </c>
      <c r="V10" s="53">
        <f>IFERROR(VLOOKUP($C10,Dato_Transf!$O:$U,3,FALSE()),0)</f>
        <v>0</v>
      </c>
      <c r="W10" s="53">
        <f>IFERROR(VLOOKUP($C10,Dato_Transf!$O:$U,4,FALSE()),0)</f>
        <v>0</v>
      </c>
      <c r="X10" s="101">
        <f t="shared" ref="X10:X13" si="4">IF($F$6="OJO H.E. AL 100%",0,(W10-V10)*24)</f>
        <v>0</v>
      </c>
      <c r="Y10" s="47" t="str">
        <f>IF(X10=0," ",VLOOKUP($C10,Dato_Transf!$O:$U,7,FALSE()))</f>
        <v xml:space="preserve"> </v>
      </c>
      <c r="Z10" s="53">
        <f>IFERROR(VLOOKUP($C10,Dato_Transf!$O:$U,5,FALSE()),0)</f>
        <v>0</v>
      </c>
      <c r="AA10" s="53">
        <f>IFERROR(VLOOKUP($C10,Dato_Transf!$O:$U,6,FALSE()),0)</f>
        <v>0</v>
      </c>
      <c r="AB10" s="101">
        <f t="shared" ref="AB10:AB13" si="5">(+AA10-Z10)*24</f>
        <v>0</v>
      </c>
      <c r="AC10" s="47" t="str">
        <f>IF(AB10=0," ",VLOOKUP($C10,Dato_Transf!$O:$U,7,FALSE()))</f>
        <v xml:space="preserve"> </v>
      </c>
      <c r="AD10" s="53">
        <f>IFERROR(VLOOKUP($C10,Dato_Transf!$V:$AB,3,FALSE()),0)</f>
        <v>0</v>
      </c>
      <c r="AE10" s="53">
        <f>IFERROR(VLOOKUP($C10,Dato_Transf!$V:$AB,4,FALSE()),0)</f>
        <v>0</v>
      </c>
      <c r="AF10" s="101">
        <f t="shared" ref="AF10:AF13" si="6">IF($F$6="OJO H.E. AL 100%",0,(AE10-AD10)*24)</f>
        <v>0</v>
      </c>
      <c r="AG10" s="47" t="str">
        <f>IF(AF10=0," ",VLOOKUP($C10,Dato_Transf!$V:$AB,7,FALSE()))</f>
        <v xml:space="preserve"> </v>
      </c>
      <c r="AH10" s="53">
        <f>IFERROR(VLOOKUP($C10,Dato_Transf!$V:$AB,5,FALSE()),0)</f>
        <v>0</v>
      </c>
      <c r="AI10" s="53">
        <f>IFERROR(VLOOKUP($C10,Dato_Transf!$V:$AB,6,FALSE()),0)</f>
        <v>0</v>
      </c>
      <c r="AJ10" s="101">
        <f t="shared" ref="AJ10:AJ13" si="7">(+AI10-AH10)*24</f>
        <v>0</v>
      </c>
      <c r="AK10" s="47" t="str">
        <f>IF(AJ10=0," ",VLOOKUP($C10,Dato_Transf!$V:$AB,7,FALSE()))</f>
        <v xml:space="preserve"> </v>
      </c>
      <c r="AL10" s="53">
        <f>IFERROR(VLOOKUP($C10,Dato_Transf!$AC:$AI,3,FALSE()),0)</f>
        <v>0</v>
      </c>
      <c r="AM10" s="53">
        <f>IFERROR(VLOOKUP($C10,Dato_Transf!$AC:$AI,4,FALSE()),0)</f>
        <v>0</v>
      </c>
      <c r="AN10" s="101">
        <f t="shared" ref="AN10:AN13" si="8">IF($F$6="OJO H.E. AL 100%",0,(AM10-AL10)*24)</f>
        <v>0</v>
      </c>
      <c r="AO10" s="47" t="str">
        <f>IF(AN10=0," ",VLOOKUP($C10,Dato_Transf!$AC:$AI,7,FALSE()))</f>
        <v xml:space="preserve"> </v>
      </c>
      <c r="AP10" s="53">
        <f>IFERROR(VLOOKUP($C10,Dato_Transf!$AC:$AI,5,FALSE()),0)</f>
        <v>0</v>
      </c>
      <c r="AQ10" s="53">
        <f>IFERROR(VLOOKUP($C10,Dato_Transf!$AC:$AI,6,FALSE()),0)</f>
        <v>0</v>
      </c>
      <c r="AR10" s="101">
        <f t="shared" ref="AR10:AR13" si="9">(+AQ10-AP10)*24</f>
        <v>0</v>
      </c>
      <c r="AS10" s="47" t="str">
        <f>IF(AR10=0," ",VLOOKUP($C10,Dato_Transf!$AC:$AI,7,FALSE()))</f>
        <v xml:space="preserve"> </v>
      </c>
      <c r="AT10" s="53">
        <f>IFERROR(VLOOKUP($C10,Dato_Transf!$AJ:$AP,3,FALSE()),0)</f>
        <v>0</v>
      </c>
      <c r="AU10" s="53">
        <f>IFERROR(VLOOKUP($C10,Dato_Transf!$AJ:$AP,4,FALSE()),0)</f>
        <v>0</v>
      </c>
      <c r="AV10" s="101">
        <f t="shared" ref="AV10:AV13" si="10">IF($F$6="OJO H.E. AL 100%",0,(AU10-AT10)*24)</f>
        <v>0</v>
      </c>
      <c r="AW10" s="47" t="str">
        <f>IF(AV10=0," ",VLOOKUP($C10,Dato_Transf!$AJ:$AP,7,FALSE()))</f>
        <v xml:space="preserve"> </v>
      </c>
      <c r="AX10" s="53">
        <f>IFERROR(VLOOKUP($C10,Dato_Transf!$AJ:$AP,5,FALSE()),0)</f>
        <v>0</v>
      </c>
      <c r="AY10" s="53">
        <f>IFERROR(VLOOKUP($C10,Dato_Transf!$AJ:$AP,6,FALSE()),0)</f>
        <v>0</v>
      </c>
      <c r="AZ10" s="101">
        <f t="shared" ref="AZ10:AZ13" si="11">(+AY10-AX10)*24</f>
        <v>0</v>
      </c>
      <c r="BA10" s="47" t="str">
        <f>IF(AZ10=0," ",VLOOKUP($C10,Dato_Transf!$AJ:$AP,7,FALSE()))</f>
        <v xml:space="preserve"> </v>
      </c>
      <c r="BB10" s="53">
        <f>IFERROR(VLOOKUP($C10,Dato_Transf!$AQ:$AW,3,FALSE()),0)</f>
        <v>0</v>
      </c>
      <c r="BC10" s="53">
        <f>IFERROR(VLOOKUP($C10,Dato_Transf!$AQ:$AW,4,FALSE()),0)</f>
        <v>0</v>
      </c>
      <c r="BD10" s="101">
        <f t="shared" ref="BD10:BD13" si="12">IF($F$6="OJO H.E. AL 100%",0,(BC10-BB10)*24)</f>
        <v>0</v>
      </c>
      <c r="BE10" s="47" t="str">
        <f>IF(BD10=0," ",VLOOKUP($C10,Dato_Transf!$AQ:$AW,7,FALSE()))</f>
        <v xml:space="preserve"> </v>
      </c>
      <c r="BF10" s="53">
        <f>IFERROR(VLOOKUP($C10,Dato_Transf!$AQ:$AW,5,FALSE()),0)</f>
        <v>0</v>
      </c>
      <c r="BG10" s="53">
        <f>IFERROR(VLOOKUP($C10,Dato_Transf!$AQ:$AW,6,FALSE()),0)</f>
        <v>0</v>
      </c>
      <c r="BH10" s="101">
        <f t="shared" ref="BH10:BH13" si="13">(+BG10-BF10)*24</f>
        <v>0</v>
      </c>
      <c r="BI10" s="47" t="str">
        <f>IF(BH10=0," ",VLOOKUP($C10,Dato_Transf!$AQ:$AW,7,FALSE()))</f>
        <v xml:space="preserve"> </v>
      </c>
      <c r="BJ10" s="99">
        <f t="shared" ref="BJ10:BJ13" si="14">H10+P10+X10+AF10+AN10+AV10+BD10</f>
        <v>0</v>
      </c>
      <c r="BK10" s="100">
        <f t="shared" ref="BK10:BK13" si="15">L10+T10+AB10+AJ10+AR10+AZ10+BH10</f>
        <v>0</v>
      </c>
      <c r="BL10" s="36"/>
      <c r="BV10" s="36"/>
    </row>
    <row r="11" spans="2:74" ht="30" customHeight="1" x14ac:dyDescent="0.3">
      <c r="B11" s="23">
        <f>'Reporte Asistencia Laboral'!B12</f>
        <v>2</v>
      </c>
      <c r="C11" s="77" t="str">
        <f>IFERROR(VLOOKUP(D11,EMPLEADO!C:Q,15,0),"")</f>
        <v>HELGUERO MARTINEZ CARLOS RENE</v>
      </c>
      <c r="D11" s="6" t="str">
        <f>'Reporte Asistencia Laboral'!D12</f>
        <v>070362264-7</v>
      </c>
      <c r="E11" s="38" t="s">
        <v>17</v>
      </c>
      <c r="F11" s="53">
        <f>IFERROR(VLOOKUP($C11,Dato_Transf!$A:$G,3,FALSE()),0)</f>
        <v>0</v>
      </c>
      <c r="G11" s="53">
        <f>IFERROR(VLOOKUP($C11,Dato_Transf!$A:$G,4,FALSE()),0)</f>
        <v>0</v>
      </c>
      <c r="H11" s="101">
        <f t="shared" ref="H11:H13" si="16">IF($F$6="OJO H.E. AL 100%",0,(G11-F11)*24)</f>
        <v>0</v>
      </c>
      <c r="I11" s="47" t="str">
        <f>IF(H11=0," ",VLOOKUP($C11,Dato_Transf!$A:$G,7,FALSE))</f>
        <v xml:space="preserve"> </v>
      </c>
      <c r="J11" s="53">
        <f>IFERROR(VLOOKUP($C11,Dato_Transf!$A:$G,5,FALSE()),0)</f>
        <v>0</v>
      </c>
      <c r="K11" s="53">
        <f>IFERROR(VLOOKUP($C11,Dato_Transf!$A:$G,6,FALSE()),0)</f>
        <v>0</v>
      </c>
      <c r="L11" s="101">
        <f t="shared" ref="L11:L13" si="17">(+K11-J11)*24</f>
        <v>0</v>
      </c>
      <c r="M11" s="47" t="str">
        <f>IF(L11=0," ",VLOOKUP($C11,Dato_Transf!$A:$G,7,FALSE))</f>
        <v xml:space="preserve"> </v>
      </c>
      <c r="N11" s="53">
        <f>IFERROR(VLOOKUP($C11,Dato_Transf!$H:$N,3,FALSE()),0)</f>
        <v>0</v>
      </c>
      <c r="O11" s="53">
        <f>IFERROR(VLOOKUP($C11,Dato_Transf!$H:$N,4,FALSE()),0)</f>
        <v>0</v>
      </c>
      <c r="P11" s="101">
        <f t="shared" si="2"/>
        <v>0</v>
      </c>
      <c r="Q11" s="47" t="str">
        <f>IF(P11=0," ",VLOOKUP($C11,Dato_Transf!$H:$N,7,FALSE()))</f>
        <v xml:space="preserve"> </v>
      </c>
      <c r="R11" s="53">
        <f>IFERROR(VLOOKUP($C11,Dato_Transf!$H:$N,5,FALSE()),0)</f>
        <v>0</v>
      </c>
      <c r="S11" s="53">
        <f>IFERROR(VLOOKUP($C11,Dato_Transf!$H:$N,6,FALSE()),0)</f>
        <v>0</v>
      </c>
      <c r="T11" s="101">
        <f t="shared" si="3"/>
        <v>0</v>
      </c>
      <c r="U11" s="47" t="str">
        <f>IF(T11=0," ",VLOOKUP($C11,Dato_Transf!$H:$N,7,FALSE()))</f>
        <v xml:space="preserve"> </v>
      </c>
      <c r="V11" s="53">
        <f>IFERROR(VLOOKUP($C11,Dato_Transf!$O:$U,3,FALSE()),0)</f>
        <v>0</v>
      </c>
      <c r="W11" s="53">
        <f>IFERROR(VLOOKUP($C11,Dato_Transf!$O:$U,4,FALSE()),0)</f>
        <v>0</v>
      </c>
      <c r="X11" s="101">
        <f t="shared" si="4"/>
        <v>0</v>
      </c>
      <c r="Y11" s="47" t="str">
        <f>IF(X11=0," ",VLOOKUP($C11,Dato_Transf!$O:$U,7,FALSE()))</f>
        <v xml:space="preserve"> </v>
      </c>
      <c r="Z11" s="53">
        <f>IFERROR(VLOOKUP($C11,Dato_Transf!$O:$U,5,FALSE()),0)</f>
        <v>0</v>
      </c>
      <c r="AA11" s="53">
        <f>IFERROR(VLOOKUP($C11,Dato_Transf!$O:$U,6,FALSE()),0)</f>
        <v>0</v>
      </c>
      <c r="AB11" s="101">
        <f t="shared" si="5"/>
        <v>0</v>
      </c>
      <c r="AC11" s="47" t="str">
        <f>IF(AB11=0," ",VLOOKUP($C11,Dato_Transf!$O:$U,7,FALSE()))</f>
        <v xml:space="preserve"> </v>
      </c>
      <c r="AD11" s="53">
        <f>IFERROR(VLOOKUP($C11,Dato_Transf!$V:$AB,3,FALSE()),0)</f>
        <v>0</v>
      </c>
      <c r="AE11" s="53">
        <f>IFERROR(VLOOKUP($C11,Dato_Transf!$V:$AB,4,FALSE()),0)</f>
        <v>0</v>
      </c>
      <c r="AF11" s="101">
        <f t="shared" si="6"/>
        <v>0</v>
      </c>
      <c r="AG11" s="47" t="str">
        <f>IF(AF11=0," ",VLOOKUP($C11,Dato_Transf!$V:$AB,7,FALSE()))</f>
        <v xml:space="preserve"> </v>
      </c>
      <c r="AH11" s="53">
        <f>IFERROR(VLOOKUP($C11,Dato_Transf!$V:$AB,5,FALSE()),0)</f>
        <v>0</v>
      </c>
      <c r="AI11" s="53">
        <f>IFERROR(VLOOKUP($C11,Dato_Transf!$V:$AB,6,FALSE()),0)</f>
        <v>0</v>
      </c>
      <c r="AJ11" s="101">
        <f t="shared" si="7"/>
        <v>0</v>
      </c>
      <c r="AK11" s="47" t="str">
        <f>IF(AJ11=0," ",VLOOKUP($C11,Dato_Transf!$V:$AB,7,FALSE()))</f>
        <v xml:space="preserve"> </v>
      </c>
      <c r="AL11" s="53">
        <f>IFERROR(VLOOKUP($C11,Dato_Transf!$AC:$AI,3,FALSE()),0)</f>
        <v>0</v>
      </c>
      <c r="AM11" s="53">
        <f>IFERROR(VLOOKUP($C11,Dato_Transf!$AC:$AI,4,FALSE()),0)</f>
        <v>0</v>
      </c>
      <c r="AN11" s="101">
        <f t="shared" si="8"/>
        <v>0</v>
      </c>
      <c r="AO11" s="47" t="str">
        <f>IF(AN11=0," ",VLOOKUP($C11,Dato_Transf!$AC:$AI,7,FALSE()))</f>
        <v xml:space="preserve"> </v>
      </c>
      <c r="AP11" s="53">
        <f>IFERROR(VLOOKUP($C11,Dato_Transf!$AC:$AI,5,FALSE()),0)</f>
        <v>0</v>
      </c>
      <c r="AQ11" s="53">
        <f>IFERROR(VLOOKUP($C11,Dato_Transf!$AC:$AI,6,FALSE()),0)</f>
        <v>0</v>
      </c>
      <c r="AR11" s="101">
        <f t="shared" si="9"/>
        <v>0</v>
      </c>
      <c r="AS11" s="47" t="str">
        <f>IF(AR11=0," ",VLOOKUP($C11,Dato_Transf!$AC:$AI,7,FALSE()))</f>
        <v xml:space="preserve"> </v>
      </c>
      <c r="AT11" s="53">
        <f>IFERROR(VLOOKUP($C11,Dato_Transf!$AJ:$AP,3,FALSE()),0)</f>
        <v>0</v>
      </c>
      <c r="AU11" s="53">
        <f>IFERROR(VLOOKUP($C11,Dato_Transf!$AJ:$AP,4,FALSE()),0)</f>
        <v>0</v>
      </c>
      <c r="AV11" s="101">
        <f t="shared" si="10"/>
        <v>0</v>
      </c>
      <c r="AW11" s="47" t="str">
        <f>IF(AV11=0," ",VLOOKUP($C11,Dato_Transf!$AJ:$AP,7,FALSE()))</f>
        <v xml:space="preserve"> </v>
      </c>
      <c r="AX11" s="53">
        <f>IFERROR(VLOOKUP($C11,Dato_Transf!$AJ:$AP,5,FALSE()),0)</f>
        <v>0</v>
      </c>
      <c r="AY11" s="53">
        <f>IFERROR(VLOOKUP($C11,Dato_Transf!$AJ:$AP,6,FALSE()),0)</f>
        <v>0</v>
      </c>
      <c r="AZ11" s="101">
        <f t="shared" si="11"/>
        <v>0</v>
      </c>
      <c r="BA11" s="47" t="str">
        <f>IF(AZ11=0," ",VLOOKUP($C11,Dato_Transf!$AJ:$AP,7,FALSE()))</f>
        <v xml:space="preserve"> </v>
      </c>
      <c r="BB11" s="53">
        <f>IFERROR(VLOOKUP($C11,Dato_Transf!$AQ:$AW,3,FALSE()),0)</f>
        <v>0</v>
      </c>
      <c r="BC11" s="53">
        <f>IFERROR(VLOOKUP($C11,Dato_Transf!$AQ:$AW,4,FALSE()),0)</f>
        <v>0</v>
      </c>
      <c r="BD11" s="101">
        <f t="shared" si="12"/>
        <v>0</v>
      </c>
      <c r="BE11" s="47" t="str">
        <f>IF(BD11=0," ",VLOOKUP($C11,Dato_Transf!$AQ:$AW,7,FALSE()))</f>
        <v xml:space="preserve"> </v>
      </c>
      <c r="BF11" s="53">
        <f>IFERROR(VLOOKUP($C11,Dato_Transf!$AQ:$AW,5,FALSE()),0)</f>
        <v>0</v>
      </c>
      <c r="BG11" s="53">
        <f>IFERROR(VLOOKUP($C11,Dato_Transf!$AQ:$AW,6,FALSE()),0)</f>
        <v>0</v>
      </c>
      <c r="BH11" s="101">
        <f t="shared" si="13"/>
        <v>0</v>
      </c>
      <c r="BI11" s="47" t="str">
        <f>IF(BH11=0," ",VLOOKUP($C11,Dato_Transf!$AQ:$AW,7,FALSE()))</f>
        <v xml:space="preserve"> </v>
      </c>
      <c r="BJ11" s="99">
        <f t="shared" si="14"/>
        <v>0</v>
      </c>
      <c r="BK11" s="100">
        <f t="shared" si="15"/>
        <v>0</v>
      </c>
      <c r="BL11" s="36"/>
      <c r="BV11" s="36"/>
    </row>
    <row r="12" spans="2:74" ht="30" customHeight="1" x14ac:dyDescent="0.3">
      <c r="B12" s="23">
        <f>'Reporte Asistencia Laboral'!B13</f>
        <v>3</v>
      </c>
      <c r="C12" s="77" t="str">
        <f>IFERROR(VLOOKUP(D12,EMPLEADO!C:Q,15,0),"")</f>
        <v>ACARO HERRERA ESTALIN RODRIGO</v>
      </c>
      <c r="D12" s="6" t="str">
        <f>'Reporte Asistencia Laboral'!D13</f>
        <v>115049676-6</v>
      </c>
      <c r="E12" s="38" t="s">
        <v>17</v>
      </c>
      <c r="F12" s="53">
        <f>IFERROR(VLOOKUP($C12,Dato_Transf!$A:$G,3,FALSE()),0)</f>
        <v>0</v>
      </c>
      <c r="G12" s="53">
        <f>IFERROR(VLOOKUP($C12,Dato_Transf!$A:$G,4,FALSE()),0)</f>
        <v>0</v>
      </c>
      <c r="H12" s="101">
        <f t="shared" si="16"/>
        <v>0</v>
      </c>
      <c r="I12" s="47" t="str">
        <f>IF(H12=0," ",VLOOKUP($C12,Dato_Transf!$A:$G,7,FALSE))</f>
        <v xml:space="preserve"> </v>
      </c>
      <c r="J12" s="53">
        <f>IFERROR(VLOOKUP($C12,Dato_Transf!$A:$G,5,FALSE()),0)</f>
        <v>0</v>
      </c>
      <c r="K12" s="53">
        <f>IFERROR(VLOOKUP($C12,Dato_Transf!$A:$G,6,FALSE()),0)</f>
        <v>0</v>
      </c>
      <c r="L12" s="101">
        <f t="shared" si="17"/>
        <v>0</v>
      </c>
      <c r="M12" s="47" t="str">
        <f>IF(L12=0," ",VLOOKUP($C12,Dato_Transf!$A:$G,7,FALSE))</f>
        <v xml:space="preserve"> </v>
      </c>
      <c r="N12" s="53">
        <f>IFERROR(VLOOKUP($C12,Dato_Transf!$H:$N,3,FALSE()),0)</f>
        <v>0</v>
      </c>
      <c r="O12" s="53">
        <f>IFERROR(VLOOKUP($C12,Dato_Transf!$H:$N,4,FALSE()),0)</f>
        <v>0</v>
      </c>
      <c r="P12" s="101">
        <f t="shared" si="2"/>
        <v>0</v>
      </c>
      <c r="Q12" s="47" t="str">
        <f>IF(P12=0," ",VLOOKUP($C12,Dato_Transf!$H:$N,7,FALSE()))</f>
        <v xml:space="preserve"> </v>
      </c>
      <c r="R12" s="53">
        <f>IFERROR(VLOOKUP($C12,Dato_Transf!$H:$N,5,FALSE()),0)</f>
        <v>0</v>
      </c>
      <c r="S12" s="53">
        <f>IFERROR(VLOOKUP($C12,Dato_Transf!$H:$N,6,FALSE()),0)</f>
        <v>0</v>
      </c>
      <c r="T12" s="101">
        <f t="shared" si="3"/>
        <v>0</v>
      </c>
      <c r="U12" s="47" t="str">
        <f>IF(T12=0," ",VLOOKUP($C12,Dato_Transf!$H:$N,7,FALSE()))</f>
        <v xml:space="preserve"> </v>
      </c>
      <c r="V12" s="53">
        <f>IFERROR(VLOOKUP($C12,Dato_Transf!$O:$U,3,FALSE()),0)</f>
        <v>0</v>
      </c>
      <c r="W12" s="53">
        <f>IFERROR(VLOOKUP($C12,Dato_Transf!$O:$U,4,FALSE()),0)</f>
        <v>0</v>
      </c>
      <c r="X12" s="101">
        <f t="shared" si="4"/>
        <v>0</v>
      </c>
      <c r="Y12" s="47" t="str">
        <f>IF(X12=0," ",VLOOKUP($C12,Dato_Transf!$O:$U,7,FALSE()))</f>
        <v xml:space="preserve"> </v>
      </c>
      <c r="Z12" s="53">
        <f>IFERROR(VLOOKUP($C12,Dato_Transf!$O:$U,5,FALSE()),0)</f>
        <v>0</v>
      </c>
      <c r="AA12" s="53">
        <f>IFERROR(VLOOKUP($C12,Dato_Transf!$O:$U,6,FALSE()),0)</f>
        <v>0</v>
      </c>
      <c r="AB12" s="101">
        <f t="shared" si="5"/>
        <v>0</v>
      </c>
      <c r="AC12" s="47" t="str">
        <f>IF(AB12=0," ",VLOOKUP($C12,Dato_Transf!$O:$U,7,FALSE()))</f>
        <v xml:space="preserve"> </v>
      </c>
      <c r="AD12" s="53">
        <f>IFERROR(VLOOKUP($C12,Dato_Transf!$V:$AB,3,FALSE()),0)</f>
        <v>0</v>
      </c>
      <c r="AE12" s="53">
        <f>IFERROR(VLOOKUP($C12,Dato_Transf!$V:$AB,4,FALSE()),0)</f>
        <v>0</v>
      </c>
      <c r="AF12" s="101">
        <f t="shared" si="6"/>
        <v>0</v>
      </c>
      <c r="AG12" s="47" t="str">
        <f>IF(AF12=0," ",VLOOKUP($C12,Dato_Transf!$V:$AB,7,FALSE()))</f>
        <v xml:space="preserve"> </v>
      </c>
      <c r="AH12" s="53">
        <f>IFERROR(VLOOKUP($C12,Dato_Transf!$V:$AB,5,FALSE()),0)</f>
        <v>0</v>
      </c>
      <c r="AI12" s="53">
        <f>IFERROR(VLOOKUP($C12,Dato_Transf!$V:$AB,6,FALSE()),0)</f>
        <v>0</v>
      </c>
      <c r="AJ12" s="101">
        <f t="shared" si="7"/>
        <v>0</v>
      </c>
      <c r="AK12" s="47" t="str">
        <f>IF(AJ12=0," ",VLOOKUP($C12,Dato_Transf!$V:$AB,7,FALSE()))</f>
        <v xml:space="preserve"> </v>
      </c>
      <c r="AL12" s="53">
        <f>IFERROR(VLOOKUP($C12,Dato_Transf!$AC:$AI,3,FALSE()),0)</f>
        <v>0</v>
      </c>
      <c r="AM12" s="53">
        <f>IFERROR(VLOOKUP($C12,Dato_Transf!$AC:$AI,4,FALSE()),0)</f>
        <v>0</v>
      </c>
      <c r="AN12" s="101">
        <f t="shared" si="8"/>
        <v>0</v>
      </c>
      <c r="AO12" s="47" t="str">
        <f>IF(AN12=0," ",VLOOKUP($C12,Dato_Transf!$AC:$AI,7,FALSE()))</f>
        <v xml:space="preserve"> </v>
      </c>
      <c r="AP12" s="53">
        <f>IFERROR(VLOOKUP($C12,Dato_Transf!$AC:$AI,5,FALSE()),0)</f>
        <v>0</v>
      </c>
      <c r="AQ12" s="53">
        <f>IFERROR(VLOOKUP($C12,Dato_Transf!$AC:$AI,6,FALSE()),0)</f>
        <v>0</v>
      </c>
      <c r="AR12" s="101">
        <f t="shared" si="9"/>
        <v>0</v>
      </c>
      <c r="AS12" s="47" t="str">
        <f>IF(AR12=0," ",VLOOKUP($C12,Dato_Transf!$AC:$AI,7,FALSE()))</f>
        <v xml:space="preserve"> </v>
      </c>
      <c r="AT12" s="53">
        <f>IFERROR(VLOOKUP($C12,Dato_Transf!$AJ:$AP,3,FALSE()),0)</f>
        <v>0</v>
      </c>
      <c r="AU12" s="53">
        <f>IFERROR(VLOOKUP($C12,Dato_Transf!$AJ:$AP,4,FALSE()),0)</f>
        <v>0</v>
      </c>
      <c r="AV12" s="101">
        <f t="shared" si="10"/>
        <v>0</v>
      </c>
      <c r="AW12" s="47" t="str">
        <f>IF(AV12=0," ",VLOOKUP($C12,Dato_Transf!$AJ:$AP,7,FALSE()))</f>
        <v xml:space="preserve"> </v>
      </c>
      <c r="AX12" s="53">
        <f>IFERROR(VLOOKUP($C12,Dato_Transf!$AJ:$AP,5,FALSE()),0)</f>
        <v>0</v>
      </c>
      <c r="AY12" s="53">
        <f>IFERROR(VLOOKUP($C12,Dato_Transf!$AJ:$AP,6,FALSE()),0)</f>
        <v>0</v>
      </c>
      <c r="AZ12" s="101">
        <f t="shared" si="11"/>
        <v>0</v>
      </c>
      <c r="BA12" s="47" t="str">
        <f>IF(AZ12=0," ",VLOOKUP($C12,Dato_Transf!$AJ:$AP,7,FALSE()))</f>
        <v xml:space="preserve"> </v>
      </c>
      <c r="BB12" s="53">
        <f>IFERROR(VLOOKUP($C12,Dato_Transf!$AQ:$AW,3,FALSE()),0)</f>
        <v>0</v>
      </c>
      <c r="BC12" s="53">
        <f>IFERROR(VLOOKUP($C12,Dato_Transf!$AQ:$AW,4,FALSE()),0)</f>
        <v>0</v>
      </c>
      <c r="BD12" s="101">
        <f t="shared" si="12"/>
        <v>0</v>
      </c>
      <c r="BE12" s="47" t="str">
        <f>IF(BD12=0," ",VLOOKUP($C12,Dato_Transf!$AQ:$AW,7,FALSE()))</f>
        <v xml:space="preserve"> </v>
      </c>
      <c r="BF12" s="53">
        <f>IFERROR(VLOOKUP($C12,Dato_Transf!$AQ:$AW,5,FALSE()),0)</f>
        <v>0</v>
      </c>
      <c r="BG12" s="53">
        <f>IFERROR(VLOOKUP($C12,Dato_Transf!$AQ:$AW,6,FALSE()),0)</f>
        <v>0</v>
      </c>
      <c r="BH12" s="101">
        <f t="shared" si="13"/>
        <v>0</v>
      </c>
      <c r="BI12" s="47" t="str">
        <f>IF(BH12=0," ",VLOOKUP($C12,Dato_Transf!$AQ:$AW,7,FALSE()))</f>
        <v xml:space="preserve"> </v>
      </c>
      <c r="BJ12" s="99">
        <f t="shared" si="14"/>
        <v>0</v>
      </c>
      <c r="BK12" s="100">
        <f t="shared" si="15"/>
        <v>0</v>
      </c>
      <c r="BL12" s="36"/>
      <c r="BV12" s="36"/>
    </row>
    <row r="13" spans="2:74" ht="30" customHeight="1" x14ac:dyDescent="0.3">
      <c r="B13" s="23">
        <f>'Reporte Asistencia Laboral'!B14</f>
        <v>4</v>
      </c>
      <c r="C13" s="77" t="str">
        <f>IFERROR(VLOOKUP(D13,EMPLEADO!C:Q,15,0),"")</f>
        <v>ZHANAY CABRERA ELVIS WLADIMIR</v>
      </c>
      <c r="D13" s="6" t="str">
        <f>'Reporte Asistencia Laboral'!D14</f>
        <v>110581707-4</v>
      </c>
      <c r="E13" s="39" t="s">
        <v>17</v>
      </c>
      <c r="F13" s="53">
        <f>IFERROR(VLOOKUP($C13,Dato_Transf!$A:$G,3,FALSE()),0)</f>
        <v>0</v>
      </c>
      <c r="G13" s="53">
        <f>IFERROR(VLOOKUP($C13,Dato_Transf!$A:$G,4,FALSE()),0)</f>
        <v>0</v>
      </c>
      <c r="H13" s="101">
        <f t="shared" si="16"/>
        <v>0</v>
      </c>
      <c r="I13" s="47" t="str">
        <f>IF(H13=0," ",VLOOKUP($C13,Dato_Transf!$A:$G,7,FALSE))</f>
        <v xml:space="preserve"> </v>
      </c>
      <c r="J13" s="53">
        <f>IFERROR(VLOOKUP($C13,Dato_Transf!$A:$G,5,FALSE()),0)</f>
        <v>0</v>
      </c>
      <c r="K13" s="53">
        <f>IFERROR(VLOOKUP($C13,Dato_Transf!$A:$G,6,FALSE()),0)</f>
        <v>0</v>
      </c>
      <c r="L13" s="101">
        <f t="shared" si="17"/>
        <v>0</v>
      </c>
      <c r="M13" s="47" t="str">
        <f>IF(L13=0," ",VLOOKUP($C13,Dato_Transf!$A:$G,7,FALSE))</f>
        <v xml:space="preserve"> </v>
      </c>
      <c r="N13" s="53">
        <f>IFERROR(VLOOKUP($C13,Dato_Transf!$H:$N,3,FALSE()),0)</f>
        <v>0</v>
      </c>
      <c r="O13" s="53">
        <f>IFERROR(VLOOKUP($C13,Dato_Transf!$H:$N,4,FALSE()),0)</f>
        <v>0</v>
      </c>
      <c r="P13" s="101">
        <f t="shared" si="2"/>
        <v>0</v>
      </c>
      <c r="Q13" s="47" t="str">
        <f>IF(P13=0," ",VLOOKUP($C13,Dato_Transf!$H:$N,7,FALSE()))</f>
        <v xml:space="preserve"> </v>
      </c>
      <c r="R13" s="53">
        <f>IFERROR(VLOOKUP($C13,Dato_Transf!$H:$N,5,FALSE()),0)</f>
        <v>0</v>
      </c>
      <c r="S13" s="53">
        <f>IFERROR(VLOOKUP($C13,Dato_Transf!$H:$N,6,FALSE()),0)</f>
        <v>0</v>
      </c>
      <c r="T13" s="101">
        <f t="shared" si="3"/>
        <v>0</v>
      </c>
      <c r="U13" s="47" t="str">
        <f>IF(T13=0," ",VLOOKUP($C13,Dato_Transf!$H:$N,7,FALSE()))</f>
        <v xml:space="preserve"> </v>
      </c>
      <c r="V13" s="53">
        <f>IFERROR(VLOOKUP($C13,Dato_Transf!$O:$U,3,FALSE()),0)</f>
        <v>0</v>
      </c>
      <c r="W13" s="53">
        <f>IFERROR(VLOOKUP($C13,Dato_Transf!$O:$U,4,FALSE()),0)</f>
        <v>0</v>
      </c>
      <c r="X13" s="101">
        <f t="shared" si="4"/>
        <v>0</v>
      </c>
      <c r="Y13" s="47" t="str">
        <f>IF(X13=0," ",VLOOKUP($C13,Dato_Transf!$O:$U,7,FALSE()))</f>
        <v xml:space="preserve"> </v>
      </c>
      <c r="Z13" s="53">
        <f>IFERROR(VLOOKUP($C13,Dato_Transf!$O:$U,5,FALSE()),0)</f>
        <v>0</v>
      </c>
      <c r="AA13" s="53">
        <f>IFERROR(VLOOKUP($C13,Dato_Transf!$O:$U,6,FALSE()),0)</f>
        <v>0</v>
      </c>
      <c r="AB13" s="101">
        <f t="shared" si="5"/>
        <v>0</v>
      </c>
      <c r="AC13" s="47" t="str">
        <f>IF(AB13=0," ",VLOOKUP($C13,Dato_Transf!$O:$U,7,FALSE()))</f>
        <v xml:space="preserve"> </v>
      </c>
      <c r="AD13" s="53">
        <f>IFERROR(VLOOKUP($C13,Dato_Transf!$V:$AB,3,FALSE()),0)</f>
        <v>0</v>
      </c>
      <c r="AE13" s="53">
        <f>IFERROR(VLOOKUP($C13,Dato_Transf!$V:$AB,4,FALSE()),0)</f>
        <v>0</v>
      </c>
      <c r="AF13" s="101">
        <f t="shared" si="6"/>
        <v>0</v>
      </c>
      <c r="AG13" s="47" t="str">
        <f>IF(AF13=0," ",VLOOKUP($C13,Dato_Transf!$V:$AB,7,FALSE()))</f>
        <v xml:space="preserve"> </v>
      </c>
      <c r="AH13" s="53">
        <f>IFERROR(VLOOKUP($C13,Dato_Transf!$V:$AB,5,FALSE()),0)</f>
        <v>0</v>
      </c>
      <c r="AI13" s="53">
        <f>IFERROR(VLOOKUP($C13,Dato_Transf!$V:$AB,6,FALSE()),0)</f>
        <v>0</v>
      </c>
      <c r="AJ13" s="101">
        <f t="shared" si="7"/>
        <v>0</v>
      </c>
      <c r="AK13" s="47" t="str">
        <f>IF(AJ13=0," ",VLOOKUP($C13,Dato_Transf!$V:$AB,7,FALSE()))</f>
        <v xml:space="preserve"> </v>
      </c>
      <c r="AL13" s="53">
        <f>IFERROR(VLOOKUP($C13,Dato_Transf!$AC:$AI,3,FALSE()),0)</f>
        <v>0</v>
      </c>
      <c r="AM13" s="53">
        <f>IFERROR(VLOOKUP($C13,Dato_Transf!$AC:$AI,4,FALSE()),0)</f>
        <v>0</v>
      </c>
      <c r="AN13" s="101">
        <f t="shared" si="8"/>
        <v>0</v>
      </c>
      <c r="AO13" s="47" t="str">
        <f>IF(AN13=0," ",VLOOKUP($C13,Dato_Transf!$AC:$AI,7,FALSE()))</f>
        <v xml:space="preserve"> </v>
      </c>
      <c r="AP13" s="53">
        <f>IFERROR(VLOOKUP($C13,Dato_Transf!$AC:$AI,5,FALSE()),0)</f>
        <v>0</v>
      </c>
      <c r="AQ13" s="53">
        <f>IFERROR(VLOOKUP($C13,Dato_Transf!$AC:$AI,6,FALSE()),0)</f>
        <v>0</v>
      </c>
      <c r="AR13" s="101">
        <f t="shared" si="9"/>
        <v>0</v>
      </c>
      <c r="AS13" s="47" t="str">
        <f>IF(AR13=0," ",VLOOKUP($C13,Dato_Transf!$AC:$AI,7,FALSE()))</f>
        <v xml:space="preserve"> </v>
      </c>
      <c r="AT13" s="53">
        <f>IFERROR(VLOOKUP($C13,Dato_Transf!$AJ:$AP,3,FALSE()),0)</f>
        <v>0</v>
      </c>
      <c r="AU13" s="53">
        <f>IFERROR(VLOOKUP($C13,Dato_Transf!$AJ:$AP,4,FALSE()),0)</f>
        <v>0</v>
      </c>
      <c r="AV13" s="101">
        <f t="shared" si="10"/>
        <v>0</v>
      </c>
      <c r="AW13" s="47" t="str">
        <f>IF(AV13=0," ",VLOOKUP($C13,Dato_Transf!$AJ:$AP,7,FALSE()))</f>
        <v xml:space="preserve"> </v>
      </c>
      <c r="AX13" s="53">
        <f>IFERROR(VLOOKUP($C13,Dato_Transf!$AJ:$AP,5,FALSE()),0)</f>
        <v>0</v>
      </c>
      <c r="AY13" s="53">
        <f>IFERROR(VLOOKUP($C13,Dato_Transf!$AJ:$AP,6,FALSE()),0)</f>
        <v>0</v>
      </c>
      <c r="AZ13" s="101">
        <f t="shared" si="11"/>
        <v>0</v>
      </c>
      <c r="BA13" s="47" t="str">
        <f>IF(AZ13=0," ",VLOOKUP($C13,Dato_Transf!$AJ:$AP,7,FALSE()))</f>
        <v xml:space="preserve"> </v>
      </c>
      <c r="BB13" s="53">
        <f>IFERROR(VLOOKUP($C13,Dato_Transf!$AQ:$AW,3,FALSE()),0)</f>
        <v>0</v>
      </c>
      <c r="BC13" s="53">
        <f>IFERROR(VLOOKUP($C13,Dato_Transf!$AQ:$AW,4,FALSE()),0)</f>
        <v>0</v>
      </c>
      <c r="BD13" s="101">
        <f t="shared" si="12"/>
        <v>0</v>
      </c>
      <c r="BE13" s="47" t="str">
        <f>IF(BD13=0," ",VLOOKUP($C13,Dato_Transf!$AQ:$AW,7,FALSE()))</f>
        <v xml:space="preserve"> </v>
      </c>
      <c r="BF13" s="53">
        <f>IFERROR(VLOOKUP($C13,Dato_Transf!$AQ:$AW,5,FALSE()),0)</f>
        <v>0</v>
      </c>
      <c r="BG13" s="53">
        <f>IFERROR(VLOOKUP($C13,Dato_Transf!$AQ:$AW,6,FALSE()),0)</f>
        <v>0</v>
      </c>
      <c r="BH13" s="101">
        <f t="shared" si="13"/>
        <v>0</v>
      </c>
      <c r="BI13" s="47" t="str">
        <f>IF(BH13=0," ",VLOOKUP($C13,Dato_Transf!$AQ:$AW,7,FALSE()))</f>
        <v xml:space="preserve"> </v>
      </c>
      <c r="BJ13" s="99">
        <f t="shared" si="14"/>
        <v>0</v>
      </c>
      <c r="BK13" s="100">
        <f t="shared" si="15"/>
        <v>0</v>
      </c>
      <c r="BL13" s="36"/>
      <c r="BV13" s="36"/>
    </row>
    <row r="14" spans="2:74" ht="30" customHeight="1" x14ac:dyDescent="0.3">
      <c r="B14" s="23">
        <f>'Reporte Asistencia Laboral'!B15</f>
        <v>5</v>
      </c>
      <c r="C14" s="77" t="str">
        <f>IFERROR(VLOOKUP(D14,EMPLEADO!C:Q,15,0),"")</f>
        <v>GUEVARA HERRERA VICENTE PATRICIO</v>
      </c>
      <c r="D14" s="6" t="str">
        <f>'Reporte Asistencia Laboral'!D15</f>
        <v>110533025-0</v>
      </c>
      <c r="E14" s="150"/>
      <c r="F14" s="53">
        <f>IFERROR(VLOOKUP($C14,Dato_Transf!$A:$G,3,FALSE()),0)</f>
        <v>0</v>
      </c>
      <c r="G14" s="53">
        <f>IFERROR(VLOOKUP($C14,Dato_Transf!$A:$G,4,FALSE()),0)</f>
        <v>0</v>
      </c>
      <c r="H14" s="101">
        <f t="shared" ref="H14" si="18">IF($F$6="OJO H.E. AL 100%",0,(G14-F14)*24)</f>
        <v>0</v>
      </c>
      <c r="I14" s="47" t="str">
        <f>IF(H14=0," ",VLOOKUP($C14,Dato_Transf!$A:$G,7,FALSE))</f>
        <v xml:space="preserve"> </v>
      </c>
      <c r="J14" s="53">
        <f>IFERROR(VLOOKUP($C14,Dato_Transf!$A:$G,5,FALSE()),0)</f>
        <v>0</v>
      </c>
      <c r="K14" s="53">
        <f>IFERROR(VLOOKUP($C14,Dato_Transf!$A:$G,6,FALSE()),0)</f>
        <v>0</v>
      </c>
      <c r="L14" s="101">
        <f t="shared" ref="L14" si="19">(+K14-J14)*24</f>
        <v>0</v>
      </c>
      <c r="M14" s="47" t="str">
        <f>IF(L14=0," ",VLOOKUP($C14,Dato_Transf!$A:$G,7,FALSE))</f>
        <v xml:space="preserve"> </v>
      </c>
      <c r="N14" s="53">
        <f>IFERROR(VLOOKUP($C14,Dato_Transf!$H:$N,3,FALSE()),0)</f>
        <v>0</v>
      </c>
      <c r="O14" s="53">
        <f>IFERROR(VLOOKUP($C14,Dato_Transf!$H:$N,4,FALSE()),0)</f>
        <v>0</v>
      </c>
      <c r="P14" s="101">
        <f t="shared" ref="P14" si="20">IF($F$6="OJO H.E. AL 100%",0,(O14-N14)*24)</f>
        <v>0</v>
      </c>
      <c r="Q14" s="47" t="str">
        <f>IF(P14=0," ",VLOOKUP($C14,Dato_Transf!$H:$N,7,FALSE()))</f>
        <v xml:space="preserve"> </v>
      </c>
      <c r="R14" s="53">
        <f>IFERROR(VLOOKUP($C14,Dato_Transf!$H:$N,5,FALSE()),0)</f>
        <v>0</v>
      </c>
      <c r="S14" s="53">
        <f>IFERROR(VLOOKUP($C14,Dato_Transf!$H:$N,6,FALSE()),0)</f>
        <v>0</v>
      </c>
      <c r="T14" s="101">
        <f t="shared" ref="T14" si="21">(+S14-R14)*24</f>
        <v>0</v>
      </c>
      <c r="U14" s="47" t="str">
        <f>IF(T14=0," ",VLOOKUP($C14,Dato_Transf!$H:$N,7,FALSE()))</f>
        <v xml:space="preserve"> </v>
      </c>
      <c r="V14" s="53">
        <f>IFERROR(VLOOKUP($C14,Dato_Transf!$O:$U,3,FALSE()),0)</f>
        <v>0</v>
      </c>
      <c r="W14" s="53">
        <f>IFERROR(VLOOKUP($C14,Dato_Transf!$O:$U,4,FALSE()),0)</f>
        <v>0</v>
      </c>
      <c r="X14" s="101">
        <f t="shared" ref="X14" si="22">IF($F$6="OJO H.E. AL 100%",0,(W14-V14)*24)</f>
        <v>0</v>
      </c>
      <c r="Y14" s="47" t="str">
        <f>IF(X14=0," ",VLOOKUP($C14,Dato_Transf!$O:$U,7,FALSE()))</f>
        <v xml:space="preserve"> </v>
      </c>
      <c r="Z14" s="53">
        <f>IFERROR(VLOOKUP($C14,Dato_Transf!$O:$U,5,FALSE()),0)</f>
        <v>0</v>
      </c>
      <c r="AA14" s="53">
        <f>IFERROR(VLOOKUP($C14,Dato_Transf!$O:$U,6,FALSE()),0)</f>
        <v>0</v>
      </c>
      <c r="AB14" s="101">
        <f t="shared" ref="AB14" si="23">(+AA14-Z14)*24</f>
        <v>0</v>
      </c>
      <c r="AC14" s="47" t="str">
        <f>IF(AB14=0," ",VLOOKUP($C14,Dato_Transf!$O:$U,7,FALSE()))</f>
        <v xml:space="preserve"> </v>
      </c>
      <c r="AD14" s="53">
        <f>IFERROR(VLOOKUP($C14,Dato_Transf!$V:$AB,3,FALSE()),0)</f>
        <v>0</v>
      </c>
      <c r="AE14" s="53">
        <f>IFERROR(VLOOKUP($C14,Dato_Transf!$V:$AB,4,FALSE()),0)</f>
        <v>0</v>
      </c>
      <c r="AF14" s="101">
        <f t="shared" ref="AF14" si="24">IF($F$6="OJO H.E. AL 100%",0,(AE14-AD14)*24)</f>
        <v>0</v>
      </c>
      <c r="AG14" s="47" t="str">
        <f>IF(AF14=0," ",VLOOKUP($C14,Dato_Transf!$V:$AB,7,FALSE()))</f>
        <v xml:space="preserve"> </v>
      </c>
      <c r="AH14" s="53">
        <f>IFERROR(VLOOKUP($C14,Dato_Transf!$V:$AB,5,FALSE()),0)</f>
        <v>0</v>
      </c>
      <c r="AI14" s="53">
        <f>IFERROR(VLOOKUP($C14,Dato_Transf!$V:$AB,6,FALSE()),0)</f>
        <v>0</v>
      </c>
      <c r="AJ14" s="101">
        <f t="shared" ref="AJ14" si="25">(+AI14-AH14)*24</f>
        <v>0</v>
      </c>
      <c r="AK14" s="47" t="str">
        <f>IF(AJ14=0," ",VLOOKUP($C14,Dato_Transf!$V:$AB,7,FALSE()))</f>
        <v xml:space="preserve"> </v>
      </c>
      <c r="AL14" s="53">
        <f>IFERROR(VLOOKUP($C14,Dato_Transf!$AC:$AI,3,FALSE()),0)</f>
        <v>0</v>
      </c>
      <c r="AM14" s="53">
        <f>IFERROR(VLOOKUP($C14,Dato_Transf!$AC:$AI,4,FALSE()),0)</f>
        <v>0</v>
      </c>
      <c r="AN14" s="101">
        <f t="shared" ref="AN14" si="26">IF($F$6="OJO H.E. AL 100%",0,(AM14-AL14)*24)</f>
        <v>0</v>
      </c>
      <c r="AO14" s="47" t="str">
        <f>IF(AN14=0," ",VLOOKUP($C14,Dato_Transf!$AC:$AI,7,FALSE()))</f>
        <v xml:space="preserve"> </v>
      </c>
      <c r="AP14" s="53">
        <f>IFERROR(VLOOKUP($C14,Dato_Transf!$AC:$AI,5,FALSE()),0)</f>
        <v>0</v>
      </c>
      <c r="AQ14" s="53">
        <f>IFERROR(VLOOKUP($C14,Dato_Transf!$AC:$AI,6,FALSE()),0)</f>
        <v>0</v>
      </c>
      <c r="AR14" s="101">
        <f t="shared" ref="AR14" si="27">(+AQ14-AP14)*24</f>
        <v>0</v>
      </c>
      <c r="AS14" s="47" t="str">
        <f>IF(AR14=0," ",VLOOKUP($C14,Dato_Transf!$AC:$AI,7,FALSE()))</f>
        <v xml:space="preserve"> </v>
      </c>
      <c r="AT14" s="53">
        <f>IFERROR(VLOOKUP($C14,Dato_Transf!$AJ:$AP,3,FALSE()),0)</f>
        <v>0</v>
      </c>
      <c r="AU14" s="53">
        <f>IFERROR(VLOOKUP($C14,Dato_Transf!$AJ:$AP,4,FALSE()),0)</f>
        <v>0</v>
      </c>
      <c r="AV14" s="101">
        <f t="shared" ref="AV14" si="28">IF($F$6="OJO H.E. AL 100%",0,(AU14-AT14)*24)</f>
        <v>0</v>
      </c>
      <c r="AW14" s="47" t="str">
        <f>IF(AV14=0," ",VLOOKUP($C14,Dato_Transf!$AJ:$AP,7,FALSE()))</f>
        <v xml:space="preserve"> </v>
      </c>
      <c r="AX14" s="53">
        <f>IFERROR(VLOOKUP($C14,Dato_Transf!$AJ:$AP,5,FALSE()),0)</f>
        <v>0</v>
      </c>
      <c r="AY14" s="53">
        <f>IFERROR(VLOOKUP($C14,Dato_Transf!$AJ:$AP,6,FALSE()),0)</f>
        <v>0</v>
      </c>
      <c r="AZ14" s="101">
        <f t="shared" ref="AZ14" si="29">(+AY14-AX14)*24</f>
        <v>0</v>
      </c>
      <c r="BA14" s="47" t="str">
        <f>IF(AZ14=0," ",VLOOKUP($C14,Dato_Transf!$AJ:$AP,7,FALSE()))</f>
        <v xml:space="preserve"> </v>
      </c>
      <c r="BB14" s="53">
        <f>IFERROR(VLOOKUP($C14,Dato_Transf!$AQ:$AW,3,FALSE()),0)</f>
        <v>0</v>
      </c>
      <c r="BC14" s="53">
        <f>IFERROR(VLOOKUP($C14,Dato_Transf!$AQ:$AW,4,FALSE()),0)</f>
        <v>0</v>
      </c>
      <c r="BD14" s="101">
        <f t="shared" ref="BD14" si="30">IF($F$6="OJO H.E. AL 100%",0,(BC14-BB14)*24)</f>
        <v>0</v>
      </c>
      <c r="BE14" s="47" t="str">
        <f>IF(BD14=0," ",VLOOKUP($C14,Dato_Transf!$AQ:$AW,7,FALSE()))</f>
        <v xml:space="preserve"> </v>
      </c>
      <c r="BF14" s="53">
        <f>IFERROR(VLOOKUP($C14,Dato_Transf!$AQ:$AW,5,FALSE()),0)</f>
        <v>0</v>
      </c>
      <c r="BG14" s="53">
        <f>IFERROR(VLOOKUP($C14,Dato_Transf!$AQ:$AW,6,FALSE()),0)</f>
        <v>0</v>
      </c>
      <c r="BH14" s="101">
        <f t="shared" ref="BH14" si="31">(+BG14-BF14)*24</f>
        <v>0</v>
      </c>
      <c r="BI14" s="47" t="str">
        <f>IF(BH14=0," ",VLOOKUP($C14,Dato_Transf!$AQ:$AW,7,FALSE()))</f>
        <v xml:space="preserve"> </v>
      </c>
      <c r="BJ14" s="99">
        <f t="shared" ref="BJ14" si="32">H14+P14+X14+AF14+AN14+AV14+BD14</f>
        <v>0</v>
      </c>
      <c r="BK14" s="100">
        <f t="shared" ref="BK14" si="33">L14+T14+AB14+AJ14+AR14+AZ14+BH14</f>
        <v>0</v>
      </c>
      <c r="BV14" s="36"/>
    </row>
    <row r="15" spans="2:74" ht="30" customHeight="1" x14ac:dyDescent="0.3">
      <c r="B15" s="23">
        <f>'Reporte Asistencia Laboral'!B16</f>
        <v>6</v>
      </c>
      <c r="C15" s="77" t="str">
        <f>IFERROR(VLOOKUP(D15,EMPLEADO!C:Q,15,0),"")</f>
        <v>PINARGOTE BERMELLO ANGEL EUGENIO</v>
      </c>
      <c r="D15" s="6" t="str">
        <f>'Reporte Asistencia Laboral'!D16</f>
        <v>131350790-5</v>
      </c>
      <c r="E15" s="150"/>
      <c r="F15" s="53">
        <f>IFERROR(VLOOKUP($C15,Dato_Transf!$A:$G,3,FALSE()),0)</f>
        <v>0</v>
      </c>
      <c r="G15" s="53">
        <f>IFERROR(VLOOKUP($C15,Dato_Transf!$A:$G,4,FALSE()),0)</f>
        <v>0</v>
      </c>
      <c r="H15" s="101">
        <f t="shared" ref="H15:H16" si="34">IF($F$6="OJO H.E. AL 100%",0,(G15-F15)*24)</f>
        <v>0</v>
      </c>
      <c r="I15" s="47" t="str">
        <f>IF(H15=0," ",VLOOKUP($C15,Dato_Transf!$A:$G,7,FALSE))</f>
        <v xml:space="preserve"> </v>
      </c>
      <c r="J15" s="53">
        <f>IFERROR(VLOOKUP($C15,Dato_Transf!$A:$G,5,FALSE()),0)</f>
        <v>0</v>
      </c>
      <c r="K15" s="53">
        <f>IFERROR(VLOOKUP($C15,Dato_Transf!$A:$G,6,FALSE()),0)</f>
        <v>0</v>
      </c>
      <c r="L15" s="101">
        <f t="shared" ref="L15:L16" si="35">(+K15-J15)*24</f>
        <v>0</v>
      </c>
      <c r="M15" s="47" t="str">
        <f>IF(L15=0," ",VLOOKUP($C15,Dato_Transf!$A:$G,7,FALSE))</f>
        <v xml:space="preserve"> </v>
      </c>
      <c r="N15" s="53">
        <f>IFERROR(VLOOKUP($C15,Dato_Transf!$H:$N,3,FALSE()),0)</f>
        <v>0</v>
      </c>
      <c r="O15" s="53">
        <f>IFERROR(VLOOKUP($C15,Dato_Transf!$H:$N,4,FALSE()),0)</f>
        <v>0</v>
      </c>
      <c r="P15" s="101">
        <f t="shared" ref="P15:P16" si="36">IF($F$6="OJO H.E. AL 100%",0,(O15-N15)*24)</f>
        <v>0</v>
      </c>
      <c r="Q15" s="47" t="str">
        <f>IF(P15=0," ",VLOOKUP($C15,Dato_Transf!$H:$N,7,FALSE()))</f>
        <v xml:space="preserve"> </v>
      </c>
      <c r="R15" s="53">
        <f>IFERROR(VLOOKUP($C15,Dato_Transf!$H:$N,5,FALSE()),0)</f>
        <v>0</v>
      </c>
      <c r="S15" s="53">
        <f>IFERROR(VLOOKUP($C15,Dato_Transf!$H:$N,6,FALSE()),0)</f>
        <v>0</v>
      </c>
      <c r="T15" s="101">
        <f t="shared" ref="T15:T16" si="37">(+S15-R15)*24</f>
        <v>0</v>
      </c>
      <c r="U15" s="47" t="str">
        <f>IF(T15=0," ",VLOOKUP($C15,Dato_Transf!$H:$N,7,FALSE()))</f>
        <v xml:space="preserve"> </v>
      </c>
      <c r="V15" s="53">
        <f>IFERROR(VLOOKUP($C15,Dato_Transf!$O:$U,3,FALSE()),0)</f>
        <v>0</v>
      </c>
      <c r="W15" s="53">
        <f>IFERROR(VLOOKUP($C15,Dato_Transf!$O:$U,4,FALSE()),0)</f>
        <v>0</v>
      </c>
      <c r="X15" s="101">
        <f t="shared" ref="X15:X16" si="38">IF($F$6="OJO H.E. AL 100%",0,(W15-V15)*24)</f>
        <v>0</v>
      </c>
      <c r="Y15" s="47" t="str">
        <f>IF(X15=0," ",VLOOKUP($C15,Dato_Transf!$O:$U,7,FALSE()))</f>
        <v xml:space="preserve"> </v>
      </c>
      <c r="Z15" s="53">
        <f>IFERROR(VLOOKUP($C15,Dato_Transf!$O:$U,5,FALSE()),0)</f>
        <v>0</v>
      </c>
      <c r="AA15" s="53">
        <f>IFERROR(VLOOKUP($C15,Dato_Transf!$O:$U,6,FALSE()),0)</f>
        <v>0</v>
      </c>
      <c r="AB15" s="101">
        <f t="shared" ref="AB15:AB16" si="39">(+AA15-Z15)*24</f>
        <v>0</v>
      </c>
      <c r="AC15" s="47" t="str">
        <f>IF(AB15=0," ",VLOOKUP($C15,Dato_Transf!$O:$U,7,FALSE()))</f>
        <v xml:space="preserve"> </v>
      </c>
      <c r="AD15" s="53">
        <f>IFERROR(VLOOKUP($C15,Dato_Transf!$V:$AB,3,FALSE()),0)</f>
        <v>0</v>
      </c>
      <c r="AE15" s="53">
        <f>IFERROR(VLOOKUP($C15,Dato_Transf!$V:$AB,4,FALSE()),0)</f>
        <v>0</v>
      </c>
      <c r="AF15" s="101">
        <f t="shared" ref="AF15:AF16" si="40">IF($F$6="OJO H.E. AL 100%",0,(AE15-AD15)*24)</f>
        <v>0</v>
      </c>
      <c r="AG15" s="47" t="str">
        <f>IF(AF15=0," ",VLOOKUP($C15,Dato_Transf!$V:$AB,7,FALSE()))</f>
        <v xml:space="preserve"> </v>
      </c>
      <c r="AH15" s="53">
        <f>IFERROR(VLOOKUP($C15,Dato_Transf!$V:$AB,5,FALSE()),0)</f>
        <v>0</v>
      </c>
      <c r="AI15" s="53">
        <f>IFERROR(VLOOKUP($C15,Dato_Transf!$V:$AB,6,FALSE()),0)</f>
        <v>0</v>
      </c>
      <c r="AJ15" s="101">
        <f t="shared" ref="AJ15:AJ16" si="41">(+AI15-AH15)*24</f>
        <v>0</v>
      </c>
      <c r="AK15" s="47" t="str">
        <f>IF(AJ15=0," ",VLOOKUP($C15,Dato_Transf!$V:$AB,7,FALSE()))</f>
        <v xml:space="preserve"> </v>
      </c>
      <c r="AL15" s="53">
        <f>IFERROR(VLOOKUP($C15,Dato_Transf!$AC:$AI,3,FALSE()),0)</f>
        <v>0</v>
      </c>
      <c r="AM15" s="53">
        <f>IFERROR(VLOOKUP($C15,Dato_Transf!$AC:$AI,4,FALSE()),0)</f>
        <v>0</v>
      </c>
      <c r="AN15" s="101">
        <f t="shared" ref="AN15:AN16" si="42">IF($F$6="OJO H.E. AL 100%",0,(AM15-AL15)*24)</f>
        <v>0</v>
      </c>
      <c r="AO15" s="47" t="str">
        <f>IF(AN15=0," ",VLOOKUP($C15,Dato_Transf!$AC:$AI,7,FALSE()))</f>
        <v xml:space="preserve"> </v>
      </c>
      <c r="AP15" s="53">
        <f>IFERROR(VLOOKUP($C15,Dato_Transf!$AC:$AI,5,FALSE()),0)</f>
        <v>0</v>
      </c>
      <c r="AQ15" s="53">
        <f>IFERROR(VLOOKUP($C15,Dato_Transf!$AC:$AI,6,FALSE()),0)</f>
        <v>0</v>
      </c>
      <c r="AR15" s="101">
        <f t="shared" ref="AR15:AR16" si="43">(+AQ15-AP15)*24</f>
        <v>0</v>
      </c>
      <c r="AS15" s="47" t="str">
        <f>IF(AR15=0," ",VLOOKUP($C15,Dato_Transf!$AC:$AI,7,FALSE()))</f>
        <v xml:space="preserve"> </v>
      </c>
      <c r="AT15" s="53">
        <f>IFERROR(VLOOKUP($C15,Dato_Transf!$AJ:$AP,3,FALSE()),0)</f>
        <v>0</v>
      </c>
      <c r="AU15" s="53">
        <f>IFERROR(VLOOKUP($C15,Dato_Transf!$AJ:$AP,4,FALSE()),0)</f>
        <v>0</v>
      </c>
      <c r="AV15" s="101">
        <f t="shared" ref="AV15:AV16" si="44">IF($F$6="OJO H.E. AL 100%",0,(AU15-AT15)*24)</f>
        <v>0</v>
      </c>
      <c r="AW15" s="47" t="str">
        <f>IF(AV15=0," ",VLOOKUP($C15,Dato_Transf!$AJ:$AP,7,FALSE()))</f>
        <v xml:space="preserve"> </v>
      </c>
      <c r="AX15" s="53">
        <f>IFERROR(VLOOKUP($C15,Dato_Transf!$AJ:$AP,5,FALSE()),0)</f>
        <v>0</v>
      </c>
      <c r="AY15" s="53">
        <f>IFERROR(VLOOKUP($C15,Dato_Transf!$AJ:$AP,6,FALSE()),0)</f>
        <v>0</v>
      </c>
      <c r="AZ15" s="101">
        <f t="shared" ref="AZ15:AZ16" si="45">(+AY15-AX15)*24</f>
        <v>0</v>
      </c>
      <c r="BA15" s="47" t="str">
        <f>IF(AZ15=0," ",VLOOKUP($C15,Dato_Transf!$AJ:$AP,7,FALSE()))</f>
        <v xml:space="preserve"> </v>
      </c>
      <c r="BB15" s="53">
        <f>IFERROR(VLOOKUP($C15,Dato_Transf!$AQ:$AW,3,FALSE()),0)</f>
        <v>0</v>
      </c>
      <c r="BC15" s="53">
        <f>IFERROR(VLOOKUP($C15,Dato_Transf!$AQ:$AW,4,FALSE()),0)</f>
        <v>0</v>
      </c>
      <c r="BD15" s="101">
        <f t="shared" ref="BD15:BD16" si="46">IF($F$6="OJO H.E. AL 100%",0,(BC15-BB15)*24)</f>
        <v>0</v>
      </c>
      <c r="BE15" s="47" t="str">
        <f>IF(BD15=0," ",VLOOKUP($C15,Dato_Transf!$AQ:$AW,7,FALSE()))</f>
        <v xml:space="preserve"> </v>
      </c>
      <c r="BF15" s="53">
        <f>IFERROR(VLOOKUP($C15,Dato_Transf!$AQ:$AW,5,FALSE()),0)</f>
        <v>0</v>
      </c>
      <c r="BG15" s="53">
        <f>IFERROR(VLOOKUP($C15,Dato_Transf!$AQ:$AW,6,FALSE()),0)</f>
        <v>0</v>
      </c>
      <c r="BH15" s="101">
        <f t="shared" ref="BH15:BH16" si="47">(+BG15-BF15)*24</f>
        <v>0</v>
      </c>
      <c r="BI15" s="47" t="str">
        <f>IF(BH15=0," ",VLOOKUP($C15,Dato_Transf!$AQ:$AW,7,FALSE()))</f>
        <v xml:space="preserve"> </v>
      </c>
      <c r="BJ15" s="99">
        <f t="shared" ref="BJ15:BJ16" si="48">H15+P15+X15+AF15+AN15+AV15+BD15</f>
        <v>0</v>
      </c>
      <c r="BK15" s="100">
        <f t="shared" ref="BK15:BK16" si="49">L15+T15+AB15+AJ15+AR15+AZ15+BH15</f>
        <v>0</v>
      </c>
      <c r="BV15" s="36"/>
    </row>
    <row r="16" spans="2:74" ht="29.25" customHeight="1" x14ac:dyDescent="0.3">
      <c r="B16" s="23">
        <f>'Reporte Asistencia Laboral'!B17</f>
        <v>7</v>
      </c>
      <c r="C16" s="77" t="str">
        <f>IFERROR(VLOOKUP(D16,EMPLEADO!C:Q,15,0),"")</f>
        <v>MARQUEZ FERNANDEZ AUGUSTO ANTONIO</v>
      </c>
      <c r="D16" s="6" t="str">
        <f>'Reporte Asistencia Laboral'!D17</f>
        <v>131289138-3</v>
      </c>
      <c r="E16" s="150"/>
      <c r="F16" s="53">
        <f>IFERROR(VLOOKUP($C16,Dato_Transf!$A:$G,3,FALSE()),0)</f>
        <v>0</v>
      </c>
      <c r="G16" s="53">
        <f>IFERROR(VLOOKUP($C16,Dato_Transf!$A:$G,4,FALSE()),0)</f>
        <v>0</v>
      </c>
      <c r="H16" s="101">
        <f t="shared" si="34"/>
        <v>0</v>
      </c>
      <c r="I16" s="47" t="str">
        <f>IF(H16=0," ",VLOOKUP($C16,Dato_Transf!$A:$G,7,FALSE))</f>
        <v xml:space="preserve"> </v>
      </c>
      <c r="J16" s="53">
        <f>IFERROR(VLOOKUP($C16,Dato_Transf!$A:$G,5,FALSE()),0)</f>
        <v>0</v>
      </c>
      <c r="K16" s="53">
        <f>IFERROR(VLOOKUP($C16,Dato_Transf!$A:$G,6,FALSE()),0)</f>
        <v>0</v>
      </c>
      <c r="L16" s="101">
        <f t="shared" si="35"/>
        <v>0</v>
      </c>
      <c r="M16" s="47" t="str">
        <f>IF(L16=0," ",VLOOKUP($C16,Dato_Transf!$A:$G,7,FALSE))</f>
        <v xml:space="preserve"> </v>
      </c>
      <c r="N16" s="53">
        <f>IFERROR(VLOOKUP($C16,Dato_Transf!$H:$N,3,FALSE()),0)</f>
        <v>0</v>
      </c>
      <c r="O16" s="53">
        <f>IFERROR(VLOOKUP($C16,Dato_Transf!$H:$N,4,FALSE()),0)</f>
        <v>0</v>
      </c>
      <c r="P16" s="101">
        <f t="shared" si="36"/>
        <v>0</v>
      </c>
      <c r="Q16" s="47" t="str">
        <f>IF(P16=0," ",VLOOKUP($C16,Dato_Transf!$H:$N,7,FALSE()))</f>
        <v xml:space="preserve"> </v>
      </c>
      <c r="R16" s="53">
        <f>IFERROR(VLOOKUP($C16,Dato_Transf!$H:$N,5,FALSE()),0)</f>
        <v>0</v>
      </c>
      <c r="S16" s="53">
        <f>IFERROR(VLOOKUP($C16,Dato_Transf!$H:$N,6,FALSE()),0)</f>
        <v>0</v>
      </c>
      <c r="T16" s="101">
        <f t="shared" si="37"/>
        <v>0</v>
      </c>
      <c r="U16" s="47" t="str">
        <f>IF(T16=0," ",VLOOKUP($C16,Dato_Transf!$H:$N,7,FALSE()))</f>
        <v xml:space="preserve"> </v>
      </c>
      <c r="V16" s="53">
        <f>IFERROR(VLOOKUP($C16,Dato_Transf!$O:$U,3,FALSE()),0)</f>
        <v>0</v>
      </c>
      <c r="W16" s="53">
        <f>IFERROR(VLOOKUP($C16,Dato_Transf!$O:$U,4,FALSE()),0)</f>
        <v>0</v>
      </c>
      <c r="X16" s="101">
        <f t="shared" si="38"/>
        <v>0</v>
      </c>
      <c r="Y16" s="47" t="str">
        <f>IF(X16=0," ",VLOOKUP($C16,Dato_Transf!$O:$U,7,FALSE()))</f>
        <v xml:space="preserve"> </v>
      </c>
      <c r="Z16" s="53">
        <f>IFERROR(VLOOKUP($C16,Dato_Transf!$O:$U,5,FALSE()),0)</f>
        <v>0</v>
      </c>
      <c r="AA16" s="53">
        <f>IFERROR(VLOOKUP($C16,Dato_Transf!$O:$U,6,FALSE()),0)</f>
        <v>0</v>
      </c>
      <c r="AB16" s="101">
        <f t="shared" si="39"/>
        <v>0</v>
      </c>
      <c r="AC16" s="47" t="str">
        <f>IF(AB16=0," ",VLOOKUP($C16,Dato_Transf!$O:$U,7,FALSE()))</f>
        <v xml:space="preserve"> </v>
      </c>
      <c r="AD16" s="53">
        <f>IFERROR(VLOOKUP($C16,Dato_Transf!$V:$AB,3,FALSE()),0)</f>
        <v>0</v>
      </c>
      <c r="AE16" s="53">
        <f>IFERROR(VLOOKUP($C16,Dato_Transf!$V:$AB,4,FALSE()),0)</f>
        <v>0</v>
      </c>
      <c r="AF16" s="101">
        <f t="shared" si="40"/>
        <v>0</v>
      </c>
      <c r="AG16" s="47" t="str">
        <f>IF(AF16=0," ",VLOOKUP($C16,Dato_Transf!$V:$AB,7,FALSE()))</f>
        <v xml:space="preserve"> </v>
      </c>
      <c r="AH16" s="53">
        <f>IFERROR(VLOOKUP($C16,Dato_Transf!$V:$AB,5,FALSE()),0)</f>
        <v>0</v>
      </c>
      <c r="AI16" s="53">
        <f>IFERROR(VLOOKUP($C16,Dato_Transf!$V:$AB,6,FALSE()),0)</f>
        <v>0</v>
      </c>
      <c r="AJ16" s="101">
        <f t="shared" si="41"/>
        <v>0</v>
      </c>
      <c r="AK16" s="47" t="str">
        <f>IF(AJ16=0," ",VLOOKUP($C16,Dato_Transf!$V:$AB,7,FALSE()))</f>
        <v xml:space="preserve"> </v>
      </c>
      <c r="AL16" s="53">
        <f>IFERROR(VLOOKUP($C16,Dato_Transf!$AC:$AI,3,FALSE()),0)</f>
        <v>0</v>
      </c>
      <c r="AM16" s="53">
        <f>IFERROR(VLOOKUP($C16,Dato_Transf!$AC:$AI,4,FALSE()),0)</f>
        <v>0</v>
      </c>
      <c r="AN16" s="101">
        <f t="shared" si="42"/>
        <v>0</v>
      </c>
      <c r="AO16" s="47" t="str">
        <f>IF(AN16=0," ",VLOOKUP($C16,Dato_Transf!$AC:$AI,7,FALSE()))</f>
        <v xml:space="preserve"> </v>
      </c>
      <c r="AP16" s="53">
        <f>IFERROR(VLOOKUP($C16,Dato_Transf!$AC:$AI,5,FALSE()),0)</f>
        <v>0</v>
      </c>
      <c r="AQ16" s="53">
        <f>IFERROR(VLOOKUP($C16,Dato_Transf!$AC:$AI,6,FALSE()),0)</f>
        <v>0</v>
      </c>
      <c r="AR16" s="101">
        <f t="shared" si="43"/>
        <v>0</v>
      </c>
      <c r="AS16" s="47" t="str">
        <f>IF(AR16=0," ",VLOOKUP($C16,Dato_Transf!$AC:$AI,7,FALSE()))</f>
        <v xml:space="preserve"> </v>
      </c>
      <c r="AT16" s="53">
        <f>IFERROR(VLOOKUP($C16,Dato_Transf!$AJ:$AP,3,FALSE()),0)</f>
        <v>0</v>
      </c>
      <c r="AU16" s="53">
        <f>IFERROR(VLOOKUP($C16,Dato_Transf!$AJ:$AP,4,FALSE()),0)</f>
        <v>0</v>
      </c>
      <c r="AV16" s="101">
        <f t="shared" si="44"/>
        <v>0</v>
      </c>
      <c r="AW16" s="47" t="str">
        <f>IF(AV16=0," ",VLOOKUP($C16,Dato_Transf!$AJ:$AP,7,FALSE()))</f>
        <v xml:space="preserve"> </v>
      </c>
      <c r="AX16" s="53">
        <f>IFERROR(VLOOKUP($C16,Dato_Transf!$AJ:$AP,5,FALSE()),0)</f>
        <v>0</v>
      </c>
      <c r="AY16" s="53">
        <f>IFERROR(VLOOKUP($C16,Dato_Transf!$AJ:$AP,6,FALSE()),0)</f>
        <v>0</v>
      </c>
      <c r="AZ16" s="101">
        <f t="shared" si="45"/>
        <v>0</v>
      </c>
      <c r="BA16" s="47" t="str">
        <f>IF(AZ16=0," ",VLOOKUP($C16,Dato_Transf!$AJ:$AP,7,FALSE()))</f>
        <v xml:space="preserve"> </v>
      </c>
      <c r="BB16" s="53">
        <f>IFERROR(VLOOKUP($C16,Dato_Transf!$AQ:$AW,3,FALSE()),0)</f>
        <v>0</v>
      </c>
      <c r="BC16" s="53">
        <f>IFERROR(VLOOKUP($C16,Dato_Transf!$AQ:$AW,4,FALSE()),0)</f>
        <v>0</v>
      </c>
      <c r="BD16" s="101">
        <f t="shared" si="46"/>
        <v>0</v>
      </c>
      <c r="BE16" s="47" t="str">
        <f>IF(BD16=0," ",VLOOKUP($C16,Dato_Transf!$AQ:$AW,7,FALSE()))</f>
        <v xml:space="preserve"> </v>
      </c>
      <c r="BF16" s="53">
        <f>IFERROR(VLOOKUP($C16,Dato_Transf!$AQ:$AW,5,FALSE()),0)</f>
        <v>0</v>
      </c>
      <c r="BG16" s="53">
        <f>IFERROR(VLOOKUP($C16,Dato_Transf!$AQ:$AW,6,FALSE()),0)</f>
        <v>0</v>
      </c>
      <c r="BH16" s="101">
        <f t="shared" si="47"/>
        <v>0</v>
      </c>
      <c r="BI16" s="47" t="str">
        <f>IF(BH16=0," ",VLOOKUP($C16,Dato_Transf!$AQ:$AW,7,FALSE()))</f>
        <v xml:space="preserve"> </v>
      </c>
      <c r="BJ16" s="99">
        <f t="shared" si="48"/>
        <v>0</v>
      </c>
      <c r="BK16" s="100">
        <f t="shared" si="49"/>
        <v>0</v>
      </c>
    </row>
    <row r="17" spans="2:73" ht="29.25" customHeight="1" x14ac:dyDescent="0.3">
      <c r="B17" s="23">
        <f>'Reporte Asistencia Laboral'!B18</f>
        <v>8</v>
      </c>
      <c r="C17" s="77" t="str">
        <f>IFERROR(VLOOKUP(D17,EMPLEADO!C:Q,15,0),"")</f>
        <v>CARRION CORONEL JORGE LUIS</v>
      </c>
      <c r="D17" s="6" t="str">
        <f>'Reporte Asistencia Laboral'!D18</f>
        <v>110601446-5</v>
      </c>
      <c r="E17" s="150"/>
      <c r="F17" s="53">
        <f>IFERROR(VLOOKUP($C17,Dato_Transf!$A:$G,3,FALSE()),0)</f>
        <v>0</v>
      </c>
      <c r="G17" s="53">
        <f>IFERROR(VLOOKUP($C17,Dato_Transf!$A:$G,4,FALSE()),0)</f>
        <v>0</v>
      </c>
      <c r="H17" s="101">
        <f t="shared" ref="H17:H18" si="50">IF($F$6="OJO H.E. AL 100%",0,(G17-F17)*24)</f>
        <v>0</v>
      </c>
      <c r="I17" s="47" t="str">
        <f>IF(H17=0," ",VLOOKUP($C17,Dato_Transf!$A:$G,7,FALSE))</f>
        <v xml:space="preserve"> </v>
      </c>
      <c r="J17" s="53">
        <f>IFERROR(VLOOKUP($C17,Dato_Transf!$A:$G,5,FALSE()),0)</f>
        <v>0</v>
      </c>
      <c r="K17" s="53">
        <f>IFERROR(VLOOKUP($C17,Dato_Transf!$A:$G,6,FALSE()),0)</f>
        <v>0</v>
      </c>
      <c r="L17" s="101">
        <f t="shared" ref="L17:L18" si="51">(+K17-J17)*24</f>
        <v>0</v>
      </c>
      <c r="M17" s="47" t="str">
        <f>IF(L17=0," ",VLOOKUP($C17,Dato_Transf!$A:$G,7,FALSE))</f>
        <v xml:space="preserve"> </v>
      </c>
      <c r="N17" s="53">
        <f>IFERROR(VLOOKUP($C17,Dato_Transf!$H:$N,3,FALSE()),0)</f>
        <v>0</v>
      </c>
      <c r="O17" s="53">
        <f>IFERROR(VLOOKUP($C17,Dato_Transf!$H:$N,4,FALSE()),0)</f>
        <v>0</v>
      </c>
      <c r="P17" s="101">
        <f t="shared" ref="P17:P18" si="52">IF($F$6="OJO H.E. AL 100%",0,(O17-N17)*24)</f>
        <v>0</v>
      </c>
      <c r="Q17" s="47" t="str">
        <f>IF(P17=0," ",VLOOKUP($C17,Dato_Transf!$H:$N,7,FALSE()))</f>
        <v xml:space="preserve"> </v>
      </c>
      <c r="R17" s="53">
        <f>IFERROR(VLOOKUP($C17,Dato_Transf!$H:$N,5,FALSE()),0)</f>
        <v>0</v>
      </c>
      <c r="S17" s="53">
        <f>IFERROR(VLOOKUP($C17,Dato_Transf!$H:$N,6,FALSE()),0)</f>
        <v>0</v>
      </c>
      <c r="T17" s="101">
        <f t="shared" ref="T17:T18" si="53">(+S17-R17)*24</f>
        <v>0</v>
      </c>
      <c r="U17" s="47" t="str">
        <f>IF(T17=0," ",VLOOKUP($C17,Dato_Transf!$H:$N,7,FALSE()))</f>
        <v xml:space="preserve"> </v>
      </c>
      <c r="V17" s="53">
        <f>IFERROR(VLOOKUP($C17,Dato_Transf!$O:$U,3,FALSE()),0)</f>
        <v>0</v>
      </c>
      <c r="W17" s="53">
        <f>IFERROR(VLOOKUP($C17,Dato_Transf!$O:$U,4,FALSE()),0)</f>
        <v>0</v>
      </c>
      <c r="X17" s="101">
        <f t="shared" ref="X17:X18" si="54">IF($F$6="OJO H.E. AL 100%",0,(W17-V17)*24)</f>
        <v>0</v>
      </c>
      <c r="Y17" s="47" t="str">
        <f>IF(X17=0," ",VLOOKUP($C17,Dato_Transf!$O:$U,7,FALSE()))</f>
        <v xml:space="preserve"> </v>
      </c>
      <c r="Z17" s="53">
        <f>IFERROR(VLOOKUP($C17,Dato_Transf!$O:$U,5,FALSE()),0)</f>
        <v>0</v>
      </c>
      <c r="AA17" s="53">
        <f>IFERROR(VLOOKUP($C17,Dato_Transf!$O:$U,6,FALSE()),0)</f>
        <v>0</v>
      </c>
      <c r="AB17" s="101">
        <f t="shared" ref="AB17:AB18" si="55">(+AA17-Z17)*24</f>
        <v>0</v>
      </c>
      <c r="AC17" s="47" t="str">
        <f>IF(AB17=0," ",VLOOKUP($C17,Dato_Transf!$O:$U,7,FALSE()))</f>
        <v xml:space="preserve"> </v>
      </c>
      <c r="AD17" s="53">
        <f>IFERROR(VLOOKUP($C17,Dato_Transf!$V:$AB,3,FALSE()),0)</f>
        <v>0</v>
      </c>
      <c r="AE17" s="53">
        <f>IFERROR(VLOOKUP($C17,Dato_Transf!$V:$AB,4,FALSE()),0)</f>
        <v>0</v>
      </c>
      <c r="AF17" s="101">
        <f t="shared" ref="AF17:AF18" si="56">IF($F$6="OJO H.E. AL 100%",0,(AE17-AD17)*24)</f>
        <v>0</v>
      </c>
      <c r="AG17" s="47" t="str">
        <f>IF(AF17=0," ",VLOOKUP($C17,Dato_Transf!$V:$AB,7,FALSE()))</f>
        <v xml:space="preserve"> </v>
      </c>
      <c r="AH17" s="53">
        <f>IFERROR(VLOOKUP($C17,Dato_Transf!$V:$AB,5,FALSE()),0)</f>
        <v>0</v>
      </c>
      <c r="AI17" s="53">
        <f>IFERROR(VLOOKUP($C17,Dato_Transf!$V:$AB,6,FALSE()),0)</f>
        <v>0</v>
      </c>
      <c r="AJ17" s="101">
        <f t="shared" ref="AJ17:AJ18" si="57">(+AI17-AH17)*24</f>
        <v>0</v>
      </c>
      <c r="AK17" s="47" t="str">
        <f>IF(AJ17=0," ",VLOOKUP($C17,Dato_Transf!$V:$AB,7,FALSE()))</f>
        <v xml:space="preserve"> </v>
      </c>
      <c r="AL17" s="53">
        <f>IFERROR(VLOOKUP($C17,Dato_Transf!$AC:$AI,3,FALSE()),0)</f>
        <v>0</v>
      </c>
      <c r="AM17" s="53">
        <f>IFERROR(VLOOKUP($C17,Dato_Transf!$AC:$AI,4,FALSE()),0)</f>
        <v>0</v>
      </c>
      <c r="AN17" s="101">
        <f t="shared" ref="AN17:AN18" si="58">IF($F$6="OJO H.E. AL 100%",0,(AM17-AL17)*24)</f>
        <v>0</v>
      </c>
      <c r="AO17" s="47" t="str">
        <f>IF(AN17=0," ",VLOOKUP($C17,Dato_Transf!$AC:$AI,7,FALSE()))</f>
        <v xml:space="preserve"> </v>
      </c>
      <c r="AP17" s="53">
        <f>IFERROR(VLOOKUP($C17,Dato_Transf!$AC:$AI,5,FALSE()),0)</f>
        <v>0</v>
      </c>
      <c r="AQ17" s="53">
        <f>IFERROR(VLOOKUP($C17,Dato_Transf!$AC:$AI,6,FALSE()),0)</f>
        <v>0</v>
      </c>
      <c r="AR17" s="101">
        <f t="shared" ref="AR17:AR18" si="59">(+AQ17-AP17)*24</f>
        <v>0</v>
      </c>
      <c r="AS17" s="47" t="str">
        <f>IF(AR17=0," ",VLOOKUP($C17,Dato_Transf!$AC:$AI,7,FALSE()))</f>
        <v xml:space="preserve"> </v>
      </c>
      <c r="AT17" s="53">
        <f>IFERROR(VLOOKUP($C17,Dato_Transf!$AJ:$AP,3,FALSE()),0)</f>
        <v>0</v>
      </c>
      <c r="AU17" s="53">
        <f>IFERROR(VLOOKUP($C17,Dato_Transf!$AJ:$AP,4,FALSE()),0)</f>
        <v>0</v>
      </c>
      <c r="AV17" s="101">
        <f t="shared" ref="AV17:AV18" si="60">IF($F$6="OJO H.E. AL 100%",0,(AU17-AT17)*24)</f>
        <v>0</v>
      </c>
      <c r="AW17" s="47" t="str">
        <f>IF(AV17=0," ",VLOOKUP($C17,Dato_Transf!$AJ:$AP,7,FALSE()))</f>
        <v xml:space="preserve"> </v>
      </c>
      <c r="AX17" s="53">
        <f>IFERROR(VLOOKUP($C17,Dato_Transf!$AJ:$AP,5,FALSE()),0)</f>
        <v>0</v>
      </c>
      <c r="AY17" s="53">
        <f>IFERROR(VLOOKUP($C17,Dato_Transf!$AJ:$AP,6,FALSE()),0)</f>
        <v>0</v>
      </c>
      <c r="AZ17" s="101">
        <f t="shared" ref="AZ17:AZ18" si="61">(+AY17-AX17)*24</f>
        <v>0</v>
      </c>
      <c r="BA17" s="47" t="str">
        <f>IF(AZ17=0," ",VLOOKUP($C17,Dato_Transf!$AJ:$AP,7,FALSE()))</f>
        <v xml:space="preserve"> </v>
      </c>
      <c r="BB17" s="53">
        <f>IFERROR(VLOOKUP($C17,Dato_Transf!$AQ:$AW,3,FALSE()),0)</f>
        <v>0</v>
      </c>
      <c r="BC17" s="53">
        <f>IFERROR(VLOOKUP($C17,Dato_Transf!$AQ:$AW,4,FALSE()),0)</f>
        <v>0</v>
      </c>
      <c r="BD17" s="101">
        <f t="shared" ref="BD17:BD18" si="62">IF($F$6="OJO H.E. AL 100%",0,(BC17-BB17)*24)</f>
        <v>0</v>
      </c>
      <c r="BE17" s="47" t="str">
        <f>IF(BD17=0," ",VLOOKUP($C17,Dato_Transf!$AQ:$AW,7,FALSE()))</f>
        <v xml:space="preserve"> </v>
      </c>
      <c r="BF17" s="53">
        <f>IFERROR(VLOOKUP($C17,Dato_Transf!$AQ:$AW,5,FALSE()),0)</f>
        <v>0</v>
      </c>
      <c r="BG17" s="53">
        <f>IFERROR(VLOOKUP($C17,Dato_Transf!$AQ:$AW,6,FALSE()),0)</f>
        <v>0</v>
      </c>
      <c r="BH17" s="101">
        <f t="shared" ref="BH17:BH18" si="63">(+BG17-BF17)*24</f>
        <v>0</v>
      </c>
      <c r="BI17" s="47" t="str">
        <f>IF(BH17=0," ",VLOOKUP($C17,Dato_Transf!$AQ:$AW,7,FALSE()))</f>
        <v xml:space="preserve"> </v>
      </c>
      <c r="BJ17" s="99">
        <f t="shared" ref="BJ17:BJ18" si="64">H17+P17+X17+AF17+AN17+AV17+BD17</f>
        <v>0</v>
      </c>
      <c r="BK17" s="100">
        <f t="shared" ref="BK17:BK18" si="65">L17+T17+AB17+AJ17+AR17+AZ17+BH17</f>
        <v>0</v>
      </c>
    </row>
    <row r="18" spans="2:73" ht="29.25" customHeight="1" x14ac:dyDescent="0.3">
      <c r="B18" s="23">
        <f>'Reporte Asistencia Laboral'!B19</f>
        <v>9</v>
      </c>
      <c r="C18" s="77" t="str">
        <f>IFERROR(VLOOKUP(D18,EMPLEADO!C:Q,15,0),"")</f>
        <v/>
      </c>
      <c r="D18" s="6" t="str">
        <f>'Reporte Asistencia Laboral'!D19</f>
        <v/>
      </c>
      <c r="E18" s="150"/>
      <c r="F18" s="53">
        <f>IFERROR(VLOOKUP($C18,Dato_Transf!$A:$G,3,FALSE()),0)</f>
        <v>0</v>
      </c>
      <c r="G18" s="53">
        <f>IFERROR(VLOOKUP($C18,Dato_Transf!$A:$G,4,FALSE()),0)</f>
        <v>0</v>
      </c>
      <c r="H18" s="101">
        <f t="shared" si="50"/>
        <v>0</v>
      </c>
      <c r="I18" s="47" t="str">
        <f>IF(H18=0," ",VLOOKUP($C18,Dato_Transf!$A:$G,7,FALSE))</f>
        <v xml:space="preserve"> </v>
      </c>
      <c r="J18" s="53">
        <f>IFERROR(VLOOKUP($C18,Dato_Transf!$A:$G,5,FALSE()),0)</f>
        <v>0</v>
      </c>
      <c r="K18" s="53">
        <f>IFERROR(VLOOKUP($C18,Dato_Transf!$A:$G,6,FALSE()),0)</f>
        <v>0</v>
      </c>
      <c r="L18" s="101">
        <f t="shared" si="51"/>
        <v>0</v>
      </c>
      <c r="M18" s="47" t="str">
        <f>IF(L18=0," ",VLOOKUP($C18,Dato_Transf!$A:$G,7,FALSE))</f>
        <v xml:space="preserve"> </v>
      </c>
      <c r="N18" s="53">
        <f>IFERROR(VLOOKUP($C18,Dato_Transf!$H:$N,3,FALSE()),0)</f>
        <v>0</v>
      </c>
      <c r="O18" s="53">
        <f>IFERROR(VLOOKUP($C18,Dato_Transf!$H:$N,4,FALSE()),0)</f>
        <v>0</v>
      </c>
      <c r="P18" s="101">
        <f t="shared" si="52"/>
        <v>0</v>
      </c>
      <c r="Q18" s="47" t="str">
        <f>IF(P18=0," ",VLOOKUP($C18,Dato_Transf!$H:$N,7,FALSE()))</f>
        <v xml:space="preserve"> </v>
      </c>
      <c r="R18" s="53">
        <f>IFERROR(VLOOKUP($C18,Dato_Transf!$H:$N,5,FALSE()),0)</f>
        <v>0</v>
      </c>
      <c r="S18" s="53">
        <f>IFERROR(VLOOKUP($C18,Dato_Transf!$H:$N,6,FALSE()),0)</f>
        <v>0</v>
      </c>
      <c r="T18" s="101">
        <f t="shared" si="53"/>
        <v>0</v>
      </c>
      <c r="U18" s="47" t="str">
        <f>IF(T18=0," ",VLOOKUP($C18,Dato_Transf!$H:$N,7,FALSE()))</f>
        <v xml:space="preserve"> </v>
      </c>
      <c r="V18" s="53">
        <f>IFERROR(VLOOKUP($C18,Dato_Transf!$O:$U,3,FALSE()),0)</f>
        <v>0</v>
      </c>
      <c r="W18" s="53">
        <f>IFERROR(VLOOKUP($C18,Dato_Transf!$O:$U,4,FALSE()),0)</f>
        <v>0</v>
      </c>
      <c r="X18" s="101">
        <f t="shared" si="54"/>
        <v>0</v>
      </c>
      <c r="Y18" s="47" t="str">
        <f>IF(X18=0," ",VLOOKUP($C18,Dato_Transf!$O:$U,7,FALSE()))</f>
        <v xml:space="preserve"> </v>
      </c>
      <c r="Z18" s="53">
        <f>IFERROR(VLOOKUP($C18,Dato_Transf!$O:$U,5,FALSE()),0)</f>
        <v>0</v>
      </c>
      <c r="AA18" s="53">
        <f>IFERROR(VLOOKUP($C18,Dato_Transf!$O:$U,6,FALSE()),0)</f>
        <v>0</v>
      </c>
      <c r="AB18" s="101">
        <f t="shared" si="55"/>
        <v>0</v>
      </c>
      <c r="AC18" s="47" t="str">
        <f>IF(AB18=0," ",VLOOKUP($C18,Dato_Transf!$O:$U,7,FALSE()))</f>
        <v xml:space="preserve"> </v>
      </c>
      <c r="AD18" s="53">
        <f>IFERROR(VLOOKUP($C18,Dato_Transf!$V:$AB,3,FALSE()),0)</f>
        <v>0</v>
      </c>
      <c r="AE18" s="53">
        <f>IFERROR(VLOOKUP($C18,Dato_Transf!$V:$AB,4,FALSE()),0)</f>
        <v>0</v>
      </c>
      <c r="AF18" s="101">
        <f t="shared" si="56"/>
        <v>0</v>
      </c>
      <c r="AG18" s="47" t="str">
        <f>IF(AF18=0," ",VLOOKUP($C18,Dato_Transf!$V:$AB,7,FALSE()))</f>
        <v xml:space="preserve"> </v>
      </c>
      <c r="AH18" s="53">
        <f>IFERROR(VLOOKUP($C18,Dato_Transf!$V:$AB,5,FALSE()),0)</f>
        <v>0</v>
      </c>
      <c r="AI18" s="53">
        <f>IFERROR(VLOOKUP($C18,Dato_Transf!$V:$AB,6,FALSE()),0)</f>
        <v>0</v>
      </c>
      <c r="AJ18" s="101">
        <f t="shared" si="57"/>
        <v>0</v>
      </c>
      <c r="AK18" s="47" t="str">
        <f>IF(AJ18=0," ",VLOOKUP($C18,Dato_Transf!$V:$AB,7,FALSE()))</f>
        <v xml:space="preserve"> </v>
      </c>
      <c r="AL18" s="53">
        <f>IFERROR(VLOOKUP($C18,Dato_Transf!$AC:$AI,3,FALSE()),0)</f>
        <v>0</v>
      </c>
      <c r="AM18" s="53">
        <f>IFERROR(VLOOKUP($C18,Dato_Transf!$AC:$AI,4,FALSE()),0)</f>
        <v>0</v>
      </c>
      <c r="AN18" s="101">
        <f t="shared" si="58"/>
        <v>0</v>
      </c>
      <c r="AO18" s="47" t="str">
        <f>IF(AN18=0," ",VLOOKUP($C18,Dato_Transf!$AC:$AI,7,FALSE()))</f>
        <v xml:space="preserve"> </v>
      </c>
      <c r="AP18" s="53">
        <f>IFERROR(VLOOKUP($C18,Dato_Transf!$AC:$AI,5,FALSE()),0)</f>
        <v>0</v>
      </c>
      <c r="AQ18" s="53">
        <f>IFERROR(VLOOKUP($C18,Dato_Transf!$AC:$AI,6,FALSE()),0)</f>
        <v>0</v>
      </c>
      <c r="AR18" s="101">
        <f t="shared" si="59"/>
        <v>0</v>
      </c>
      <c r="AS18" s="47" t="str">
        <f>IF(AR18=0," ",VLOOKUP($C18,Dato_Transf!$AC:$AI,7,FALSE()))</f>
        <v xml:space="preserve"> </v>
      </c>
      <c r="AT18" s="53">
        <f>IFERROR(VLOOKUP($C18,Dato_Transf!$AJ:$AP,3,FALSE()),0)</f>
        <v>0</v>
      </c>
      <c r="AU18" s="53">
        <f>IFERROR(VLOOKUP($C18,Dato_Transf!$AJ:$AP,4,FALSE()),0)</f>
        <v>0</v>
      </c>
      <c r="AV18" s="101">
        <f t="shared" si="60"/>
        <v>0</v>
      </c>
      <c r="AW18" s="47" t="str">
        <f>IF(AV18=0," ",VLOOKUP($C18,Dato_Transf!$AJ:$AP,7,FALSE()))</f>
        <v xml:space="preserve"> </v>
      </c>
      <c r="AX18" s="53">
        <f>IFERROR(VLOOKUP($C18,Dato_Transf!$AJ:$AP,5,FALSE()),0)</f>
        <v>0</v>
      </c>
      <c r="AY18" s="53">
        <f>IFERROR(VLOOKUP($C18,Dato_Transf!$AJ:$AP,6,FALSE()),0)</f>
        <v>0</v>
      </c>
      <c r="AZ18" s="101">
        <f t="shared" si="61"/>
        <v>0</v>
      </c>
      <c r="BA18" s="47" t="str">
        <f>IF(AZ18=0," ",VLOOKUP($C18,Dato_Transf!$AJ:$AP,7,FALSE()))</f>
        <v xml:space="preserve"> </v>
      </c>
      <c r="BB18" s="53">
        <f>IFERROR(VLOOKUP($C18,Dato_Transf!$AQ:$AW,3,FALSE()),0)</f>
        <v>0</v>
      </c>
      <c r="BC18" s="53">
        <f>IFERROR(VLOOKUP($C18,Dato_Transf!$AQ:$AW,4,FALSE()),0)</f>
        <v>0</v>
      </c>
      <c r="BD18" s="101">
        <f t="shared" si="62"/>
        <v>0</v>
      </c>
      <c r="BE18" s="47" t="str">
        <f>IF(BD18=0," ",VLOOKUP($C18,Dato_Transf!$AQ:$AW,7,FALSE()))</f>
        <v xml:space="preserve"> </v>
      </c>
      <c r="BF18" s="53">
        <f>IFERROR(VLOOKUP($C18,Dato_Transf!$AQ:$AW,5,FALSE()),0)</f>
        <v>0</v>
      </c>
      <c r="BG18" s="53">
        <f>IFERROR(VLOOKUP($C18,Dato_Transf!$AQ:$AW,6,FALSE()),0)</f>
        <v>0</v>
      </c>
      <c r="BH18" s="101">
        <f t="shared" si="63"/>
        <v>0</v>
      </c>
      <c r="BI18" s="47" t="str">
        <f>IF(BH18=0," ",VLOOKUP($C18,Dato_Transf!$AQ:$AW,7,FALSE()))</f>
        <v xml:space="preserve"> </v>
      </c>
      <c r="BJ18" s="99">
        <f t="shared" si="64"/>
        <v>0</v>
      </c>
      <c r="BK18" s="100">
        <f t="shared" si="65"/>
        <v>0</v>
      </c>
    </row>
    <row r="19" spans="2:73" ht="29.25" customHeight="1" x14ac:dyDescent="0.3">
      <c r="B19" s="305"/>
      <c r="C19" s="306"/>
      <c r="D19" s="307"/>
      <c r="E19" s="150"/>
      <c r="F19" s="308"/>
      <c r="G19" s="308"/>
      <c r="H19" s="309"/>
      <c r="I19" s="310"/>
      <c r="J19" s="308"/>
      <c r="K19" s="308"/>
      <c r="L19" s="309"/>
      <c r="M19" s="310"/>
      <c r="N19" s="308"/>
      <c r="O19" s="308"/>
      <c r="P19" s="309"/>
      <c r="Q19" s="310"/>
      <c r="R19" s="308"/>
      <c r="S19" s="308"/>
      <c r="T19" s="309"/>
      <c r="U19" s="310"/>
      <c r="V19" s="308"/>
      <c r="W19" s="308"/>
      <c r="X19" s="309"/>
      <c r="Y19" s="310"/>
      <c r="Z19" s="308"/>
      <c r="AA19" s="308"/>
      <c r="AB19" s="309"/>
      <c r="AC19" s="310"/>
      <c r="AD19" s="308"/>
      <c r="AE19" s="308"/>
      <c r="AF19" s="309"/>
      <c r="AG19" s="310"/>
      <c r="AH19" s="308"/>
      <c r="AI19" s="308"/>
      <c r="AJ19" s="309"/>
      <c r="AK19" s="310"/>
      <c r="AL19" s="308"/>
      <c r="AM19" s="308"/>
      <c r="AN19" s="309"/>
      <c r="AO19" s="310"/>
      <c r="AP19" s="308"/>
      <c r="AQ19" s="308"/>
      <c r="AR19" s="309"/>
      <c r="AS19" s="310"/>
      <c r="AT19" s="308"/>
      <c r="AU19" s="308"/>
      <c r="AV19" s="309"/>
      <c r="AW19" s="310"/>
      <c r="AX19" s="308"/>
      <c r="AY19" s="308"/>
      <c r="AZ19" s="309"/>
      <c r="BA19" s="310"/>
      <c r="BB19" s="308"/>
      <c r="BC19" s="308"/>
      <c r="BD19" s="309"/>
      <c r="BE19" s="310"/>
      <c r="BF19" s="308"/>
      <c r="BG19" s="308"/>
      <c r="BH19" s="309"/>
      <c r="BI19" s="310"/>
      <c r="BJ19" s="99"/>
      <c r="BK19" s="100"/>
    </row>
    <row r="20" spans="2:73" ht="29.25" customHeight="1" thickBot="1" x14ac:dyDescent="0.35">
      <c r="B20" s="305"/>
      <c r="C20" s="306"/>
      <c r="D20" s="307"/>
      <c r="E20" s="150"/>
      <c r="F20" s="308"/>
      <c r="G20" s="308"/>
      <c r="H20" s="309"/>
      <c r="I20" s="310"/>
      <c r="J20" s="308"/>
      <c r="K20" s="308"/>
      <c r="L20" s="309"/>
      <c r="M20" s="310"/>
      <c r="N20" s="308"/>
      <c r="O20" s="308"/>
      <c r="P20" s="309"/>
      <c r="Q20" s="310"/>
      <c r="R20" s="308"/>
      <c r="S20" s="308"/>
      <c r="T20" s="309"/>
      <c r="U20" s="310"/>
      <c r="V20" s="308"/>
      <c r="W20" s="308"/>
      <c r="X20" s="309"/>
      <c r="Y20" s="310"/>
      <c r="Z20" s="308"/>
      <c r="AA20" s="308"/>
      <c r="AB20" s="309"/>
      <c r="AC20" s="310"/>
      <c r="AD20" s="308"/>
      <c r="AE20" s="308"/>
      <c r="AF20" s="309"/>
      <c r="AG20" s="310"/>
      <c r="AH20" s="308"/>
      <c r="AI20" s="308"/>
      <c r="AJ20" s="309"/>
      <c r="AK20" s="310"/>
      <c r="AL20" s="308"/>
      <c r="AM20" s="308"/>
      <c r="AN20" s="309"/>
      <c r="AO20" s="310"/>
      <c r="AP20" s="308"/>
      <c r="AQ20" s="308"/>
      <c r="AR20" s="309"/>
      <c r="AS20" s="310"/>
      <c r="AT20" s="308"/>
      <c r="AU20" s="308"/>
      <c r="AV20" s="309"/>
      <c r="AW20" s="310"/>
      <c r="AX20" s="308"/>
      <c r="AY20" s="308"/>
      <c r="AZ20" s="309"/>
      <c r="BA20" s="310"/>
      <c r="BB20" s="308"/>
      <c r="BC20" s="308"/>
      <c r="BD20" s="309"/>
      <c r="BE20" s="310"/>
      <c r="BF20" s="308"/>
      <c r="BG20" s="308"/>
      <c r="BH20" s="309"/>
      <c r="BI20" s="310"/>
      <c r="BJ20" s="99"/>
      <c r="BK20" s="100"/>
    </row>
    <row r="21" spans="2:73" ht="21" customHeight="1" x14ac:dyDescent="0.3">
      <c r="C21" s="70" t="s">
        <v>120</v>
      </c>
      <c r="D21" s="29"/>
      <c r="F21" s="388"/>
      <c r="G21" s="388"/>
      <c r="H21" s="388"/>
      <c r="I21" s="388"/>
      <c r="J21" s="388"/>
      <c r="K21" s="388"/>
      <c r="L21" s="388"/>
      <c r="M21" s="388"/>
      <c r="N21" s="388"/>
      <c r="O21" s="388"/>
      <c r="P21" s="388"/>
      <c r="Q21" s="388"/>
      <c r="R21" s="388"/>
      <c r="S21" s="388"/>
      <c r="T21" s="388"/>
      <c r="U21" s="388"/>
      <c r="V21" s="388"/>
      <c r="W21" s="388"/>
      <c r="X21" s="388"/>
      <c r="Y21" s="388"/>
      <c r="Z21" s="388"/>
      <c r="AA21" s="388"/>
      <c r="AB21" s="388"/>
      <c r="AC21" s="388"/>
      <c r="AD21" s="388"/>
      <c r="AE21" s="388"/>
      <c r="AF21" s="388"/>
      <c r="AG21" s="388"/>
      <c r="AH21" s="388"/>
      <c r="AI21" s="388"/>
      <c r="AJ21" s="388"/>
      <c r="AK21" s="388"/>
      <c r="AL21" s="388"/>
      <c r="AM21" s="388"/>
      <c r="AN21" s="388"/>
      <c r="AO21" s="388"/>
      <c r="AP21" s="388"/>
      <c r="AQ21" s="388"/>
      <c r="AR21" s="388"/>
      <c r="AS21" s="388"/>
      <c r="AT21" s="388"/>
      <c r="AU21" s="388"/>
      <c r="AV21" s="388"/>
      <c r="AW21" s="388"/>
      <c r="AX21" s="388"/>
      <c r="AY21" s="388"/>
      <c r="AZ21" s="388"/>
      <c r="BA21" s="388"/>
      <c r="BB21" s="388"/>
      <c r="BC21" s="388"/>
      <c r="BD21" s="388"/>
      <c r="BE21" s="388"/>
      <c r="BF21" s="388"/>
      <c r="BG21" s="388"/>
      <c r="BH21" s="388"/>
      <c r="BI21" s="388"/>
      <c r="BJ21" s="134"/>
      <c r="BK21" s="134"/>
      <c r="BM21" s="96"/>
      <c r="BN21" s="96"/>
      <c r="BO21" s="96"/>
      <c r="BR21" s="96"/>
      <c r="BS21" s="96"/>
      <c r="BT21" s="96"/>
      <c r="BU21" s="96"/>
    </row>
    <row r="22" spans="2:73" x14ac:dyDescent="0.25">
      <c r="B22" s="35" t="s">
        <v>124</v>
      </c>
      <c r="F22" s="389"/>
      <c r="G22" s="389"/>
      <c r="H22" s="389"/>
      <c r="I22" s="389"/>
      <c r="J22" s="389"/>
      <c r="K22" s="389"/>
      <c r="L22" s="389"/>
      <c r="M22" s="389"/>
      <c r="N22" s="389"/>
      <c r="O22" s="389"/>
      <c r="P22" s="389"/>
      <c r="Q22" s="389"/>
      <c r="R22" s="389"/>
      <c r="S22" s="389"/>
      <c r="T22" s="389"/>
      <c r="U22" s="389"/>
      <c r="V22" s="389"/>
      <c r="W22" s="389"/>
      <c r="X22" s="389"/>
      <c r="Y22" s="389"/>
      <c r="Z22" s="389"/>
      <c r="AA22" s="389"/>
      <c r="AB22" s="389"/>
      <c r="AC22" s="389"/>
      <c r="AD22" s="389"/>
      <c r="AE22" s="389"/>
      <c r="AF22" s="389"/>
      <c r="AG22" s="389"/>
      <c r="AH22" s="389"/>
      <c r="AI22" s="389"/>
      <c r="AJ22" s="389"/>
      <c r="AK22" s="389"/>
      <c r="AL22" s="389"/>
      <c r="AM22" s="389"/>
      <c r="AN22" s="389"/>
      <c r="AO22" s="389"/>
      <c r="AP22" s="389"/>
      <c r="AQ22" s="389"/>
      <c r="AR22" s="389"/>
      <c r="AS22" s="389"/>
      <c r="AT22" s="389"/>
      <c r="AU22" s="389"/>
      <c r="AV22" s="389"/>
      <c r="AW22" s="389"/>
      <c r="AX22" s="389"/>
      <c r="AY22" s="389"/>
      <c r="AZ22" s="389"/>
      <c r="BA22" s="389"/>
      <c r="BB22" s="389"/>
      <c r="BC22" s="389"/>
      <c r="BD22" s="389"/>
      <c r="BE22" s="389"/>
      <c r="BF22" s="389"/>
      <c r="BG22" s="389"/>
      <c r="BH22" s="389"/>
      <c r="BI22" s="389"/>
      <c r="BM22" s="96"/>
      <c r="BN22" s="96"/>
      <c r="BO22" s="96"/>
      <c r="BR22" s="96"/>
      <c r="BS22" s="96"/>
      <c r="BT22" s="96"/>
      <c r="BU22" s="96"/>
    </row>
    <row r="23" spans="2:73" x14ac:dyDescent="0.25">
      <c r="F23" s="389"/>
      <c r="G23" s="389"/>
      <c r="H23" s="389"/>
      <c r="I23" s="389"/>
      <c r="J23" s="389"/>
      <c r="K23" s="389"/>
      <c r="L23" s="389"/>
      <c r="M23" s="389"/>
      <c r="N23" s="389"/>
      <c r="O23" s="389"/>
      <c r="P23" s="389"/>
      <c r="Q23" s="389"/>
      <c r="R23" s="389"/>
      <c r="S23" s="389"/>
      <c r="T23" s="389"/>
      <c r="U23" s="389"/>
      <c r="V23" s="389"/>
      <c r="W23" s="389"/>
      <c r="X23" s="389"/>
      <c r="Y23" s="389"/>
      <c r="Z23" s="389"/>
      <c r="AA23" s="389"/>
      <c r="AB23" s="389"/>
      <c r="AC23" s="389"/>
      <c r="AD23" s="389"/>
      <c r="AE23" s="389"/>
      <c r="AF23" s="389"/>
      <c r="AG23" s="389"/>
      <c r="AH23" s="389"/>
      <c r="AI23" s="389"/>
      <c r="AJ23" s="389"/>
      <c r="AK23" s="389"/>
      <c r="AL23" s="389"/>
      <c r="AM23" s="389"/>
      <c r="AN23" s="389"/>
      <c r="AO23" s="389"/>
      <c r="AP23" s="389"/>
      <c r="AQ23" s="389"/>
      <c r="AR23" s="389"/>
      <c r="AS23" s="389"/>
      <c r="AT23" s="389"/>
      <c r="AU23" s="389"/>
      <c r="AV23" s="389"/>
      <c r="AW23" s="389"/>
      <c r="AX23" s="389"/>
      <c r="AY23" s="389"/>
      <c r="AZ23" s="389"/>
      <c r="BA23" s="389"/>
      <c r="BB23" s="389"/>
      <c r="BC23" s="389"/>
      <c r="BD23" s="389"/>
      <c r="BE23" s="389"/>
      <c r="BF23" s="389"/>
      <c r="BG23" s="389"/>
      <c r="BH23" s="389"/>
      <c r="BI23" s="389"/>
      <c r="BM23" s="96"/>
      <c r="BN23" s="96"/>
      <c r="BO23" s="96"/>
      <c r="BR23" s="96"/>
      <c r="BS23" s="96"/>
      <c r="BT23" s="96"/>
      <c r="BU23" s="96"/>
    </row>
    <row r="24" spans="2:73" x14ac:dyDescent="0.25">
      <c r="F24" s="389"/>
      <c r="G24" s="389"/>
      <c r="H24" s="389"/>
      <c r="I24" s="389"/>
      <c r="J24" s="389"/>
      <c r="K24" s="389"/>
      <c r="L24" s="389"/>
      <c r="M24" s="389"/>
      <c r="N24" s="389"/>
      <c r="O24" s="389"/>
      <c r="P24" s="389"/>
      <c r="Q24" s="389"/>
      <c r="R24" s="389"/>
      <c r="S24" s="389"/>
      <c r="T24" s="389"/>
      <c r="U24" s="389"/>
      <c r="V24" s="389"/>
      <c r="W24" s="389"/>
      <c r="X24" s="389"/>
      <c r="Y24" s="389"/>
      <c r="Z24" s="389"/>
      <c r="AA24" s="389"/>
      <c r="AB24" s="389"/>
      <c r="AC24" s="389"/>
      <c r="AD24" s="389"/>
      <c r="AE24" s="389"/>
      <c r="AF24" s="389"/>
      <c r="AG24" s="389"/>
      <c r="AH24" s="389"/>
      <c r="AI24" s="389"/>
      <c r="AJ24" s="389"/>
      <c r="AK24" s="389"/>
      <c r="AL24" s="389"/>
      <c r="AM24" s="389"/>
      <c r="AN24" s="389"/>
      <c r="AO24" s="389"/>
      <c r="AP24" s="389"/>
      <c r="AQ24" s="389"/>
      <c r="AR24" s="389"/>
      <c r="AS24" s="389"/>
      <c r="AT24" s="389"/>
      <c r="AU24" s="389"/>
      <c r="AV24" s="389"/>
      <c r="AW24" s="389"/>
      <c r="AX24" s="389"/>
      <c r="AY24" s="389"/>
      <c r="AZ24" s="389"/>
      <c r="BA24" s="389"/>
      <c r="BB24" s="389"/>
      <c r="BC24" s="389"/>
      <c r="BD24" s="389"/>
      <c r="BE24" s="389"/>
      <c r="BF24" s="389"/>
      <c r="BG24" s="389"/>
      <c r="BH24" s="389"/>
      <c r="BI24" s="389"/>
      <c r="BM24" s="96"/>
      <c r="BN24" s="96"/>
      <c r="BO24" s="96"/>
      <c r="BR24" s="96"/>
      <c r="BS24" s="96"/>
      <c r="BT24" s="96"/>
      <c r="BU24" s="96"/>
    </row>
    <row r="25" spans="2:73" ht="15.75" thickBot="1" x14ac:dyDescent="0.3">
      <c r="B25" s="35" t="s">
        <v>125</v>
      </c>
      <c r="C25" s="29" t="s">
        <v>126</v>
      </c>
      <c r="F25" s="390"/>
      <c r="G25" s="390"/>
      <c r="H25" s="390"/>
      <c r="I25" s="390"/>
      <c r="J25" s="390"/>
      <c r="K25" s="390"/>
      <c r="L25" s="390"/>
      <c r="M25" s="390"/>
      <c r="N25" s="390"/>
      <c r="O25" s="390"/>
      <c r="P25" s="390"/>
      <c r="Q25" s="390"/>
      <c r="R25" s="390"/>
      <c r="S25" s="390"/>
      <c r="T25" s="390"/>
      <c r="U25" s="390"/>
      <c r="V25" s="390"/>
      <c r="W25" s="390"/>
      <c r="X25" s="390"/>
      <c r="Y25" s="390"/>
      <c r="Z25" s="390"/>
      <c r="AA25" s="390"/>
      <c r="AB25" s="390"/>
      <c r="AC25" s="390"/>
      <c r="AD25" s="390"/>
      <c r="AE25" s="390"/>
      <c r="AF25" s="390"/>
      <c r="AG25" s="390"/>
      <c r="AH25" s="390"/>
      <c r="AI25" s="390"/>
      <c r="AJ25" s="390"/>
      <c r="AK25" s="390"/>
      <c r="AL25" s="390"/>
      <c r="AM25" s="390"/>
      <c r="AN25" s="390"/>
      <c r="AO25" s="390"/>
      <c r="AP25" s="390"/>
      <c r="AQ25" s="390"/>
      <c r="AR25" s="390"/>
      <c r="AS25" s="390"/>
      <c r="AT25" s="390"/>
      <c r="AU25" s="390"/>
      <c r="AV25" s="390"/>
      <c r="AW25" s="390"/>
      <c r="AX25" s="390"/>
      <c r="AY25" s="390"/>
      <c r="AZ25" s="390"/>
      <c r="BA25" s="390"/>
      <c r="BB25" s="390"/>
      <c r="BC25" s="390"/>
      <c r="BD25" s="390"/>
      <c r="BE25" s="390"/>
      <c r="BF25" s="390"/>
      <c r="BG25" s="390"/>
      <c r="BH25" s="390"/>
      <c r="BI25" s="390"/>
      <c r="BM25" s="96"/>
      <c r="BN25" s="96"/>
      <c r="BO25" s="96"/>
      <c r="BR25" s="96"/>
      <c r="BS25" s="96"/>
      <c r="BT25" s="96"/>
      <c r="BU25" s="96"/>
    </row>
    <row r="26" spans="2:73" x14ac:dyDescent="0.25">
      <c r="BM26" s="96"/>
      <c r="BN26" s="96"/>
      <c r="BO26" s="96"/>
      <c r="BR26" s="96"/>
      <c r="BS26" s="96"/>
      <c r="BT26" s="96"/>
      <c r="BU26" s="96"/>
    </row>
    <row r="27" spans="2:73" x14ac:dyDescent="0.25">
      <c r="BM27" s="96"/>
      <c r="BN27" s="96"/>
      <c r="BO27" s="96"/>
      <c r="BR27" s="96"/>
      <c r="BS27" s="96"/>
      <c r="BT27" s="96"/>
      <c r="BU27" s="96"/>
    </row>
    <row r="28" spans="2:73" x14ac:dyDescent="0.25">
      <c r="BM28" s="96"/>
      <c r="BN28" s="96"/>
      <c r="BO28" s="96"/>
      <c r="BR28" s="96"/>
      <c r="BS28" s="96"/>
      <c r="BT28" s="96"/>
      <c r="BU28" s="96"/>
    </row>
    <row r="29" spans="2:73" x14ac:dyDescent="0.25">
      <c r="BM29" s="96"/>
      <c r="BN29" s="96"/>
      <c r="BO29" s="96"/>
      <c r="BR29" s="96"/>
      <c r="BS29" s="96"/>
      <c r="BT29" s="96"/>
      <c r="BU29" s="96"/>
    </row>
    <row r="30" spans="2:73" x14ac:dyDescent="0.25">
      <c r="BM30" s="96"/>
      <c r="BN30" s="96"/>
      <c r="BO30" s="96"/>
      <c r="BR30" s="96"/>
      <c r="BS30" s="96"/>
      <c r="BT30" s="96"/>
      <c r="BU30" s="96"/>
    </row>
    <row r="31" spans="2:73" x14ac:dyDescent="0.25">
      <c r="BM31" s="96"/>
      <c r="BN31" s="96"/>
      <c r="BO31" s="96"/>
      <c r="BR31" s="96"/>
      <c r="BS31" s="96"/>
      <c r="BT31" s="96"/>
      <c r="BU31" s="96"/>
    </row>
    <row r="32" spans="2:73" x14ac:dyDescent="0.25">
      <c r="BM32" s="96"/>
      <c r="BN32" s="96"/>
      <c r="BO32" s="96"/>
      <c r="BR32" s="96"/>
      <c r="BS32" s="96"/>
      <c r="BT32" s="96"/>
      <c r="BU32" s="96"/>
    </row>
  </sheetData>
  <mergeCells count="54">
    <mergeCell ref="C1:D1"/>
    <mergeCell ref="AT2:BA2"/>
    <mergeCell ref="BB2:BI2"/>
    <mergeCell ref="F2:M2"/>
    <mergeCell ref="N2:U2"/>
    <mergeCell ref="V2:AC2"/>
    <mergeCell ref="AD2:AK2"/>
    <mergeCell ref="AL2:AS2"/>
    <mergeCell ref="H1:AG1"/>
    <mergeCell ref="BB21:BI25"/>
    <mergeCell ref="F21:M25"/>
    <mergeCell ref="N21:U25"/>
    <mergeCell ref="V21:AC25"/>
    <mergeCell ref="AD21:AK25"/>
    <mergeCell ref="AL21:AS25"/>
    <mergeCell ref="AT21:BA25"/>
    <mergeCell ref="BB8:BE8"/>
    <mergeCell ref="BF8:BI8"/>
    <mergeCell ref="AL8:AO8"/>
    <mergeCell ref="AP8:AS8"/>
    <mergeCell ref="AT8:AW8"/>
    <mergeCell ref="AX8:BA8"/>
    <mergeCell ref="BJ7:BK7"/>
    <mergeCell ref="F8:I8"/>
    <mergeCell ref="J8:M8"/>
    <mergeCell ref="BB7:BI7"/>
    <mergeCell ref="AD7:AK7"/>
    <mergeCell ref="AL7:AS7"/>
    <mergeCell ref="AT7:BA7"/>
    <mergeCell ref="F7:M7"/>
    <mergeCell ref="N7:U7"/>
    <mergeCell ref="V7:AC7"/>
    <mergeCell ref="AD8:AG8"/>
    <mergeCell ref="AH8:AK8"/>
    <mergeCell ref="N8:Q8"/>
    <mergeCell ref="R8:U8"/>
    <mergeCell ref="V8:Y8"/>
    <mergeCell ref="Z8:AC8"/>
    <mergeCell ref="AL6:AS6"/>
    <mergeCell ref="AT6:BA6"/>
    <mergeCell ref="BB6:BI6"/>
    <mergeCell ref="C2:E2"/>
    <mergeCell ref="C3:E3"/>
    <mergeCell ref="F6:M6"/>
    <mergeCell ref="N6:U6"/>
    <mergeCell ref="V6:AC6"/>
    <mergeCell ref="AD6:AK6"/>
    <mergeCell ref="BB5:BI5"/>
    <mergeCell ref="F5:M5"/>
    <mergeCell ref="N5:U5"/>
    <mergeCell ref="V5:AC5"/>
    <mergeCell ref="AD5:AK5"/>
    <mergeCell ref="AL5:AS5"/>
    <mergeCell ref="AT5:BA5"/>
  </mergeCells>
  <conditionalFormatting sqref="F6:BI6">
    <cfRule type="cellIs" dxfId="19" priority="27" operator="equal">
      <formula>"OJO H.E. AL 100%"</formula>
    </cfRule>
    <cfRule type="cellIs" dxfId="18" priority="28" operator="equal">
      <formula>"""OJO H.E. AL 100%"""</formula>
    </cfRule>
  </conditionalFormatting>
  <conditionalFormatting sqref="AT4 BB4 AL4 AD4 V4 N4 F4">
    <cfRule type="cellIs" dxfId="17" priority="26" operator="equal">
      <formula>"F"</formula>
    </cfRule>
  </conditionalFormatting>
  <conditionalFormatting sqref="F5:BI5">
    <cfRule type="cellIs" dxfId="16" priority="7" operator="equal">
      <formula>0</formula>
    </cfRule>
  </conditionalFormatting>
  <pageMargins left="0.51181102362204722" right="0.11811023622047245" top="0.15748031496062992" bottom="0.15748031496062992" header="0.31496062992125984" footer="0.31496062992125984"/>
  <pageSetup scale="75" orientation="portrait" horizontalDpi="120" verticalDpi="72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NOCHE_PESC'!$B$16:$B$26</xm:f>
          </x14:formula1>
          <xm:sqref>E10:E13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F0"/>
  </sheetPr>
  <dimension ref="A1:R41"/>
  <sheetViews>
    <sheetView topLeftCell="B1" zoomScale="70" zoomScaleNormal="70" workbookViewId="0">
      <selection activeCell="F5" sqref="F5:M5"/>
    </sheetView>
  </sheetViews>
  <sheetFormatPr baseColWidth="10" defaultRowHeight="15" x14ac:dyDescent="0.25"/>
  <cols>
    <col min="1" max="1" width="2.85546875" style="1" hidden="1" customWidth="1"/>
    <col min="2" max="2" width="4.7109375" style="1" customWidth="1"/>
    <col min="3" max="3" width="47.7109375" style="1" customWidth="1"/>
    <col min="4" max="4" width="18.5703125" style="1" customWidth="1"/>
    <col min="5" max="5" width="10.42578125" style="1" hidden="1" customWidth="1"/>
    <col min="6" max="7" width="7.7109375" style="1" customWidth="1"/>
    <col min="8" max="8" width="6.7109375" style="1" customWidth="1"/>
    <col min="9" max="9" width="9.7109375" style="1" customWidth="1"/>
    <col min="10" max="11" width="7.7109375" style="1" customWidth="1"/>
    <col min="12" max="12" width="6.7109375" style="1" customWidth="1"/>
    <col min="13" max="13" width="9.7109375" style="1" customWidth="1"/>
    <col min="14" max="14" width="21.140625" customWidth="1"/>
    <col min="18" max="18" width="4.7109375" style="9" customWidth="1"/>
    <col min="19" max="16384" width="11.42578125" style="1"/>
  </cols>
  <sheetData>
    <row r="1" spans="2:18" ht="15.75" customHeight="1" x14ac:dyDescent="0.25">
      <c r="F1"/>
      <c r="G1"/>
      <c r="H1"/>
      <c r="I1"/>
      <c r="J1"/>
      <c r="K1"/>
      <c r="L1"/>
      <c r="M1"/>
    </row>
    <row r="2" spans="2:18" ht="22.5" x14ac:dyDescent="0.4">
      <c r="C2" s="399" t="s">
        <v>43</v>
      </c>
      <c r="D2" s="399"/>
      <c r="E2" s="399"/>
      <c r="F2" s="367"/>
      <c r="G2" s="367"/>
      <c r="H2" s="367"/>
      <c r="I2" s="367"/>
      <c r="J2" s="367"/>
      <c r="K2" s="367"/>
      <c r="L2" s="367"/>
      <c r="M2" s="367"/>
      <c r="N2" s="367"/>
    </row>
    <row r="3" spans="2:18" ht="21.75" thickBot="1" x14ac:dyDescent="0.45">
      <c r="C3" s="400" t="s">
        <v>100</v>
      </c>
      <c r="D3" s="400"/>
      <c r="E3" s="400"/>
    </row>
    <row r="4" spans="2:18" ht="25.5" customHeight="1" thickBot="1" x14ac:dyDescent="0.3">
      <c r="C4" s="35" t="str">
        <f>IF(VARIOS!B4&gt;=14,IF(C5=0," ",+VARIOS!B11)," ")</f>
        <v xml:space="preserve"> </v>
      </c>
      <c r="F4" s="102"/>
    </row>
    <row r="5" spans="2:18" ht="21.95" customHeight="1" thickBot="1" x14ac:dyDescent="0.4">
      <c r="B5" s="67" t="s">
        <v>98</v>
      </c>
      <c r="C5" s="68">
        <f>'CONTROL H.E.'!C5</f>
        <v>0</v>
      </c>
      <c r="D5" s="70" t="s">
        <v>101</v>
      </c>
      <c r="F5" s="374"/>
      <c r="G5" s="375"/>
      <c r="H5" s="375"/>
      <c r="I5" s="375"/>
      <c r="J5" s="375"/>
      <c r="K5" s="375"/>
      <c r="L5" s="375"/>
      <c r="M5" s="376"/>
    </row>
    <row r="6" spans="2:18" s="3" customFormat="1" ht="21.95" customHeight="1" thickBot="1" x14ac:dyDescent="0.35">
      <c r="B6" s="112" t="s">
        <v>99</v>
      </c>
      <c r="C6" s="68">
        <f>'CONTROL H.E.'!C6</f>
        <v>0</v>
      </c>
      <c r="D6" s="81"/>
      <c r="F6" s="370" t="str">
        <f>IF(F5=0,"INGRESE DIA POR FAVOR",IF(WEEKDAY(F5)=7,"OJO H.E. AL 100%",IF(WEEKDAY(F5)=1,"OJO H.E. AL 100%",IF(F4="F","OJO H.E. AL 100%","INGRESAR HORAS EXTRAS"))))</f>
        <v>INGRESE DIA POR FAVOR</v>
      </c>
      <c r="G6" s="371"/>
      <c r="H6" s="371"/>
      <c r="I6" s="371"/>
      <c r="J6" s="371"/>
      <c r="K6" s="371"/>
      <c r="L6" s="371"/>
      <c r="M6" s="372"/>
      <c r="R6" s="9"/>
    </row>
    <row r="7" spans="2:18" ht="19.5" thickBot="1" x14ac:dyDescent="0.3">
      <c r="B7" s="115" t="s">
        <v>88</v>
      </c>
      <c r="C7" s="84">
        <v>3</v>
      </c>
      <c r="F7" s="401" t="s">
        <v>29</v>
      </c>
      <c r="G7" s="401"/>
      <c r="H7" s="401"/>
      <c r="I7" s="401"/>
      <c r="J7" s="401"/>
      <c r="K7" s="401"/>
      <c r="L7" s="401"/>
      <c r="M7" s="402"/>
    </row>
    <row r="8" spans="2:18" ht="39.75" customHeight="1" thickBot="1" x14ac:dyDescent="0.3">
      <c r="F8" s="393" t="s">
        <v>94</v>
      </c>
      <c r="G8" s="394"/>
      <c r="H8" s="394"/>
      <c r="I8" s="395"/>
      <c r="J8" s="396" t="s">
        <v>119</v>
      </c>
      <c r="K8" s="397"/>
      <c r="L8" s="397"/>
      <c r="M8" s="398"/>
    </row>
    <row r="9" spans="2:18" ht="54.95" customHeight="1" x14ac:dyDescent="0.25">
      <c r="B9" s="10" t="s">
        <v>13</v>
      </c>
      <c r="C9" s="80" t="s">
        <v>0</v>
      </c>
      <c r="D9" s="79" t="s">
        <v>33</v>
      </c>
      <c r="E9" s="37" t="s">
        <v>1</v>
      </c>
      <c r="F9" s="142" t="s">
        <v>92</v>
      </c>
      <c r="G9" s="143" t="s">
        <v>93</v>
      </c>
      <c r="H9" s="144" t="s">
        <v>96</v>
      </c>
      <c r="I9" s="145" t="s">
        <v>91</v>
      </c>
      <c r="J9" s="142" t="s">
        <v>92</v>
      </c>
      <c r="K9" s="143" t="s">
        <v>93</v>
      </c>
      <c r="L9" s="144" t="s">
        <v>97</v>
      </c>
      <c r="M9" s="145" t="s">
        <v>91</v>
      </c>
      <c r="N9" s="146" t="s">
        <v>145</v>
      </c>
      <c r="R9" s="3"/>
    </row>
    <row r="10" spans="2:18" ht="35.1" customHeight="1" x14ac:dyDescent="0.25">
      <c r="B10" s="23">
        <v>1</v>
      </c>
      <c r="C10" s="141" t="e">
        <f>VLOOKUP(D10,EMPLEADO!C:Q,15,FALSE)</f>
        <v>#N/A</v>
      </c>
      <c r="D10" s="6" t="s">
        <v>35</v>
      </c>
      <c r="E10" s="38" t="s">
        <v>56</v>
      </c>
      <c r="F10" s="106"/>
      <c r="G10" s="107"/>
      <c r="H10" s="101"/>
      <c r="I10" s="47"/>
      <c r="J10" s="106"/>
      <c r="K10" s="107"/>
      <c r="L10" s="101"/>
      <c r="M10" s="47"/>
      <c r="N10" s="113"/>
      <c r="R10" s="36"/>
    </row>
    <row r="11" spans="2:18" ht="35.1" customHeight="1" x14ac:dyDescent="0.25">
      <c r="B11" s="23">
        <v>2</v>
      </c>
      <c r="C11" s="141" t="e">
        <f>VLOOKUP(D11,EMPLEADO!C:Q,15,FALSE)</f>
        <v>#N/A</v>
      </c>
      <c r="D11" s="6" t="s">
        <v>34</v>
      </c>
      <c r="E11" s="38" t="s">
        <v>23</v>
      </c>
      <c r="F11" s="106"/>
      <c r="G11" s="107"/>
      <c r="H11" s="101"/>
      <c r="I11" s="47"/>
      <c r="J11" s="106"/>
      <c r="K11" s="107"/>
      <c r="L11" s="101"/>
      <c r="M11" s="47"/>
      <c r="N11" s="113"/>
      <c r="R11" s="36"/>
    </row>
    <row r="12" spans="2:18" ht="35.1" customHeight="1" x14ac:dyDescent="0.25">
      <c r="B12" s="23">
        <v>3</v>
      </c>
      <c r="C12" s="141" t="e">
        <f>VLOOKUP(D12,EMPLEADO!C:Q,15,FALSE)</f>
        <v>#N/A</v>
      </c>
      <c r="D12" s="6" t="s">
        <v>37</v>
      </c>
      <c r="E12" s="38" t="s">
        <v>17</v>
      </c>
      <c r="F12" s="106"/>
      <c r="G12" s="107"/>
      <c r="H12" s="101"/>
      <c r="I12" s="47"/>
      <c r="J12" s="106"/>
      <c r="K12" s="107"/>
      <c r="L12" s="101"/>
      <c r="M12" s="47"/>
      <c r="N12" s="113"/>
      <c r="R12" s="36"/>
    </row>
    <row r="13" spans="2:18" ht="35.1" customHeight="1" x14ac:dyDescent="0.25">
      <c r="B13" s="23">
        <v>4</v>
      </c>
      <c r="C13" s="141" t="e">
        <f>VLOOKUP(D13,EMPLEADO!C:Q,15,FALSE)</f>
        <v>#N/A</v>
      </c>
      <c r="D13" s="6" t="s">
        <v>38</v>
      </c>
      <c r="E13" s="38" t="s">
        <v>17</v>
      </c>
      <c r="F13" s="106"/>
      <c r="G13" s="107"/>
      <c r="H13" s="101"/>
      <c r="I13" s="47"/>
      <c r="J13" s="106"/>
      <c r="K13" s="107"/>
      <c r="L13" s="101"/>
      <c r="M13" s="47"/>
      <c r="N13" s="113"/>
      <c r="R13" s="36"/>
    </row>
    <row r="14" spans="2:18" ht="35.1" customHeight="1" x14ac:dyDescent="0.25">
      <c r="B14" s="23">
        <v>5</v>
      </c>
      <c r="C14" s="141" t="e">
        <f>VLOOKUP(D14,EMPLEADO!C:Q,15,FALSE)</f>
        <v>#N/A</v>
      </c>
      <c r="D14" s="6" t="s">
        <v>47</v>
      </c>
      <c r="E14" s="38" t="s">
        <v>20</v>
      </c>
      <c r="F14" s="106"/>
      <c r="G14" s="107"/>
      <c r="H14" s="101"/>
      <c r="I14" s="47"/>
      <c r="J14" s="106"/>
      <c r="K14" s="107"/>
      <c r="L14" s="101"/>
      <c r="M14" s="47"/>
      <c r="N14" s="113"/>
      <c r="R14" s="36"/>
    </row>
    <row r="15" spans="2:18" ht="35.1" customHeight="1" x14ac:dyDescent="0.25">
      <c r="B15" s="23">
        <v>6</v>
      </c>
      <c r="C15" s="141" t="e">
        <f>VLOOKUP(D15,EMPLEADO!C:Q,15,FALSE)</f>
        <v>#N/A</v>
      </c>
      <c r="D15" s="16" t="s">
        <v>50</v>
      </c>
      <c r="E15" s="39" t="s">
        <v>17</v>
      </c>
      <c r="F15" s="106"/>
      <c r="G15" s="107"/>
      <c r="H15" s="101"/>
      <c r="I15" s="47"/>
      <c r="J15" s="106"/>
      <c r="K15" s="107"/>
      <c r="L15" s="101"/>
      <c r="M15" s="47"/>
      <c r="N15" s="113"/>
      <c r="R15" s="36"/>
    </row>
    <row r="16" spans="2:18" ht="35.1" customHeight="1" x14ac:dyDescent="0.25">
      <c r="B16" s="23">
        <v>7</v>
      </c>
      <c r="C16" s="141" t="e">
        <f>VLOOKUP(D16,EMPLEADO!C:Q,15,FALSE)</f>
        <v>#N/A</v>
      </c>
      <c r="D16" s="15" t="s">
        <v>79</v>
      </c>
      <c r="E16" s="39" t="s">
        <v>17</v>
      </c>
      <c r="F16" s="106"/>
      <c r="G16" s="107"/>
      <c r="H16" s="101"/>
      <c r="I16" s="47"/>
      <c r="J16" s="106"/>
      <c r="K16" s="107"/>
      <c r="L16" s="101"/>
      <c r="M16" s="47"/>
      <c r="N16" s="113"/>
      <c r="R16" s="36"/>
    </row>
    <row r="17" spans="2:18" ht="35.1" customHeight="1" x14ac:dyDescent="0.25">
      <c r="B17" s="23">
        <v>8</v>
      </c>
      <c r="C17" s="141" t="e">
        <f>VLOOKUP(D17,EMPLEADO!C:Q,15,FALSE)</f>
        <v>#N/A</v>
      </c>
      <c r="D17" s="15" t="s">
        <v>80</v>
      </c>
      <c r="E17" s="40" t="s">
        <v>17</v>
      </c>
      <c r="F17" s="106"/>
      <c r="G17" s="107"/>
      <c r="H17" s="101"/>
      <c r="I17" s="47"/>
      <c r="J17" s="106"/>
      <c r="K17" s="107"/>
      <c r="L17" s="101"/>
      <c r="M17" s="47"/>
      <c r="N17" s="113"/>
      <c r="R17" s="36"/>
    </row>
    <row r="18" spans="2:18" ht="35.1" customHeight="1" x14ac:dyDescent="0.25">
      <c r="B18" s="23">
        <v>9</v>
      </c>
      <c r="C18" s="141" t="e">
        <f>VLOOKUP(D18,EMPLEADO!C:Q,15,FALSE)</f>
        <v>#N/A</v>
      </c>
      <c r="D18" s="15" t="s">
        <v>82</v>
      </c>
      <c r="E18" s="40" t="s">
        <v>17</v>
      </c>
      <c r="F18" s="106"/>
      <c r="G18" s="107"/>
      <c r="H18" s="101"/>
      <c r="I18" s="47"/>
      <c r="J18" s="106"/>
      <c r="K18" s="107"/>
      <c r="L18" s="101"/>
      <c r="M18" s="47"/>
      <c r="N18" s="113"/>
      <c r="R18" s="36"/>
    </row>
    <row r="19" spans="2:18" ht="35.1" customHeight="1" x14ac:dyDescent="0.25">
      <c r="B19" s="23">
        <v>10</v>
      </c>
      <c r="C19" s="141" t="e">
        <f>VLOOKUP(D19,EMPLEADO!C:Q,15,FALSE)</f>
        <v>#N/A</v>
      </c>
      <c r="D19" s="15" t="s">
        <v>87</v>
      </c>
      <c r="E19" s="40" t="s">
        <v>17</v>
      </c>
      <c r="F19" s="106"/>
      <c r="G19" s="107"/>
      <c r="H19" s="101"/>
      <c r="I19" s="47"/>
      <c r="J19" s="106"/>
      <c r="K19" s="107"/>
      <c r="L19" s="101"/>
      <c r="M19" s="47"/>
      <c r="N19" s="113"/>
      <c r="R19" s="36"/>
    </row>
    <row r="20" spans="2:18" ht="35.1" customHeight="1" x14ac:dyDescent="0.25">
      <c r="B20" s="23">
        <v>11</v>
      </c>
      <c r="C20" s="141" t="e">
        <f>VLOOKUP(D20,EMPLEADO!C:Q,15,FALSE)</f>
        <v>#N/A</v>
      </c>
      <c r="D20" s="15" t="s">
        <v>159</v>
      </c>
      <c r="E20" s="40" t="s">
        <v>17</v>
      </c>
      <c r="F20" s="106"/>
      <c r="G20" s="107"/>
      <c r="H20" s="101"/>
      <c r="I20" s="47"/>
      <c r="J20" s="106"/>
      <c r="K20" s="107"/>
      <c r="L20" s="101"/>
      <c r="M20" s="47"/>
      <c r="N20" s="113"/>
      <c r="R20" s="36"/>
    </row>
    <row r="21" spans="2:18" ht="35.1" customHeight="1" x14ac:dyDescent="0.25">
      <c r="B21" s="23">
        <v>12</v>
      </c>
      <c r="C21" s="141" t="e">
        <f>VLOOKUP(D21,EMPLEADO!C:Q,15,FALSE)</f>
        <v>#N/A</v>
      </c>
      <c r="D21" s="15" t="s">
        <v>160</v>
      </c>
      <c r="E21" s="40" t="s">
        <v>17</v>
      </c>
      <c r="F21" s="106"/>
      <c r="G21" s="107"/>
      <c r="H21" s="101"/>
      <c r="I21" s="47"/>
      <c r="J21" s="106"/>
      <c r="K21" s="107"/>
      <c r="L21" s="101"/>
      <c r="M21" s="47"/>
      <c r="N21" s="113"/>
      <c r="R21" s="36"/>
    </row>
    <row r="22" spans="2:18" ht="35.1" customHeight="1" x14ac:dyDescent="0.25">
      <c r="B22" s="23">
        <v>13</v>
      </c>
      <c r="C22" s="141" t="e">
        <f>VLOOKUP(D22,EMPLEADO!C:Q,15,FALSE)</f>
        <v>#N/A</v>
      </c>
      <c r="D22" s="15" t="s">
        <v>166</v>
      </c>
      <c r="E22" s="40"/>
      <c r="F22" s="106"/>
      <c r="G22" s="107"/>
      <c r="H22" s="101"/>
      <c r="I22" s="47"/>
      <c r="J22" s="106"/>
      <c r="K22" s="107"/>
      <c r="L22" s="101"/>
      <c r="M22" s="47"/>
      <c r="N22" s="113"/>
      <c r="O22" s="96"/>
      <c r="P22" s="96"/>
      <c r="Q22" s="96"/>
      <c r="R22" s="36"/>
    </row>
    <row r="23" spans="2:18" ht="35.1" customHeight="1" x14ac:dyDescent="0.25">
      <c r="B23" s="23">
        <v>14</v>
      </c>
      <c r="C23" s="141" t="e">
        <f>VLOOKUP(D23,EMPLEADO!C:Q,15,FALSE)</f>
        <v>#N/A</v>
      </c>
      <c r="D23" s="15" t="s">
        <v>167</v>
      </c>
      <c r="E23" s="40"/>
      <c r="F23" s="106"/>
      <c r="G23" s="107"/>
      <c r="H23" s="101"/>
      <c r="I23" s="47"/>
      <c r="J23" s="106"/>
      <c r="K23" s="107"/>
      <c r="L23" s="101"/>
      <c r="M23" s="47"/>
      <c r="N23" s="113"/>
      <c r="R23" s="36"/>
    </row>
    <row r="24" spans="2:18" ht="35.1" customHeight="1" x14ac:dyDescent="0.25">
      <c r="B24" s="23">
        <v>15</v>
      </c>
      <c r="C24" s="141" t="e">
        <f>VLOOKUP(D24,EMPLEADO!C:Q,15,FALSE)</f>
        <v>#N/A</v>
      </c>
      <c r="D24" s="153" t="s">
        <v>173</v>
      </c>
      <c r="E24" s="40"/>
      <c r="F24" s="106"/>
      <c r="G24" s="107"/>
      <c r="H24" s="101"/>
      <c r="I24" s="47"/>
      <c r="J24" s="106"/>
      <c r="K24" s="107"/>
      <c r="L24" s="101"/>
      <c r="M24" s="47"/>
      <c r="N24" s="113"/>
      <c r="R24" s="36"/>
    </row>
    <row r="25" spans="2:18" ht="35.1" customHeight="1" x14ac:dyDescent="0.25">
      <c r="B25" s="23">
        <v>16</v>
      </c>
      <c r="C25" s="141" t="e">
        <f>VLOOKUP(D25,EMPLEADO!C:Q,15,FALSE)</f>
        <v>#N/A</v>
      </c>
      <c r="D25" s="153" t="s">
        <v>174</v>
      </c>
      <c r="E25" s="40"/>
      <c r="F25" s="106"/>
      <c r="G25" s="107"/>
      <c r="H25" s="101"/>
      <c r="I25" s="47"/>
      <c r="J25" s="106"/>
      <c r="K25" s="107"/>
      <c r="L25" s="101"/>
      <c r="M25" s="47"/>
      <c r="N25" s="113"/>
      <c r="R25" s="36"/>
    </row>
    <row r="26" spans="2:18" ht="35.1" customHeight="1" x14ac:dyDescent="0.25">
      <c r="B26" s="23">
        <v>17</v>
      </c>
      <c r="C26" s="141" t="e">
        <f>VLOOKUP(D26,EMPLEADO!C:Q,15,FALSE)</f>
        <v>#N/A</v>
      </c>
      <c r="D26" s="153" t="s">
        <v>175</v>
      </c>
      <c r="E26" s="150"/>
      <c r="F26" s="106"/>
      <c r="G26" s="107"/>
      <c r="H26" s="101"/>
      <c r="I26" s="47"/>
      <c r="J26" s="106"/>
      <c r="K26" s="107"/>
      <c r="L26" s="101"/>
      <c r="M26" s="47"/>
      <c r="N26" s="113"/>
      <c r="R26" s="36"/>
    </row>
    <row r="27" spans="2:18" ht="35.1" customHeight="1" x14ac:dyDescent="0.25">
      <c r="B27" s="23">
        <v>18</v>
      </c>
      <c r="C27" s="141" t="e">
        <f>VLOOKUP(D27,EMPLEADO!C:Q,15,FALSE)</f>
        <v>#N/A</v>
      </c>
      <c r="D27" s="153" t="s">
        <v>176</v>
      </c>
      <c r="E27" s="150"/>
      <c r="F27" s="106"/>
      <c r="G27" s="107"/>
      <c r="H27" s="101"/>
      <c r="I27" s="47"/>
      <c r="J27" s="106"/>
      <c r="K27" s="107"/>
      <c r="L27" s="101"/>
      <c r="M27" s="47"/>
      <c r="N27" s="113"/>
      <c r="R27" s="36"/>
    </row>
    <row r="28" spans="2:18" ht="35.1" customHeight="1" x14ac:dyDescent="0.25">
      <c r="B28" s="23">
        <v>19</v>
      </c>
      <c r="C28" s="141" t="e">
        <f>VLOOKUP(D28,EMPLEADO!C:Q,15,FALSE)</f>
        <v>#N/A</v>
      </c>
      <c r="D28" s="153" t="s">
        <v>177</v>
      </c>
      <c r="E28" s="150"/>
      <c r="F28" s="106"/>
      <c r="G28" s="107"/>
      <c r="H28" s="101"/>
      <c r="I28" s="47"/>
      <c r="J28" s="106"/>
      <c r="K28" s="107"/>
      <c r="L28" s="101"/>
      <c r="M28" s="47"/>
      <c r="N28" s="113"/>
      <c r="R28" s="36"/>
    </row>
    <row r="29" spans="2:18" ht="15.75" thickBot="1" x14ac:dyDescent="0.3"/>
    <row r="30" spans="2:18" ht="15" customHeight="1" x14ac:dyDescent="0.3">
      <c r="D30" s="70" t="s">
        <v>120</v>
      </c>
      <c r="F30" s="341"/>
      <c r="G30" s="342"/>
      <c r="H30" s="342"/>
      <c r="I30" s="342"/>
      <c r="J30" s="342"/>
      <c r="K30" s="342"/>
      <c r="L30" s="342"/>
      <c r="M30" s="342"/>
      <c r="N30" s="343"/>
      <c r="O30" s="96"/>
      <c r="P30" s="96"/>
      <c r="Q30" s="96"/>
    </row>
    <row r="31" spans="2:18" x14ac:dyDescent="0.25">
      <c r="B31" s="35" t="s">
        <v>168</v>
      </c>
      <c r="F31" s="344"/>
      <c r="G31" s="345"/>
      <c r="H31" s="345"/>
      <c r="I31" s="345"/>
      <c r="J31" s="345"/>
      <c r="K31" s="345"/>
      <c r="L31" s="345"/>
      <c r="M31" s="345"/>
      <c r="N31" s="346"/>
      <c r="O31" s="96"/>
      <c r="P31" s="96"/>
      <c r="Q31" s="96"/>
    </row>
    <row r="32" spans="2:18" x14ac:dyDescent="0.25">
      <c r="F32" s="344"/>
      <c r="G32" s="345"/>
      <c r="H32" s="345"/>
      <c r="I32" s="345"/>
      <c r="J32" s="345"/>
      <c r="K32" s="345"/>
      <c r="L32" s="345"/>
      <c r="M32" s="345"/>
      <c r="N32" s="346"/>
      <c r="O32" s="96"/>
      <c r="P32" s="96"/>
      <c r="Q32" s="96"/>
    </row>
    <row r="33" spans="2:17" x14ac:dyDescent="0.25">
      <c r="F33" s="344"/>
      <c r="G33" s="345"/>
      <c r="H33" s="345"/>
      <c r="I33" s="345"/>
      <c r="J33" s="345"/>
      <c r="K33" s="345"/>
      <c r="L33" s="345"/>
      <c r="M33" s="345"/>
      <c r="N33" s="346"/>
      <c r="O33" s="96"/>
      <c r="P33" s="96"/>
      <c r="Q33" s="96"/>
    </row>
    <row r="34" spans="2:17" ht="15.75" thickBot="1" x14ac:dyDescent="0.3">
      <c r="B34" s="35" t="s">
        <v>125</v>
      </c>
      <c r="D34" s="29" t="s">
        <v>126</v>
      </c>
      <c r="F34" s="347"/>
      <c r="G34" s="348"/>
      <c r="H34" s="348"/>
      <c r="I34" s="348"/>
      <c r="J34" s="348"/>
      <c r="K34" s="348"/>
      <c r="L34" s="348"/>
      <c r="M34" s="348"/>
      <c r="N34" s="349"/>
      <c r="O34" s="96"/>
      <c r="P34" s="96"/>
      <c r="Q34" s="96"/>
    </row>
    <row r="35" spans="2:17" x14ac:dyDescent="0.25">
      <c r="N35" s="96"/>
      <c r="O35" s="96"/>
      <c r="P35" s="96"/>
      <c r="Q35" s="96"/>
    </row>
    <row r="36" spans="2:17" x14ac:dyDescent="0.25">
      <c r="N36" s="96"/>
      <c r="O36" s="96"/>
      <c r="P36" s="96"/>
      <c r="Q36" s="96"/>
    </row>
    <row r="37" spans="2:17" x14ac:dyDescent="0.25">
      <c r="N37" s="96"/>
      <c r="O37" s="96"/>
      <c r="P37" s="96"/>
      <c r="Q37" s="96"/>
    </row>
    <row r="38" spans="2:17" x14ac:dyDescent="0.25">
      <c r="N38" s="96"/>
      <c r="O38" s="96"/>
      <c r="P38" s="96"/>
      <c r="Q38" s="96"/>
    </row>
    <row r="39" spans="2:17" x14ac:dyDescent="0.25">
      <c r="N39" s="96"/>
      <c r="O39" s="96"/>
      <c r="P39" s="96"/>
      <c r="Q39" s="96"/>
    </row>
    <row r="40" spans="2:17" x14ac:dyDescent="0.25">
      <c r="N40" s="96"/>
      <c r="O40" s="96"/>
      <c r="P40" s="96"/>
      <c r="Q40" s="96"/>
    </row>
    <row r="41" spans="2:17" x14ac:dyDescent="0.25">
      <c r="N41" s="96"/>
      <c r="O41" s="96"/>
      <c r="P41" s="96"/>
      <c r="Q41" s="96"/>
    </row>
  </sheetData>
  <mergeCells count="9">
    <mergeCell ref="F30:N34"/>
    <mergeCell ref="F8:I8"/>
    <mergeCell ref="J8:M8"/>
    <mergeCell ref="C2:E2"/>
    <mergeCell ref="F2:N2"/>
    <mergeCell ref="C3:E3"/>
    <mergeCell ref="F5:M5"/>
    <mergeCell ref="F6:M6"/>
    <mergeCell ref="F7:M7"/>
  </mergeCells>
  <conditionalFormatting sqref="F6:M6">
    <cfRule type="cellIs" dxfId="15" priority="20" operator="equal">
      <formula>"OJO H.E. AL 100%"</formula>
    </cfRule>
    <cfRule type="cellIs" dxfId="14" priority="21" operator="equal">
      <formula>"""OJO H.E. AL 100%"""</formula>
    </cfRule>
  </conditionalFormatting>
  <conditionalFormatting sqref="F4">
    <cfRule type="cellIs" dxfId="13" priority="13" operator="equal">
      <formula>"F"</formula>
    </cfRule>
  </conditionalFormatting>
  <pageMargins left="0.11811023622047245" right="0.11811023622047245" top="0.35433070866141736" bottom="0.35433070866141736" header="0.31496062992125984" footer="0.31496062992125984"/>
  <pageSetup paperSize="9" scale="75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NOCHE_PESC'!$B$16:$B$26</xm:f>
          </x14:formula1>
          <xm:sqref>E10:E15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 tint="-0.249977111117893"/>
  </sheetPr>
  <dimension ref="A1:U41"/>
  <sheetViews>
    <sheetView topLeftCell="B1" zoomScale="80" zoomScaleNormal="80" workbookViewId="0">
      <selection activeCell="B29" sqref="B29"/>
    </sheetView>
  </sheetViews>
  <sheetFormatPr baseColWidth="10" defaultRowHeight="15" x14ac:dyDescent="0.25"/>
  <cols>
    <col min="1" max="1" width="2.85546875" style="1" hidden="1" customWidth="1"/>
    <col min="2" max="2" width="4.7109375" style="1" customWidth="1"/>
    <col min="3" max="3" width="39" style="1" customWidth="1"/>
    <col min="4" max="4" width="15" style="1" customWidth="1"/>
    <col min="5" max="5" width="10.42578125" style="1" hidden="1" customWidth="1"/>
    <col min="6" max="7" width="7.7109375" style="1" customWidth="1"/>
    <col min="8" max="8" width="6.7109375" style="1" customWidth="1"/>
    <col min="9" max="9" width="9.7109375" style="1" customWidth="1"/>
    <col min="10" max="11" width="7.7109375" style="1" customWidth="1"/>
    <col min="12" max="12" width="6.7109375" style="1" customWidth="1"/>
    <col min="13" max="13" width="9.7109375" style="1" customWidth="1"/>
    <col min="14" max="14" width="21.140625" customWidth="1"/>
    <col min="15" max="16" width="11.42578125" style="1"/>
    <col min="21" max="21" width="4.7109375" style="9" customWidth="1"/>
    <col min="22" max="16384" width="11.42578125" style="1"/>
  </cols>
  <sheetData>
    <row r="1" spans="2:21" ht="15.75" customHeight="1" x14ac:dyDescent="0.25">
      <c r="F1"/>
      <c r="G1"/>
      <c r="H1"/>
      <c r="I1"/>
      <c r="J1"/>
      <c r="K1"/>
      <c r="L1"/>
      <c r="M1"/>
    </row>
    <row r="2" spans="2:21" ht="22.5" x14ac:dyDescent="0.4">
      <c r="C2" s="399" t="s">
        <v>43</v>
      </c>
      <c r="D2" s="399"/>
      <c r="E2" s="399"/>
      <c r="F2" s="403"/>
      <c r="G2" s="403"/>
      <c r="H2" s="403"/>
      <c r="I2" s="403"/>
      <c r="J2" s="403"/>
      <c r="K2" s="403"/>
      <c r="L2" s="403"/>
      <c r="M2" s="403"/>
      <c r="N2" s="403"/>
    </row>
    <row r="3" spans="2:21" ht="23.25" thickBot="1" x14ac:dyDescent="0.45">
      <c r="C3" s="366" t="s">
        <v>100</v>
      </c>
      <c r="D3" s="366"/>
      <c r="E3" s="366"/>
    </row>
    <row r="4" spans="2:21" ht="25.5" customHeight="1" thickBot="1" x14ac:dyDescent="0.3">
      <c r="C4" s="35" t="str">
        <f>IF(VARIOS!B4&gt;=14,IF(C5=0," ",+VARIOS!B11)," ")</f>
        <v xml:space="preserve"> </v>
      </c>
      <c r="F4" s="102"/>
    </row>
    <row r="5" spans="2:21" ht="21.95" customHeight="1" thickBot="1" x14ac:dyDescent="0.4">
      <c r="B5" s="67" t="s">
        <v>98</v>
      </c>
      <c r="C5" s="68">
        <f>+'CONTROL H.E.'!C5</f>
        <v>0</v>
      </c>
      <c r="D5" s="70" t="s">
        <v>101</v>
      </c>
      <c r="F5" s="374"/>
      <c r="G5" s="375"/>
      <c r="H5" s="375"/>
      <c r="I5" s="375"/>
      <c r="J5" s="375"/>
      <c r="K5" s="375"/>
      <c r="L5" s="375"/>
      <c r="M5" s="376"/>
    </row>
    <row r="6" spans="2:21" s="3" customFormat="1" ht="21.95" customHeight="1" thickBot="1" x14ac:dyDescent="0.35">
      <c r="B6" s="112" t="s">
        <v>99</v>
      </c>
      <c r="C6" s="68">
        <f>+'CONTROL H.E.'!C6</f>
        <v>0</v>
      </c>
      <c r="D6" s="81"/>
      <c r="F6" s="370" t="str">
        <f>IF(F5=0,"INGRESE DIA POR FAVOR",IF(WEEKDAY(F5)=7,"OJO H.E. AL 100%",IF(WEEKDAY(F5)=1,"OJO H.E. AL 100%",IF(F4="F","OJO H.E. AL 100%","INGRESAR HORAS EXTRAS"))))</f>
        <v>INGRESE DIA POR FAVOR</v>
      </c>
      <c r="G6" s="371"/>
      <c r="H6" s="371"/>
      <c r="I6" s="371"/>
      <c r="J6" s="371"/>
      <c r="K6" s="371"/>
      <c r="L6" s="371"/>
      <c r="M6" s="372"/>
      <c r="U6" s="9"/>
    </row>
    <row r="7" spans="2:21" ht="19.5" thickBot="1" x14ac:dyDescent="0.3">
      <c r="B7" s="115" t="s">
        <v>88</v>
      </c>
      <c r="C7" s="84">
        <v>3</v>
      </c>
      <c r="F7" s="401" t="s">
        <v>12</v>
      </c>
      <c r="G7" s="401"/>
      <c r="H7" s="401"/>
      <c r="I7" s="401"/>
      <c r="J7" s="401"/>
      <c r="K7" s="401"/>
      <c r="L7" s="401"/>
      <c r="M7" s="402"/>
    </row>
    <row r="8" spans="2:21" ht="39.75" customHeight="1" thickBot="1" x14ac:dyDescent="0.3">
      <c r="F8" s="393" t="s">
        <v>94</v>
      </c>
      <c r="G8" s="394"/>
      <c r="H8" s="394"/>
      <c r="I8" s="395"/>
      <c r="J8" s="396" t="s">
        <v>119</v>
      </c>
      <c r="K8" s="397"/>
      <c r="L8" s="397"/>
      <c r="M8" s="398"/>
    </row>
    <row r="9" spans="2:21" ht="54.95" customHeight="1" x14ac:dyDescent="0.25">
      <c r="B9" s="10" t="s">
        <v>13</v>
      </c>
      <c r="C9" s="80" t="s">
        <v>0</v>
      </c>
      <c r="D9" s="79" t="s">
        <v>33</v>
      </c>
      <c r="E9" s="37" t="s">
        <v>1</v>
      </c>
      <c r="F9" s="142" t="s">
        <v>92</v>
      </c>
      <c r="G9" s="143" t="s">
        <v>93</v>
      </c>
      <c r="H9" s="144" t="s">
        <v>96</v>
      </c>
      <c r="I9" s="145" t="s">
        <v>91</v>
      </c>
      <c r="J9" s="142" t="s">
        <v>92</v>
      </c>
      <c r="K9" s="143" t="s">
        <v>93</v>
      </c>
      <c r="L9" s="144" t="s">
        <v>97</v>
      </c>
      <c r="M9" s="145" t="s">
        <v>91</v>
      </c>
      <c r="N9" s="146" t="s">
        <v>145</v>
      </c>
      <c r="U9" s="3"/>
    </row>
    <row r="10" spans="2:21" ht="30" customHeight="1" x14ac:dyDescent="0.25">
      <c r="B10" s="23">
        <v>1</v>
      </c>
      <c r="C10" s="114" t="e">
        <f>VLOOKUP(D10,EMPLEADO!C:Q,15,FALSE)</f>
        <v>#N/A</v>
      </c>
      <c r="D10" s="6" t="s">
        <v>35</v>
      </c>
      <c r="E10" s="38" t="s">
        <v>56</v>
      </c>
      <c r="F10" s="52"/>
      <c r="G10" s="53"/>
      <c r="H10" s="101"/>
      <c r="I10" s="47"/>
      <c r="J10" s="53"/>
      <c r="K10" s="53"/>
      <c r="L10" s="101"/>
      <c r="M10" s="47"/>
      <c r="N10" s="113"/>
      <c r="U10" s="36"/>
    </row>
    <row r="11" spans="2:21" ht="30" customHeight="1" x14ac:dyDescent="0.25">
      <c r="B11" s="23">
        <v>2</v>
      </c>
      <c r="C11" s="114" t="e">
        <f>VLOOKUP(D11,EMPLEADO!C:Q,15,FALSE)</f>
        <v>#N/A</v>
      </c>
      <c r="D11" s="6" t="s">
        <v>34</v>
      </c>
      <c r="E11" s="38" t="s">
        <v>23</v>
      </c>
      <c r="F11" s="50"/>
      <c r="G11" s="51"/>
      <c r="H11" s="101"/>
      <c r="I11" s="47"/>
      <c r="J11" s="53"/>
      <c r="K11" s="53"/>
      <c r="L11" s="101"/>
      <c r="M11" s="47"/>
      <c r="N11" s="113"/>
      <c r="U11" s="36"/>
    </row>
    <row r="12" spans="2:21" ht="30" customHeight="1" x14ac:dyDescent="0.25">
      <c r="B12" s="23">
        <v>3</v>
      </c>
      <c r="C12" s="114" t="e">
        <f>VLOOKUP(D12,EMPLEADO!C:Q,15,FALSE)</f>
        <v>#N/A</v>
      </c>
      <c r="D12" s="6" t="s">
        <v>37</v>
      </c>
      <c r="E12" s="38" t="s">
        <v>17</v>
      </c>
      <c r="F12" s="52"/>
      <c r="G12" s="53"/>
      <c r="H12" s="101"/>
      <c r="I12" s="47"/>
      <c r="J12" s="53"/>
      <c r="K12" s="53"/>
      <c r="L12" s="101"/>
      <c r="M12" s="47"/>
      <c r="N12" s="113"/>
      <c r="U12" s="36"/>
    </row>
    <row r="13" spans="2:21" ht="30" customHeight="1" x14ac:dyDescent="0.25">
      <c r="B13" s="23">
        <v>4</v>
      </c>
      <c r="C13" s="114" t="e">
        <f>VLOOKUP(D13,EMPLEADO!C:Q,15,FALSE)</f>
        <v>#N/A</v>
      </c>
      <c r="D13" s="6" t="s">
        <v>38</v>
      </c>
      <c r="E13" s="38" t="s">
        <v>17</v>
      </c>
      <c r="F13" s="52"/>
      <c r="G13" s="53"/>
      <c r="H13" s="101"/>
      <c r="I13" s="47"/>
      <c r="J13" s="53"/>
      <c r="K13" s="53"/>
      <c r="L13" s="101"/>
      <c r="M13" s="47"/>
      <c r="N13" s="113"/>
      <c r="U13" s="36"/>
    </row>
    <row r="14" spans="2:21" ht="30" customHeight="1" x14ac:dyDescent="0.25">
      <c r="B14" s="23">
        <v>5</v>
      </c>
      <c r="C14" s="114" t="e">
        <f>VLOOKUP(D14,EMPLEADO!C:Q,15,FALSE)</f>
        <v>#N/A</v>
      </c>
      <c r="D14" s="6" t="s">
        <v>47</v>
      </c>
      <c r="E14" s="38" t="s">
        <v>20</v>
      </c>
      <c r="F14" s="52"/>
      <c r="G14" s="53"/>
      <c r="H14" s="101"/>
      <c r="I14" s="47"/>
      <c r="J14" s="53"/>
      <c r="K14" s="53"/>
      <c r="L14" s="101"/>
      <c r="M14" s="47"/>
      <c r="N14" s="113"/>
      <c r="U14" s="36"/>
    </row>
    <row r="15" spans="2:21" ht="30" customHeight="1" x14ac:dyDescent="0.25">
      <c r="B15" s="23">
        <v>6</v>
      </c>
      <c r="C15" s="114" t="e">
        <f>VLOOKUP(D15,EMPLEADO!C:Q,15,FALSE)</f>
        <v>#N/A</v>
      </c>
      <c r="D15" s="16" t="s">
        <v>50</v>
      </c>
      <c r="E15" s="39" t="s">
        <v>17</v>
      </c>
      <c r="F15" s="52"/>
      <c r="G15" s="53"/>
      <c r="H15" s="101"/>
      <c r="I15" s="47"/>
      <c r="J15" s="53"/>
      <c r="K15" s="53"/>
      <c r="L15" s="101"/>
      <c r="M15" s="47"/>
      <c r="N15" s="113"/>
      <c r="U15" s="36"/>
    </row>
    <row r="16" spans="2:21" ht="30" customHeight="1" x14ac:dyDescent="0.25">
      <c r="B16" s="23">
        <v>7</v>
      </c>
      <c r="C16" s="114" t="e">
        <f>VLOOKUP(D16,EMPLEADO!C:Q,15,FALSE)</f>
        <v>#N/A</v>
      </c>
      <c r="D16" s="15" t="s">
        <v>79</v>
      </c>
      <c r="E16" s="39" t="s">
        <v>17</v>
      </c>
      <c r="F16" s="52"/>
      <c r="G16" s="53"/>
      <c r="H16" s="101"/>
      <c r="I16" s="47"/>
      <c r="J16" s="53"/>
      <c r="K16" s="53"/>
      <c r="L16" s="101"/>
      <c r="M16" s="47"/>
      <c r="N16" s="113"/>
      <c r="U16" s="36"/>
    </row>
    <row r="17" spans="2:21" ht="30" customHeight="1" x14ac:dyDescent="0.25">
      <c r="B17" s="23">
        <v>8</v>
      </c>
      <c r="C17" s="114" t="e">
        <f>VLOOKUP(D17,EMPLEADO!C:Q,15,FALSE)</f>
        <v>#N/A</v>
      </c>
      <c r="D17" s="15" t="s">
        <v>80</v>
      </c>
      <c r="E17" s="40" t="s">
        <v>17</v>
      </c>
      <c r="F17" s="52"/>
      <c r="G17" s="53"/>
      <c r="H17" s="101"/>
      <c r="I17" s="47"/>
      <c r="J17" s="53"/>
      <c r="K17" s="53"/>
      <c r="L17" s="101"/>
      <c r="M17" s="47"/>
      <c r="N17" s="113"/>
      <c r="U17" s="36"/>
    </row>
    <row r="18" spans="2:21" ht="30" customHeight="1" x14ac:dyDescent="0.25">
      <c r="B18" s="23">
        <v>9</v>
      </c>
      <c r="C18" s="114" t="e">
        <f>VLOOKUP(D18,EMPLEADO!C:Q,15,FALSE)</f>
        <v>#N/A</v>
      </c>
      <c r="D18" s="15" t="s">
        <v>82</v>
      </c>
      <c r="E18" s="40" t="s">
        <v>17</v>
      </c>
      <c r="F18" s="52"/>
      <c r="G18" s="53"/>
      <c r="H18" s="101"/>
      <c r="I18" s="47"/>
      <c r="J18" s="53"/>
      <c r="K18" s="53"/>
      <c r="L18" s="101"/>
      <c r="M18" s="47"/>
      <c r="N18" s="113"/>
      <c r="U18" s="36"/>
    </row>
    <row r="19" spans="2:21" ht="30" customHeight="1" x14ac:dyDescent="0.25">
      <c r="B19" s="23">
        <v>10</v>
      </c>
      <c r="C19" s="114" t="e">
        <f>VLOOKUP(D19,EMPLEADO!C:Q,15,FALSE)</f>
        <v>#N/A</v>
      </c>
      <c r="D19" s="15" t="s">
        <v>87</v>
      </c>
      <c r="E19" s="40" t="s">
        <v>17</v>
      </c>
      <c r="F19" s="52"/>
      <c r="G19" s="53"/>
      <c r="H19" s="101"/>
      <c r="I19" s="47"/>
      <c r="J19" s="53"/>
      <c r="K19" s="53"/>
      <c r="L19" s="101"/>
      <c r="M19" s="47"/>
      <c r="N19" s="113"/>
      <c r="U19" s="36"/>
    </row>
    <row r="20" spans="2:21" ht="30" customHeight="1" x14ac:dyDescent="0.25">
      <c r="B20" s="23">
        <v>11</v>
      </c>
      <c r="C20" s="114" t="e">
        <f>VLOOKUP(D20,EMPLEADO!C:Q,15,FALSE)</f>
        <v>#N/A</v>
      </c>
      <c r="D20" s="15" t="s">
        <v>159</v>
      </c>
      <c r="E20" s="40" t="s">
        <v>17</v>
      </c>
      <c r="F20" s="52"/>
      <c r="G20" s="53"/>
      <c r="H20" s="101"/>
      <c r="I20" s="47"/>
      <c r="J20" s="53"/>
      <c r="K20" s="53"/>
      <c r="L20" s="101"/>
      <c r="M20" s="47"/>
      <c r="N20" s="113"/>
      <c r="U20" s="36"/>
    </row>
    <row r="21" spans="2:21" ht="30" customHeight="1" x14ac:dyDescent="0.25">
      <c r="B21" s="23">
        <v>12</v>
      </c>
      <c r="C21" s="114" t="e">
        <f>VLOOKUP(D21,EMPLEADO!C:Q,15,FALSE)</f>
        <v>#N/A</v>
      </c>
      <c r="D21" s="15" t="s">
        <v>160</v>
      </c>
      <c r="E21" s="40" t="s">
        <v>17</v>
      </c>
      <c r="F21" s="52"/>
      <c r="G21" s="53"/>
      <c r="H21" s="101"/>
      <c r="I21" s="47"/>
      <c r="J21" s="53"/>
      <c r="K21" s="53"/>
      <c r="L21" s="101"/>
      <c r="M21" s="47"/>
      <c r="N21" s="113"/>
      <c r="U21" s="36"/>
    </row>
    <row r="22" spans="2:21" ht="30" customHeight="1" x14ac:dyDescent="0.25">
      <c r="B22" s="23">
        <v>13</v>
      </c>
      <c r="C22" s="114" t="e">
        <f>VLOOKUP(D22,EMPLEADO!C:Q,15,FALSE)</f>
        <v>#N/A</v>
      </c>
      <c r="D22" s="15" t="s">
        <v>166</v>
      </c>
      <c r="E22" s="40"/>
      <c r="F22" s="137"/>
      <c r="G22" s="136"/>
      <c r="H22" s="101"/>
      <c r="I22" s="135"/>
      <c r="J22" s="136"/>
      <c r="K22" s="136"/>
      <c r="L22" s="101"/>
      <c r="M22" s="135"/>
      <c r="N22" s="113"/>
      <c r="U22" s="36"/>
    </row>
    <row r="23" spans="2:21" ht="30" customHeight="1" x14ac:dyDescent="0.25">
      <c r="B23" s="23">
        <v>14</v>
      </c>
      <c r="C23" s="114" t="e">
        <f>VLOOKUP(D23,EMPLEADO!C:Q,15,FALSE)</f>
        <v>#N/A</v>
      </c>
      <c r="D23" s="15" t="s">
        <v>167</v>
      </c>
      <c r="E23" s="40"/>
      <c r="F23" s="137"/>
      <c r="G23" s="136"/>
      <c r="H23" s="101"/>
      <c r="I23" s="135"/>
      <c r="J23" s="136"/>
      <c r="K23" s="136"/>
      <c r="L23" s="101"/>
      <c r="M23" s="135"/>
      <c r="N23" s="113"/>
      <c r="U23" s="36"/>
    </row>
    <row r="24" spans="2:21" ht="30" customHeight="1" x14ac:dyDescent="0.25">
      <c r="B24" s="23">
        <v>15</v>
      </c>
      <c r="C24" s="114" t="e">
        <f>VLOOKUP(D24,EMPLEADO!C:Q,15,FALSE)</f>
        <v>#N/A</v>
      </c>
      <c r="D24" s="153" t="s">
        <v>173</v>
      </c>
      <c r="E24" s="40"/>
      <c r="F24" s="137"/>
      <c r="G24" s="136"/>
      <c r="H24" s="101"/>
      <c r="I24" s="135"/>
      <c r="J24" s="136"/>
      <c r="K24" s="136"/>
      <c r="L24" s="101"/>
      <c r="M24" s="135"/>
      <c r="N24" s="113"/>
      <c r="U24" s="36"/>
    </row>
    <row r="25" spans="2:21" ht="30" customHeight="1" x14ac:dyDescent="0.25">
      <c r="B25" s="23">
        <v>16</v>
      </c>
      <c r="C25" s="114" t="e">
        <f>VLOOKUP(D25,EMPLEADO!C:Q,15,FALSE)</f>
        <v>#N/A</v>
      </c>
      <c r="D25" s="153" t="s">
        <v>174</v>
      </c>
      <c r="E25" s="40"/>
      <c r="F25" s="137"/>
      <c r="G25" s="136"/>
      <c r="H25" s="101"/>
      <c r="I25" s="135"/>
      <c r="J25" s="136"/>
      <c r="K25" s="136"/>
      <c r="L25" s="101"/>
      <c r="M25" s="135"/>
      <c r="N25" s="113"/>
      <c r="U25" s="36"/>
    </row>
    <row r="26" spans="2:21" ht="30" customHeight="1" x14ac:dyDescent="0.25">
      <c r="B26" s="23">
        <v>17</v>
      </c>
      <c r="C26" s="114" t="e">
        <f>VLOOKUP(D26,EMPLEADO!C:Q,15,FALSE)</f>
        <v>#N/A</v>
      </c>
      <c r="D26" s="153" t="s">
        <v>175</v>
      </c>
      <c r="E26" s="40"/>
      <c r="F26" s="137"/>
      <c r="G26" s="136"/>
      <c r="H26" s="101"/>
      <c r="I26" s="135"/>
      <c r="J26" s="136"/>
      <c r="K26" s="136"/>
      <c r="L26" s="101"/>
      <c r="M26" s="135"/>
      <c r="N26" s="113"/>
      <c r="U26" s="36"/>
    </row>
    <row r="27" spans="2:21" ht="30" customHeight="1" x14ac:dyDescent="0.25">
      <c r="B27" s="23">
        <v>18</v>
      </c>
      <c r="C27" s="114" t="e">
        <f>VLOOKUP(D27,EMPLEADO!C:Q,15,FALSE)</f>
        <v>#N/A</v>
      </c>
      <c r="D27" s="153" t="s">
        <v>176</v>
      </c>
      <c r="E27" s="40"/>
      <c r="F27" s="137"/>
      <c r="G27" s="136"/>
      <c r="H27" s="101"/>
      <c r="I27" s="135"/>
      <c r="J27" s="136"/>
      <c r="K27" s="136"/>
      <c r="L27" s="101"/>
      <c r="M27" s="135"/>
      <c r="N27" s="113"/>
      <c r="U27" s="36"/>
    </row>
    <row r="28" spans="2:21" ht="30" customHeight="1" x14ac:dyDescent="0.25">
      <c r="B28" s="23">
        <v>19</v>
      </c>
      <c r="C28" s="114" t="e">
        <f>VLOOKUP(D28,EMPLEADO!C:Q,15,FALSE)</f>
        <v>#N/A</v>
      </c>
      <c r="D28" s="153" t="s">
        <v>177</v>
      </c>
      <c r="E28" s="40"/>
      <c r="F28" s="137"/>
      <c r="G28" s="136"/>
      <c r="H28" s="101"/>
      <c r="I28" s="135"/>
      <c r="J28" s="136"/>
      <c r="K28" s="136"/>
      <c r="L28" s="101"/>
      <c r="M28" s="135"/>
      <c r="N28" s="113"/>
      <c r="U28" s="36"/>
    </row>
    <row r="29" spans="2:21" ht="15.75" thickBot="1" x14ac:dyDescent="0.3"/>
    <row r="30" spans="2:21" ht="15" customHeight="1" x14ac:dyDescent="0.3">
      <c r="D30" s="70" t="s">
        <v>120</v>
      </c>
      <c r="F30" s="341"/>
      <c r="G30" s="342"/>
      <c r="H30" s="342"/>
      <c r="I30" s="342"/>
      <c r="J30" s="342"/>
      <c r="K30" s="342"/>
      <c r="L30" s="342"/>
      <c r="M30" s="342"/>
      <c r="N30" s="343"/>
      <c r="Q30" s="96"/>
      <c r="R30" s="96"/>
      <c r="S30" s="96"/>
      <c r="T30" s="96"/>
    </row>
    <row r="31" spans="2:21" x14ac:dyDescent="0.25">
      <c r="B31" s="35" t="s">
        <v>124</v>
      </c>
      <c r="F31" s="344"/>
      <c r="G31" s="345"/>
      <c r="H31" s="345"/>
      <c r="I31" s="345"/>
      <c r="J31" s="345"/>
      <c r="K31" s="345"/>
      <c r="L31" s="345"/>
      <c r="M31" s="345"/>
      <c r="N31" s="346"/>
      <c r="Q31" s="96"/>
      <c r="R31" s="96"/>
      <c r="S31" s="96"/>
      <c r="T31" s="96"/>
    </row>
    <row r="32" spans="2:21" x14ac:dyDescent="0.25">
      <c r="F32" s="344"/>
      <c r="G32" s="345"/>
      <c r="H32" s="345"/>
      <c r="I32" s="345"/>
      <c r="J32" s="345"/>
      <c r="K32" s="345"/>
      <c r="L32" s="345"/>
      <c r="M32" s="345"/>
      <c r="N32" s="346"/>
      <c r="Q32" s="96"/>
      <c r="R32" s="96"/>
      <c r="S32" s="96"/>
      <c r="T32" s="96"/>
    </row>
    <row r="33" spans="2:20" x14ac:dyDescent="0.25">
      <c r="F33" s="344"/>
      <c r="G33" s="345"/>
      <c r="H33" s="345"/>
      <c r="I33" s="345"/>
      <c r="J33" s="345"/>
      <c r="K33" s="345"/>
      <c r="L33" s="345"/>
      <c r="M33" s="345"/>
      <c r="N33" s="346"/>
      <c r="Q33" s="96"/>
      <c r="R33" s="96"/>
      <c r="S33" s="96"/>
      <c r="T33" s="96"/>
    </row>
    <row r="34" spans="2:20" ht="15.75" thickBot="1" x14ac:dyDescent="0.3">
      <c r="B34" s="35" t="s">
        <v>125</v>
      </c>
      <c r="C34" s="29" t="s">
        <v>126</v>
      </c>
      <c r="F34" s="347"/>
      <c r="G34" s="348"/>
      <c r="H34" s="348"/>
      <c r="I34" s="348"/>
      <c r="J34" s="348"/>
      <c r="K34" s="348"/>
      <c r="L34" s="348"/>
      <c r="M34" s="348"/>
      <c r="N34" s="349"/>
      <c r="Q34" s="96"/>
      <c r="R34" s="96"/>
      <c r="S34" s="96"/>
      <c r="T34" s="96"/>
    </row>
    <row r="35" spans="2:20" x14ac:dyDescent="0.25">
      <c r="N35" s="96"/>
      <c r="Q35" s="96"/>
      <c r="R35" s="96"/>
      <c r="S35" s="96"/>
      <c r="T35" s="96"/>
    </row>
    <row r="36" spans="2:20" x14ac:dyDescent="0.25">
      <c r="N36" s="96"/>
      <c r="Q36" s="96"/>
      <c r="R36" s="96"/>
      <c r="S36" s="96"/>
      <c r="T36" s="96"/>
    </row>
    <row r="37" spans="2:20" x14ac:dyDescent="0.25">
      <c r="N37" s="96"/>
      <c r="Q37" s="96"/>
      <c r="R37" s="96"/>
      <c r="S37" s="96"/>
      <c r="T37" s="96"/>
    </row>
    <row r="38" spans="2:20" x14ac:dyDescent="0.25">
      <c r="N38" s="96"/>
      <c r="Q38" s="96"/>
      <c r="R38" s="96"/>
      <c r="S38" s="96"/>
      <c r="T38" s="96"/>
    </row>
    <row r="39" spans="2:20" x14ac:dyDescent="0.25">
      <c r="N39" s="96"/>
      <c r="Q39" s="96"/>
      <c r="R39" s="96"/>
      <c r="S39" s="96"/>
      <c r="T39" s="96"/>
    </row>
    <row r="40" spans="2:20" x14ac:dyDescent="0.25">
      <c r="N40" s="96"/>
      <c r="Q40" s="96"/>
      <c r="R40" s="96"/>
      <c r="S40" s="96"/>
      <c r="T40" s="96"/>
    </row>
    <row r="41" spans="2:20" x14ac:dyDescent="0.25">
      <c r="N41" s="96"/>
      <c r="Q41" s="96"/>
      <c r="R41" s="96"/>
      <c r="S41" s="96"/>
      <c r="T41" s="96"/>
    </row>
  </sheetData>
  <mergeCells count="9">
    <mergeCell ref="C3:E3"/>
    <mergeCell ref="F5:M5"/>
    <mergeCell ref="C2:E2"/>
    <mergeCell ref="F2:N2"/>
    <mergeCell ref="F30:N34"/>
    <mergeCell ref="F8:I8"/>
    <mergeCell ref="J8:M8"/>
    <mergeCell ref="F7:M7"/>
    <mergeCell ref="F6:M6"/>
  </mergeCells>
  <conditionalFormatting sqref="F6:M6">
    <cfRule type="cellIs" dxfId="12" priority="20" operator="equal">
      <formula>"OJO H.E. AL 100%"</formula>
    </cfRule>
    <cfRule type="cellIs" dxfId="11" priority="21" operator="equal">
      <formula>"""OJO H.E. AL 100%"""</formula>
    </cfRule>
  </conditionalFormatting>
  <conditionalFormatting sqref="F4">
    <cfRule type="cellIs" dxfId="10" priority="13" operator="equal">
      <formula>"F"</formula>
    </cfRule>
  </conditionalFormatting>
  <pageMargins left="0.11811023622047245" right="0.11811023622047245" top="0.35433070866141736" bottom="0.15748031496062992" header="0.31496062992125984" footer="0.31496062992125984"/>
  <pageSetup paperSize="9" scale="75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'$ NOCHE_PESC'!$B$16:$B$26</xm:f>
          </x14:formula1>
          <xm:sqref>E10:E15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92D050"/>
  </sheetPr>
  <dimension ref="D1:AF67"/>
  <sheetViews>
    <sheetView zoomScale="80" zoomScaleNormal="80" workbookViewId="0">
      <selection activeCell="B23" sqref="B23"/>
    </sheetView>
  </sheetViews>
  <sheetFormatPr baseColWidth="10" defaultRowHeight="15" x14ac:dyDescent="0.25"/>
  <cols>
    <col min="1" max="1" width="40.140625" customWidth="1"/>
    <col min="2" max="2" width="22.85546875" bestFit="1" customWidth="1"/>
    <col min="3" max="3" width="19.140625" bestFit="1" customWidth="1"/>
    <col min="4" max="4" width="5.28515625" customWidth="1"/>
    <col min="5" max="5" width="40.140625" bestFit="1" customWidth="1"/>
    <col min="6" max="6" width="15.5703125" bestFit="1" customWidth="1"/>
    <col min="7" max="7" width="6.28515625" bestFit="1" customWidth="1"/>
    <col min="8" max="8" width="34.28515625" bestFit="1" customWidth="1"/>
    <col min="9" max="9" width="13.7109375" customWidth="1"/>
    <col min="10" max="10" width="6.28515625" bestFit="1" customWidth="1"/>
    <col min="11" max="11" width="6.28515625" style="216" customWidth="1"/>
    <col min="12" max="12" width="40.140625" customWidth="1"/>
    <col min="13" max="13" width="23" bestFit="1" customWidth="1"/>
    <col min="14" max="14" width="19.140625" bestFit="1" customWidth="1"/>
    <col min="15" max="15" width="6.42578125" customWidth="1"/>
    <col min="16" max="16" width="40.140625" bestFit="1" customWidth="1"/>
    <col min="17" max="17" width="15.5703125" bestFit="1" customWidth="1"/>
    <col min="18" max="18" width="6.28515625" bestFit="1" customWidth="1"/>
    <col min="19" max="19" width="34.28515625" bestFit="1" customWidth="1"/>
    <col min="20" max="20" width="13.7109375" customWidth="1"/>
    <col min="21" max="21" width="6.28515625" bestFit="1" customWidth="1"/>
    <col min="22" max="22" width="5.85546875" customWidth="1"/>
    <col min="23" max="23" width="40.140625" customWidth="1"/>
    <col min="24" max="24" width="23" bestFit="1" customWidth="1"/>
    <col min="25" max="25" width="19.140625" bestFit="1" customWidth="1"/>
    <col min="26" max="26" width="8.42578125" customWidth="1"/>
    <col min="27" max="27" width="40.140625" bestFit="1" customWidth="1"/>
    <col min="28" max="28" width="15.5703125" bestFit="1" customWidth="1"/>
    <col min="29" max="29" width="6.28515625" bestFit="1" customWidth="1"/>
    <col min="30" max="30" width="34.28515625" bestFit="1" customWidth="1"/>
    <col min="31" max="31" width="13.7109375" customWidth="1"/>
    <col min="32" max="32" width="6.28515625" bestFit="1" customWidth="1"/>
  </cols>
  <sheetData>
    <row r="1" spans="4:32" x14ac:dyDescent="0.25">
      <c r="F1" s="404" t="s">
        <v>197</v>
      </c>
      <c r="Q1" s="404" t="s">
        <v>198</v>
      </c>
      <c r="AB1" s="404" t="s">
        <v>199</v>
      </c>
    </row>
    <row r="2" spans="4:32" ht="15.75" x14ac:dyDescent="0.25">
      <c r="E2" s="251" t="s">
        <v>191</v>
      </c>
      <c r="F2" s="404"/>
      <c r="P2" s="251" t="s">
        <v>192</v>
      </c>
      <c r="Q2" s="404"/>
      <c r="AA2" s="251" t="s">
        <v>193</v>
      </c>
      <c r="AB2" s="404"/>
    </row>
    <row r="4" spans="4:32" x14ac:dyDescent="0.25">
      <c r="D4" s="215"/>
      <c r="E4" s="240" t="s">
        <v>170</v>
      </c>
      <c r="F4" s="241" t="s">
        <v>171</v>
      </c>
      <c r="G4" s="241" t="s">
        <v>172</v>
      </c>
      <c r="H4" s="240" t="s">
        <v>170</v>
      </c>
      <c r="I4" s="241" t="s">
        <v>171</v>
      </c>
      <c r="J4" s="242" t="s">
        <v>172</v>
      </c>
      <c r="K4" s="243"/>
      <c r="O4" s="214"/>
      <c r="P4" s="240" t="s">
        <v>170</v>
      </c>
      <c r="Q4" s="241" t="s">
        <v>171</v>
      </c>
      <c r="R4" s="241" t="s">
        <v>172</v>
      </c>
      <c r="S4" s="240" t="s">
        <v>170</v>
      </c>
      <c r="T4" s="241" t="s">
        <v>171</v>
      </c>
      <c r="U4" s="241" t="s">
        <v>172</v>
      </c>
      <c r="AA4" s="249" t="s">
        <v>170</v>
      </c>
      <c r="AB4" s="250" t="s">
        <v>171</v>
      </c>
      <c r="AC4" s="250" t="s">
        <v>172</v>
      </c>
      <c r="AD4" s="249" t="s">
        <v>170</v>
      </c>
      <c r="AE4" s="250" t="s">
        <v>171</v>
      </c>
      <c r="AF4" s="250" t="s">
        <v>172</v>
      </c>
    </row>
    <row r="5" spans="4:32" x14ac:dyDescent="0.25">
      <c r="D5" s="125"/>
      <c r="E5" s="236">
        <f>A5</f>
        <v>0</v>
      </c>
      <c r="F5" s="236">
        <f t="shared" ref="F5:F36" si="0">IF(A5=E5,B5,0)</f>
        <v>0</v>
      </c>
      <c r="G5" s="236">
        <f t="shared" ref="G5:G36" si="1">IF(A5=E5,C5,0)</f>
        <v>0</v>
      </c>
      <c r="H5" s="236">
        <f t="shared" ref="H5:H36" si="2">IF(A5=E5,0,A5)</f>
        <v>0</v>
      </c>
      <c r="I5" s="236">
        <f t="shared" ref="I5:I36" si="3">IF(H5=A5,B5,0)</f>
        <v>0</v>
      </c>
      <c r="J5" s="236">
        <f t="shared" ref="J5:J36" si="4">IF(H5=A5,C5,0)</f>
        <v>0</v>
      </c>
      <c r="K5" s="217"/>
      <c r="P5" s="236">
        <f>L5</f>
        <v>0</v>
      </c>
      <c r="Q5" s="236">
        <f>IF(L5=P5,M5,0)</f>
        <v>0</v>
      </c>
      <c r="R5" s="236">
        <f>IF(L5=P5,N5,0)</f>
        <v>0</v>
      </c>
      <c r="S5" s="236">
        <f>IF(L5=P5,0,L5)</f>
        <v>0</v>
      </c>
      <c r="T5" s="236">
        <f>IF(S5=L5,M5,0)</f>
        <v>0</v>
      </c>
      <c r="U5" s="236">
        <f>IF(S5=L5,N5,0)</f>
        <v>0</v>
      </c>
      <c r="AA5" s="236">
        <f>W5</f>
        <v>0</v>
      </c>
      <c r="AB5" s="236">
        <f>IF(W5=AA5,X5,0)</f>
        <v>0</v>
      </c>
      <c r="AC5" s="236">
        <f>IF(W5=AA5,Y5,0)</f>
        <v>0</v>
      </c>
      <c r="AD5" s="236">
        <f>IF(W5=AA5,0,W5)</f>
        <v>0</v>
      </c>
      <c r="AE5" s="236">
        <f>IF(AD5=W5,X5,0)</f>
        <v>0</v>
      </c>
      <c r="AF5" s="236">
        <f>IF(AD5=W5,Y5,0)</f>
        <v>0</v>
      </c>
    </row>
    <row r="6" spans="4:32" x14ac:dyDescent="0.25">
      <c r="E6" s="236">
        <f t="shared" ref="E6:E37" si="5">IF(E5=A6,0,A6)</f>
        <v>0</v>
      </c>
      <c r="F6" s="236">
        <f t="shared" si="0"/>
        <v>0</v>
      </c>
      <c r="G6" s="236">
        <f t="shared" si="1"/>
        <v>0</v>
      </c>
      <c r="H6" s="236">
        <f t="shared" si="2"/>
        <v>0</v>
      </c>
      <c r="I6" s="236">
        <f t="shared" si="3"/>
        <v>0</v>
      </c>
      <c r="J6" s="236">
        <f t="shared" si="4"/>
        <v>0</v>
      </c>
      <c r="K6" s="217"/>
      <c r="P6" s="236">
        <f>IF(P5=L6,0,L6)</f>
        <v>0</v>
      </c>
      <c r="Q6" s="236">
        <f t="shared" ref="Q6:Q67" si="6">IF(L6=P6,M6,0)</f>
        <v>0</v>
      </c>
      <c r="R6" s="236">
        <f t="shared" ref="R6:R67" si="7">IF(L6=P6,N6,0)</f>
        <v>0</v>
      </c>
      <c r="S6" s="236">
        <f t="shared" ref="S6:S67" si="8">IF(L6=P6,0,L6)</f>
        <v>0</v>
      </c>
      <c r="T6" s="236">
        <f t="shared" ref="T6:T67" si="9">IF(S6=L6,M6,0)</f>
        <v>0</v>
      </c>
      <c r="U6" s="236">
        <f t="shared" ref="U6:U67" si="10">IF(S6=L6,N6,0)</f>
        <v>0</v>
      </c>
      <c r="AA6" s="236">
        <f>IF(AA5=W6,0,W6)</f>
        <v>0</v>
      </c>
      <c r="AB6" s="236">
        <f t="shared" ref="AB6:AB67" si="11">IF(W6=AA6,X6,0)</f>
        <v>0</v>
      </c>
      <c r="AC6" s="236">
        <f t="shared" ref="AC6:AC67" si="12">IF(W6=AA6,Y6,0)</f>
        <v>0</v>
      </c>
      <c r="AD6" s="236">
        <f t="shared" ref="AD6:AD67" si="13">IF(W6=AA6,0,W6)</f>
        <v>0</v>
      </c>
      <c r="AE6" s="236">
        <f t="shared" ref="AE6:AE67" si="14">IF(AD6=W6,X6,0)</f>
        <v>0</v>
      </c>
      <c r="AF6" s="236">
        <f t="shared" ref="AF6:AF67" si="15">IF(AD6=W6,Y6,0)</f>
        <v>0</v>
      </c>
    </row>
    <row r="7" spans="4:32" x14ac:dyDescent="0.25">
      <c r="E7" s="236">
        <f t="shared" si="5"/>
        <v>0</v>
      </c>
      <c r="F7" s="236">
        <f t="shared" si="0"/>
        <v>0</v>
      </c>
      <c r="G7" s="236">
        <f t="shared" si="1"/>
        <v>0</v>
      </c>
      <c r="H7" s="236">
        <f t="shared" si="2"/>
        <v>0</v>
      </c>
      <c r="I7" s="236">
        <f t="shared" si="3"/>
        <v>0</v>
      </c>
      <c r="J7" s="236">
        <f t="shared" si="4"/>
        <v>0</v>
      </c>
      <c r="K7" s="217"/>
      <c r="P7" s="236">
        <f t="shared" ref="P7:P45" si="16">IF(P6=L7,0,L7)</f>
        <v>0</v>
      </c>
      <c r="Q7" s="236">
        <f t="shared" si="6"/>
        <v>0</v>
      </c>
      <c r="R7" s="236">
        <f t="shared" si="7"/>
        <v>0</v>
      </c>
      <c r="S7" s="236">
        <f t="shared" si="8"/>
        <v>0</v>
      </c>
      <c r="T7" s="236">
        <f t="shared" si="9"/>
        <v>0</v>
      </c>
      <c r="U7" s="236">
        <f t="shared" si="10"/>
        <v>0</v>
      </c>
      <c r="AA7" s="236">
        <f t="shared" ref="AA7:AA45" si="17">IF(AA6=W7,0,W7)</f>
        <v>0</v>
      </c>
      <c r="AB7" s="236">
        <f t="shared" si="11"/>
        <v>0</v>
      </c>
      <c r="AC7" s="236">
        <f t="shared" si="12"/>
        <v>0</v>
      </c>
      <c r="AD7" s="236">
        <f t="shared" si="13"/>
        <v>0</v>
      </c>
      <c r="AE7" s="236">
        <f t="shared" si="14"/>
        <v>0</v>
      </c>
      <c r="AF7" s="236">
        <f t="shared" si="15"/>
        <v>0</v>
      </c>
    </row>
    <row r="8" spans="4:32" x14ac:dyDescent="0.25">
      <c r="E8" s="236">
        <f t="shared" si="5"/>
        <v>0</v>
      </c>
      <c r="F8" s="236">
        <f t="shared" si="0"/>
        <v>0</v>
      </c>
      <c r="G8" s="236">
        <f t="shared" si="1"/>
        <v>0</v>
      </c>
      <c r="H8" s="236">
        <f t="shared" si="2"/>
        <v>0</v>
      </c>
      <c r="I8" s="236">
        <f t="shared" si="3"/>
        <v>0</v>
      </c>
      <c r="J8" s="236">
        <f t="shared" si="4"/>
        <v>0</v>
      </c>
      <c r="K8" s="217"/>
      <c r="P8" s="236">
        <f t="shared" si="16"/>
        <v>0</v>
      </c>
      <c r="Q8" s="236">
        <f t="shared" si="6"/>
        <v>0</v>
      </c>
      <c r="R8" s="236">
        <f t="shared" si="7"/>
        <v>0</v>
      </c>
      <c r="S8" s="236">
        <f t="shared" si="8"/>
        <v>0</v>
      </c>
      <c r="T8" s="236">
        <f t="shared" si="9"/>
        <v>0</v>
      </c>
      <c r="U8" s="236">
        <f t="shared" si="10"/>
        <v>0</v>
      </c>
      <c r="AA8" s="236">
        <f t="shared" si="17"/>
        <v>0</v>
      </c>
      <c r="AB8" s="236">
        <f t="shared" si="11"/>
        <v>0</v>
      </c>
      <c r="AC8" s="236">
        <f t="shared" si="12"/>
        <v>0</v>
      </c>
      <c r="AD8" s="236">
        <f t="shared" si="13"/>
        <v>0</v>
      </c>
      <c r="AE8" s="236">
        <f t="shared" si="14"/>
        <v>0</v>
      </c>
      <c r="AF8" s="236">
        <f t="shared" si="15"/>
        <v>0</v>
      </c>
    </row>
    <row r="9" spans="4:32" x14ac:dyDescent="0.25">
      <c r="E9" s="236">
        <f t="shared" si="5"/>
        <v>0</v>
      </c>
      <c r="F9" s="236">
        <f t="shared" si="0"/>
        <v>0</v>
      </c>
      <c r="G9" s="236">
        <f t="shared" si="1"/>
        <v>0</v>
      </c>
      <c r="H9" s="236">
        <f t="shared" si="2"/>
        <v>0</v>
      </c>
      <c r="I9" s="236">
        <f t="shared" si="3"/>
        <v>0</v>
      </c>
      <c r="J9" s="236">
        <f t="shared" si="4"/>
        <v>0</v>
      </c>
      <c r="K9" s="217"/>
      <c r="P9" s="236">
        <f t="shared" si="16"/>
        <v>0</v>
      </c>
      <c r="Q9" s="236">
        <f t="shared" si="6"/>
        <v>0</v>
      </c>
      <c r="R9" s="236">
        <f t="shared" si="7"/>
        <v>0</v>
      </c>
      <c r="S9" s="236">
        <f t="shared" si="8"/>
        <v>0</v>
      </c>
      <c r="T9" s="236">
        <f t="shared" si="9"/>
        <v>0</v>
      </c>
      <c r="U9" s="236">
        <f t="shared" si="10"/>
        <v>0</v>
      </c>
      <c r="AA9" s="236">
        <f t="shared" si="17"/>
        <v>0</v>
      </c>
      <c r="AB9" s="236">
        <f t="shared" si="11"/>
        <v>0</v>
      </c>
      <c r="AC9" s="236">
        <f t="shared" si="12"/>
        <v>0</v>
      </c>
      <c r="AD9" s="236">
        <f t="shared" si="13"/>
        <v>0</v>
      </c>
      <c r="AE9" s="236">
        <f t="shared" si="14"/>
        <v>0</v>
      </c>
      <c r="AF9" s="236">
        <f t="shared" si="15"/>
        <v>0</v>
      </c>
    </row>
    <row r="10" spans="4:32" x14ac:dyDescent="0.25">
      <c r="E10" s="236">
        <f t="shared" si="5"/>
        <v>0</v>
      </c>
      <c r="F10" s="236">
        <f t="shared" si="0"/>
        <v>0</v>
      </c>
      <c r="G10" s="236">
        <f t="shared" si="1"/>
        <v>0</v>
      </c>
      <c r="H10" s="236">
        <f t="shared" si="2"/>
        <v>0</v>
      </c>
      <c r="I10" s="236">
        <f t="shared" si="3"/>
        <v>0</v>
      </c>
      <c r="J10" s="236">
        <f t="shared" si="4"/>
        <v>0</v>
      </c>
      <c r="K10" s="217"/>
      <c r="P10" s="236">
        <f t="shared" si="16"/>
        <v>0</v>
      </c>
      <c r="Q10" s="236">
        <f t="shared" si="6"/>
        <v>0</v>
      </c>
      <c r="R10" s="236">
        <f t="shared" si="7"/>
        <v>0</v>
      </c>
      <c r="S10" s="236">
        <f t="shared" si="8"/>
        <v>0</v>
      </c>
      <c r="T10" s="236">
        <f t="shared" si="9"/>
        <v>0</v>
      </c>
      <c r="U10" s="236">
        <f t="shared" si="10"/>
        <v>0</v>
      </c>
      <c r="AA10" s="236">
        <f t="shared" si="17"/>
        <v>0</v>
      </c>
      <c r="AB10" s="236">
        <f t="shared" si="11"/>
        <v>0</v>
      </c>
      <c r="AC10" s="236">
        <f t="shared" si="12"/>
        <v>0</v>
      </c>
      <c r="AD10" s="236">
        <f t="shared" si="13"/>
        <v>0</v>
      </c>
      <c r="AE10" s="236">
        <f t="shared" si="14"/>
        <v>0</v>
      </c>
      <c r="AF10" s="236">
        <f t="shared" si="15"/>
        <v>0</v>
      </c>
    </row>
    <row r="11" spans="4:32" x14ac:dyDescent="0.25">
      <c r="E11" s="236">
        <f t="shared" si="5"/>
        <v>0</v>
      </c>
      <c r="F11" s="236">
        <f t="shared" si="0"/>
        <v>0</v>
      </c>
      <c r="G11" s="236">
        <f t="shared" si="1"/>
        <v>0</v>
      </c>
      <c r="H11" s="236">
        <f t="shared" si="2"/>
        <v>0</v>
      </c>
      <c r="I11" s="236">
        <f t="shared" si="3"/>
        <v>0</v>
      </c>
      <c r="J11" s="236">
        <f t="shared" si="4"/>
        <v>0</v>
      </c>
      <c r="K11" s="217"/>
      <c r="P11" s="236">
        <f t="shared" si="16"/>
        <v>0</v>
      </c>
      <c r="Q11" s="236">
        <f t="shared" si="6"/>
        <v>0</v>
      </c>
      <c r="R11" s="236">
        <f t="shared" si="7"/>
        <v>0</v>
      </c>
      <c r="S11" s="236">
        <f t="shared" si="8"/>
        <v>0</v>
      </c>
      <c r="T11" s="236">
        <f t="shared" si="9"/>
        <v>0</v>
      </c>
      <c r="U11" s="236">
        <f t="shared" si="10"/>
        <v>0</v>
      </c>
      <c r="AA11" s="236">
        <f t="shared" si="17"/>
        <v>0</v>
      </c>
      <c r="AB11" s="236">
        <f t="shared" si="11"/>
        <v>0</v>
      </c>
      <c r="AC11" s="236">
        <f t="shared" si="12"/>
        <v>0</v>
      </c>
      <c r="AD11" s="236">
        <f t="shared" si="13"/>
        <v>0</v>
      </c>
      <c r="AE11" s="236">
        <f t="shared" si="14"/>
        <v>0</v>
      </c>
      <c r="AF11" s="236">
        <f t="shared" si="15"/>
        <v>0</v>
      </c>
    </row>
    <row r="12" spans="4:32" x14ac:dyDescent="0.25">
      <c r="E12" s="236">
        <f t="shared" si="5"/>
        <v>0</v>
      </c>
      <c r="F12" s="236">
        <f t="shared" si="0"/>
        <v>0</v>
      </c>
      <c r="G12" s="236">
        <f t="shared" si="1"/>
        <v>0</v>
      </c>
      <c r="H12" s="236">
        <f t="shared" si="2"/>
        <v>0</v>
      </c>
      <c r="I12" s="236">
        <f t="shared" si="3"/>
        <v>0</v>
      </c>
      <c r="J12" s="236">
        <f t="shared" si="4"/>
        <v>0</v>
      </c>
      <c r="K12" s="217"/>
      <c r="P12" s="236">
        <f t="shared" si="16"/>
        <v>0</v>
      </c>
      <c r="Q12" s="236">
        <f t="shared" si="6"/>
        <v>0</v>
      </c>
      <c r="R12" s="236">
        <f t="shared" si="7"/>
        <v>0</v>
      </c>
      <c r="S12" s="236">
        <f t="shared" si="8"/>
        <v>0</v>
      </c>
      <c r="T12" s="236">
        <f t="shared" si="9"/>
        <v>0</v>
      </c>
      <c r="U12" s="236">
        <f t="shared" si="10"/>
        <v>0</v>
      </c>
      <c r="AA12" s="236">
        <f t="shared" si="17"/>
        <v>0</v>
      </c>
      <c r="AB12" s="236">
        <f t="shared" si="11"/>
        <v>0</v>
      </c>
      <c r="AC12" s="236">
        <f t="shared" si="12"/>
        <v>0</v>
      </c>
      <c r="AD12" s="236">
        <f t="shared" si="13"/>
        <v>0</v>
      </c>
      <c r="AE12" s="236">
        <f t="shared" si="14"/>
        <v>0</v>
      </c>
      <c r="AF12" s="236">
        <f t="shared" si="15"/>
        <v>0</v>
      </c>
    </row>
    <row r="13" spans="4:32" x14ac:dyDescent="0.25">
      <c r="E13" s="236">
        <f t="shared" si="5"/>
        <v>0</v>
      </c>
      <c r="F13" s="236">
        <f t="shared" si="0"/>
        <v>0</v>
      </c>
      <c r="G13" s="236">
        <f t="shared" si="1"/>
        <v>0</v>
      </c>
      <c r="H13" s="236">
        <f t="shared" si="2"/>
        <v>0</v>
      </c>
      <c r="I13" s="236">
        <f t="shared" si="3"/>
        <v>0</v>
      </c>
      <c r="J13" s="236">
        <f t="shared" si="4"/>
        <v>0</v>
      </c>
      <c r="K13" s="217"/>
      <c r="P13" s="236">
        <f t="shared" si="16"/>
        <v>0</v>
      </c>
      <c r="Q13" s="236">
        <f t="shared" si="6"/>
        <v>0</v>
      </c>
      <c r="R13" s="236">
        <f t="shared" si="7"/>
        <v>0</v>
      </c>
      <c r="S13" s="236">
        <f t="shared" si="8"/>
        <v>0</v>
      </c>
      <c r="T13" s="236">
        <f t="shared" si="9"/>
        <v>0</v>
      </c>
      <c r="U13" s="236">
        <f t="shared" si="10"/>
        <v>0</v>
      </c>
      <c r="AA13" s="236">
        <f t="shared" si="17"/>
        <v>0</v>
      </c>
      <c r="AB13" s="236">
        <f t="shared" si="11"/>
        <v>0</v>
      </c>
      <c r="AC13" s="236">
        <f t="shared" si="12"/>
        <v>0</v>
      </c>
      <c r="AD13" s="236">
        <f t="shared" si="13"/>
        <v>0</v>
      </c>
      <c r="AE13" s="236">
        <f t="shared" si="14"/>
        <v>0</v>
      </c>
      <c r="AF13" s="236">
        <f t="shared" si="15"/>
        <v>0</v>
      </c>
    </row>
    <row r="14" spans="4:32" x14ac:dyDescent="0.25">
      <c r="E14" s="236">
        <f t="shared" si="5"/>
        <v>0</v>
      </c>
      <c r="F14" s="236">
        <f t="shared" si="0"/>
        <v>0</v>
      </c>
      <c r="G14" s="236">
        <f t="shared" si="1"/>
        <v>0</v>
      </c>
      <c r="H14" s="236">
        <f t="shared" si="2"/>
        <v>0</v>
      </c>
      <c r="I14" s="236">
        <f t="shared" si="3"/>
        <v>0</v>
      </c>
      <c r="J14" s="236">
        <f t="shared" si="4"/>
        <v>0</v>
      </c>
      <c r="K14" s="217"/>
      <c r="P14" s="236">
        <f t="shared" si="16"/>
        <v>0</v>
      </c>
      <c r="Q14" s="236">
        <f t="shared" si="6"/>
        <v>0</v>
      </c>
      <c r="R14" s="236">
        <f t="shared" si="7"/>
        <v>0</v>
      </c>
      <c r="S14" s="236">
        <f t="shared" si="8"/>
        <v>0</v>
      </c>
      <c r="T14" s="236">
        <f t="shared" si="9"/>
        <v>0</v>
      </c>
      <c r="U14" s="236">
        <f t="shared" si="10"/>
        <v>0</v>
      </c>
      <c r="AA14" s="236">
        <f t="shared" si="17"/>
        <v>0</v>
      </c>
      <c r="AB14" s="236">
        <f t="shared" si="11"/>
        <v>0</v>
      </c>
      <c r="AC14" s="236">
        <f t="shared" si="12"/>
        <v>0</v>
      </c>
      <c r="AD14" s="236">
        <f t="shared" si="13"/>
        <v>0</v>
      </c>
      <c r="AE14" s="236">
        <f t="shared" si="14"/>
        <v>0</v>
      </c>
      <c r="AF14" s="236">
        <f t="shared" si="15"/>
        <v>0</v>
      </c>
    </row>
    <row r="15" spans="4:32" x14ac:dyDescent="0.25">
      <c r="E15" s="236">
        <f t="shared" si="5"/>
        <v>0</v>
      </c>
      <c r="F15" s="236">
        <f t="shared" si="0"/>
        <v>0</v>
      </c>
      <c r="G15" s="236">
        <f t="shared" si="1"/>
        <v>0</v>
      </c>
      <c r="H15" s="236">
        <f t="shared" si="2"/>
        <v>0</v>
      </c>
      <c r="I15" s="236">
        <f t="shared" si="3"/>
        <v>0</v>
      </c>
      <c r="J15" s="236">
        <f t="shared" si="4"/>
        <v>0</v>
      </c>
      <c r="K15" s="217"/>
      <c r="P15" s="236">
        <f t="shared" si="16"/>
        <v>0</v>
      </c>
      <c r="Q15" s="236">
        <f t="shared" si="6"/>
        <v>0</v>
      </c>
      <c r="R15" s="236">
        <f t="shared" si="7"/>
        <v>0</v>
      </c>
      <c r="S15" s="236">
        <f t="shared" si="8"/>
        <v>0</v>
      </c>
      <c r="T15" s="236">
        <f t="shared" si="9"/>
        <v>0</v>
      </c>
      <c r="U15" s="236">
        <f t="shared" si="10"/>
        <v>0</v>
      </c>
      <c r="AA15" s="236">
        <f t="shared" si="17"/>
        <v>0</v>
      </c>
      <c r="AB15" s="236">
        <f t="shared" si="11"/>
        <v>0</v>
      </c>
      <c r="AC15" s="236">
        <f t="shared" si="12"/>
        <v>0</v>
      </c>
      <c r="AD15" s="236">
        <f t="shared" si="13"/>
        <v>0</v>
      </c>
      <c r="AE15" s="236">
        <f t="shared" si="14"/>
        <v>0</v>
      </c>
      <c r="AF15" s="236">
        <f t="shared" si="15"/>
        <v>0</v>
      </c>
    </row>
    <row r="16" spans="4:32" x14ac:dyDescent="0.25">
      <c r="E16" s="236">
        <f t="shared" si="5"/>
        <v>0</v>
      </c>
      <c r="F16" s="236">
        <f t="shared" si="0"/>
        <v>0</v>
      </c>
      <c r="G16" s="236">
        <f t="shared" si="1"/>
        <v>0</v>
      </c>
      <c r="H16" s="236">
        <f t="shared" si="2"/>
        <v>0</v>
      </c>
      <c r="I16" s="236">
        <f t="shared" si="3"/>
        <v>0</v>
      </c>
      <c r="J16" s="236">
        <f t="shared" si="4"/>
        <v>0</v>
      </c>
      <c r="K16" s="217"/>
      <c r="P16" s="236">
        <f t="shared" si="16"/>
        <v>0</v>
      </c>
      <c r="Q16" s="236">
        <f t="shared" si="6"/>
        <v>0</v>
      </c>
      <c r="R16" s="236">
        <f t="shared" si="7"/>
        <v>0</v>
      </c>
      <c r="S16" s="236">
        <f t="shared" si="8"/>
        <v>0</v>
      </c>
      <c r="T16" s="236">
        <f t="shared" si="9"/>
        <v>0</v>
      </c>
      <c r="U16" s="236">
        <f t="shared" si="10"/>
        <v>0</v>
      </c>
      <c r="AA16" s="236">
        <f t="shared" si="17"/>
        <v>0</v>
      </c>
      <c r="AB16" s="236">
        <f t="shared" si="11"/>
        <v>0</v>
      </c>
      <c r="AC16" s="236">
        <f t="shared" si="12"/>
        <v>0</v>
      </c>
      <c r="AD16" s="236">
        <f t="shared" si="13"/>
        <v>0</v>
      </c>
      <c r="AE16" s="236">
        <f t="shared" si="14"/>
        <v>0</v>
      </c>
      <c r="AF16" s="236">
        <f t="shared" si="15"/>
        <v>0</v>
      </c>
    </row>
    <row r="17" spans="5:32" x14ac:dyDescent="0.25">
      <c r="E17" s="236">
        <f t="shared" si="5"/>
        <v>0</v>
      </c>
      <c r="F17" s="236">
        <f t="shared" si="0"/>
        <v>0</v>
      </c>
      <c r="G17" s="236">
        <f t="shared" si="1"/>
        <v>0</v>
      </c>
      <c r="H17" s="236">
        <f t="shared" si="2"/>
        <v>0</v>
      </c>
      <c r="I17" s="236">
        <f t="shared" si="3"/>
        <v>0</v>
      </c>
      <c r="J17" s="236">
        <f t="shared" si="4"/>
        <v>0</v>
      </c>
      <c r="K17" s="217"/>
      <c r="P17" s="236">
        <f t="shared" si="16"/>
        <v>0</v>
      </c>
      <c r="Q17" s="236">
        <f t="shared" si="6"/>
        <v>0</v>
      </c>
      <c r="R17" s="236">
        <f t="shared" si="7"/>
        <v>0</v>
      </c>
      <c r="S17" s="236">
        <f t="shared" si="8"/>
        <v>0</v>
      </c>
      <c r="T17" s="236">
        <f t="shared" si="9"/>
        <v>0</v>
      </c>
      <c r="U17" s="236">
        <f t="shared" si="10"/>
        <v>0</v>
      </c>
      <c r="AA17" s="236">
        <f t="shared" si="17"/>
        <v>0</v>
      </c>
      <c r="AB17" s="236">
        <f t="shared" si="11"/>
        <v>0</v>
      </c>
      <c r="AC17" s="236">
        <f t="shared" si="12"/>
        <v>0</v>
      </c>
      <c r="AD17" s="236">
        <f t="shared" si="13"/>
        <v>0</v>
      </c>
      <c r="AE17" s="236">
        <f t="shared" si="14"/>
        <v>0</v>
      </c>
      <c r="AF17" s="236">
        <f t="shared" si="15"/>
        <v>0</v>
      </c>
    </row>
    <row r="18" spans="5:32" x14ac:dyDescent="0.25">
      <c r="E18" s="236">
        <f t="shared" si="5"/>
        <v>0</v>
      </c>
      <c r="F18" s="236">
        <f t="shared" si="0"/>
        <v>0</v>
      </c>
      <c r="G18" s="236">
        <f t="shared" si="1"/>
        <v>0</v>
      </c>
      <c r="H18" s="236">
        <f t="shared" si="2"/>
        <v>0</v>
      </c>
      <c r="I18" s="236">
        <f t="shared" si="3"/>
        <v>0</v>
      </c>
      <c r="J18" s="236">
        <f t="shared" si="4"/>
        <v>0</v>
      </c>
      <c r="K18" s="217"/>
      <c r="P18" s="236">
        <f t="shared" si="16"/>
        <v>0</v>
      </c>
      <c r="Q18" s="236">
        <f t="shared" si="6"/>
        <v>0</v>
      </c>
      <c r="R18" s="236">
        <f t="shared" si="7"/>
        <v>0</v>
      </c>
      <c r="S18" s="236">
        <f t="shared" si="8"/>
        <v>0</v>
      </c>
      <c r="T18" s="236">
        <f t="shared" si="9"/>
        <v>0</v>
      </c>
      <c r="U18" s="236">
        <f t="shared" si="10"/>
        <v>0</v>
      </c>
      <c r="AA18" s="236">
        <f t="shared" si="17"/>
        <v>0</v>
      </c>
      <c r="AB18" s="236">
        <f t="shared" si="11"/>
        <v>0</v>
      </c>
      <c r="AC18" s="236">
        <f t="shared" si="12"/>
        <v>0</v>
      </c>
      <c r="AD18" s="236">
        <f t="shared" si="13"/>
        <v>0</v>
      </c>
      <c r="AE18" s="236">
        <f t="shared" si="14"/>
        <v>0</v>
      </c>
      <c r="AF18" s="236">
        <f t="shared" si="15"/>
        <v>0</v>
      </c>
    </row>
    <row r="19" spans="5:32" x14ac:dyDescent="0.25">
      <c r="E19" s="236">
        <f t="shared" si="5"/>
        <v>0</v>
      </c>
      <c r="F19" s="236">
        <f t="shared" si="0"/>
        <v>0</v>
      </c>
      <c r="G19" s="236">
        <f t="shared" si="1"/>
        <v>0</v>
      </c>
      <c r="H19" s="236">
        <f t="shared" si="2"/>
        <v>0</v>
      </c>
      <c r="I19" s="236">
        <f t="shared" si="3"/>
        <v>0</v>
      </c>
      <c r="J19" s="236">
        <f t="shared" si="4"/>
        <v>0</v>
      </c>
      <c r="K19" s="217"/>
      <c r="P19" s="236">
        <f t="shared" si="16"/>
        <v>0</v>
      </c>
      <c r="Q19" s="236">
        <f t="shared" si="6"/>
        <v>0</v>
      </c>
      <c r="R19" s="236">
        <f t="shared" si="7"/>
        <v>0</v>
      </c>
      <c r="S19" s="236">
        <f t="shared" si="8"/>
        <v>0</v>
      </c>
      <c r="T19" s="236">
        <f t="shared" si="9"/>
        <v>0</v>
      </c>
      <c r="U19" s="236">
        <f t="shared" si="10"/>
        <v>0</v>
      </c>
      <c r="AA19" s="236">
        <f t="shared" si="17"/>
        <v>0</v>
      </c>
      <c r="AB19" s="236">
        <f t="shared" si="11"/>
        <v>0</v>
      </c>
      <c r="AC19" s="236">
        <f t="shared" si="12"/>
        <v>0</v>
      </c>
      <c r="AD19" s="236">
        <f t="shared" si="13"/>
        <v>0</v>
      </c>
      <c r="AE19" s="236">
        <f t="shared" si="14"/>
        <v>0</v>
      </c>
      <c r="AF19" s="236">
        <f t="shared" si="15"/>
        <v>0</v>
      </c>
    </row>
    <row r="20" spans="5:32" x14ac:dyDescent="0.25">
      <c r="E20" s="236">
        <f t="shared" si="5"/>
        <v>0</v>
      </c>
      <c r="F20" s="236">
        <f t="shared" si="0"/>
        <v>0</v>
      </c>
      <c r="G20" s="236">
        <f t="shared" si="1"/>
        <v>0</v>
      </c>
      <c r="H20" s="236">
        <f t="shared" si="2"/>
        <v>0</v>
      </c>
      <c r="I20" s="236">
        <f t="shared" si="3"/>
        <v>0</v>
      </c>
      <c r="J20" s="236">
        <f t="shared" si="4"/>
        <v>0</v>
      </c>
      <c r="K20" s="217"/>
      <c r="P20" s="236">
        <f t="shared" si="16"/>
        <v>0</v>
      </c>
      <c r="Q20" s="236">
        <f t="shared" si="6"/>
        <v>0</v>
      </c>
      <c r="R20" s="236">
        <f t="shared" si="7"/>
        <v>0</v>
      </c>
      <c r="S20" s="236">
        <f t="shared" si="8"/>
        <v>0</v>
      </c>
      <c r="T20" s="236">
        <f t="shared" si="9"/>
        <v>0</v>
      </c>
      <c r="U20" s="236">
        <f t="shared" si="10"/>
        <v>0</v>
      </c>
      <c r="AA20" s="236">
        <f t="shared" si="17"/>
        <v>0</v>
      </c>
      <c r="AB20" s="236">
        <f t="shared" si="11"/>
        <v>0</v>
      </c>
      <c r="AC20" s="236">
        <f t="shared" si="12"/>
        <v>0</v>
      </c>
      <c r="AD20" s="236">
        <f t="shared" si="13"/>
        <v>0</v>
      </c>
      <c r="AE20" s="236">
        <f t="shared" si="14"/>
        <v>0</v>
      </c>
      <c r="AF20" s="236">
        <f t="shared" si="15"/>
        <v>0</v>
      </c>
    </row>
    <row r="21" spans="5:32" x14ac:dyDescent="0.25">
      <c r="E21" s="236">
        <f t="shared" si="5"/>
        <v>0</v>
      </c>
      <c r="F21" s="236">
        <f t="shared" si="0"/>
        <v>0</v>
      </c>
      <c r="G21" s="236">
        <f t="shared" si="1"/>
        <v>0</v>
      </c>
      <c r="H21" s="236">
        <f t="shared" si="2"/>
        <v>0</v>
      </c>
      <c r="I21" s="236">
        <f t="shared" si="3"/>
        <v>0</v>
      </c>
      <c r="J21" s="236">
        <f t="shared" si="4"/>
        <v>0</v>
      </c>
      <c r="K21" s="217"/>
      <c r="P21" s="236">
        <f t="shared" si="16"/>
        <v>0</v>
      </c>
      <c r="Q21" s="236">
        <f t="shared" si="6"/>
        <v>0</v>
      </c>
      <c r="R21" s="236">
        <f t="shared" si="7"/>
        <v>0</v>
      </c>
      <c r="S21" s="236">
        <f t="shared" si="8"/>
        <v>0</v>
      </c>
      <c r="T21" s="236">
        <f t="shared" si="9"/>
        <v>0</v>
      </c>
      <c r="U21" s="236">
        <f t="shared" si="10"/>
        <v>0</v>
      </c>
      <c r="AA21" s="236">
        <f t="shared" si="17"/>
        <v>0</v>
      </c>
      <c r="AB21" s="236">
        <f t="shared" si="11"/>
        <v>0</v>
      </c>
      <c r="AC21" s="236">
        <f t="shared" si="12"/>
        <v>0</v>
      </c>
      <c r="AD21" s="236">
        <f t="shared" si="13"/>
        <v>0</v>
      </c>
      <c r="AE21" s="236">
        <f t="shared" si="14"/>
        <v>0</v>
      </c>
      <c r="AF21" s="236">
        <f t="shared" si="15"/>
        <v>0</v>
      </c>
    </row>
    <row r="22" spans="5:32" x14ac:dyDescent="0.25">
      <c r="E22" s="236">
        <f t="shared" si="5"/>
        <v>0</v>
      </c>
      <c r="F22" s="236">
        <f t="shared" si="0"/>
        <v>0</v>
      </c>
      <c r="G22" s="236">
        <f t="shared" si="1"/>
        <v>0</v>
      </c>
      <c r="H22" s="236">
        <f t="shared" si="2"/>
        <v>0</v>
      </c>
      <c r="I22" s="236">
        <f t="shared" si="3"/>
        <v>0</v>
      </c>
      <c r="J22" s="236">
        <f t="shared" si="4"/>
        <v>0</v>
      </c>
      <c r="K22" s="217"/>
      <c r="P22" s="236">
        <f t="shared" si="16"/>
        <v>0</v>
      </c>
      <c r="Q22" s="236">
        <f t="shared" si="6"/>
        <v>0</v>
      </c>
      <c r="R22" s="236">
        <f t="shared" si="7"/>
        <v>0</v>
      </c>
      <c r="S22" s="236">
        <f t="shared" si="8"/>
        <v>0</v>
      </c>
      <c r="T22" s="236">
        <f t="shared" si="9"/>
        <v>0</v>
      </c>
      <c r="U22" s="236">
        <f t="shared" si="10"/>
        <v>0</v>
      </c>
      <c r="AA22" s="236">
        <f t="shared" si="17"/>
        <v>0</v>
      </c>
      <c r="AB22" s="236">
        <f t="shared" si="11"/>
        <v>0</v>
      </c>
      <c r="AC22" s="236">
        <f t="shared" si="12"/>
        <v>0</v>
      </c>
      <c r="AD22" s="236">
        <f t="shared" si="13"/>
        <v>0</v>
      </c>
      <c r="AE22" s="236">
        <f t="shared" si="14"/>
        <v>0</v>
      </c>
      <c r="AF22" s="236">
        <f t="shared" si="15"/>
        <v>0</v>
      </c>
    </row>
    <row r="23" spans="5:32" x14ac:dyDescent="0.25">
      <c r="E23" s="236">
        <f t="shared" si="5"/>
        <v>0</v>
      </c>
      <c r="F23" s="236">
        <f t="shared" si="0"/>
        <v>0</v>
      </c>
      <c r="G23" s="236">
        <f t="shared" si="1"/>
        <v>0</v>
      </c>
      <c r="H23" s="236">
        <f t="shared" si="2"/>
        <v>0</v>
      </c>
      <c r="I23" s="236">
        <f t="shared" si="3"/>
        <v>0</v>
      </c>
      <c r="J23" s="236">
        <f t="shared" si="4"/>
        <v>0</v>
      </c>
      <c r="K23" s="217"/>
      <c r="P23" s="236">
        <f t="shared" si="16"/>
        <v>0</v>
      </c>
      <c r="Q23" s="236">
        <f t="shared" si="6"/>
        <v>0</v>
      </c>
      <c r="R23" s="236">
        <f t="shared" si="7"/>
        <v>0</v>
      </c>
      <c r="S23" s="236">
        <f t="shared" si="8"/>
        <v>0</v>
      </c>
      <c r="T23" s="236">
        <f t="shared" si="9"/>
        <v>0</v>
      </c>
      <c r="U23" s="236">
        <f t="shared" si="10"/>
        <v>0</v>
      </c>
      <c r="AA23" s="236">
        <f t="shared" si="17"/>
        <v>0</v>
      </c>
      <c r="AB23" s="236">
        <f t="shared" si="11"/>
        <v>0</v>
      </c>
      <c r="AC23" s="236">
        <f t="shared" si="12"/>
        <v>0</v>
      </c>
      <c r="AD23" s="236">
        <f t="shared" si="13"/>
        <v>0</v>
      </c>
      <c r="AE23" s="236">
        <f t="shared" si="14"/>
        <v>0</v>
      </c>
      <c r="AF23" s="236">
        <f t="shared" si="15"/>
        <v>0</v>
      </c>
    </row>
    <row r="24" spans="5:32" x14ac:dyDescent="0.25">
      <c r="E24" s="236">
        <f t="shared" si="5"/>
        <v>0</v>
      </c>
      <c r="F24" s="236">
        <f t="shared" si="0"/>
        <v>0</v>
      </c>
      <c r="G24" s="236">
        <f t="shared" si="1"/>
        <v>0</v>
      </c>
      <c r="H24" s="236">
        <f t="shared" si="2"/>
        <v>0</v>
      </c>
      <c r="I24" s="236">
        <f t="shared" si="3"/>
        <v>0</v>
      </c>
      <c r="J24" s="236">
        <f t="shared" si="4"/>
        <v>0</v>
      </c>
      <c r="K24" s="217"/>
      <c r="P24" s="236">
        <f t="shared" si="16"/>
        <v>0</v>
      </c>
      <c r="Q24" s="236">
        <f t="shared" si="6"/>
        <v>0</v>
      </c>
      <c r="R24" s="236">
        <f t="shared" si="7"/>
        <v>0</v>
      </c>
      <c r="S24" s="236">
        <f t="shared" si="8"/>
        <v>0</v>
      </c>
      <c r="T24" s="236">
        <f t="shared" si="9"/>
        <v>0</v>
      </c>
      <c r="U24" s="236">
        <f t="shared" si="10"/>
        <v>0</v>
      </c>
      <c r="AA24" s="236">
        <f t="shared" si="17"/>
        <v>0</v>
      </c>
      <c r="AB24" s="236">
        <f t="shared" si="11"/>
        <v>0</v>
      </c>
      <c r="AC24" s="236">
        <f t="shared" si="12"/>
        <v>0</v>
      </c>
      <c r="AD24" s="236">
        <f t="shared" si="13"/>
        <v>0</v>
      </c>
      <c r="AE24" s="236">
        <f t="shared" si="14"/>
        <v>0</v>
      </c>
      <c r="AF24" s="236">
        <f t="shared" si="15"/>
        <v>0</v>
      </c>
    </row>
    <row r="25" spans="5:32" x14ac:dyDescent="0.25">
      <c r="E25" s="236">
        <f t="shared" si="5"/>
        <v>0</v>
      </c>
      <c r="F25" s="236">
        <f t="shared" si="0"/>
        <v>0</v>
      </c>
      <c r="G25" s="236">
        <f t="shared" si="1"/>
        <v>0</v>
      </c>
      <c r="H25" s="236">
        <f t="shared" si="2"/>
        <v>0</v>
      </c>
      <c r="I25" s="236">
        <f t="shared" si="3"/>
        <v>0</v>
      </c>
      <c r="J25" s="236">
        <f t="shared" si="4"/>
        <v>0</v>
      </c>
      <c r="K25" s="217"/>
      <c r="P25" s="236">
        <f t="shared" si="16"/>
        <v>0</v>
      </c>
      <c r="Q25" s="236">
        <f t="shared" si="6"/>
        <v>0</v>
      </c>
      <c r="R25" s="236">
        <f t="shared" si="7"/>
        <v>0</v>
      </c>
      <c r="S25" s="236">
        <f t="shared" si="8"/>
        <v>0</v>
      </c>
      <c r="T25" s="236">
        <f t="shared" si="9"/>
        <v>0</v>
      </c>
      <c r="U25" s="236">
        <f t="shared" si="10"/>
        <v>0</v>
      </c>
      <c r="AA25" s="236">
        <f t="shared" si="17"/>
        <v>0</v>
      </c>
      <c r="AB25" s="236">
        <f t="shared" si="11"/>
        <v>0</v>
      </c>
      <c r="AC25" s="236">
        <f t="shared" si="12"/>
        <v>0</v>
      </c>
      <c r="AD25" s="236">
        <f t="shared" si="13"/>
        <v>0</v>
      </c>
      <c r="AE25" s="236">
        <f t="shared" si="14"/>
        <v>0</v>
      </c>
      <c r="AF25" s="236">
        <f t="shared" si="15"/>
        <v>0</v>
      </c>
    </row>
    <row r="26" spans="5:32" x14ac:dyDescent="0.25">
      <c r="E26" s="236">
        <f t="shared" si="5"/>
        <v>0</v>
      </c>
      <c r="F26" s="236">
        <f t="shared" si="0"/>
        <v>0</v>
      </c>
      <c r="G26" s="236">
        <f t="shared" si="1"/>
        <v>0</v>
      </c>
      <c r="H26" s="236">
        <f t="shared" si="2"/>
        <v>0</v>
      </c>
      <c r="I26" s="236">
        <f t="shared" si="3"/>
        <v>0</v>
      </c>
      <c r="J26" s="236">
        <f t="shared" si="4"/>
        <v>0</v>
      </c>
      <c r="K26" s="217"/>
      <c r="P26" s="236">
        <f t="shared" si="16"/>
        <v>0</v>
      </c>
      <c r="Q26" s="236">
        <f t="shared" si="6"/>
        <v>0</v>
      </c>
      <c r="R26" s="236">
        <f t="shared" si="7"/>
        <v>0</v>
      </c>
      <c r="S26" s="236">
        <f t="shared" si="8"/>
        <v>0</v>
      </c>
      <c r="T26" s="236">
        <f t="shared" si="9"/>
        <v>0</v>
      </c>
      <c r="U26" s="236">
        <f t="shared" si="10"/>
        <v>0</v>
      </c>
      <c r="AA26" s="236">
        <f t="shared" si="17"/>
        <v>0</v>
      </c>
      <c r="AB26" s="236">
        <f t="shared" si="11"/>
        <v>0</v>
      </c>
      <c r="AC26" s="236">
        <f t="shared" si="12"/>
        <v>0</v>
      </c>
      <c r="AD26" s="236">
        <f t="shared" si="13"/>
        <v>0</v>
      </c>
      <c r="AE26" s="236">
        <f t="shared" si="14"/>
        <v>0</v>
      </c>
      <c r="AF26" s="236">
        <f t="shared" si="15"/>
        <v>0</v>
      </c>
    </row>
    <row r="27" spans="5:32" x14ac:dyDescent="0.25">
      <c r="E27" s="236">
        <f t="shared" si="5"/>
        <v>0</v>
      </c>
      <c r="F27" s="236">
        <f t="shared" si="0"/>
        <v>0</v>
      </c>
      <c r="G27" s="236">
        <f t="shared" si="1"/>
        <v>0</v>
      </c>
      <c r="H27" s="236">
        <f t="shared" si="2"/>
        <v>0</v>
      </c>
      <c r="I27" s="236">
        <f t="shared" si="3"/>
        <v>0</v>
      </c>
      <c r="J27" s="236">
        <f t="shared" si="4"/>
        <v>0</v>
      </c>
      <c r="K27" s="217"/>
      <c r="P27" s="236">
        <f t="shared" si="16"/>
        <v>0</v>
      </c>
      <c r="Q27" s="236">
        <f t="shared" si="6"/>
        <v>0</v>
      </c>
      <c r="R27" s="236">
        <f t="shared" si="7"/>
        <v>0</v>
      </c>
      <c r="S27" s="236">
        <f t="shared" si="8"/>
        <v>0</v>
      </c>
      <c r="T27" s="236">
        <f t="shared" si="9"/>
        <v>0</v>
      </c>
      <c r="U27" s="236">
        <f t="shared" si="10"/>
        <v>0</v>
      </c>
      <c r="AA27" s="236">
        <f t="shared" si="17"/>
        <v>0</v>
      </c>
      <c r="AB27" s="236">
        <f t="shared" si="11"/>
        <v>0</v>
      </c>
      <c r="AC27" s="236">
        <f t="shared" si="12"/>
        <v>0</v>
      </c>
      <c r="AD27" s="236">
        <f t="shared" si="13"/>
        <v>0</v>
      </c>
      <c r="AE27" s="236">
        <f t="shared" si="14"/>
        <v>0</v>
      </c>
      <c r="AF27" s="236">
        <f t="shared" si="15"/>
        <v>0</v>
      </c>
    </row>
    <row r="28" spans="5:32" x14ac:dyDescent="0.25">
      <c r="E28" s="236">
        <f t="shared" si="5"/>
        <v>0</v>
      </c>
      <c r="F28" s="236">
        <f t="shared" si="0"/>
        <v>0</v>
      </c>
      <c r="G28" s="236">
        <f t="shared" si="1"/>
        <v>0</v>
      </c>
      <c r="H28" s="236">
        <f t="shared" si="2"/>
        <v>0</v>
      </c>
      <c r="I28" s="236">
        <f t="shared" si="3"/>
        <v>0</v>
      </c>
      <c r="J28" s="236">
        <f t="shared" si="4"/>
        <v>0</v>
      </c>
      <c r="K28" s="217"/>
      <c r="P28" s="236">
        <f t="shared" si="16"/>
        <v>0</v>
      </c>
      <c r="Q28" s="236">
        <f t="shared" si="6"/>
        <v>0</v>
      </c>
      <c r="R28" s="236">
        <f t="shared" si="7"/>
        <v>0</v>
      </c>
      <c r="S28" s="236">
        <f t="shared" si="8"/>
        <v>0</v>
      </c>
      <c r="T28" s="236">
        <f t="shared" si="9"/>
        <v>0</v>
      </c>
      <c r="U28" s="236">
        <f t="shared" si="10"/>
        <v>0</v>
      </c>
      <c r="AA28" s="236">
        <f t="shared" si="17"/>
        <v>0</v>
      </c>
      <c r="AB28" s="236">
        <f t="shared" si="11"/>
        <v>0</v>
      </c>
      <c r="AC28" s="236">
        <f t="shared" si="12"/>
        <v>0</v>
      </c>
      <c r="AD28" s="236">
        <f t="shared" si="13"/>
        <v>0</v>
      </c>
      <c r="AE28" s="236">
        <f t="shared" si="14"/>
        <v>0</v>
      </c>
      <c r="AF28" s="236">
        <f t="shared" si="15"/>
        <v>0</v>
      </c>
    </row>
    <row r="29" spans="5:32" x14ac:dyDescent="0.25">
      <c r="E29" s="236">
        <f t="shared" si="5"/>
        <v>0</v>
      </c>
      <c r="F29" s="236">
        <f t="shared" si="0"/>
        <v>0</v>
      </c>
      <c r="G29" s="236">
        <f t="shared" si="1"/>
        <v>0</v>
      </c>
      <c r="H29" s="236">
        <f t="shared" si="2"/>
        <v>0</v>
      </c>
      <c r="I29" s="236">
        <f t="shared" si="3"/>
        <v>0</v>
      </c>
      <c r="J29" s="236">
        <f t="shared" si="4"/>
        <v>0</v>
      </c>
      <c r="K29" s="217"/>
      <c r="P29" s="236">
        <f t="shared" si="16"/>
        <v>0</v>
      </c>
      <c r="Q29" s="236">
        <f t="shared" si="6"/>
        <v>0</v>
      </c>
      <c r="R29" s="236">
        <f t="shared" si="7"/>
        <v>0</v>
      </c>
      <c r="S29" s="236">
        <f t="shared" si="8"/>
        <v>0</v>
      </c>
      <c r="T29" s="236">
        <f t="shared" si="9"/>
        <v>0</v>
      </c>
      <c r="U29" s="236">
        <f t="shared" si="10"/>
        <v>0</v>
      </c>
      <c r="AA29" s="236">
        <f t="shared" si="17"/>
        <v>0</v>
      </c>
      <c r="AB29" s="236">
        <f t="shared" si="11"/>
        <v>0</v>
      </c>
      <c r="AC29" s="236">
        <f t="shared" si="12"/>
        <v>0</v>
      </c>
      <c r="AD29" s="236">
        <f t="shared" si="13"/>
        <v>0</v>
      </c>
      <c r="AE29" s="236">
        <f t="shared" si="14"/>
        <v>0</v>
      </c>
      <c r="AF29" s="236">
        <f t="shared" si="15"/>
        <v>0</v>
      </c>
    </row>
    <row r="30" spans="5:32" x14ac:dyDescent="0.25">
      <c r="E30" s="236">
        <f t="shared" si="5"/>
        <v>0</v>
      </c>
      <c r="F30" s="236">
        <f t="shared" si="0"/>
        <v>0</v>
      </c>
      <c r="G30" s="236">
        <f t="shared" si="1"/>
        <v>0</v>
      </c>
      <c r="H30" s="236">
        <f t="shared" si="2"/>
        <v>0</v>
      </c>
      <c r="I30" s="236">
        <f t="shared" si="3"/>
        <v>0</v>
      </c>
      <c r="J30" s="236">
        <f t="shared" si="4"/>
        <v>0</v>
      </c>
      <c r="K30" s="217"/>
      <c r="P30" s="236">
        <f t="shared" si="16"/>
        <v>0</v>
      </c>
      <c r="Q30" s="236">
        <f t="shared" si="6"/>
        <v>0</v>
      </c>
      <c r="R30" s="236">
        <f t="shared" si="7"/>
        <v>0</v>
      </c>
      <c r="S30" s="236">
        <f t="shared" si="8"/>
        <v>0</v>
      </c>
      <c r="T30" s="236">
        <f t="shared" si="9"/>
        <v>0</v>
      </c>
      <c r="U30" s="236">
        <f t="shared" si="10"/>
        <v>0</v>
      </c>
      <c r="AA30" s="236">
        <f t="shared" si="17"/>
        <v>0</v>
      </c>
      <c r="AB30" s="236">
        <f t="shared" si="11"/>
        <v>0</v>
      </c>
      <c r="AC30" s="236">
        <f t="shared" si="12"/>
        <v>0</v>
      </c>
      <c r="AD30" s="236">
        <f t="shared" si="13"/>
        <v>0</v>
      </c>
      <c r="AE30" s="236">
        <f t="shared" si="14"/>
        <v>0</v>
      </c>
      <c r="AF30" s="236">
        <f t="shared" si="15"/>
        <v>0</v>
      </c>
    </row>
    <row r="31" spans="5:32" x14ac:dyDescent="0.25">
      <c r="E31" s="236">
        <f t="shared" si="5"/>
        <v>0</v>
      </c>
      <c r="F31" s="236">
        <f t="shared" si="0"/>
        <v>0</v>
      </c>
      <c r="G31" s="236">
        <f t="shared" si="1"/>
        <v>0</v>
      </c>
      <c r="H31" s="236">
        <f t="shared" si="2"/>
        <v>0</v>
      </c>
      <c r="I31" s="236">
        <f t="shared" si="3"/>
        <v>0</v>
      </c>
      <c r="J31" s="236">
        <f t="shared" si="4"/>
        <v>0</v>
      </c>
      <c r="K31" s="217"/>
      <c r="P31" s="236">
        <f t="shared" si="16"/>
        <v>0</v>
      </c>
      <c r="Q31" s="236">
        <f t="shared" si="6"/>
        <v>0</v>
      </c>
      <c r="R31" s="236">
        <f t="shared" si="7"/>
        <v>0</v>
      </c>
      <c r="S31" s="236">
        <f t="shared" si="8"/>
        <v>0</v>
      </c>
      <c r="T31" s="236">
        <f t="shared" si="9"/>
        <v>0</v>
      </c>
      <c r="U31" s="236">
        <f t="shared" si="10"/>
        <v>0</v>
      </c>
      <c r="AA31" s="236">
        <f t="shared" si="17"/>
        <v>0</v>
      </c>
      <c r="AB31" s="236">
        <f t="shared" si="11"/>
        <v>0</v>
      </c>
      <c r="AC31" s="236">
        <f t="shared" si="12"/>
        <v>0</v>
      </c>
      <c r="AD31" s="236">
        <f t="shared" si="13"/>
        <v>0</v>
      </c>
      <c r="AE31" s="236">
        <f t="shared" si="14"/>
        <v>0</v>
      </c>
      <c r="AF31" s="236">
        <f t="shared" si="15"/>
        <v>0</v>
      </c>
    </row>
    <row r="32" spans="5:32" x14ac:dyDescent="0.25">
      <c r="E32" s="236">
        <f t="shared" si="5"/>
        <v>0</v>
      </c>
      <c r="F32" s="236">
        <f t="shared" si="0"/>
        <v>0</v>
      </c>
      <c r="G32" s="236">
        <f t="shared" si="1"/>
        <v>0</v>
      </c>
      <c r="H32" s="236">
        <f t="shared" si="2"/>
        <v>0</v>
      </c>
      <c r="I32" s="236">
        <f t="shared" si="3"/>
        <v>0</v>
      </c>
      <c r="J32" s="236">
        <f t="shared" si="4"/>
        <v>0</v>
      </c>
      <c r="K32" s="217"/>
      <c r="P32" s="236">
        <f t="shared" si="16"/>
        <v>0</v>
      </c>
      <c r="Q32" s="236">
        <f t="shared" si="6"/>
        <v>0</v>
      </c>
      <c r="R32" s="236">
        <f t="shared" si="7"/>
        <v>0</v>
      </c>
      <c r="S32" s="236">
        <f t="shared" si="8"/>
        <v>0</v>
      </c>
      <c r="T32" s="236">
        <f t="shared" si="9"/>
        <v>0</v>
      </c>
      <c r="U32" s="236">
        <f t="shared" si="10"/>
        <v>0</v>
      </c>
      <c r="AA32" s="236">
        <f t="shared" si="17"/>
        <v>0</v>
      </c>
      <c r="AB32" s="236">
        <f t="shared" si="11"/>
        <v>0</v>
      </c>
      <c r="AC32" s="236">
        <f t="shared" si="12"/>
        <v>0</v>
      </c>
      <c r="AD32" s="236">
        <f t="shared" si="13"/>
        <v>0</v>
      </c>
      <c r="AE32" s="236">
        <f t="shared" si="14"/>
        <v>0</v>
      </c>
      <c r="AF32" s="236">
        <f t="shared" si="15"/>
        <v>0</v>
      </c>
    </row>
    <row r="33" spans="5:32" x14ac:dyDescent="0.25">
      <c r="E33" s="236">
        <f t="shared" si="5"/>
        <v>0</v>
      </c>
      <c r="F33" s="236">
        <f t="shared" si="0"/>
        <v>0</v>
      </c>
      <c r="G33" s="236">
        <f t="shared" si="1"/>
        <v>0</v>
      </c>
      <c r="H33" s="236">
        <f t="shared" si="2"/>
        <v>0</v>
      </c>
      <c r="I33" s="236">
        <f t="shared" si="3"/>
        <v>0</v>
      </c>
      <c r="J33" s="236">
        <f t="shared" si="4"/>
        <v>0</v>
      </c>
      <c r="K33" s="217"/>
      <c r="P33" s="236">
        <f t="shared" si="16"/>
        <v>0</v>
      </c>
      <c r="Q33" s="236">
        <f t="shared" si="6"/>
        <v>0</v>
      </c>
      <c r="R33" s="236">
        <f t="shared" si="7"/>
        <v>0</v>
      </c>
      <c r="S33" s="236">
        <f t="shared" si="8"/>
        <v>0</v>
      </c>
      <c r="T33" s="236">
        <f t="shared" si="9"/>
        <v>0</v>
      </c>
      <c r="U33" s="236">
        <f t="shared" si="10"/>
        <v>0</v>
      </c>
      <c r="AA33" s="236">
        <f t="shared" si="17"/>
        <v>0</v>
      </c>
      <c r="AB33" s="236">
        <f t="shared" si="11"/>
        <v>0</v>
      </c>
      <c r="AC33" s="236">
        <f t="shared" si="12"/>
        <v>0</v>
      </c>
      <c r="AD33" s="236">
        <f t="shared" si="13"/>
        <v>0</v>
      </c>
      <c r="AE33" s="236">
        <f t="shared" si="14"/>
        <v>0</v>
      </c>
      <c r="AF33" s="236">
        <f t="shared" si="15"/>
        <v>0</v>
      </c>
    </row>
    <row r="34" spans="5:32" x14ac:dyDescent="0.25">
      <c r="E34" s="236">
        <f t="shared" si="5"/>
        <v>0</v>
      </c>
      <c r="F34" s="236">
        <f t="shared" si="0"/>
        <v>0</v>
      </c>
      <c r="G34" s="236">
        <f t="shared" si="1"/>
        <v>0</v>
      </c>
      <c r="H34" s="236">
        <f t="shared" si="2"/>
        <v>0</v>
      </c>
      <c r="I34" s="236">
        <f t="shared" si="3"/>
        <v>0</v>
      </c>
      <c r="J34" s="236">
        <f t="shared" si="4"/>
        <v>0</v>
      </c>
      <c r="K34" s="217"/>
      <c r="P34" s="236">
        <f t="shared" si="16"/>
        <v>0</v>
      </c>
      <c r="Q34" s="236">
        <f t="shared" si="6"/>
        <v>0</v>
      </c>
      <c r="R34" s="236">
        <f t="shared" si="7"/>
        <v>0</v>
      </c>
      <c r="S34" s="236">
        <f t="shared" si="8"/>
        <v>0</v>
      </c>
      <c r="T34" s="236">
        <f t="shared" si="9"/>
        <v>0</v>
      </c>
      <c r="U34" s="236">
        <f t="shared" si="10"/>
        <v>0</v>
      </c>
      <c r="AA34" s="236">
        <f t="shared" si="17"/>
        <v>0</v>
      </c>
      <c r="AB34" s="236">
        <f t="shared" si="11"/>
        <v>0</v>
      </c>
      <c r="AC34" s="236">
        <f t="shared" si="12"/>
        <v>0</v>
      </c>
      <c r="AD34" s="236">
        <f t="shared" si="13"/>
        <v>0</v>
      </c>
      <c r="AE34" s="236">
        <f t="shared" si="14"/>
        <v>0</v>
      </c>
      <c r="AF34" s="236">
        <f t="shared" si="15"/>
        <v>0</v>
      </c>
    </row>
    <row r="35" spans="5:32" x14ac:dyDescent="0.25">
      <c r="E35" s="236">
        <f t="shared" si="5"/>
        <v>0</v>
      </c>
      <c r="F35" s="236">
        <f t="shared" si="0"/>
        <v>0</v>
      </c>
      <c r="G35" s="236">
        <f t="shared" si="1"/>
        <v>0</v>
      </c>
      <c r="H35" s="236">
        <f t="shared" si="2"/>
        <v>0</v>
      </c>
      <c r="I35" s="236">
        <f t="shared" si="3"/>
        <v>0</v>
      </c>
      <c r="J35" s="236">
        <f t="shared" si="4"/>
        <v>0</v>
      </c>
      <c r="K35" s="217"/>
      <c r="P35" s="236">
        <f t="shared" si="16"/>
        <v>0</v>
      </c>
      <c r="Q35" s="236">
        <f t="shared" si="6"/>
        <v>0</v>
      </c>
      <c r="R35" s="236">
        <f t="shared" si="7"/>
        <v>0</v>
      </c>
      <c r="S35" s="236">
        <f t="shared" si="8"/>
        <v>0</v>
      </c>
      <c r="T35" s="236">
        <f t="shared" si="9"/>
        <v>0</v>
      </c>
      <c r="U35" s="236">
        <f t="shared" si="10"/>
        <v>0</v>
      </c>
      <c r="AA35" s="236">
        <f t="shared" si="17"/>
        <v>0</v>
      </c>
      <c r="AB35" s="236">
        <f t="shared" si="11"/>
        <v>0</v>
      </c>
      <c r="AC35" s="236">
        <f t="shared" si="12"/>
        <v>0</v>
      </c>
      <c r="AD35" s="236">
        <f t="shared" si="13"/>
        <v>0</v>
      </c>
      <c r="AE35" s="236">
        <f t="shared" si="14"/>
        <v>0</v>
      </c>
      <c r="AF35" s="236">
        <f t="shared" si="15"/>
        <v>0</v>
      </c>
    </row>
    <row r="36" spans="5:32" x14ac:dyDescent="0.25">
      <c r="E36" s="236">
        <f t="shared" si="5"/>
        <v>0</v>
      </c>
      <c r="F36" s="236">
        <f t="shared" si="0"/>
        <v>0</v>
      </c>
      <c r="G36" s="236">
        <f t="shared" si="1"/>
        <v>0</v>
      </c>
      <c r="H36" s="236">
        <f t="shared" si="2"/>
        <v>0</v>
      </c>
      <c r="I36" s="236">
        <f t="shared" si="3"/>
        <v>0</v>
      </c>
      <c r="J36" s="236">
        <f t="shared" si="4"/>
        <v>0</v>
      </c>
      <c r="K36" s="217"/>
      <c r="P36" s="236">
        <f t="shared" si="16"/>
        <v>0</v>
      </c>
      <c r="Q36" s="236">
        <f t="shared" si="6"/>
        <v>0</v>
      </c>
      <c r="R36" s="236">
        <f t="shared" si="7"/>
        <v>0</v>
      </c>
      <c r="S36" s="236">
        <f t="shared" si="8"/>
        <v>0</v>
      </c>
      <c r="T36" s="236">
        <f t="shared" si="9"/>
        <v>0</v>
      </c>
      <c r="U36" s="236">
        <f t="shared" si="10"/>
        <v>0</v>
      </c>
      <c r="AA36" s="236">
        <f t="shared" si="17"/>
        <v>0</v>
      </c>
      <c r="AB36" s="236">
        <f t="shared" si="11"/>
        <v>0</v>
      </c>
      <c r="AC36" s="236">
        <f t="shared" si="12"/>
        <v>0</v>
      </c>
      <c r="AD36" s="236">
        <f t="shared" si="13"/>
        <v>0</v>
      </c>
      <c r="AE36" s="236">
        <f t="shared" si="14"/>
        <v>0</v>
      </c>
      <c r="AF36" s="236">
        <f t="shared" si="15"/>
        <v>0</v>
      </c>
    </row>
    <row r="37" spans="5:32" x14ac:dyDescent="0.25">
      <c r="E37" s="236">
        <f t="shared" si="5"/>
        <v>0</v>
      </c>
      <c r="F37" s="236">
        <f t="shared" ref="F37:F67" si="18">IF(A37=E37,B37,0)</f>
        <v>0</v>
      </c>
      <c r="G37" s="236">
        <f t="shared" ref="G37:G67" si="19">IF(A37=E37,C37,0)</f>
        <v>0</v>
      </c>
      <c r="H37" s="236">
        <f t="shared" ref="H37:H67" si="20">IF(A37=E37,0,A37)</f>
        <v>0</v>
      </c>
      <c r="I37" s="236">
        <f t="shared" ref="I37:I67" si="21">IF(H37=A37,B37,0)</f>
        <v>0</v>
      </c>
      <c r="J37" s="236">
        <f t="shared" ref="J37:J67" si="22">IF(H37=A37,C37,0)</f>
        <v>0</v>
      </c>
      <c r="K37" s="217"/>
      <c r="P37" s="236">
        <f t="shared" si="16"/>
        <v>0</v>
      </c>
      <c r="Q37" s="236">
        <f t="shared" si="6"/>
        <v>0</v>
      </c>
      <c r="R37" s="236">
        <f t="shared" si="7"/>
        <v>0</v>
      </c>
      <c r="S37" s="236">
        <f t="shared" si="8"/>
        <v>0</v>
      </c>
      <c r="T37" s="236">
        <f t="shared" si="9"/>
        <v>0</v>
      </c>
      <c r="U37" s="236">
        <f t="shared" si="10"/>
        <v>0</v>
      </c>
      <c r="AA37" s="236">
        <f t="shared" si="17"/>
        <v>0</v>
      </c>
      <c r="AB37" s="236">
        <f t="shared" si="11"/>
        <v>0</v>
      </c>
      <c r="AC37" s="236">
        <f t="shared" si="12"/>
        <v>0</v>
      </c>
      <c r="AD37" s="236">
        <f t="shared" si="13"/>
        <v>0</v>
      </c>
      <c r="AE37" s="236">
        <f t="shared" si="14"/>
        <v>0</v>
      </c>
      <c r="AF37" s="236">
        <f t="shared" si="15"/>
        <v>0</v>
      </c>
    </row>
    <row r="38" spans="5:32" x14ac:dyDescent="0.25">
      <c r="E38" s="236">
        <f t="shared" ref="E38:E67" si="23">IF(E37=A38,0,A38)</f>
        <v>0</v>
      </c>
      <c r="F38" s="236">
        <f t="shared" si="18"/>
        <v>0</v>
      </c>
      <c r="G38" s="236">
        <f t="shared" si="19"/>
        <v>0</v>
      </c>
      <c r="H38" s="236">
        <f t="shared" si="20"/>
        <v>0</v>
      </c>
      <c r="I38" s="236">
        <f t="shared" si="21"/>
        <v>0</v>
      </c>
      <c r="J38" s="236">
        <f t="shared" si="22"/>
        <v>0</v>
      </c>
      <c r="K38" s="217"/>
      <c r="P38" s="236">
        <f t="shared" si="16"/>
        <v>0</v>
      </c>
      <c r="Q38" s="236">
        <f t="shared" si="6"/>
        <v>0</v>
      </c>
      <c r="R38" s="236">
        <f t="shared" si="7"/>
        <v>0</v>
      </c>
      <c r="S38" s="236">
        <f t="shared" si="8"/>
        <v>0</v>
      </c>
      <c r="T38" s="236">
        <f t="shared" si="9"/>
        <v>0</v>
      </c>
      <c r="U38" s="236">
        <f t="shared" si="10"/>
        <v>0</v>
      </c>
      <c r="AA38" s="236">
        <f t="shared" si="17"/>
        <v>0</v>
      </c>
      <c r="AB38" s="236">
        <f t="shared" si="11"/>
        <v>0</v>
      </c>
      <c r="AC38" s="236">
        <f t="shared" si="12"/>
        <v>0</v>
      </c>
      <c r="AD38" s="236">
        <f t="shared" si="13"/>
        <v>0</v>
      </c>
      <c r="AE38" s="236">
        <f t="shared" si="14"/>
        <v>0</v>
      </c>
      <c r="AF38" s="236">
        <f t="shared" si="15"/>
        <v>0</v>
      </c>
    </row>
    <row r="39" spans="5:32" x14ac:dyDescent="0.25">
      <c r="E39" s="236">
        <f t="shared" si="23"/>
        <v>0</v>
      </c>
      <c r="F39" s="236">
        <f t="shared" si="18"/>
        <v>0</v>
      </c>
      <c r="G39" s="236">
        <f t="shared" si="19"/>
        <v>0</v>
      </c>
      <c r="H39" s="236">
        <f t="shared" si="20"/>
        <v>0</v>
      </c>
      <c r="I39" s="236">
        <f t="shared" si="21"/>
        <v>0</v>
      </c>
      <c r="J39" s="236">
        <f t="shared" si="22"/>
        <v>0</v>
      </c>
      <c r="K39" s="217"/>
      <c r="P39" s="236">
        <f t="shared" si="16"/>
        <v>0</v>
      </c>
      <c r="Q39" s="236">
        <f t="shared" si="6"/>
        <v>0</v>
      </c>
      <c r="R39" s="236">
        <f t="shared" si="7"/>
        <v>0</v>
      </c>
      <c r="S39" s="236">
        <f t="shared" si="8"/>
        <v>0</v>
      </c>
      <c r="T39" s="236">
        <f t="shared" si="9"/>
        <v>0</v>
      </c>
      <c r="U39" s="236">
        <f t="shared" si="10"/>
        <v>0</v>
      </c>
      <c r="AA39" s="236">
        <f t="shared" si="17"/>
        <v>0</v>
      </c>
      <c r="AB39" s="236">
        <f t="shared" si="11"/>
        <v>0</v>
      </c>
      <c r="AC39" s="236">
        <f t="shared" si="12"/>
        <v>0</v>
      </c>
      <c r="AD39" s="236">
        <f t="shared" si="13"/>
        <v>0</v>
      </c>
      <c r="AE39" s="236">
        <f t="shared" si="14"/>
        <v>0</v>
      </c>
      <c r="AF39" s="236">
        <f t="shared" si="15"/>
        <v>0</v>
      </c>
    </row>
    <row r="40" spans="5:32" x14ac:dyDescent="0.25">
      <c r="E40" s="236">
        <f t="shared" si="23"/>
        <v>0</v>
      </c>
      <c r="F40" s="236">
        <f t="shared" si="18"/>
        <v>0</v>
      </c>
      <c r="G40" s="236">
        <f t="shared" si="19"/>
        <v>0</v>
      </c>
      <c r="H40" s="236">
        <f t="shared" si="20"/>
        <v>0</v>
      </c>
      <c r="I40" s="236">
        <f t="shared" si="21"/>
        <v>0</v>
      </c>
      <c r="J40" s="236">
        <f t="shared" si="22"/>
        <v>0</v>
      </c>
      <c r="K40" s="217"/>
      <c r="P40" s="236">
        <f t="shared" si="16"/>
        <v>0</v>
      </c>
      <c r="Q40" s="236">
        <f t="shared" si="6"/>
        <v>0</v>
      </c>
      <c r="R40" s="236">
        <f t="shared" si="7"/>
        <v>0</v>
      </c>
      <c r="S40" s="236">
        <f t="shared" si="8"/>
        <v>0</v>
      </c>
      <c r="T40" s="236">
        <f t="shared" si="9"/>
        <v>0</v>
      </c>
      <c r="U40" s="236">
        <f t="shared" si="10"/>
        <v>0</v>
      </c>
      <c r="AA40" s="236">
        <f t="shared" si="17"/>
        <v>0</v>
      </c>
      <c r="AB40" s="236">
        <f t="shared" si="11"/>
        <v>0</v>
      </c>
      <c r="AC40" s="236">
        <f t="shared" si="12"/>
        <v>0</v>
      </c>
      <c r="AD40" s="236">
        <f t="shared" si="13"/>
        <v>0</v>
      </c>
      <c r="AE40" s="236">
        <f t="shared" si="14"/>
        <v>0</v>
      </c>
      <c r="AF40" s="236">
        <f t="shared" si="15"/>
        <v>0</v>
      </c>
    </row>
    <row r="41" spans="5:32" x14ac:dyDescent="0.25">
      <c r="E41" s="236">
        <f t="shared" si="23"/>
        <v>0</v>
      </c>
      <c r="F41" s="236">
        <f t="shared" si="18"/>
        <v>0</v>
      </c>
      <c r="G41" s="236">
        <f t="shared" si="19"/>
        <v>0</v>
      </c>
      <c r="H41" s="236">
        <f t="shared" si="20"/>
        <v>0</v>
      </c>
      <c r="I41" s="236">
        <f t="shared" si="21"/>
        <v>0</v>
      </c>
      <c r="J41" s="236">
        <f t="shared" si="22"/>
        <v>0</v>
      </c>
      <c r="K41" s="217"/>
      <c r="P41" s="236">
        <f t="shared" si="16"/>
        <v>0</v>
      </c>
      <c r="Q41" s="236">
        <f t="shared" si="6"/>
        <v>0</v>
      </c>
      <c r="R41" s="236">
        <f t="shared" si="7"/>
        <v>0</v>
      </c>
      <c r="S41" s="236">
        <f t="shared" si="8"/>
        <v>0</v>
      </c>
      <c r="T41" s="236">
        <f t="shared" si="9"/>
        <v>0</v>
      </c>
      <c r="U41" s="236">
        <f t="shared" si="10"/>
        <v>0</v>
      </c>
      <c r="AA41" s="236">
        <f t="shared" si="17"/>
        <v>0</v>
      </c>
      <c r="AB41" s="236">
        <f t="shared" si="11"/>
        <v>0</v>
      </c>
      <c r="AC41" s="236">
        <f t="shared" si="12"/>
        <v>0</v>
      </c>
      <c r="AD41" s="236">
        <f t="shared" si="13"/>
        <v>0</v>
      </c>
      <c r="AE41" s="236">
        <f t="shared" si="14"/>
        <v>0</v>
      </c>
      <c r="AF41" s="236">
        <f t="shared" si="15"/>
        <v>0</v>
      </c>
    </row>
    <row r="42" spans="5:32" x14ac:dyDescent="0.25">
      <c r="E42" s="236">
        <f t="shared" si="23"/>
        <v>0</v>
      </c>
      <c r="F42" s="236">
        <f t="shared" si="18"/>
        <v>0</v>
      </c>
      <c r="G42" s="236">
        <f t="shared" si="19"/>
        <v>0</v>
      </c>
      <c r="H42" s="236">
        <f t="shared" si="20"/>
        <v>0</v>
      </c>
      <c r="I42" s="236">
        <f t="shared" si="21"/>
        <v>0</v>
      </c>
      <c r="J42" s="236">
        <f t="shared" si="22"/>
        <v>0</v>
      </c>
      <c r="K42" s="217"/>
      <c r="P42" s="236">
        <f t="shared" si="16"/>
        <v>0</v>
      </c>
      <c r="Q42" s="236">
        <f t="shared" si="6"/>
        <v>0</v>
      </c>
      <c r="R42" s="236">
        <f t="shared" si="7"/>
        <v>0</v>
      </c>
      <c r="S42" s="236">
        <f t="shared" si="8"/>
        <v>0</v>
      </c>
      <c r="T42" s="236">
        <f t="shared" si="9"/>
        <v>0</v>
      </c>
      <c r="U42" s="236">
        <f t="shared" si="10"/>
        <v>0</v>
      </c>
      <c r="AA42" s="236">
        <f t="shared" si="17"/>
        <v>0</v>
      </c>
      <c r="AB42" s="236">
        <f t="shared" si="11"/>
        <v>0</v>
      </c>
      <c r="AC42" s="236">
        <f t="shared" si="12"/>
        <v>0</v>
      </c>
      <c r="AD42" s="236">
        <f t="shared" si="13"/>
        <v>0</v>
      </c>
      <c r="AE42" s="236">
        <f t="shared" si="14"/>
        <v>0</v>
      </c>
      <c r="AF42" s="236">
        <f t="shared" si="15"/>
        <v>0</v>
      </c>
    </row>
    <row r="43" spans="5:32" x14ac:dyDescent="0.25">
      <c r="E43" s="236">
        <f t="shared" si="23"/>
        <v>0</v>
      </c>
      <c r="F43" s="236">
        <f t="shared" si="18"/>
        <v>0</v>
      </c>
      <c r="G43" s="236">
        <f t="shared" si="19"/>
        <v>0</v>
      </c>
      <c r="H43" s="236">
        <f t="shared" si="20"/>
        <v>0</v>
      </c>
      <c r="I43" s="236">
        <f t="shared" si="21"/>
        <v>0</v>
      </c>
      <c r="J43" s="236">
        <f t="shared" si="22"/>
        <v>0</v>
      </c>
      <c r="K43" s="217"/>
      <c r="P43" s="236">
        <f t="shared" si="16"/>
        <v>0</v>
      </c>
      <c r="Q43" s="236">
        <f t="shared" si="6"/>
        <v>0</v>
      </c>
      <c r="R43" s="236">
        <f t="shared" si="7"/>
        <v>0</v>
      </c>
      <c r="S43" s="236">
        <f t="shared" si="8"/>
        <v>0</v>
      </c>
      <c r="T43" s="236">
        <f t="shared" si="9"/>
        <v>0</v>
      </c>
      <c r="U43" s="236">
        <f t="shared" si="10"/>
        <v>0</v>
      </c>
      <c r="AA43" s="236">
        <f t="shared" si="17"/>
        <v>0</v>
      </c>
      <c r="AB43" s="236">
        <f t="shared" si="11"/>
        <v>0</v>
      </c>
      <c r="AC43" s="236">
        <f t="shared" si="12"/>
        <v>0</v>
      </c>
      <c r="AD43" s="236">
        <f t="shared" si="13"/>
        <v>0</v>
      </c>
      <c r="AE43" s="236">
        <f t="shared" si="14"/>
        <v>0</v>
      </c>
      <c r="AF43" s="236">
        <f t="shared" si="15"/>
        <v>0</v>
      </c>
    </row>
    <row r="44" spans="5:32" x14ac:dyDescent="0.25">
      <c r="E44" s="236">
        <f t="shared" si="23"/>
        <v>0</v>
      </c>
      <c r="F44" s="236">
        <f t="shared" si="18"/>
        <v>0</v>
      </c>
      <c r="G44" s="236">
        <f t="shared" si="19"/>
        <v>0</v>
      </c>
      <c r="H44" s="236">
        <f t="shared" si="20"/>
        <v>0</v>
      </c>
      <c r="I44" s="236">
        <f t="shared" si="21"/>
        <v>0</v>
      </c>
      <c r="J44" s="236">
        <f t="shared" si="22"/>
        <v>0</v>
      </c>
      <c r="K44" s="217"/>
      <c r="P44" s="236">
        <f t="shared" si="16"/>
        <v>0</v>
      </c>
      <c r="Q44" s="236">
        <f t="shared" si="6"/>
        <v>0</v>
      </c>
      <c r="R44" s="236">
        <f t="shared" si="7"/>
        <v>0</v>
      </c>
      <c r="S44" s="236">
        <f t="shared" si="8"/>
        <v>0</v>
      </c>
      <c r="T44" s="236">
        <f t="shared" si="9"/>
        <v>0</v>
      </c>
      <c r="U44" s="236">
        <f t="shared" si="10"/>
        <v>0</v>
      </c>
      <c r="AA44" s="236">
        <f t="shared" si="17"/>
        <v>0</v>
      </c>
      <c r="AB44" s="236">
        <f t="shared" si="11"/>
        <v>0</v>
      </c>
      <c r="AC44" s="236">
        <f t="shared" si="12"/>
        <v>0</v>
      </c>
      <c r="AD44" s="236">
        <f t="shared" si="13"/>
        <v>0</v>
      </c>
      <c r="AE44" s="236">
        <f t="shared" si="14"/>
        <v>0</v>
      </c>
      <c r="AF44" s="236">
        <f t="shared" si="15"/>
        <v>0</v>
      </c>
    </row>
    <row r="45" spans="5:32" x14ac:dyDescent="0.25">
      <c r="E45" s="236">
        <f t="shared" si="23"/>
        <v>0</v>
      </c>
      <c r="F45" s="236">
        <f t="shared" si="18"/>
        <v>0</v>
      </c>
      <c r="G45" s="236">
        <f t="shared" si="19"/>
        <v>0</v>
      </c>
      <c r="H45" s="236">
        <f t="shared" si="20"/>
        <v>0</v>
      </c>
      <c r="I45" s="236">
        <f t="shared" si="21"/>
        <v>0</v>
      </c>
      <c r="J45" s="236">
        <f t="shared" si="22"/>
        <v>0</v>
      </c>
      <c r="K45" s="217"/>
      <c r="P45" s="236">
        <f t="shared" si="16"/>
        <v>0</v>
      </c>
      <c r="Q45" s="236">
        <f t="shared" si="6"/>
        <v>0</v>
      </c>
      <c r="R45" s="236">
        <f t="shared" si="7"/>
        <v>0</v>
      </c>
      <c r="S45" s="236">
        <f t="shared" si="8"/>
        <v>0</v>
      </c>
      <c r="T45" s="236">
        <f t="shared" si="9"/>
        <v>0</v>
      </c>
      <c r="U45" s="236">
        <f t="shared" si="10"/>
        <v>0</v>
      </c>
      <c r="AA45" s="236">
        <f t="shared" si="17"/>
        <v>0</v>
      </c>
      <c r="AB45" s="236">
        <f t="shared" si="11"/>
        <v>0</v>
      </c>
      <c r="AC45" s="236">
        <f t="shared" si="12"/>
        <v>0</v>
      </c>
      <c r="AD45" s="236">
        <f t="shared" si="13"/>
        <v>0</v>
      </c>
      <c r="AE45" s="236">
        <f t="shared" si="14"/>
        <v>0</v>
      </c>
      <c r="AF45" s="236">
        <f t="shared" si="15"/>
        <v>0</v>
      </c>
    </row>
    <row r="46" spans="5:32" x14ac:dyDescent="0.25">
      <c r="E46" s="236">
        <f t="shared" si="23"/>
        <v>0</v>
      </c>
      <c r="F46" s="236">
        <f t="shared" si="18"/>
        <v>0</v>
      </c>
      <c r="G46" s="236">
        <f t="shared" si="19"/>
        <v>0</v>
      </c>
      <c r="H46" s="236">
        <f t="shared" si="20"/>
        <v>0</v>
      </c>
      <c r="I46" s="236">
        <f t="shared" si="21"/>
        <v>0</v>
      </c>
      <c r="J46" s="236">
        <f t="shared" si="22"/>
        <v>0</v>
      </c>
      <c r="K46" s="217"/>
      <c r="P46" s="236">
        <f>IF(P45=L46,0,L46)</f>
        <v>0</v>
      </c>
      <c r="Q46" s="236">
        <f t="shared" si="6"/>
        <v>0</v>
      </c>
      <c r="R46" s="236">
        <f t="shared" si="7"/>
        <v>0</v>
      </c>
      <c r="S46" s="236">
        <f t="shared" si="8"/>
        <v>0</v>
      </c>
      <c r="T46" s="236">
        <f t="shared" si="9"/>
        <v>0</v>
      </c>
      <c r="U46" s="236">
        <f t="shared" si="10"/>
        <v>0</v>
      </c>
      <c r="AA46" s="236">
        <f>IF(AA45=W46,0,W46)</f>
        <v>0</v>
      </c>
      <c r="AB46" s="236">
        <f t="shared" si="11"/>
        <v>0</v>
      </c>
      <c r="AC46" s="236">
        <f t="shared" si="12"/>
        <v>0</v>
      </c>
      <c r="AD46" s="236">
        <f t="shared" si="13"/>
        <v>0</v>
      </c>
      <c r="AE46" s="236">
        <f t="shared" si="14"/>
        <v>0</v>
      </c>
      <c r="AF46" s="236">
        <f t="shared" si="15"/>
        <v>0</v>
      </c>
    </row>
    <row r="47" spans="5:32" x14ac:dyDescent="0.25">
      <c r="E47" s="236">
        <f t="shared" si="23"/>
        <v>0</v>
      </c>
      <c r="F47" s="236">
        <f t="shared" si="18"/>
        <v>0</v>
      </c>
      <c r="G47" s="236">
        <f t="shared" si="19"/>
        <v>0</v>
      </c>
      <c r="H47" s="236">
        <f t="shared" si="20"/>
        <v>0</v>
      </c>
      <c r="I47" s="236">
        <f t="shared" si="21"/>
        <v>0</v>
      </c>
      <c r="J47" s="236">
        <f t="shared" si="22"/>
        <v>0</v>
      </c>
      <c r="K47" s="217"/>
      <c r="P47" s="236">
        <f t="shared" ref="P47:P67" si="24">IF(P46=L47,0,L47)</f>
        <v>0</v>
      </c>
      <c r="Q47" s="236">
        <f t="shared" si="6"/>
        <v>0</v>
      </c>
      <c r="R47" s="236">
        <f t="shared" si="7"/>
        <v>0</v>
      </c>
      <c r="S47" s="236">
        <f t="shared" si="8"/>
        <v>0</v>
      </c>
      <c r="T47" s="236">
        <f t="shared" si="9"/>
        <v>0</v>
      </c>
      <c r="U47" s="236">
        <f t="shared" si="10"/>
        <v>0</v>
      </c>
      <c r="AA47" s="236">
        <f t="shared" ref="AA47:AA67" si="25">IF(AA46=W47,0,W47)</f>
        <v>0</v>
      </c>
      <c r="AB47" s="236">
        <f t="shared" si="11"/>
        <v>0</v>
      </c>
      <c r="AC47" s="236">
        <f t="shared" si="12"/>
        <v>0</v>
      </c>
      <c r="AD47" s="236">
        <f t="shared" si="13"/>
        <v>0</v>
      </c>
      <c r="AE47" s="236">
        <f t="shared" si="14"/>
        <v>0</v>
      </c>
      <c r="AF47" s="236">
        <f t="shared" si="15"/>
        <v>0</v>
      </c>
    </row>
    <row r="48" spans="5:32" x14ac:dyDescent="0.25">
      <c r="E48" s="236">
        <f t="shared" si="23"/>
        <v>0</v>
      </c>
      <c r="F48" s="236">
        <f t="shared" si="18"/>
        <v>0</v>
      </c>
      <c r="G48" s="236">
        <f t="shared" si="19"/>
        <v>0</v>
      </c>
      <c r="H48" s="236">
        <f t="shared" si="20"/>
        <v>0</v>
      </c>
      <c r="I48" s="236">
        <f t="shared" si="21"/>
        <v>0</v>
      </c>
      <c r="J48" s="236">
        <f t="shared" si="22"/>
        <v>0</v>
      </c>
      <c r="K48" s="217"/>
      <c r="P48" s="236">
        <f t="shared" si="24"/>
        <v>0</v>
      </c>
      <c r="Q48" s="236">
        <f t="shared" si="6"/>
        <v>0</v>
      </c>
      <c r="R48" s="236">
        <f t="shared" si="7"/>
        <v>0</v>
      </c>
      <c r="S48" s="236">
        <f t="shared" si="8"/>
        <v>0</v>
      </c>
      <c r="T48" s="236">
        <f t="shared" si="9"/>
        <v>0</v>
      </c>
      <c r="U48" s="236">
        <f t="shared" si="10"/>
        <v>0</v>
      </c>
      <c r="AA48" s="236">
        <f t="shared" si="25"/>
        <v>0</v>
      </c>
      <c r="AB48" s="236">
        <f t="shared" si="11"/>
        <v>0</v>
      </c>
      <c r="AC48" s="236">
        <f t="shared" si="12"/>
        <v>0</v>
      </c>
      <c r="AD48" s="236">
        <f t="shared" si="13"/>
        <v>0</v>
      </c>
      <c r="AE48" s="236">
        <f t="shared" si="14"/>
        <v>0</v>
      </c>
      <c r="AF48" s="236">
        <f t="shared" si="15"/>
        <v>0</v>
      </c>
    </row>
    <row r="49" spans="5:32" x14ac:dyDescent="0.25">
      <c r="E49" s="236">
        <f t="shared" si="23"/>
        <v>0</v>
      </c>
      <c r="F49" s="236">
        <f t="shared" si="18"/>
        <v>0</v>
      </c>
      <c r="G49" s="236">
        <f t="shared" si="19"/>
        <v>0</v>
      </c>
      <c r="H49" s="236">
        <f t="shared" si="20"/>
        <v>0</v>
      </c>
      <c r="I49" s="236">
        <f t="shared" si="21"/>
        <v>0</v>
      </c>
      <c r="J49" s="236">
        <f t="shared" si="22"/>
        <v>0</v>
      </c>
      <c r="K49" s="217"/>
      <c r="P49" s="236">
        <f t="shared" si="24"/>
        <v>0</v>
      </c>
      <c r="Q49" s="236">
        <f t="shared" si="6"/>
        <v>0</v>
      </c>
      <c r="R49" s="236">
        <f t="shared" si="7"/>
        <v>0</v>
      </c>
      <c r="S49" s="236">
        <f t="shared" si="8"/>
        <v>0</v>
      </c>
      <c r="T49" s="236">
        <f t="shared" si="9"/>
        <v>0</v>
      </c>
      <c r="U49" s="236">
        <f t="shared" si="10"/>
        <v>0</v>
      </c>
      <c r="AA49" s="236">
        <f t="shared" si="25"/>
        <v>0</v>
      </c>
      <c r="AB49" s="236">
        <f t="shared" si="11"/>
        <v>0</v>
      </c>
      <c r="AC49" s="236">
        <f t="shared" si="12"/>
        <v>0</v>
      </c>
      <c r="AD49" s="236">
        <f t="shared" si="13"/>
        <v>0</v>
      </c>
      <c r="AE49" s="236">
        <f t="shared" si="14"/>
        <v>0</v>
      </c>
      <c r="AF49" s="236">
        <f t="shared" si="15"/>
        <v>0</v>
      </c>
    </row>
    <row r="50" spans="5:32" x14ac:dyDescent="0.25">
      <c r="E50" s="236">
        <f t="shared" si="23"/>
        <v>0</v>
      </c>
      <c r="F50" s="236">
        <f t="shared" si="18"/>
        <v>0</v>
      </c>
      <c r="G50" s="236">
        <f t="shared" si="19"/>
        <v>0</v>
      </c>
      <c r="H50" s="236">
        <f t="shared" si="20"/>
        <v>0</v>
      </c>
      <c r="I50" s="236">
        <f t="shared" si="21"/>
        <v>0</v>
      </c>
      <c r="J50" s="236">
        <f t="shared" si="22"/>
        <v>0</v>
      </c>
      <c r="K50" s="217"/>
      <c r="P50" s="236">
        <f t="shared" si="24"/>
        <v>0</v>
      </c>
      <c r="Q50" s="236">
        <f t="shared" si="6"/>
        <v>0</v>
      </c>
      <c r="R50" s="236">
        <f t="shared" si="7"/>
        <v>0</v>
      </c>
      <c r="S50" s="236">
        <f t="shared" si="8"/>
        <v>0</v>
      </c>
      <c r="T50" s="236">
        <f t="shared" si="9"/>
        <v>0</v>
      </c>
      <c r="U50" s="236">
        <f t="shared" si="10"/>
        <v>0</v>
      </c>
      <c r="AA50" s="236">
        <f t="shared" si="25"/>
        <v>0</v>
      </c>
      <c r="AB50" s="236">
        <f t="shared" si="11"/>
        <v>0</v>
      </c>
      <c r="AC50" s="236">
        <f t="shared" si="12"/>
        <v>0</v>
      </c>
      <c r="AD50" s="236">
        <f t="shared" si="13"/>
        <v>0</v>
      </c>
      <c r="AE50" s="236">
        <f t="shared" si="14"/>
        <v>0</v>
      </c>
      <c r="AF50" s="236">
        <f t="shared" si="15"/>
        <v>0</v>
      </c>
    </row>
    <row r="51" spans="5:32" x14ac:dyDescent="0.25">
      <c r="E51" s="236">
        <f t="shared" si="23"/>
        <v>0</v>
      </c>
      <c r="F51" s="236">
        <f t="shared" si="18"/>
        <v>0</v>
      </c>
      <c r="G51" s="236">
        <f t="shared" si="19"/>
        <v>0</v>
      </c>
      <c r="H51" s="236">
        <f t="shared" si="20"/>
        <v>0</v>
      </c>
      <c r="I51" s="236">
        <f t="shared" si="21"/>
        <v>0</v>
      </c>
      <c r="J51" s="236">
        <f t="shared" si="22"/>
        <v>0</v>
      </c>
      <c r="K51" s="217"/>
      <c r="P51" s="236">
        <f t="shared" si="24"/>
        <v>0</v>
      </c>
      <c r="Q51" s="236">
        <f t="shared" si="6"/>
        <v>0</v>
      </c>
      <c r="R51" s="236">
        <f t="shared" si="7"/>
        <v>0</v>
      </c>
      <c r="S51" s="236">
        <f t="shared" si="8"/>
        <v>0</v>
      </c>
      <c r="T51" s="236">
        <f t="shared" si="9"/>
        <v>0</v>
      </c>
      <c r="U51" s="236">
        <f t="shared" si="10"/>
        <v>0</v>
      </c>
      <c r="AA51" s="236">
        <f t="shared" si="25"/>
        <v>0</v>
      </c>
      <c r="AB51" s="236">
        <f t="shared" si="11"/>
        <v>0</v>
      </c>
      <c r="AC51" s="236">
        <f t="shared" si="12"/>
        <v>0</v>
      </c>
      <c r="AD51" s="236">
        <f t="shared" si="13"/>
        <v>0</v>
      </c>
      <c r="AE51" s="236">
        <f t="shared" si="14"/>
        <v>0</v>
      </c>
      <c r="AF51" s="236">
        <f t="shared" si="15"/>
        <v>0</v>
      </c>
    </row>
    <row r="52" spans="5:32" x14ac:dyDescent="0.25">
      <c r="E52" s="236">
        <f t="shared" si="23"/>
        <v>0</v>
      </c>
      <c r="F52" s="236">
        <f t="shared" si="18"/>
        <v>0</v>
      </c>
      <c r="G52" s="236">
        <f t="shared" si="19"/>
        <v>0</v>
      </c>
      <c r="H52" s="236">
        <f t="shared" si="20"/>
        <v>0</v>
      </c>
      <c r="I52" s="236">
        <f t="shared" si="21"/>
        <v>0</v>
      </c>
      <c r="J52" s="236">
        <f t="shared" si="22"/>
        <v>0</v>
      </c>
      <c r="K52" s="217"/>
      <c r="P52" s="236">
        <f t="shared" si="24"/>
        <v>0</v>
      </c>
      <c r="Q52" s="236">
        <f t="shared" si="6"/>
        <v>0</v>
      </c>
      <c r="R52" s="236">
        <f t="shared" si="7"/>
        <v>0</v>
      </c>
      <c r="S52" s="236">
        <f t="shared" si="8"/>
        <v>0</v>
      </c>
      <c r="T52" s="236">
        <f t="shared" si="9"/>
        <v>0</v>
      </c>
      <c r="U52" s="236">
        <f t="shared" si="10"/>
        <v>0</v>
      </c>
      <c r="AA52" s="236">
        <f t="shared" si="25"/>
        <v>0</v>
      </c>
      <c r="AB52" s="236">
        <f t="shared" si="11"/>
        <v>0</v>
      </c>
      <c r="AC52" s="236">
        <f t="shared" si="12"/>
        <v>0</v>
      </c>
      <c r="AD52" s="236">
        <f t="shared" si="13"/>
        <v>0</v>
      </c>
      <c r="AE52" s="236">
        <f t="shared" si="14"/>
        <v>0</v>
      </c>
      <c r="AF52" s="236">
        <f t="shared" si="15"/>
        <v>0</v>
      </c>
    </row>
    <row r="53" spans="5:32" x14ac:dyDescent="0.25">
      <c r="E53" s="236">
        <f t="shared" si="23"/>
        <v>0</v>
      </c>
      <c r="F53" s="236">
        <f t="shared" si="18"/>
        <v>0</v>
      </c>
      <c r="G53" s="236">
        <f t="shared" si="19"/>
        <v>0</v>
      </c>
      <c r="H53" s="236">
        <f t="shared" si="20"/>
        <v>0</v>
      </c>
      <c r="I53" s="236">
        <f t="shared" si="21"/>
        <v>0</v>
      </c>
      <c r="J53" s="236">
        <f t="shared" si="22"/>
        <v>0</v>
      </c>
      <c r="K53" s="217"/>
      <c r="P53" s="236">
        <f t="shared" si="24"/>
        <v>0</v>
      </c>
      <c r="Q53" s="236">
        <f t="shared" si="6"/>
        <v>0</v>
      </c>
      <c r="R53" s="236">
        <f t="shared" si="7"/>
        <v>0</v>
      </c>
      <c r="S53" s="236">
        <f t="shared" si="8"/>
        <v>0</v>
      </c>
      <c r="T53" s="236">
        <f t="shared" si="9"/>
        <v>0</v>
      </c>
      <c r="U53" s="236">
        <f t="shared" si="10"/>
        <v>0</v>
      </c>
      <c r="AA53" s="236">
        <f t="shared" si="25"/>
        <v>0</v>
      </c>
      <c r="AB53" s="236">
        <f t="shared" si="11"/>
        <v>0</v>
      </c>
      <c r="AC53" s="236">
        <f t="shared" si="12"/>
        <v>0</v>
      </c>
      <c r="AD53" s="236">
        <f t="shared" si="13"/>
        <v>0</v>
      </c>
      <c r="AE53" s="236">
        <f t="shared" si="14"/>
        <v>0</v>
      </c>
      <c r="AF53" s="236">
        <f t="shared" si="15"/>
        <v>0</v>
      </c>
    </row>
    <row r="54" spans="5:32" x14ac:dyDescent="0.25">
      <c r="E54" s="236">
        <f t="shared" si="23"/>
        <v>0</v>
      </c>
      <c r="F54" s="236">
        <f t="shared" si="18"/>
        <v>0</v>
      </c>
      <c r="G54" s="236">
        <f t="shared" si="19"/>
        <v>0</v>
      </c>
      <c r="H54" s="236">
        <f t="shared" si="20"/>
        <v>0</v>
      </c>
      <c r="I54" s="236">
        <f t="shared" si="21"/>
        <v>0</v>
      </c>
      <c r="J54" s="236">
        <f t="shared" si="22"/>
        <v>0</v>
      </c>
      <c r="K54" s="217"/>
      <c r="P54" s="236">
        <f t="shared" si="24"/>
        <v>0</v>
      </c>
      <c r="Q54" s="236">
        <f t="shared" si="6"/>
        <v>0</v>
      </c>
      <c r="R54" s="236">
        <f t="shared" si="7"/>
        <v>0</v>
      </c>
      <c r="S54" s="236">
        <f t="shared" si="8"/>
        <v>0</v>
      </c>
      <c r="T54" s="236">
        <f t="shared" si="9"/>
        <v>0</v>
      </c>
      <c r="U54" s="236">
        <f t="shared" si="10"/>
        <v>0</v>
      </c>
      <c r="AA54" s="236">
        <f t="shared" si="25"/>
        <v>0</v>
      </c>
      <c r="AB54" s="236">
        <f t="shared" si="11"/>
        <v>0</v>
      </c>
      <c r="AC54" s="236">
        <f t="shared" si="12"/>
        <v>0</v>
      </c>
      <c r="AD54" s="236">
        <f t="shared" si="13"/>
        <v>0</v>
      </c>
      <c r="AE54" s="236">
        <f t="shared" si="14"/>
        <v>0</v>
      </c>
      <c r="AF54" s="236">
        <f t="shared" si="15"/>
        <v>0</v>
      </c>
    </row>
    <row r="55" spans="5:32" x14ac:dyDescent="0.25">
      <c r="E55" s="236">
        <f t="shared" si="23"/>
        <v>0</v>
      </c>
      <c r="F55" s="236">
        <f t="shared" si="18"/>
        <v>0</v>
      </c>
      <c r="G55" s="236">
        <f t="shared" si="19"/>
        <v>0</v>
      </c>
      <c r="H55" s="236">
        <f t="shared" si="20"/>
        <v>0</v>
      </c>
      <c r="I55" s="236">
        <f t="shared" si="21"/>
        <v>0</v>
      </c>
      <c r="J55" s="236">
        <f t="shared" si="22"/>
        <v>0</v>
      </c>
      <c r="K55" s="217"/>
      <c r="P55" s="236">
        <f t="shared" si="24"/>
        <v>0</v>
      </c>
      <c r="Q55" s="236">
        <f t="shared" si="6"/>
        <v>0</v>
      </c>
      <c r="R55" s="236">
        <f t="shared" si="7"/>
        <v>0</v>
      </c>
      <c r="S55" s="236">
        <f t="shared" si="8"/>
        <v>0</v>
      </c>
      <c r="T55" s="236">
        <f t="shared" si="9"/>
        <v>0</v>
      </c>
      <c r="U55" s="236">
        <f t="shared" si="10"/>
        <v>0</v>
      </c>
      <c r="AA55" s="236">
        <f t="shared" si="25"/>
        <v>0</v>
      </c>
      <c r="AB55" s="236">
        <f t="shared" si="11"/>
        <v>0</v>
      </c>
      <c r="AC55" s="236">
        <f t="shared" si="12"/>
        <v>0</v>
      </c>
      <c r="AD55" s="236">
        <f t="shared" si="13"/>
        <v>0</v>
      </c>
      <c r="AE55" s="236">
        <f t="shared" si="14"/>
        <v>0</v>
      </c>
      <c r="AF55" s="236">
        <f t="shared" si="15"/>
        <v>0</v>
      </c>
    </row>
    <row r="56" spans="5:32" x14ac:dyDescent="0.25">
      <c r="E56" s="236">
        <f t="shared" si="23"/>
        <v>0</v>
      </c>
      <c r="F56" s="236">
        <f t="shared" si="18"/>
        <v>0</v>
      </c>
      <c r="G56" s="236">
        <f t="shared" si="19"/>
        <v>0</v>
      </c>
      <c r="H56" s="236">
        <f t="shared" si="20"/>
        <v>0</v>
      </c>
      <c r="I56" s="236">
        <f t="shared" si="21"/>
        <v>0</v>
      </c>
      <c r="J56" s="236">
        <f t="shared" si="22"/>
        <v>0</v>
      </c>
      <c r="K56" s="217"/>
      <c r="P56" s="236">
        <f t="shared" si="24"/>
        <v>0</v>
      </c>
      <c r="Q56" s="236">
        <f t="shared" si="6"/>
        <v>0</v>
      </c>
      <c r="R56" s="236">
        <f t="shared" si="7"/>
        <v>0</v>
      </c>
      <c r="S56" s="236">
        <f t="shared" si="8"/>
        <v>0</v>
      </c>
      <c r="T56" s="236">
        <f t="shared" si="9"/>
        <v>0</v>
      </c>
      <c r="U56" s="236">
        <f t="shared" si="10"/>
        <v>0</v>
      </c>
      <c r="AA56" s="236">
        <f t="shared" si="25"/>
        <v>0</v>
      </c>
      <c r="AB56" s="236">
        <f t="shared" si="11"/>
        <v>0</v>
      </c>
      <c r="AC56" s="236">
        <f t="shared" si="12"/>
        <v>0</v>
      </c>
      <c r="AD56" s="236">
        <f t="shared" si="13"/>
        <v>0</v>
      </c>
      <c r="AE56" s="236">
        <f t="shared" si="14"/>
        <v>0</v>
      </c>
      <c r="AF56" s="236">
        <f t="shared" si="15"/>
        <v>0</v>
      </c>
    </row>
    <row r="57" spans="5:32" x14ac:dyDescent="0.25">
      <c r="E57" s="236">
        <f t="shared" si="23"/>
        <v>0</v>
      </c>
      <c r="F57" s="236">
        <f t="shared" si="18"/>
        <v>0</v>
      </c>
      <c r="G57" s="236">
        <f t="shared" si="19"/>
        <v>0</v>
      </c>
      <c r="H57" s="236">
        <f t="shared" si="20"/>
        <v>0</v>
      </c>
      <c r="I57" s="236">
        <f t="shared" si="21"/>
        <v>0</v>
      </c>
      <c r="J57" s="236">
        <f t="shared" si="22"/>
        <v>0</v>
      </c>
      <c r="K57" s="217"/>
      <c r="P57" s="236">
        <f t="shared" si="24"/>
        <v>0</v>
      </c>
      <c r="Q57" s="236">
        <f t="shared" si="6"/>
        <v>0</v>
      </c>
      <c r="R57" s="236">
        <f t="shared" si="7"/>
        <v>0</v>
      </c>
      <c r="S57" s="236">
        <f t="shared" si="8"/>
        <v>0</v>
      </c>
      <c r="T57" s="236">
        <f t="shared" si="9"/>
        <v>0</v>
      </c>
      <c r="U57" s="236">
        <f t="shared" si="10"/>
        <v>0</v>
      </c>
      <c r="AA57" s="236">
        <f t="shared" si="25"/>
        <v>0</v>
      </c>
      <c r="AB57" s="236">
        <f t="shared" si="11"/>
        <v>0</v>
      </c>
      <c r="AC57" s="236">
        <f t="shared" si="12"/>
        <v>0</v>
      </c>
      <c r="AD57" s="236">
        <f t="shared" si="13"/>
        <v>0</v>
      </c>
      <c r="AE57" s="236">
        <f t="shared" si="14"/>
        <v>0</v>
      </c>
      <c r="AF57" s="236">
        <f t="shared" si="15"/>
        <v>0</v>
      </c>
    </row>
    <row r="58" spans="5:32" x14ac:dyDescent="0.25">
      <c r="E58" s="236">
        <f t="shared" si="23"/>
        <v>0</v>
      </c>
      <c r="F58" s="236">
        <f t="shared" si="18"/>
        <v>0</v>
      </c>
      <c r="G58" s="236">
        <f t="shared" si="19"/>
        <v>0</v>
      </c>
      <c r="H58" s="236">
        <f t="shared" si="20"/>
        <v>0</v>
      </c>
      <c r="I58" s="236">
        <f t="shared" si="21"/>
        <v>0</v>
      </c>
      <c r="J58" s="236">
        <f t="shared" si="22"/>
        <v>0</v>
      </c>
      <c r="K58" s="217"/>
      <c r="P58" s="236">
        <f t="shared" si="24"/>
        <v>0</v>
      </c>
      <c r="Q58" s="236">
        <f t="shared" si="6"/>
        <v>0</v>
      </c>
      <c r="R58" s="236">
        <f t="shared" si="7"/>
        <v>0</v>
      </c>
      <c r="S58" s="236">
        <f t="shared" si="8"/>
        <v>0</v>
      </c>
      <c r="T58" s="236">
        <f t="shared" si="9"/>
        <v>0</v>
      </c>
      <c r="U58" s="236">
        <f t="shared" si="10"/>
        <v>0</v>
      </c>
      <c r="AA58" s="236">
        <f t="shared" si="25"/>
        <v>0</v>
      </c>
      <c r="AB58" s="236">
        <f t="shared" si="11"/>
        <v>0</v>
      </c>
      <c r="AC58" s="236">
        <f t="shared" si="12"/>
        <v>0</v>
      </c>
      <c r="AD58" s="236">
        <f t="shared" si="13"/>
        <v>0</v>
      </c>
      <c r="AE58" s="236">
        <f t="shared" si="14"/>
        <v>0</v>
      </c>
      <c r="AF58" s="236">
        <f t="shared" si="15"/>
        <v>0</v>
      </c>
    </row>
    <row r="59" spans="5:32" x14ac:dyDescent="0.25">
      <c r="E59" s="236">
        <f t="shared" si="23"/>
        <v>0</v>
      </c>
      <c r="F59" s="236">
        <f t="shared" si="18"/>
        <v>0</v>
      </c>
      <c r="G59" s="236">
        <f t="shared" si="19"/>
        <v>0</v>
      </c>
      <c r="H59" s="236">
        <f t="shared" si="20"/>
        <v>0</v>
      </c>
      <c r="I59" s="236">
        <f t="shared" si="21"/>
        <v>0</v>
      </c>
      <c r="J59" s="236">
        <f t="shared" si="22"/>
        <v>0</v>
      </c>
      <c r="K59" s="217"/>
      <c r="P59" s="236">
        <f t="shared" si="24"/>
        <v>0</v>
      </c>
      <c r="Q59" s="236">
        <f t="shared" si="6"/>
        <v>0</v>
      </c>
      <c r="R59" s="236">
        <f t="shared" si="7"/>
        <v>0</v>
      </c>
      <c r="S59" s="236">
        <f t="shared" si="8"/>
        <v>0</v>
      </c>
      <c r="T59" s="236">
        <f t="shared" si="9"/>
        <v>0</v>
      </c>
      <c r="U59" s="236">
        <f t="shared" si="10"/>
        <v>0</v>
      </c>
      <c r="AA59" s="236">
        <f t="shared" si="25"/>
        <v>0</v>
      </c>
      <c r="AB59" s="236">
        <f t="shared" si="11"/>
        <v>0</v>
      </c>
      <c r="AC59" s="236">
        <f t="shared" si="12"/>
        <v>0</v>
      </c>
      <c r="AD59" s="236">
        <f t="shared" si="13"/>
        <v>0</v>
      </c>
      <c r="AE59" s="236">
        <f t="shared" si="14"/>
        <v>0</v>
      </c>
      <c r="AF59" s="236">
        <f t="shared" si="15"/>
        <v>0</v>
      </c>
    </row>
    <row r="60" spans="5:32" x14ac:dyDescent="0.25">
      <c r="E60" s="236">
        <f t="shared" si="23"/>
        <v>0</v>
      </c>
      <c r="F60" s="236">
        <f t="shared" si="18"/>
        <v>0</v>
      </c>
      <c r="G60" s="236">
        <f t="shared" si="19"/>
        <v>0</v>
      </c>
      <c r="H60" s="236">
        <f t="shared" si="20"/>
        <v>0</v>
      </c>
      <c r="I60" s="236">
        <f t="shared" si="21"/>
        <v>0</v>
      </c>
      <c r="J60" s="236">
        <f t="shared" si="22"/>
        <v>0</v>
      </c>
      <c r="K60" s="217"/>
      <c r="P60" s="236">
        <f t="shared" si="24"/>
        <v>0</v>
      </c>
      <c r="Q60" s="236">
        <f t="shared" si="6"/>
        <v>0</v>
      </c>
      <c r="R60" s="236">
        <f t="shared" si="7"/>
        <v>0</v>
      </c>
      <c r="S60" s="236">
        <f t="shared" si="8"/>
        <v>0</v>
      </c>
      <c r="T60" s="236">
        <f t="shared" si="9"/>
        <v>0</v>
      </c>
      <c r="U60" s="236">
        <f t="shared" si="10"/>
        <v>0</v>
      </c>
      <c r="AA60" s="236">
        <f t="shared" si="25"/>
        <v>0</v>
      </c>
      <c r="AB60" s="236">
        <f t="shared" si="11"/>
        <v>0</v>
      </c>
      <c r="AC60" s="236">
        <f t="shared" si="12"/>
        <v>0</v>
      </c>
      <c r="AD60" s="236">
        <f t="shared" si="13"/>
        <v>0</v>
      </c>
      <c r="AE60" s="236">
        <f t="shared" si="14"/>
        <v>0</v>
      </c>
      <c r="AF60" s="236">
        <f t="shared" si="15"/>
        <v>0</v>
      </c>
    </row>
    <row r="61" spans="5:32" x14ac:dyDescent="0.25">
      <c r="E61" s="236">
        <f t="shared" si="23"/>
        <v>0</v>
      </c>
      <c r="F61" s="236">
        <f t="shared" si="18"/>
        <v>0</v>
      </c>
      <c r="G61" s="236">
        <f t="shared" si="19"/>
        <v>0</v>
      </c>
      <c r="H61" s="236">
        <f t="shared" si="20"/>
        <v>0</v>
      </c>
      <c r="I61" s="236">
        <f t="shared" si="21"/>
        <v>0</v>
      </c>
      <c r="J61" s="236">
        <f t="shared" si="22"/>
        <v>0</v>
      </c>
      <c r="K61" s="217"/>
      <c r="P61" s="236">
        <f t="shared" si="24"/>
        <v>0</v>
      </c>
      <c r="Q61" s="236">
        <f t="shared" si="6"/>
        <v>0</v>
      </c>
      <c r="R61" s="236">
        <f t="shared" si="7"/>
        <v>0</v>
      </c>
      <c r="S61" s="236">
        <f t="shared" si="8"/>
        <v>0</v>
      </c>
      <c r="T61" s="236">
        <f t="shared" si="9"/>
        <v>0</v>
      </c>
      <c r="U61" s="236">
        <f t="shared" si="10"/>
        <v>0</v>
      </c>
      <c r="AA61" s="236">
        <f t="shared" si="25"/>
        <v>0</v>
      </c>
      <c r="AB61" s="236">
        <f t="shared" si="11"/>
        <v>0</v>
      </c>
      <c r="AC61" s="236">
        <f t="shared" si="12"/>
        <v>0</v>
      </c>
      <c r="AD61" s="236">
        <f t="shared" si="13"/>
        <v>0</v>
      </c>
      <c r="AE61" s="236">
        <f t="shared" si="14"/>
        <v>0</v>
      </c>
      <c r="AF61" s="236">
        <f t="shared" si="15"/>
        <v>0</v>
      </c>
    </row>
    <row r="62" spans="5:32" x14ac:dyDescent="0.25">
      <c r="E62" s="236">
        <f t="shared" si="23"/>
        <v>0</v>
      </c>
      <c r="F62" s="236">
        <f t="shared" si="18"/>
        <v>0</v>
      </c>
      <c r="G62" s="236">
        <f t="shared" si="19"/>
        <v>0</v>
      </c>
      <c r="H62" s="236">
        <f t="shared" si="20"/>
        <v>0</v>
      </c>
      <c r="I62" s="236">
        <f t="shared" si="21"/>
        <v>0</v>
      </c>
      <c r="J62" s="236">
        <f t="shared" si="22"/>
        <v>0</v>
      </c>
      <c r="K62" s="217"/>
      <c r="P62" s="236">
        <f t="shared" si="24"/>
        <v>0</v>
      </c>
      <c r="Q62" s="236">
        <f t="shared" si="6"/>
        <v>0</v>
      </c>
      <c r="R62" s="236">
        <f t="shared" si="7"/>
        <v>0</v>
      </c>
      <c r="S62" s="236">
        <f t="shared" si="8"/>
        <v>0</v>
      </c>
      <c r="T62" s="236">
        <f t="shared" si="9"/>
        <v>0</v>
      </c>
      <c r="U62" s="236">
        <f t="shared" si="10"/>
        <v>0</v>
      </c>
      <c r="AA62" s="236">
        <f t="shared" si="25"/>
        <v>0</v>
      </c>
      <c r="AB62" s="236">
        <f t="shared" si="11"/>
        <v>0</v>
      </c>
      <c r="AC62" s="236">
        <f t="shared" si="12"/>
        <v>0</v>
      </c>
      <c r="AD62" s="236">
        <f t="shared" si="13"/>
        <v>0</v>
      </c>
      <c r="AE62" s="236">
        <f t="shared" si="14"/>
        <v>0</v>
      </c>
      <c r="AF62" s="236">
        <f t="shared" si="15"/>
        <v>0</v>
      </c>
    </row>
    <row r="63" spans="5:32" x14ac:dyDescent="0.25">
      <c r="E63" s="236">
        <f t="shared" si="23"/>
        <v>0</v>
      </c>
      <c r="F63" s="236">
        <f t="shared" si="18"/>
        <v>0</v>
      </c>
      <c r="G63" s="236">
        <f t="shared" si="19"/>
        <v>0</v>
      </c>
      <c r="H63" s="236">
        <f t="shared" si="20"/>
        <v>0</v>
      </c>
      <c r="I63" s="236">
        <f t="shared" si="21"/>
        <v>0</v>
      </c>
      <c r="J63" s="236">
        <f t="shared" si="22"/>
        <v>0</v>
      </c>
      <c r="K63" s="217"/>
      <c r="P63" s="236">
        <f t="shared" si="24"/>
        <v>0</v>
      </c>
      <c r="Q63" s="236">
        <f t="shared" si="6"/>
        <v>0</v>
      </c>
      <c r="R63" s="236">
        <f t="shared" si="7"/>
        <v>0</v>
      </c>
      <c r="S63" s="236">
        <f t="shared" si="8"/>
        <v>0</v>
      </c>
      <c r="T63" s="236">
        <f t="shared" si="9"/>
        <v>0</v>
      </c>
      <c r="U63" s="236">
        <f t="shared" si="10"/>
        <v>0</v>
      </c>
      <c r="AA63" s="236">
        <f t="shared" si="25"/>
        <v>0</v>
      </c>
      <c r="AB63" s="236">
        <f t="shared" si="11"/>
        <v>0</v>
      </c>
      <c r="AC63" s="236">
        <f t="shared" si="12"/>
        <v>0</v>
      </c>
      <c r="AD63" s="236">
        <f t="shared" si="13"/>
        <v>0</v>
      </c>
      <c r="AE63" s="236">
        <f t="shared" si="14"/>
        <v>0</v>
      </c>
      <c r="AF63" s="236">
        <f t="shared" si="15"/>
        <v>0</v>
      </c>
    </row>
    <row r="64" spans="5:32" x14ac:dyDescent="0.25">
      <c r="E64" s="236">
        <f t="shared" si="23"/>
        <v>0</v>
      </c>
      <c r="F64" s="236">
        <f t="shared" si="18"/>
        <v>0</v>
      </c>
      <c r="G64" s="236">
        <f t="shared" si="19"/>
        <v>0</v>
      </c>
      <c r="H64" s="236">
        <f t="shared" si="20"/>
        <v>0</v>
      </c>
      <c r="I64" s="236">
        <f t="shared" si="21"/>
        <v>0</v>
      </c>
      <c r="J64" s="236">
        <f t="shared" si="22"/>
        <v>0</v>
      </c>
      <c r="K64" s="217"/>
      <c r="P64" s="236">
        <f t="shared" si="24"/>
        <v>0</v>
      </c>
      <c r="Q64" s="236">
        <f t="shared" si="6"/>
        <v>0</v>
      </c>
      <c r="R64" s="236">
        <f t="shared" si="7"/>
        <v>0</v>
      </c>
      <c r="S64" s="236">
        <f t="shared" si="8"/>
        <v>0</v>
      </c>
      <c r="T64" s="236">
        <f t="shared" si="9"/>
        <v>0</v>
      </c>
      <c r="U64" s="236">
        <f t="shared" si="10"/>
        <v>0</v>
      </c>
      <c r="AA64" s="236">
        <f t="shared" si="25"/>
        <v>0</v>
      </c>
      <c r="AB64" s="236">
        <f t="shared" si="11"/>
        <v>0</v>
      </c>
      <c r="AC64" s="236">
        <f t="shared" si="12"/>
        <v>0</v>
      </c>
      <c r="AD64" s="236">
        <f t="shared" si="13"/>
        <v>0</v>
      </c>
      <c r="AE64" s="236">
        <f t="shared" si="14"/>
        <v>0</v>
      </c>
      <c r="AF64" s="236">
        <f t="shared" si="15"/>
        <v>0</v>
      </c>
    </row>
    <row r="65" spans="5:32" x14ac:dyDescent="0.25">
      <c r="E65" s="236">
        <f t="shared" si="23"/>
        <v>0</v>
      </c>
      <c r="F65" s="236">
        <f t="shared" si="18"/>
        <v>0</v>
      </c>
      <c r="G65" s="236">
        <f t="shared" si="19"/>
        <v>0</v>
      </c>
      <c r="H65" s="236">
        <f t="shared" si="20"/>
        <v>0</v>
      </c>
      <c r="I65" s="236">
        <f t="shared" si="21"/>
        <v>0</v>
      </c>
      <c r="J65" s="236">
        <f t="shared" si="22"/>
        <v>0</v>
      </c>
      <c r="K65" s="217"/>
      <c r="P65" s="236">
        <f t="shared" si="24"/>
        <v>0</v>
      </c>
      <c r="Q65" s="236">
        <f t="shared" si="6"/>
        <v>0</v>
      </c>
      <c r="R65" s="236">
        <f t="shared" si="7"/>
        <v>0</v>
      </c>
      <c r="S65" s="236">
        <f t="shared" si="8"/>
        <v>0</v>
      </c>
      <c r="T65" s="236">
        <f t="shared" si="9"/>
        <v>0</v>
      </c>
      <c r="U65" s="236">
        <f t="shared" si="10"/>
        <v>0</v>
      </c>
      <c r="AA65" s="236">
        <f t="shared" si="25"/>
        <v>0</v>
      </c>
      <c r="AB65" s="236">
        <f t="shared" si="11"/>
        <v>0</v>
      </c>
      <c r="AC65" s="236">
        <f t="shared" si="12"/>
        <v>0</v>
      </c>
      <c r="AD65" s="236">
        <f t="shared" si="13"/>
        <v>0</v>
      </c>
      <c r="AE65" s="236">
        <f t="shared" si="14"/>
        <v>0</v>
      </c>
      <c r="AF65" s="236">
        <f t="shared" si="15"/>
        <v>0</v>
      </c>
    </row>
    <row r="66" spans="5:32" x14ac:dyDescent="0.25">
      <c r="E66" s="236">
        <f t="shared" si="23"/>
        <v>0</v>
      </c>
      <c r="F66" s="236">
        <f t="shared" si="18"/>
        <v>0</v>
      </c>
      <c r="G66" s="236">
        <f t="shared" si="19"/>
        <v>0</v>
      </c>
      <c r="H66" s="236">
        <f t="shared" si="20"/>
        <v>0</v>
      </c>
      <c r="I66" s="236">
        <f t="shared" si="21"/>
        <v>0</v>
      </c>
      <c r="J66" s="236">
        <f t="shared" si="22"/>
        <v>0</v>
      </c>
      <c r="K66" s="217"/>
      <c r="P66" s="236">
        <f t="shared" si="24"/>
        <v>0</v>
      </c>
      <c r="Q66" s="236">
        <f t="shared" si="6"/>
        <v>0</v>
      </c>
      <c r="R66" s="236">
        <f t="shared" si="7"/>
        <v>0</v>
      </c>
      <c r="S66" s="236">
        <f t="shared" si="8"/>
        <v>0</v>
      </c>
      <c r="T66" s="236">
        <f t="shared" si="9"/>
        <v>0</v>
      </c>
      <c r="U66" s="236">
        <f t="shared" si="10"/>
        <v>0</v>
      </c>
      <c r="AA66" s="236">
        <f t="shared" si="25"/>
        <v>0</v>
      </c>
      <c r="AB66" s="236">
        <f t="shared" si="11"/>
        <v>0</v>
      </c>
      <c r="AC66" s="236">
        <f t="shared" si="12"/>
        <v>0</v>
      </c>
      <c r="AD66" s="236">
        <f t="shared" si="13"/>
        <v>0</v>
      </c>
      <c r="AE66" s="236">
        <f t="shared" si="14"/>
        <v>0</v>
      </c>
      <c r="AF66" s="236">
        <f t="shared" si="15"/>
        <v>0</v>
      </c>
    </row>
    <row r="67" spans="5:32" x14ac:dyDescent="0.25">
      <c r="E67" s="236">
        <f t="shared" si="23"/>
        <v>0</v>
      </c>
      <c r="F67" s="236">
        <f t="shared" si="18"/>
        <v>0</v>
      </c>
      <c r="G67" s="236">
        <f t="shared" si="19"/>
        <v>0</v>
      </c>
      <c r="H67" s="236">
        <f t="shared" si="20"/>
        <v>0</v>
      </c>
      <c r="I67" s="236">
        <f t="shared" si="21"/>
        <v>0</v>
      </c>
      <c r="J67" s="236">
        <f t="shared" si="22"/>
        <v>0</v>
      </c>
      <c r="K67" s="217"/>
      <c r="P67" s="236">
        <f t="shared" si="24"/>
        <v>0</v>
      </c>
      <c r="Q67" s="236">
        <f t="shared" si="6"/>
        <v>0</v>
      </c>
      <c r="R67" s="236">
        <f t="shared" si="7"/>
        <v>0</v>
      </c>
      <c r="S67" s="236">
        <f t="shared" si="8"/>
        <v>0</v>
      </c>
      <c r="T67" s="236">
        <f t="shared" si="9"/>
        <v>0</v>
      </c>
      <c r="U67" s="236">
        <f t="shared" si="10"/>
        <v>0</v>
      </c>
      <c r="AA67" s="236">
        <f t="shared" si="25"/>
        <v>0</v>
      </c>
      <c r="AB67" s="236">
        <f t="shared" si="11"/>
        <v>0</v>
      </c>
      <c r="AC67" s="236">
        <f t="shared" si="12"/>
        <v>0</v>
      </c>
      <c r="AD67" s="236">
        <f t="shared" si="13"/>
        <v>0</v>
      </c>
      <c r="AE67" s="236">
        <f t="shared" si="14"/>
        <v>0</v>
      </c>
      <c r="AF67" s="236">
        <f t="shared" si="15"/>
        <v>0</v>
      </c>
    </row>
  </sheetData>
  <mergeCells count="3">
    <mergeCell ref="F1:F2"/>
    <mergeCell ref="Q1:Q2"/>
    <mergeCell ref="AB1:AB2"/>
  </mergeCells>
  <conditionalFormatting sqref="A66:C67 A33:B65">
    <cfRule type="containsBlanks" dxfId="9" priority="8">
      <formula>LEN(TRIM(A33))=0</formula>
    </cfRule>
  </conditionalFormatting>
  <conditionalFormatting sqref="L31:N67">
    <cfRule type="containsBlanks" dxfId="8" priority="7">
      <formula>LEN(TRIM(L31))=0</formula>
    </cfRule>
  </conditionalFormatting>
  <conditionalFormatting sqref="C33:C65">
    <cfRule type="containsBlanks" dxfId="7" priority="6">
      <formula>LEN(TRIM(C33))=0</formula>
    </cfRule>
  </conditionalFormatting>
  <conditionalFormatting sqref="W29:Y67">
    <cfRule type="containsBlanks" dxfId="6" priority="5">
      <formula>LEN(TRIM(W29))=0</formula>
    </cfRule>
  </conditionalFormatting>
  <conditionalFormatting sqref="L1:N30">
    <cfRule type="containsBlanks" dxfId="5" priority="4">
      <formula>LEN(TRIM(L1))=0</formula>
    </cfRule>
  </conditionalFormatting>
  <conditionalFormatting sqref="W1:Y28">
    <cfRule type="containsBlanks" dxfId="4" priority="3">
      <formula>LEN(TRIM(W1))=0</formula>
    </cfRule>
  </conditionalFormatting>
  <conditionalFormatting sqref="A1:B32">
    <cfRule type="containsBlanks" dxfId="3" priority="2">
      <formula>LEN(TRIM(A1))=0</formula>
    </cfRule>
  </conditionalFormatting>
  <conditionalFormatting sqref="C1:C32">
    <cfRule type="containsBlanks" dxfId="2" priority="1">
      <formula>LEN(TRIM(C1))=0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92D050"/>
  </sheetPr>
  <dimension ref="B2:BD41"/>
  <sheetViews>
    <sheetView zoomScale="80" zoomScaleNormal="80" workbookViewId="0">
      <selection activeCell="H37" sqref="H37"/>
    </sheetView>
  </sheetViews>
  <sheetFormatPr baseColWidth="10" defaultRowHeight="15" x14ac:dyDescent="0.25"/>
  <cols>
    <col min="1" max="1" width="39.140625" bestFit="1" customWidth="1"/>
    <col min="2" max="2" width="34.5703125" bestFit="1" customWidth="1"/>
    <col min="3" max="5" width="8.7109375" bestFit="1" customWidth="1"/>
    <col min="6" max="6" width="9.140625" bestFit="1" customWidth="1"/>
    <col min="7" max="7" width="14.5703125" bestFit="1" customWidth="1"/>
    <col min="8" max="9" width="40.140625" bestFit="1" customWidth="1"/>
    <col min="10" max="10" width="11.42578125" customWidth="1"/>
    <col min="11" max="11" width="8.5703125" bestFit="1" customWidth="1"/>
    <col min="12" max="12" width="8" bestFit="1" customWidth="1"/>
    <col min="13" max="13" width="8.5703125" bestFit="1" customWidth="1"/>
    <col min="14" max="14" width="14.5703125" customWidth="1"/>
    <col min="15" max="16" width="40.140625" bestFit="1" customWidth="1"/>
    <col min="17" max="17" width="22.7109375" bestFit="1" customWidth="1"/>
    <col min="19" max="19" width="8" bestFit="1" customWidth="1"/>
    <col min="20" max="20" width="8.5703125" bestFit="1" customWidth="1"/>
    <col min="21" max="21" width="9.140625" bestFit="1" customWidth="1"/>
    <col min="22" max="23" width="40.140625" bestFit="1" customWidth="1"/>
    <col min="26" max="26" width="8" bestFit="1" customWidth="1"/>
    <col min="27" max="27" width="8.5703125" bestFit="1" customWidth="1"/>
    <col min="28" max="28" width="9.140625" bestFit="1" customWidth="1"/>
    <col min="29" max="30" width="40.140625" bestFit="1" customWidth="1"/>
    <col min="33" max="33" width="8" bestFit="1" customWidth="1"/>
    <col min="34" max="34" width="8.5703125" bestFit="1" customWidth="1"/>
    <col min="35" max="35" width="9.140625" bestFit="1" customWidth="1"/>
    <col min="36" max="37" width="40.140625" bestFit="1" customWidth="1"/>
    <col min="40" max="40" width="8" bestFit="1" customWidth="1"/>
    <col min="41" max="41" width="8.5703125" bestFit="1" customWidth="1"/>
    <col min="42" max="42" width="9.140625" bestFit="1" customWidth="1"/>
    <col min="43" max="44" width="40.140625" bestFit="1" customWidth="1"/>
    <col min="47" max="47" width="8" bestFit="1" customWidth="1"/>
    <col min="48" max="48" width="8.5703125" bestFit="1" customWidth="1"/>
    <col min="49" max="49" width="9.140625" bestFit="1" customWidth="1"/>
    <col min="50" max="51" width="40.140625" bestFit="1" customWidth="1"/>
  </cols>
  <sheetData>
    <row r="2" spans="2:56" ht="25.5" customHeight="1" x14ac:dyDescent="0.25">
      <c r="B2" s="147"/>
      <c r="I2" s="147"/>
      <c r="O2" s="125"/>
      <c r="P2" s="131"/>
      <c r="Q2" s="125"/>
      <c r="R2" s="132"/>
      <c r="S2" s="125"/>
      <c r="T2" s="125"/>
      <c r="U2" s="125"/>
      <c r="V2" s="125"/>
      <c r="W2" s="131"/>
      <c r="X2" s="125"/>
      <c r="Y2" s="132"/>
      <c r="Z2" s="125"/>
      <c r="AA2" s="125"/>
      <c r="AB2" s="125"/>
      <c r="AC2" s="125"/>
      <c r="AD2" s="131"/>
      <c r="AE2" s="125"/>
      <c r="AF2" s="132"/>
      <c r="AG2" s="125"/>
      <c r="AH2" s="125"/>
      <c r="AI2" s="125"/>
      <c r="AJ2" s="125"/>
      <c r="AK2" s="131"/>
      <c r="AL2" s="125"/>
      <c r="AM2" s="132"/>
      <c r="AN2" s="125"/>
      <c r="AO2" s="125"/>
      <c r="AP2" s="125"/>
      <c r="AQ2" s="125"/>
      <c r="AR2" s="131"/>
      <c r="AS2" s="125"/>
      <c r="AT2" s="132"/>
      <c r="AU2" s="125"/>
      <c r="AV2" s="125"/>
      <c r="AW2" s="125"/>
      <c r="AX2" s="125"/>
      <c r="AY2" s="131"/>
      <c r="AZ2" s="125"/>
      <c r="BA2" s="132"/>
      <c r="BB2" s="125"/>
      <c r="BC2" s="125"/>
      <c r="BD2" s="125"/>
    </row>
    <row r="3" spans="2:56" ht="14.25" customHeight="1" x14ac:dyDescent="0.25">
      <c r="R3" s="129"/>
      <c r="Y3" s="129"/>
      <c r="AF3" s="129"/>
      <c r="AM3" s="129"/>
      <c r="AT3" s="129"/>
      <c r="BA3" s="129"/>
    </row>
    <row r="4" spans="2:56" x14ac:dyDescent="0.25">
      <c r="C4" s="148"/>
      <c r="D4" s="148"/>
      <c r="E4" s="148"/>
      <c r="F4" s="148"/>
      <c r="J4" s="148"/>
      <c r="K4" s="148"/>
      <c r="L4" s="148"/>
      <c r="M4" s="148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  <c r="AX4" s="130"/>
      <c r="AY4" s="130"/>
      <c r="AZ4" s="130"/>
      <c r="BA4" s="130"/>
      <c r="BB4" s="130"/>
      <c r="BC4" s="130"/>
      <c r="BD4" s="130"/>
    </row>
    <row r="5" spans="2:56" x14ac:dyDescent="0.25">
      <c r="C5" s="127"/>
      <c r="D5" s="127"/>
      <c r="E5" s="127"/>
      <c r="F5" s="127"/>
      <c r="J5" s="127"/>
      <c r="K5" s="127"/>
      <c r="L5" s="127"/>
      <c r="M5" s="127"/>
      <c r="Q5" s="127"/>
      <c r="R5" s="127"/>
      <c r="S5" s="127"/>
      <c r="T5" s="127"/>
      <c r="U5" s="133"/>
      <c r="X5" s="127"/>
      <c r="Y5" s="127"/>
      <c r="Z5" s="127"/>
      <c r="AA5" s="127"/>
      <c r="AB5" s="133"/>
      <c r="AE5" s="127"/>
      <c r="AF5" s="127"/>
      <c r="AG5" s="127"/>
      <c r="AH5" s="127"/>
      <c r="AI5" s="133"/>
      <c r="AL5" s="127"/>
      <c r="AM5" s="127"/>
      <c r="AN5" s="127"/>
      <c r="AO5" s="127"/>
      <c r="AP5" s="133"/>
      <c r="AS5" s="127"/>
      <c r="AT5" s="127"/>
      <c r="AU5" s="127"/>
      <c r="AV5" s="127"/>
      <c r="AW5" s="133"/>
      <c r="AZ5" s="127"/>
      <c r="BA5" s="127"/>
      <c r="BB5" s="127"/>
      <c r="BC5" s="127"/>
      <c r="BD5" s="133"/>
    </row>
    <row r="6" spans="2:56" x14ac:dyDescent="0.25">
      <c r="C6" s="127"/>
      <c r="D6" s="127"/>
      <c r="E6" s="127"/>
      <c r="F6" s="127"/>
      <c r="J6" s="127"/>
      <c r="K6" s="127"/>
      <c r="L6" s="127"/>
      <c r="M6" s="127"/>
      <c r="Q6" s="127"/>
      <c r="R6" s="127"/>
      <c r="S6" s="127"/>
      <c r="T6" s="127"/>
      <c r="U6" s="133"/>
      <c r="X6" s="127"/>
      <c r="Y6" s="127"/>
      <c r="Z6" s="127"/>
      <c r="AA6" s="127"/>
      <c r="AB6" s="133"/>
      <c r="AE6" s="127"/>
      <c r="AF6" s="127"/>
      <c r="AG6" s="127"/>
      <c r="AH6" s="127"/>
      <c r="AI6" s="133"/>
      <c r="AL6" s="127"/>
      <c r="AM6" s="127"/>
      <c r="AN6" s="127"/>
      <c r="AO6" s="127"/>
      <c r="AP6" s="133"/>
      <c r="AS6" s="127"/>
      <c r="AT6" s="127"/>
      <c r="AU6" s="127"/>
      <c r="AV6" s="127"/>
      <c r="AW6" s="133"/>
      <c r="AZ6" s="127"/>
      <c r="BA6" s="127"/>
      <c r="BB6" s="127"/>
      <c r="BC6" s="127"/>
      <c r="BD6" s="133"/>
    </row>
    <row r="7" spans="2:56" x14ac:dyDescent="0.25">
      <c r="C7" s="127"/>
      <c r="D7" s="127"/>
      <c r="E7" s="127"/>
      <c r="F7" s="127"/>
      <c r="J7" s="127"/>
      <c r="K7" s="127"/>
      <c r="L7" s="127"/>
      <c r="M7" s="127"/>
      <c r="Q7" s="127"/>
      <c r="R7" s="127"/>
      <c r="S7" s="127"/>
      <c r="T7" s="127"/>
      <c r="U7" s="133"/>
      <c r="X7" s="127"/>
      <c r="Y7" s="127"/>
      <c r="Z7" s="127"/>
      <c r="AA7" s="127"/>
      <c r="AB7" s="133"/>
      <c r="AE7" s="127"/>
      <c r="AF7" s="127"/>
      <c r="AG7" s="127"/>
      <c r="AH7" s="127"/>
      <c r="AI7" s="133"/>
      <c r="AL7" s="127"/>
      <c r="AM7" s="127"/>
      <c r="AN7" s="127"/>
      <c r="AO7" s="127"/>
      <c r="AP7" s="133"/>
      <c r="AS7" s="127"/>
      <c r="AT7" s="127"/>
      <c r="AU7" s="127"/>
      <c r="AV7" s="127"/>
      <c r="AW7" s="133"/>
      <c r="AZ7" s="127"/>
      <c r="BA7" s="127"/>
      <c r="BB7" s="127"/>
      <c r="BC7" s="127"/>
      <c r="BD7" s="133"/>
    </row>
    <row r="8" spans="2:56" x14ac:dyDescent="0.25">
      <c r="C8" s="127"/>
      <c r="D8" s="127"/>
      <c r="E8" s="127"/>
      <c r="F8" s="127"/>
      <c r="J8" s="127"/>
      <c r="K8" s="127"/>
      <c r="L8" s="127"/>
      <c r="M8" s="127"/>
      <c r="Q8" s="127"/>
      <c r="R8" s="127"/>
      <c r="S8" s="127"/>
      <c r="T8" s="127"/>
      <c r="U8" s="133"/>
      <c r="X8" s="127"/>
      <c r="Y8" s="127"/>
      <c r="Z8" s="127"/>
      <c r="AA8" s="127"/>
      <c r="AB8" s="133"/>
      <c r="AE8" s="127"/>
      <c r="AF8" s="127"/>
      <c r="AG8" s="127"/>
      <c r="AH8" s="127"/>
      <c r="AI8" s="133"/>
      <c r="AL8" s="127"/>
      <c r="AM8" s="127"/>
      <c r="AN8" s="127"/>
      <c r="AO8" s="127"/>
      <c r="AP8" s="133"/>
      <c r="AS8" s="127"/>
      <c r="AT8" s="127"/>
      <c r="AU8" s="127"/>
      <c r="AV8" s="127"/>
      <c r="AW8" s="133"/>
      <c r="AZ8" s="127"/>
      <c r="BA8" s="127"/>
      <c r="BB8" s="127"/>
      <c r="BC8" s="127"/>
      <c r="BD8" s="133"/>
    </row>
    <row r="9" spans="2:56" x14ac:dyDescent="0.25">
      <c r="C9" s="127"/>
      <c r="D9" s="127"/>
      <c r="E9" s="127"/>
      <c r="F9" s="127"/>
      <c r="J9" s="127"/>
      <c r="K9" s="127"/>
      <c r="L9" s="127"/>
      <c r="M9" s="127"/>
      <c r="Q9" s="127"/>
      <c r="R9" s="127"/>
      <c r="S9" s="127"/>
      <c r="T9" s="127"/>
      <c r="U9" s="133"/>
      <c r="X9" s="127"/>
      <c r="Y9" s="127"/>
      <c r="Z9" s="127"/>
      <c r="AA9" s="127"/>
      <c r="AB9" s="133"/>
      <c r="AE9" s="127"/>
      <c r="AF9" s="127"/>
      <c r="AG9" s="127"/>
      <c r="AH9" s="127"/>
      <c r="AI9" s="133"/>
      <c r="AL9" s="127"/>
      <c r="AM9" s="127"/>
      <c r="AN9" s="127"/>
      <c r="AO9" s="127"/>
      <c r="AP9" s="133"/>
      <c r="AS9" s="127"/>
      <c r="AT9" s="127"/>
      <c r="AU9" s="127"/>
      <c r="AV9" s="127"/>
      <c r="AW9" s="133"/>
      <c r="AZ9" s="127"/>
      <c r="BA9" s="127"/>
      <c r="BB9" s="127"/>
      <c r="BC9" s="127"/>
      <c r="BD9" s="133"/>
    </row>
    <row r="10" spans="2:56" x14ac:dyDescent="0.25">
      <c r="C10" s="127"/>
      <c r="D10" s="127"/>
      <c r="E10" s="127"/>
      <c r="F10" s="127"/>
      <c r="J10" s="127"/>
      <c r="K10" s="127"/>
      <c r="L10" s="127"/>
      <c r="M10" s="127"/>
      <c r="Q10" s="127"/>
      <c r="R10" s="127"/>
      <c r="S10" s="127"/>
      <c r="T10" s="127"/>
      <c r="U10" s="133"/>
      <c r="X10" s="127"/>
      <c r="Y10" s="127"/>
      <c r="Z10" s="127"/>
      <c r="AA10" s="127"/>
      <c r="AB10" s="133"/>
      <c r="AE10" s="127"/>
      <c r="AF10" s="127"/>
      <c r="AG10" s="127"/>
      <c r="AH10" s="127"/>
      <c r="AI10" s="133"/>
      <c r="AL10" s="127"/>
      <c r="AM10" s="127"/>
      <c r="AN10" s="127"/>
      <c r="AO10" s="127"/>
      <c r="AP10" s="133"/>
      <c r="AS10" s="127"/>
      <c r="AT10" s="127"/>
      <c r="AU10" s="127"/>
      <c r="AV10" s="127"/>
      <c r="AW10" s="133"/>
      <c r="AZ10" s="127"/>
      <c r="BA10" s="127"/>
      <c r="BB10" s="127"/>
      <c r="BC10" s="127"/>
      <c r="BD10" s="133"/>
    </row>
    <row r="11" spans="2:56" x14ac:dyDescent="0.25">
      <c r="C11" s="127"/>
      <c r="D11" s="127"/>
      <c r="E11" s="127"/>
      <c r="F11" s="127"/>
      <c r="J11" s="127"/>
      <c r="K11" s="127"/>
      <c r="L11" s="127"/>
      <c r="M11" s="127"/>
      <c r="Q11" s="127"/>
      <c r="R11" s="127"/>
      <c r="S11" s="127"/>
      <c r="T11" s="127"/>
      <c r="U11" s="133"/>
      <c r="X11" s="127"/>
      <c r="Y11" s="127"/>
      <c r="Z11" s="127"/>
      <c r="AA11" s="127"/>
      <c r="AB11" s="133"/>
      <c r="AE11" s="127"/>
      <c r="AF11" s="127"/>
      <c r="AG11" s="127"/>
      <c r="AH11" s="127"/>
      <c r="AI11" s="133"/>
      <c r="AL11" s="127"/>
      <c r="AM11" s="127"/>
      <c r="AN11" s="127"/>
      <c r="AO11" s="127"/>
      <c r="AP11" s="133"/>
      <c r="AS11" s="127"/>
      <c r="AT11" s="127"/>
      <c r="AU11" s="127"/>
      <c r="AV11" s="127"/>
      <c r="AW11" s="133"/>
      <c r="AZ11" s="127"/>
      <c r="BA11" s="127"/>
      <c r="BB11" s="127"/>
      <c r="BC11" s="127"/>
      <c r="BD11" s="133"/>
    </row>
    <row r="12" spans="2:56" x14ac:dyDescent="0.25">
      <c r="C12" s="127"/>
      <c r="D12" s="127"/>
      <c r="E12" s="127"/>
      <c r="F12" s="127"/>
      <c r="J12" s="127"/>
      <c r="K12" s="127"/>
      <c r="L12" s="127"/>
      <c r="M12" s="127"/>
      <c r="Q12" s="127"/>
      <c r="R12" s="127"/>
      <c r="S12" s="127"/>
      <c r="T12" s="127"/>
      <c r="U12" s="133"/>
      <c r="X12" s="127"/>
      <c r="Y12" s="127"/>
      <c r="Z12" s="127"/>
      <c r="AA12" s="127"/>
      <c r="AB12" s="133"/>
      <c r="AE12" s="127"/>
      <c r="AF12" s="127"/>
      <c r="AG12" s="127"/>
      <c r="AH12" s="127"/>
      <c r="AI12" s="133"/>
      <c r="AL12" s="127"/>
      <c r="AM12" s="127"/>
      <c r="AN12" s="127"/>
      <c r="AO12" s="127"/>
      <c r="AP12" s="133"/>
      <c r="AS12" s="127"/>
      <c r="AT12" s="127"/>
      <c r="AU12" s="127"/>
      <c r="AV12" s="127"/>
      <c r="AW12" s="133"/>
      <c r="AZ12" s="127"/>
      <c r="BA12" s="127"/>
      <c r="BB12" s="127"/>
      <c r="BC12" s="127"/>
      <c r="BD12" s="133"/>
    </row>
    <row r="13" spans="2:56" x14ac:dyDescent="0.25">
      <c r="C13" s="127"/>
      <c r="D13" s="127"/>
      <c r="E13" s="127"/>
      <c r="F13" s="127"/>
      <c r="J13" s="127"/>
      <c r="K13" s="127"/>
      <c r="L13" s="127"/>
      <c r="M13" s="127"/>
      <c r="Q13" s="127"/>
      <c r="R13" s="127"/>
      <c r="S13" s="127"/>
      <c r="T13" s="127"/>
      <c r="U13" s="133"/>
      <c r="X13" s="127"/>
      <c r="Y13" s="127"/>
      <c r="Z13" s="127"/>
      <c r="AA13" s="127"/>
      <c r="AB13" s="133"/>
      <c r="AE13" s="127"/>
      <c r="AF13" s="127"/>
      <c r="AG13" s="127"/>
      <c r="AH13" s="127"/>
      <c r="AI13" s="133"/>
      <c r="AL13" s="127"/>
      <c r="AM13" s="127"/>
      <c r="AN13" s="127"/>
      <c r="AO13" s="127"/>
      <c r="AP13" s="133"/>
      <c r="AS13" s="127"/>
      <c r="AT13" s="127"/>
      <c r="AU13" s="127"/>
      <c r="AV13" s="127"/>
      <c r="AW13" s="133"/>
      <c r="AZ13" s="127"/>
      <c r="BA13" s="127"/>
      <c r="BB13" s="127"/>
      <c r="BC13" s="127"/>
      <c r="BD13" s="133"/>
    </row>
    <row r="14" spans="2:56" x14ac:dyDescent="0.25">
      <c r="C14" s="127"/>
      <c r="D14" s="127"/>
      <c r="E14" s="127"/>
      <c r="F14" s="127"/>
      <c r="J14" s="127"/>
      <c r="K14" s="127"/>
      <c r="L14" s="127"/>
      <c r="M14" s="127"/>
      <c r="Q14" s="127"/>
      <c r="R14" s="127"/>
      <c r="S14" s="127"/>
      <c r="T14" s="127"/>
      <c r="U14" s="133"/>
      <c r="X14" s="127"/>
      <c r="Y14" s="127"/>
      <c r="Z14" s="127"/>
      <c r="AA14" s="127"/>
      <c r="AB14" s="133"/>
      <c r="AE14" s="127"/>
      <c r="AF14" s="127"/>
      <c r="AG14" s="127"/>
      <c r="AH14" s="127"/>
      <c r="AI14" s="133"/>
      <c r="AL14" s="127"/>
      <c r="AM14" s="127"/>
      <c r="AN14" s="127"/>
      <c r="AO14" s="127"/>
      <c r="AP14" s="133"/>
      <c r="AS14" s="127"/>
      <c r="AT14" s="127"/>
      <c r="AU14" s="127"/>
      <c r="AV14" s="127"/>
      <c r="AW14" s="133"/>
      <c r="AZ14" s="127"/>
      <c r="BA14" s="127"/>
      <c r="BB14" s="127"/>
      <c r="BC14" s="127"/>
      <c r="BD14" s="133"/>
    </row>
    <row r="15" spans="2:56" x14ac:dyDescent="0.25">
      <c r="C15" s="127"/>
      <c r="D15" s="127"/>
      <c r="E15" s="127"/>
      <c r="F15" s="127"/>
      <c r="J15" s="127"/>
      <c r="K15" s="127"/>
      <c r="L15" s="127"/>
      <c r="M15" s="127"/>
      <c r="Q15" s="127"/>
      <c r="R15" s="127"/>
      <c r="S15" s="127"/>
      <c r="T15" s="127"/>
      <c r="U15" s="133"/>
      <c r="X15" s="127"/>
      <c r="Y15" s="127"/>
      <c r="Z15" s="127"/>
      <c r="AA15" s="127"/>
      <c r="AB15" s="133"/>
      <c r="AE15" s="127"/>
      <c r="AF15" s="127"/>
      <c r="AG15" s="127"/>
      <c r="AH15" s="127"/>
      <c r="AI15" s="133"/>
      <c r="AL15" s="127"/>
      <c r="AM15" s="127"/>
      <c r="AN15" s="127"/>
      <c r="AO15" s="127"/>
      <c r="AP15" s="133"/>
      <c r="AS15" s="127"/>
      <c r="AT15" s="127"/>
      <c r="AU15" s="127"/>
      <c r="AV15" s="127"/>
      <c r="AW15" s="133"/>
      <c r="AZ15" s="127"/>
      <c r="BA15" s="127"/>
      <c r="BB15" s="127"/>
      <c r="BC15" s="127"/>
      <c r="BD15" s="133"/>
    </row>
    <row r="16" spans="2:56" x14ac:dyDescent="0.25">
      <c r="C16" s="127"/>
      <c r="D16" s="127"/>
      <c r="E16" s="127"/>
      <c r="F16" s="127"/>
      <c r="J16" s="127"/>
      <c r="K16" s="127"/>
      <c r="L16" s="127"/>
      <c r="M16" s="127"/>
      <c r="Q16" s="127"/>
      <c r="R16" s="127"/>
      <c r="S16" s="127"/>
      <c r="T16" s="127"/>
      <c r="U16" s="133"/>
      <c r="X16" s="127"/>
      <c r="Y16" s="127"/>
      <c r="Z16" s="127"/>
      <c r="AA16" s="127"/>
      <c r="AB16" s="133"/>
      <c r="AE16" s="127"/>
      <c r="AF16" s="127"/>
      <c r="AG16" s="127"/>
      <c r="AH16" s="127"/>
      <c r="AI16" s="133"/>
      <c r="AL16" s="127"/>
      <c r="AM16" s="127"/>
      <c r="AN16" s="127"/>
      <c r="AO16" s="127"/>
      <c r="AP16" s="133"/>
      <c r="AS16" s="127"/>
      <c r="AT16" s="127"/>
      <c r="AU16" s="127"/>
      <c r="AV16" s="127"/>
      <c r="AW16" s="133"/>
      <c r="AZ16" s="127"/>
      <c r="BA16" s="127"/>
      <c r="BB16" s="127"/>
      <c r="BC16" s="127"/>
      <c r="BD16" s="133"/>
    </row>
    <row r="17" spans="3:56" x14ac:dyDescent="0.25">
      <c r="C17" s="127"/>
      <c r="D17" s="127"/>
      <c r="E17" s="127"/>
      <c r="F17" s="127"/>
      <c r="J17" s="127"/>
      <c r="K17" s="127"/>
      <c r="L17" s="127"/>
      <c r="M17" s="127"/>
      <c r="Q17" s="127"/>
      <c r="R17" s="127"/>
      <c r="S17" s="127"/>
      <c r="T17" s="127"/>
      <c r="U17" s="133"/>
      <c r="X17" s="127"/>
      <c r="Y17" s="127"/>
      <c r="Z17" s="127"/>
      <c r="AA17" s="127"/>
      <c r="AB17" s="133"/>
      <c r="AE17" s="127"/>
      <c r="AF17" s="127"/>
      <c r="AG17" s="127"/>
      <c r="AH17" s="127"/>
      <c r="AI17" s="133"/>
      <c r="AL17" s="127"/>
      <c r="AM17" s="127"/>
      <c r="AN17" s="127"/>
      <c r="AO17" s="127"/>
      <c r="AP17" s="133"/>
      <c r="AS17" s="127"/>
      <c r="AT17" s="127"/>
      <c r="AU17" s="127"/>
      <c r="AV17" s="127"/>
      <c r="AW17" s="133"/>
      <c r="AZ17" s="127"/>
      <c r="BA17" s="127"/>
      <c r="BB17" s="127"/>
      <c r="BC17" s="127"/>
      <c r="BD17" s="133"/>
    </row>
    <row r="18" spans="3:56" x14ac:dyDescent="0.25">
      <c r="C18" s="127"/>
      <c r="D18" s="127"/>
      <c r="E18" s="127"/>
      <c r="F18" s="127"/>
      <c r="J18" s="127"/>
      <c r="K18" s="127"/>
      <c r="L18" s="127"/>
      <c r="M18" s="127"/>
      <c r="Q18" s="127"/>
      <c r="R18" s="127"/>
      <c r="S18" s="127"/>
      <c r="T18" s="127"/>
      <c r="U18" s="133"/>
      <c r="X18" s="127"/>
      <c r="Y18" s="127"/>
      <c r="Z18" s="127"/>
      <c r="AA18" s="127"/>
      <c r="AB18" s="133"/>
      <c r="AE18" s="127"/>
      <c r="AF18" s="127"/>
      <c r="AG18" s="127"/>
      <c r="AH18" s="127"/>
      <c r="AI18" s="133"/>
      <c r="AL18" s="127"/>
      <c r="AM18" s="127"/>
      <c r="AN18" s="127"/>
      <c r="AO18" s="127"/>
      <c r="AP18" s="133"/>
      <c r="AS18" s="127"/>
      <c r="AT18" s="127"/>
      <c r="AU18" s="127"/>
      <c r="AV18" s="127"/>
      <c r="AW18" s="133"/>
      <c r="AZ18" s="127"/>
      <c r="BA18" s="127"/>
      <c r="BB18" s="127"/>
      <c r="BC18" s="127"/>
      <c r="BD18" s="133"/>
    </row>
    <row r="19" spans="3:56" x14ac:dyDescent="0.25">
      <c r="C19" s="127"/>
      <c r="D19" s="127"/>
      <c r="E19" s="127"/>
      <c r="F19" s="127"/>
      <c r="J19" s="127"/>
      <c r="K19" s="127"/>
      <c r="L19" s="127"/>
      <c r="M19" s="127"/>
      <c r="Q19" s="127"/>
      <c r="R19" s="127"/>
      <c r="S19" s="127"/>
      <c r="T19" s="127"/>
      <c r="U19" s="133"/>
      <c r="X19" s="127"/>
      <c r="Y19" s="127"/>
      <c r="Z19" s="127"/>
      <c r="AA19" s="127"/>
      <c r="AB19" s="133"/>
      <c r="AE19" s="127"/>
      <c r="AF19" s="127"/>
      <c r="AG19" s="127"/>
      <c r="AH19" s="127"/>
      <c r="AI19" s="133"/>
      <c r="AL19" s="127"/>
      <c r="AM19" s="127"/>
      <c r="AN19" s="127"/>
      <c r="AO19" s="127"/>
      <c r="AP19" s="133"/>
      <c r="AS19" s="127"/>
      <c r="AT19" s="127"/>
      <c r="AU19" s="127"/>
      <c r="AV19" s="127"/>
      <c r="AW19" s="133"/>
      <c r="AZ19" s="127"/>
      <c r="BA19" s="127"/>
      <c r="BB19" s="127"/>
      <c r="BC19" s="127"/>
      <c r="BD19" s="133"/>
    </row>
    <row r="20" spans="3:56" x14ac:dyDescent="0.25">
      <c r="C20" s="127"/>
      <c r="D20" s="127"/>
      <c r="E20" s="127"/>
      <c r="F20" s="127"/>
      <c r="J20" s="127"/>
      <c r="K20" s="127"/>
      <c r="L20" s="127"/>
      <c r="M20" s="127"/>
      <c r="Q20" s="127"/>
      <c r="R20" s="127"/>
      <c r="S20" s="127"/>
      <c r="T20" s="127"/>
      <c r="U20" s="133"/>
      <c r="X20" s="127"/>
      <c r="Y20" s="127"/>
      <c r="Z20" s="127"/>
      <c r="AA20" s="127"/>
      <c r="AB20" s="133"/>
      <c r="AE20" s="127"/>
      <c r="AF20" s="127"/>
      <c r="AG20" s="127"/>
      <c r="AH20" s="127"/>
      <c r="AI20" s="133"/>
      <c r="AL20" s="127"/>
      <c r="AM20" s="127"/>
      <c r="AN20" s="127"/>
      <c r="AO20" s="127"/>
      <c r="AP20" s="133"/>
      <c r="AS20" s="127"/>
      <c r="AT20" s="127"/>
      <c r="AU20" s="127"/>
      <c r="AV20" s="127"/>
      <c r="AW20" s="133"/>
      <c r="AZ20" s="127"/>
      <c r="BA20" s="127"/>
      <c r="BB20" s="127"/>
      <c r="BC20" s="127"/>
      <c r="BD20" s="133"/>
    </row>
    <row r="21" spans="3:56" x14ac:dyDescent="0.25">
      <c r="C21" s="127"/>
      <c r="D21" s="127"/>
      <c r="E21" s="127"/>
      <c r="F21" s="127"/>
      <c r="J21" s="127"/>
      <c r="K21" s="127"/>
      <c r="L21" s="127"/>
      <c r="M21" s="127"/>
      <c r="Q21" s="127"/>
      <c r="R21" s="127"/>
      <c r="S21" s="127"/>
      <c r="T21" s="127"/>
      <c r="U21" s="133"/>
      <c r="X21" s="127"/>
      <c r="Y21" s="127"/>
      <c r="Z21" s="127"/>
      <c r="AA21" s="127"/>
      <c r="AB21" s="133"/>
      <c r="AE21" s="127"/>
      <c r="AF21" s="127"/>
      <c r="AG21" s="127"/>
      <c r="AH21" s="127"/>
      <c r="AI21" s="133"/>
      <c r="AL21" s="127"/>
      <c r="AM21" s="127"/>
      <c r="AN21" s="127"/>
      <c r="AO21" s="127"/>
      <c r="AP21" s="133"/>
      <c r="AS21" s="127"/>
      <c r="AT21" s="127"/>
      <c r="AU21" s="127"/>
      <c r="AV21" s="127"/>
      <c r="AW21" s="133"/>
      <c r="AZ21" s="127"/>
      <c r="BA21" s="127"/>
      <c r="BB21" s="127"/>
      <c r="BC21" s="127"/>
      <c r="BD21" s="133"/>
    </row>
    <row r="22" spans="3:56" x14ac:dyDescent="0.25">
      <c r="C22" s="127"/>
      <c r="D22" s="127"/>
      <c r="E22" s="127"/>
      <c r="F22" s="127"/>
      <c r="J22" s="127"/>
      <c r="K22" s="127"/>
      <c r="L22" s="127"/>
      <c r="M22" s="127"/>
      <c r="Q22" s="127"/>
      <c r="R22" s="127"/>
      <c r="S22" s="127"/>
      <c r="T22" s="127"/>
      <c r="U22" s="133"/>
      <c r="X22" s="127"/>
      <c r="Y22" s="127"/>
      <c r="Z22" s="127"/>
      <c r="AA22" s="127"/>
      <c r="AB22" s="133"/>
      <c r="AE22" s="127"/>
      <c r="AF22" s="127"/>
      <c r="AG22" s="127"/>
      <c r="AH22" s="127"/>
      <c r="AI22" s="133"/>
      <c r="AL22" s="127"/>
      <c r="AM22" s="127"/>
      <c r="AN22" s="127"/>
      <c r="AO22" s="127"/>
      <c r="AP22" s="133"/>
      <c r="AS22" s="127"/>
      <c r="AT22" s="127"/>
      <c r="AU22" s="127"/>
      <c r="AV22" s="127"/>
      <c r="AW22" s="133"/>
      <c r="AZ22" s="127"/>
      <c r="BA22" s="127"/>
      <c r="BB22" s="127"/>
      <c r="BC22" s="127"/>
      <c r="BD22" s="133"/>
    </row>
    <row r="23" spans="3:56" x14ac:dyDescent="0.25">
      <c r="C23" s="127"/>
      <c r="D23" s="127"/>
      <c r="E23" s="127"/>
      <c r="F23" s="127"/>
      <c r="J23" s="127"/>
      <c r="K23" s="127"/>
      <c r="L23" s="127"/>
      <c r="M23" s="127"/>
      <c r="Q23" s="127"/>
      <c r="R23" s="127"/>
      <c r="S23" s="127"/>
      <c r="T23" s="127"/>
      <c r="U23" s="133"/>
      <c r="X23" s="127"/>
      <c r="Y23" s="127"/>
      <c r="Z23" s="127"/>
      <c r="AA23" s="127"/>
      <c r="AB23" s="133"/>
      <c r="AE23" s="127"/>
      <c r="AF23" s="127"/>
      <c r="AG23" s="127"/>
      <c r="AH23" s="127"/>
      <c r="AI23" s="133"/>
      <c r="AL23" s="127"/>
      <c r="AM23" s="127"/>
      <c r="AN23" s="127"/>
      <c r="AO23" s="127"/>
      <c r="AP23" s="133"/>
      <c r="AS23" s="127"/>
      <c r="AT23" s="127"/>
      <c r="AU23" s="127"/>
      <c r="AV23" s="127"/>
      <c r="AW23" s="133"/>
      <c r="AZ23" s="127"/>
      <c r="BA23" s="127"/>
      <c r="BB23" s="127"/>
      <c r="BC23" s="127"/>
      <c r="BD23" s="133"/>
    </row>
    <row r="24" spans="3:56" x14ac:dyDescent="0.25">
      <c r="C24" s="127"/>
      <c r="D24" s="127"/>
      <c r="E24" s="127"/>
      <c r="F24" s="127"/>
      <c r="J24" s="127"/>
      <c r="K24" s="127"/>
      <c r="L24" s="127"/>
      <c r="M24" s="127"/>
      <c r="Q24" s="127"/>
      <c r="R24" s="127"/>
      <c r="S24" s="127"/>
      <c r="T24" s="127"/>
      <c r="U24" s="133"/>
      <c r="X24" s="127"/>
      <c r="Y24" s="127"/>
      <c r="Z24" s="127"/>
      <c r="AA24" s="127"/>
      <c r="AB24" s="133"/>
      <c r="AE24" s="127"/>
      <c r="AF24" s="127"/>
      <c r="AG24" s="127"/>
      <c r="AH24" s="127"/>
      <c r="AI24" s="133"/>
      <c r="AL24" s="127"/>
      <c r="AM24" s="127"/>
      <c r="AN24" s="127"/>
      <c r="AO24" s="127"/>
      <c r="AP24" s="133"/>
      <c r="AS24" s="127"/>
      <c r="AT24" s="127"/>
      <c r="AU24" s="127"/>
      <c r="AV24" s="127"/>
      <c r="AW24" s="133"/>
      <c r="AZ24" s="127"/>
      <c r="BA24" s="127"/>
      <c r="BB24" s="127"/>
      <c r="BC24" s="127"/>
      <c r="BD24" s="133"/>
    </row>
    <row r="25" spans="3:56" x14ac:dyDescent="0.25">
      <c r="Q25" s="127"/>
      <c r="R25" s="127"/>
      <c r="S25" s="127"/>
      <c r="T25" s="127"/>
      <c r="U25" s="133"/>
      <c r="X25" s="127"/>
      <c r="Y25" s="127"/>
      <c r="Z25" s="127"/>
      <c r="AA25" s="127"/>
      <c r="AB25" s="133"/>
      <c r="AE25" s="127"/>
      <c r="AF25" s="127"/>
      <c r="AG25" s="127"/>
      <c r="AH25" s="127"/>
      <c r="AI25" s="133"/>
      <c r="AL25" s="127"/>
      <c r="AM25" s="127"/>
      <c r="AN25" s="127"/>
      <c r="AO25" s="127"/>
      <c r="AP25" s="133"/>
      <c r="AS25" s="127"/>
      <c r="AT25" s="127"/>
      <c r="AU25" s="127"/>
      <c r="AV25" s="127"/>
      <c r="AW25" s="133"/>
      <c r="AZ25" s="127"/>
      <c r="BA25" s="127"/>
      <c r="BB25" s="127"/>
      <c r="BC25" s="127"/>
      <c r="BD25" s="133"/>
    </row>
    <row r="26" spans="3:56" x14ac:dyDescent="0.25">
      <c r="Q26" s="127"/>
      <c r="R26" s="127"/>
      <c r="S26" s="127"/>
      <c r="T26" s="127"/>
      <c r="U26" s="133"/>
      <c r="X26" s="127"/>
      <c r="Y26" s="127"/>
      <c r="Z26" s="127"/>
      <c r="AA26" s="127"/>
      <c r="AB26" s="133"/>
      <c r="AE26" s="127"/>
      <c r="AF26" s="127"/>
      <c r="AG26" s="127"/>
      <c r="AH26" s="127"/>
      <c r="AI26" s="133"/>
      <c r="AL26" s="127"/>
      <c r="AM26" s="127"/>
      <c r="AN26" s="127"/>
      <c r="AO26" s="127"/>
      <c r="AP26" s="133"/>
      <c r="AS26" s="127"/>
      <c r="AT26" s="127"/>
      <c r="AU26" s="127"/>
      <c r="AV26" s="127"/>
      <c r="AW26" s="133"/>
      <c r="AZ26" s="127"/>
      <c r="BA26" s="127"/>
      <c r="BB26" s="127"/>
      <c r="BC26" s="127"/>
      <c r="BD26" s="133"/>
    </row>
    <row r="27" spans="3:56" x14ac:dyDescent="0.25">
      <c r="Q27" s="127"/>
      <c r="R27" s="127"/>
      <c r="S27" s="127"/>
      <c r="T27" s="127"/>
      <c r="U27" s="133"/>
      <c r="X27" s="127"/>
      <c r="Y27" s="127"/>
      <c r="Z27" s="127"/>
      <c r="AA27" s="127"/>
      <c r="AB27" s="133"/>
      <c r="AE27" s="127"/>
      <c r="AF27" s="127"/>
      <c r="AG27" s="127"/>
      <c r="AH27" s="127"/>
      <c r="AI27" s="133"/>
      <c r="AL27" s="127"/>
      <c r="AM27" s="127"/>
      <c r="AN27" s="127"/>
      <c r="AO27" s="127"/>
      <c r="AP27" s="133"/>
      <c r="AS27" s="127"/>
      <c r="AT27" s="127"/>
      <c r="AU27" s="127"/>
      <c r="AV27" s="127"/>
      <c r="AW27" s="133"/>
      <c r="AZ27" s="127"/>
      <c r="BA27" s="127"/>
      <c r="BB27" s="127"/>
      <c r="BC27" s="127"/>
      <c r="BD27" s="133"/>
    </row>
    <row r="28" spans="3:56" x14ac:dyDescent="0.25">
      <c r="Q28" s="127"/>
      <c r="R28" s="127"/>
      <c r="S28" s="127"/>
      <c r="T28" s="127"/>
      <c r="U28" s="133"/>
      <c r="X28" s="127"/>
      <c r="Y28" s="127"/>
      <c r="Z28" s="127"/>
      <c r="AA28" s="127"/>
      <c r="AB28" s="133"/>
      <c r="AE28" s="127"/>
      <c r="AF28" s="127"/>
      <c r="AG28" s="127"/>
      <c r="AH28" s="127"/>
      <c r="AI28" s="133"/>
      <c r="AL28" s="127"/>
      <c r="AM28" s="127"/>
      <c r="AN28" s="127"/>
      <c r="AO28" s="127"/>
      <c r="AP28" s="133"/>
      <c r="AS28" s="127"/>
      <c r="AT28" s="127"/>
      <c r="AU28" s="127"/>
      <c r="AV28" s="127"/>
      <c r="AW28" s="133"/>
      <c r="AZ28" s="127"/>
      <c r="BA28" s="127"/>
      <c r="BB28" s="127"/>
      <c r="BC28" s="127"/>
      <c r="BD28" s="133"/>
    </row>
    <row r="29" spans="3:56" x14ac:dyDescent="0.25">
      <c r="Q29" s="127"/>
      <c r="R29" s="127"/>
      <c r="S29" s="127"/>
      <c r="T29" s="127"/>
      <c r="U29" s="133"/>
      <c r="X29" s="127"/>
      <c r="Y29" s="127"/>
      <c r="Z29" s="127"/>
      <c r="AA29" s="127"/>
      <c r="AB29" s="133"/>
      <c r="AE29" s="127"/>
      <c r="AF29" s="127"/>
      <c r="AG29" s="127"/>
      <c r="AH29" s="127"/>
      <c r="AI29" s="133"/>
      <c r="AL29" s="127"/>
      <c r="AM29" s="127"/>
      <c r="AN29" s="127"/>
      <c r="AO29" s="127"/>
      <c r="AP29" s="133"/>
      <c r="AS29" s="127"/>
      <c r="AT29" s="127"/>
      <c r="AU29" s="127"/>
      <c r="AV29" s="127"/>
      <c r="AW29" s="133"/>
      <c r="AZ29" s="127"/>
      <c r="BA29" s="127"/>
      <c r="BB29" s="127"/>
      <c r="BC29" s="127"/>
      <c r="BD29" s="133"/>
    </row>
    <row r="30" spans="3:56" x14ac:dyDescent="0.25">
      <c r="Q30" s="127"/>
      <c r="R30" s="127"/>
      <c r="S30" s="127"/>
      <c r="T30" s="127"/>
      <c r="U30" s="133"/>
      <c r="X30" s="127"/>
      <c r="Y30" s="127"/>
      <c r="Z30" s="127"/>
      <c r="AA30" s="127"/>
      <c r="AB30" s="133"/>
      <c r="AE30" s="127"/>
      <c r="AF30" s="127"/>
      <c r="AG30" s="127"/>
      <c r="AH30" s="127"/>
      <c r="AI30" s="133"/>
      <c r="AL30" s="127"/>
      <c r="AM30" s="127"/>
      <c r="AN30" s="127"/>
      <c r="AO30" s="127"/>
      <c r="AP30" s="133"/>
      <c r="AS30" s="127"/>
      <c r="AT30" s="127"/>
      <c r="AU30" s="127"/>
      <c r="AV30" s="127"/>
      <c r="AW30" s="133"/>
      <c r="AZ30" s="127"/>
      <c r="BA30" s="127"/>
      <c r="BB30" s="127"/>
      <c r="BC30" s="127"/>
      <c r="BD30" s="133"/>
    </row>
    <row r="31" spans="3:56" x14ac:dyDescent="0.25">
      <c r="Q31" s="127"/>
      <c r="R31" s="127"/>
      <c r="S31" s="127"/>
      <c r="T31" s="127"/>
      <c r="U31" s="133"/>
      <c r="X31" s="127"/>
      <c r="Y31" s="127"/>
      <c r="Z31" s="127"/>
      <c r="AA31" s="127"/>
      <c r="AB31" s="133"/>
      <c r="AE31" s="127"/>
      <c r="AF31" s="127"/>
      <c r="AG31" s="127"/>
      <c r="AH31" s="127"/>
      <c r="AI31" s="133"/>
      <c r="AL31" s="127"/>
      <c r="AM31" s="127"/>
      <c r="AN31" s="127"/>
      <c r="AO31" s="127"/>
      <c r="AP31" s="133"/>
      <c r="AS31" s="127"/>
      <c r="AT31" s="127"/>
      <c r="AU31" s="127"/>
      <c r="AV31" s="127"/>
      <c r="AW31" s="133"/>
      <c r="AZ31" s="127"/>
      <c r="BA31" s="127"/>
      <c r="BB31" s="127"/>
      <c r="BC31" s="127"/>
      <c r="BD31" s="133"/>
    </row>
    <row r="32" spans="3:56" x14ac:dyDescent="0.25">
      <c r="Q32" s="127"/>
      <c r="R32" s="127"/>
      <c r="S32" s="127"/>
      <c r="T32" s="127"/>
      <c r="U32" s="133"/>
      <c r="X32" s="127"/>
      <c r="Y32" s="127"/>
      <c r="Z32" s="127"/>
      <c r="AA32" s="127"/>
      <c r="AB32" s="133"/>
      <c r="AE32" s="127"/>
      <c r="AF32" s="127"/>
      <c r="AG32" s="127"/>
      <c r="AH32" s="127"/>
      <c r="AI32" s="133"/>
      <c r="AL32" s="127"/>
      <c r="AM32" s="127"/>
      <c r="AN32" s="127"/>
      <c r="AO32" s="127"/>
      <c r="AP32" s="133"/>
      <c r="AS32" s="127"/>
      <c r="AT32" s="127"/>
      <c r="AU32" s="127"/>
      <c r="AV32" s="127"/>
      <c r="AW32" s="133"/>
      <c r="AZ32" s="127"/>
      <c r="BA32" s="127"/>
      <c r="BB32" s="127"/>
      <c r="BC32" s="127"/>
      <c r="BD32" s="133"/>
    </row>
    <row r="33" spans="17:56" x14ac:dyDescent="0.25">
      <c r="Q33" s="127"/>
      <c r="R33" s="127"/>
      <c r="S33" s="127"/>
      <c r="T33" s="127"/>
      <c r="U33" s="133"/>
      <c r="X33" s="127"/>
      <c r="Y33" s="127"/>
      <c r="Z33" s="127"/>
      <c r="AA33" s="127"/>
      <c r="AB33" s="133"/>
      <c r="AE33" s="127"/>
      <c r="AF33" s="127"/>
      <c r="AG33" s="127"/>
      <c r="AH33" s="127"/>
      <c r="AI33" s="133"/>
      <c r="AL33" s="127"/>
      <c r="AM33" s="127"/>
      <c r="AN33" s="127"/>
      <c r="AO33" s="127"/>
      <c r="AP33" s="133"/>
      <c r="AS33" s="127"/>
      <c r="AT33" s="127"/>
      <c r="AU33" s="127"/>
      <c r="AV33" s="127"/>
      <c r="AW33" s="133"/>
      <c r="AZ33" s="127"/>
      <c r="BA33" s="127"/>
      <c r="BB33" s="127"/>
      <c r="BC33" s="127"/>
      <c r="BD33" s="133"/>
    </row>
    <row r="34" spans="17:56" x14ac:dyDescent="0.25">
      <c r="Q34" s="127"/>
      <c r="R34" s="127"/>
      <c r="S34" s="127"/>
      <c r="T34" s="127"/>
      <c r="U34" s="133"/>
      <c r="X34" s="127"/>
      <c r="Y34" s="127"/>
      <c r="Z34" s="127"/>
      <c r="AA34" s="127"/>
      <c r="AB34" s="133"/>
      <c r="AE34" s="127"/>
      <c r="AF34" s="127"/>
      <c r="AG34" s="127"/>
      <c r="AH34" s="127"/>
      <c r="AI34" s="133"/>
      <c r="AL34" s="127"/>
      <c r="AM34" s="127"/>
      <c r="AN34" s="127"/>
      <c r="AO34" s="127"/>
      <c r="AP34" s="133"/>
      <c r="AS34" s="127"/>
      <c r="AT34" s="127"/>
      <c r="AU34" s="127"/>
      <c r="AV34" s="127"/>
      <c r="AW34" s="133"/>
      <c r="AZ34" s="127"/>
      <c r="BA34" s="127"/>
      <c r="BB34" s="127"/>
      <c r="BC34" s="127"/>
      <c r="BD34" s="133"/>
    </row>
    <row r="35" spans="17:56" x14ac:dyDescent="0.25">
      <c r="Q35" s="127"/>
      <c r="R35" s="127"/>
      <c r="S35" s="127"/>
      <c r="T35" s="127"/>
      <c r="U35" s="133"/>
      <c r="X35" s="127"/>
      <c r="Y35" s="127"/>
      <c r="Z35" s="127"/>
      <c r="AA35" s="127"/>
      <c r="AB35" s="133"/>
      <c r="AE35" s="127"/>
      <c r="AF35" s="127"/>
      <c r="AG35" s="127"/>
      <c r="AH35" s="127"/>
      <c r="AI35" s="133"/>
      <c r="AL35" s="127"/>
      <c r="AM35" s="127"/>
      <c r="AN35" s="127"/>
      <c r="AO35" s="127"/>
      <c r="AP35" s="133"/>
      <c r="AS35" s="127"/>
      <c r="AT35" s="127"/>
      <c r="AU35" s="127"/>
      <c r="AV35" s="127"/>
      <c r="AW35" s="133"/>
      <c r="AZ35" s="127"/>
      <c r="BA35" s="127"/>
      <c r="BB35" s="127"/>
      <c r="BC35" s="127"/>
      <c r="BD35" s="133"/>
    </row>
    <row r="36" spans="17:56" x14ac:dyDescent="0.25">
      <c r="Q36" s="127"/>
      <c r="R36" s="127"/>
      <c r="S36" s="127"/>
      <c r="T36" s="127"/>
      <c r="U36" s="133"/>
      <c r="X36" s="127"/>
      <c r="Y36" s="127"/>
      <c r="Z36" s="127"/>
      <c r="AA36" s="127"/>
      <c r="AB36" s="133"/>
      <c r="AE36" s="127"/>
      <c r="AF36" s="127"/>
      <c r="AG36" s="127"/>
      <c r="AH36" s="127"/>
      <c r="AI36" s="133"/>
      <c r="AL36" s="127"/>
      <c r="AM36" s="127"/>
      <c r="AN36" s="127"/>
      <c r="AO36" s="127"/>
      <c r="AP36" s="133"/>
      <c r="AS36" s="127"/>
      <c r="AT36" s="127"/>
      <c r="AU36" s="127"/>
      <c r="AV36" s="127"/>
      <c r="AW36" s="133"/>
      <c r="AZ36" s="127"/>
      <c r="BA36" s="127"/>
      <c r="BB36" s="127"/>
      <c r="BC36" s="127"/>
      <c r="BD36" s="133"/>
    </row>
    <row r="37" spans="17:56" x14ac:dyDescent="0.25">
      <c r="Q37" s="127"/>
      <c r="R37" s="127"/>
      <c r="S37" s="127"/>
      <c r="T37" s="127"/>
      <c r="U37" s="133"/>
      <c r="X37" s="127"/>
      <c r="Y37" s="127"/>
      <c r="Z37" s="127"/>
      <c r="AA37" s="127"/>
      <c r="AB37" s="133"/>
      <c r="AE37" s="127"/>
      <c r="AF37" s="127"/>
      <c r="AG37" s="127"/>
      <c r="AH37" s="127"/>
      <c r="AI37" s="133"/>
      <c r="AL37" s="127"/>
      <c r="AM37" s="127"/>
      <c r="AN37" s="127"/>
      <c r="AO37" s="127"/>
      <c r="AP37" s="133"/>
      <c r="AS37" s="127"/>
      <c r="AT37" s="127"/>
      <c r="AU37" s="127"/>
      <c r="AV37" s="127"/>
      <c r="AW37" s="133"/>
      <c r="AZ37" s="127"/>
      <c r="BA37" s="127"/>
      <c r="BB37" s="127"/>
      <c r="BC37" s="127"/>
      <c r="BD37" s="133"/>
    </row>
    <row r="38" spans="17:56" x14ac:dyDescent="0.25">
      <c r="Q38" s="127"/>
      <c r="R38" s="127"/>
      <c r="S38" s="127"/>
      <c r="T38" s="127"/>
      <c r="U38" s="133"/>
      <c r="X38" s="127"/>
      <c r="Y38" s="127"/>
      <c r="Z38" s="127"/>
      <c r="AA38" s="127"/>
      <c r="AB38" s="133"/>
      <c r="AE38" s="127"/>
      <c r="AF38" s="127"/>
      <c r="AG38" s="127"/>
      <c r="AH38" s="127"/>
      <c r="AI38" s="133"/>
      <c r="AL38" s="127"/>
      <c r="AM38" s="127"/>
      <c r="AN38" s="127"/>
      <c r="AO38" s="127"/>
      <c r="AP38" s="133"/>
      <c r="AS38" s="127"/>
      <c r="AT38" s="127"/>
      <c r="AU38" s="127"/>
      <c r="AV38" s="127"/>
      <c r="AW38" s="133"/>
      <c r="AZ38" s="127"/>
      <c r="BA38" s="127"/>
      <c r="BB38" s="127"/>
      <c r="BC38" s="127"/>
      <c r="BD38" s="133"/>
    </row>
    <row r="39" spans="17:56" x14ac:dyDescent="0.25">
      <c r="Q39" s="127"/>
      <c r="R39" s="127"/>
      <c r="S39" s="127"/>
      <c r="T39" s="127"/>
      <c r="U39" s="133"/>
      <c r="X39" s="127"/>
      <c r="Y39" s="127"/>
      <c r="Z39" s="127"/>
      <c r="AA39" s="127"/>
      <c r="AB39" s="133"/>
      <c r="AE39" s="127"/>
      <c r="AF39" s="127"/>
      <c r="AG39" s="127"/>
      <c r="AH39" s="127"/>
      <c r="AI39" s="133"/>
      <c r="AL39" s="127"/>
      <c r="AM39" s="127"/>
      <c r="AN39" s="127"/>
      <c r="AO39" s="127"/>
      <c r="AP39" s="133"/>
      <c r="AS39" s="127"/>
      <c r="AT39" s="127"/>
      <c r="AU39" s="127"/>
      <c r="AV39" s="127"/>
      <c r="AW39" s="133"/>
      <c r="AZ39" s="127"/>
      <c r="BA39" s="127"/>
      <c r="BB39" s="127"/>
      <c r="BC39" s="127"/>
      <c r="BD39" s="133"/>
    </row>
    <row r="40" spans="17:56" x14ac:dyDescent="0.25">
      <c r="Q40" s="127"/>
      <c r="R40" s="127"/>
      <c r="S40" s="127"/>
      <c r="T40" s="127"/>
      <c r="U40" s="133"/>
      <c r="X40" s="127"/>
      <c r="Y40" s="127"/>
      <c r="Z40" s="127"/>
      <c r="AA40" s="127"/>
      <c r="AB40" s="133"/>
      <c r="AE40" s="127"/>
      <c r="AF40" s="127"/>
      <c r="AG40" s="127"/>
      <c r="AH40" s="127"/>
      <c r="AI40" s="133"/>
      <c r="AL40" s="127"/>
      <c r="AM40" s="127"/>
      <c r="AN40" s="127"/>
      <c r="AO40" s="127"/>
      <c r="AP40" s="133"/>
      <c r="AS40" s="127"/>
      <c r="AT40" s="127"/>
      <c r="AU40" s="127"/>
      <c r="AV40" s="127"/>
      <c r="AW40" s="133"/>
      <c r="AZ40" s="127"/>
      <c r="BA40" s="127"/>
      <c r="BB40" s="127"/>
      <c r="BC40" s="127"/>
      <c r="BD40" s="133"/>
    </row>
    <row r="41" spans="17:56" x14ac:dyDescent="0.25">
      <c r="S41" s="127"/>
      <c r="T41" s="127"/>
      <c r="U41" s="127"/>
      <c r="Z41" s="127"/>
      <c r="AA41" s="127"/>
      <c r="AB41" s="127"/>
      <c r="AG41" s="127"/>
      <c r="AH41" s="127"/>
      <c r="AI41" s="127"/>
      <c r="AN41" s="127"/>
      <c r="AO41" s="127"/>
      <c r="AP41" s="127"/>
      <c r="AU41" s="127"/>
      <c r="AV41" s="127"/>
      <c r="AW41" s="127"/>
      <c r="BB41" s="127"/>
      <c r="BC41" s="127"/>
      <c r="BD41" s="12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R121"/>
  <sheetViews>
    <sheetView zoomScale="90" zoomScaleNormal="90" workbookViewId="0">
      <selection activeCell="D28" sqref="D28"/>
    </sheetView>
  </sheetViews>
  <sheetFormatPr baseColWidth="10" defaultRowHeight="15" x14ac:dyDescent="0.25"/>
  <cols>
    <col min="1" max="1" width="5.7109375" customWidth="1"/>
    <col min="2" max="2" width="3.85546875" customWidth="1"/>
    <col min="11" max="11" width="18" customWidth="1"/>
  </cols>
  <sheetData>
    <row r="1" spans="1:18" ht="15.75" x14ac:dyDescent="0.25">
      <c r="A1" s="116" t="s">
        <v>129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8"/>
      <c r="Q1" s="118"/>
      <c r="R1" s="118"/>
    </row>
    <row r="2" spans="1:18" x14ac:dyDescent="0.25">
      <c r="A2" s="117"/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8"/>
      <c r="Q2" s="118"/>
      <c r="R2" s="118"/>
    </row>
    <row r="3" spans="1:18" x14ac:dyDescent="0.25">
      <c r="A3" s="117"/>
      <c r="B3" s="117" t="s">
        <v>130</v>
      </c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8"/>
      <c r="Q3" s="118"/>
      <c r="R3" s="118"/>
    </row>
    <row r="4" spans="1:18" x14ac:dyDescent="0.25">
      <c r="A4" s="117"/>
      <c r="B4" s="117"/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8"/>
      <c r="Q4" s="118"/>
      <c r="R4" s="118"/>
    </row>
    <row r="5" spans="1:18" x14ac:dyDescent="0.25">
      <c r="A5" s="117"/>
      <c r="B5" s="119">
        <v>1</v>
      </c>
      <c r="C5" s="117" t="s">
        <v>131</v>
      </c>
      <c r="D5" s="117"/>
      <c r="E5" s="117"/>
      <c r="F5" s="117"/>
      <c r="G5" s="117"/>
      <c r="H5" s="117"/>
      <c r="I5" s="117"/>
      <c r="J5" s="117"/>
      <c r="K5" s="117"/>
      <c r="L5" s="117"/>
      <c r="M5" s="117"/>
      <c r="N5" s="117"/>
      <c r="O5" s="117"/>
      <c r="P5" s="118"/>
      <c r="Q5" s="118"/>
      <c r="R5" s="118"/>
    </row>
    <row r="6" spans="1:18" x14ac:dyDescent="0.25">
      <c r="A6" s="117"/>
      <c r="B6" s="117"/>
      <c r="C6" s="117" t="s">
        <v>178</v>
      </c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7"/>
      <c r="O6" s="117"/>
      <c r="P6" s="118"/>
      <c r="Q6" s="118"/>
      <c r="R6" s="118"/>
    </row>
    <row r="7" spans="1:18" x14ac:dyDescent="0.25">
      <c r="A7" s="117"/>
      <c r="B7" s="117"/>
      <c r="C7" s="117" t="s">
        <v>132</v>
      </c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  <c r="P7" s="118"/>
      <c r="Q7" s="118"/>
      <c r="R7" s="118"/>
    </row>
    <row r="8" spans="1:18" x14ac:dyDescent="0.25">
      <c r="A8" s="117"/>
      <c r="B8" s="117"/>
      <c r="C8" s="117"/>
      <c r="D8" s="117"/>
      <c r="E8" s="117"/>
      <c r="F8" s="117"/>
      <c r="G8" s="117"/>
      <c r="H8" s="117"/>
      <c r="I8" s="117"/>
      <c r="J8" s="117"/>
      <c r="K8" s="117"/>
      <c r="L8" s="117"/>
      <c r="M8" s="117"/>
      <c r="N8" s="117"/>
      <c r="O8" s="117"/>
      <c r="P8" s="118"/>
      <c r="Q8" s="118"/>
      <c r="R8" s="118"/>
    </row>
    <row r="9" spans="1:18" x14ac:dyDescent="0.25">
      <c r="A9" s="117"/>
      <c r="B9" s="117"/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  <c r="P9" s="118"/>
      <c r="Q9" s="118"/>
      <c r="R9" s="118"/>
    </row>
    <row r="10" spans="1:18" x14ac:dyDescent="0.25">
      <c r="A10" s="117"/>
      <c r="B10" s="117"/>
      <c r="C10" s="117"/>
      <c r="D10" s="117"/>
      <c r="E10" s="117"/>
      <c r="F10" s="117"/>
      <c r="G10" s="117"/>
      <c r="H10" s="117"/>
      <c r="I10" s="117"/>
      <c r="J10" s="117"/>
      <c r="K10" s="117"/>
      <c r="L10" s="117"/>
      <c r="M10" s="117"/>
      <c r="N10" s="117"/>
      <c r="O10" s="117"/>
      <c r="P10" s="118"/>
      <c r="Q10" s="118"/>
      <c r="R10" s="118"/>
    </row>
    <row r="11" spans="1:18" x14ac:dyDescent="0.25">
      <c r="A11" s="117"/>
      <c r="B11" s="117"/>
      <c r="C11" s="117"/>
      <c r="D11" s="117"/>
      <c r="E11" s="117"/>
      <c r="F11" s="117"/>
      <c r="G11" s="117"/>
      <c r="H11" s="117"/>
      <c r="I11" s="117"/>
      <c r="J11" s="117"/>
      <c r="K11" s="117"/>
      <c r="L11" s="117"/>
      <c r="M11" s="117"/>
      <c r="N11" s="117"/>
      <c r="O11" s="117"/>
      <c r="P11" s="118"/>
      <c r="Q11" s="118"/>
      <c r="R11" s="118"/>
    </row>
    <row r="12" spans="1:18" x14ac:dyDescent="0.25">
      <c r="A12" s="117"/>
      <c r="B12" s="117"/>
      <c r="C12" s="117"/>
      <c r="D12" s="117"/>
      <c r="E12" s="117"/>
      <c r="F12" s="117"/>
      <c r="G12" s="117"/>
      <c r="H12" s="117"/>
      <c r="I12" s="117"/>
      <c r="J12" s="117"/>
      <c r="K12" s="117"/>
      <c r="L12" s="117"/>
      <c r="M12" s="117"/>
      <c r="N12" s="117"/>
      <c r="O12" s="117"/>
      <c r="P12" s="118"/>
      <c r="Q12" s="118"/>
      <c r="R12" s="118"/>
    </row>
    <row r="13" spans="1:18" x14ac:dyDescent="0.25">
      <c r="A13" s="117"/>
      <c r="B13" s="117"/>
      <c r="C13" s="117"/>
      <c r="D13" s="117"/>
      <c r="E13" s="117"/>
      <c r="F13" s="117"/>
      <c r="G13" s="117"/>
      <c r="H13" s="117"/>
      <c r="I13" s="117"/>
      <c r="J13" s="117"/>
      <c r="K13" s="117"/>
      <c r="L13" s="117"/>
      <c r="M13" s="117"/>
      <c r="N13" s="117"/>
      <c r="O13" s="117"/>
      <c r="P13" s="118"/>
      <c r="Q13" s="118"/>
      <c r="R13" s="118"/>
    </row>
    <row r="14" spans="1:18" x14ac:dyDescent="0.25">
      <c r="A14" s="117"/>
      <c r="B14" s="117"/>
      <c r="C14" s="117"/>
      <c r="D14" s="117"/>
      <c r="E14" s="117"/>
      <c r="F14" s="117"/>
      <c r="G14" s="117"/>
      <c r="H14" s="117"/>
      <c r="I14" s="117"/>
      <c r="J14" s="117"/>
      <c r="K14" s="117"/>
      <c r="L14" s="117"/>
      <c r="M14" s="117"/>
      <c r="N14" s="117"/>
      <c r="O14" s="117"/>
      <c r="P14" s="118"/>
      <c r="Q14" s="118"/>
      <c r="R14" s="118"/>
    </row>
    <row r="15" spans="1:18" x14ac:dyDescent="0.25">
      <c r="A15" s="117"/>
      <c r="B15" s="117"/>
      <c r="C15" s="117"/>
      <c r="D15" s="117"/>
      <c r="E15" s="117"/>
      <c r="F15" s="117"/>
      <c r="G15" s="117"/>
      <c r="H15" s="117"/>
      <c r="I15" s="117"/>
      <c r="J15" s="117"/>
      <c r="K15" s="117"/>
      <c r="L15" s="117"/>
      <c r="M15" s="117"/>
      <c r="N15" s="117"/>
      <c r="O15" s="117"/>
      <c r="P15" s="118"/>
      <c r="Q15" s="118"/>
      <c r="R15" s="118"/>
    </row>
    <row r="16" spans="1:18" x14ac:dyDescent="0.25">
      <c r="A16" s="117"/>
      <c r="B16" s="117"/>
      <c r="C16" s="117"/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8"/>
      <c r="Q16" s="118"/>
      <c r="R16" s="118"/>
    </row>
    <row r="17" spans="1:18" x14ac:dyDescent="0.25">
      <c r="A17" s="117"/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8"/>
      <c r="Q17" s="118"/>
      <c r="R17" s="118"/>
    </row>
    <row r="18" spans="1:18" x14ac:dyDescent="0.25">
      <c r="A18" s="117"/>
      <c r="B18" s="117"/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8"/>
      <c r="Q18" s="118"/>
      <c r="R18" s="118"/>
    </row>
    <row r="19" spans="1:18" x14ac:dyDescent="0.25">
      <c r="A19" s="117"/>
      <c r="B19" s="117"/>
      <c r="C19" s="117"/>
      <c r="D19" s="117"/>
      <c r="E19" s="117"/>
      <c r="F19" s="117"/>
      <c r="G19" s="117"/>
      <c r="H19" s="117"/>
      <c r="I19" s="117"/>
      <c r="J19" s="117"/>
      <c r="K19" s="117"/>
      <c r="L19" s="117"/>
      <c r="M19" s="117"/>
      <c r="N19" s="117"/>
      <c r="O19" s="117"/>
      <c r="P19" s="118"/>
      <c r="Q19" s="118"/>
      <c r="R19" s="118"/>
    </row>
    <row r="20" spans="1:18" x14ac:dyDescent="0.25">
      <c r="A20" s="117"/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8"/>
      <c r="Q20" s="118"/>
      <c r="R20" s="118"/>
    </row>
    <row r="21" spans="1:18" x14ac:dyDescent="0.25">
      <c r="A21" s="117"/>
      <c r="B21" s="119">
        <v>2</v>
      </c>
      <c r="C21" s="117" t="s">
        <v>133</v>
      </c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8"/>
      <c r="Q21" s="118"/>
      <c r="R21" s="118"/>
    </row>
    <row r="22" spans="1:18" x14ac:dyDescent="0.25">
      <c r="A22" s="117"/>
      <c r="B22" s="119"/>
      <c r="C22" s="117" t="s">
        <v>134</v>
      </c>
      <c r="D22" s="117"/>
      <c r="E22" s="117"/>
      <c r="F22" s="117"/>
      <c r="G22" s="117"/>
      <c r="H22" s="117"/>
      <c r="I22" s="117"/>
      <c r="J22" s="117"/>
      <c r="K22" s="117"/>
      <c r="L22" s="117"/>
      <c r="M22" s="117"/>
      <c r="N22" s="117"/>
      <c r="O22" s="117"/>
      <c r="P22" s="118"/>
      <c r="Q22" s="118"/>
      <c r="R22" s="118"/>
    </row>
    <row r="23" spans="1:18" x14ac:dyDescent="0.25">
      <c r="A23" s="117"/>
      <c r="B23" s="119"/>
      <c r="C23" s="117"/>
      <c r="D23" s="117"/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8"/>
      <c r="Q23" s="118"/>
      <c r="R23" s="118"/>
    </row>
    <row r="24" spans="1:18" x14ac:dyDescent="0.25">
      <c r="A24" s="117"/>
      <c r="B24" s="119">
        <v>3</v>
      </c>
      <c r="C24" s="117" t="s">
        <v>135</v>
      </c>
      <c r="D24" s="117"/>
      <c r="E24" s="117"/>
      <c r="F24" s="117"/>
      <c r="G24" s="117"/>
      <c r="H24" s="117"/>
      <c r="I24" s="117"/>
      <c r="J24" s="117"/>
      <c r="K24" s="117"/>
      <c r="L24" s="117"/>
      <c r="M24" s="117"/>
      <c r="N24" s="117"/>
      <c r="O24" s="117"/>
      <c r="P24" s="118"/>
      <c r="Q24" s="118"/>
      <c r="R24" s="118"/>
    </row>
    <row r="25" spans="1:18" x14ac:dyDescent="0.25">
      <c r="A25" s="117"/>
      <c r="B25" s="119"/>
      <c r="C25" s="117" t="s">
        <v>136</v>
      </c>
      <c r="D25" s="117"/>
      <c r="E25" s="117"/>
      <c r="F25" s="117"/>
      <c r="G25" s="117"/>
      <c r="H25" s="117"/>
      <c r="I25" s="117"/>
      <c r="J25" s="117"/>
      <c r="K25" s="117"/>
      <c r="L25" s="117"/>
      <c r="M25" s="117"/>
      <c r="N25" s="117"/>
      <c r="O25" s="117"/>
      <c r="P25" s="118"/>
      <c r="Q25" s="118"/>
      <c r="R25" s="118"/>
    </row>
    <row r="26" spans="1:18" x14ac:dyDescent="0.25">
      <c r="A26" s="117"/>
      <c r="B26" s="119"/>
      <c r="C26" s="117"/>
      <c r="D26" s="117"/>
      <c r="E26" s="117"/>
      <c r="F26" s="117"/>
      <c r="G26" s="117"/>
      <c r="H26" s="117"/>
      <c r="I26" s="117"/>
      <c r="J26" s="117"/>
      <c r="K26" s="117"/>
      <c r="L26" s="117"/>
      <c r="M26" s="117"/>
      <c r="N26" s="117"/>
      <c r="O26" s="117"/>
      <c r="P26" s="118"/>
      <c r="Q26" s="118"/>
      <c r="R26" s="118"/>
    </row>
    <row r="27" spans="1:18" x14ac:dyDescent="0.25">
      <c r="A27" s="117"/>
      <c r="B27" s="119">
        <v>4</v>
      </c>
      <c r="C27" s="117" t="s">
        <v>137</v>
      </c>
      <c r="D27" s="117"/>
      <c r="E27" s="117"/>
      <c r="F27" s="117"/>
      <c r="G27" s="117"/>
      <c r="H27" s="117"/>
      <c r="I27" s="117"/>
      <c r="J27" s="117"/>
      <c r="K27" s="117"/>
      <c r="L27" s="117"/>
      <c r="M27" s="117"/>
      <c r="N27" s="117"/>
      <c r="O27" s="117"/>
      <c r="P27" s="118"/>
      <c r="Q27" s="118"/>
      <c r="R27" s="118"/>
    </row>
    <row r="28" spans="1:18" x14ac:dyDescent="0.25">
      <c r="A28" s="117"/>
      <c r="B28" s="117"/>
      <c r="C28" s="117" t="s">
        <v>138</v>
      </c>
      <c r="D28" s="117"/>
      <c r="E28" s="117"/>
      <c r="F28" s="117"/>
      <c r="G28" s="117"/>
      <c r="H28" s="117"/>
      <c r="I28" s="117"/>
      <c r="J28" s="117"/>
      <c r="K28" s="117"/>
      <c r="L28" s="117"/>
      <c r="M28" s="117"/>
      <c r="N28" s="117"/>
      <c r="O28" s="117"/>
      <c r="P28" s="118"/>
      <c r="Q28" s="118"/>
      <c r="R28" s="118"/>
    </row>
    <row r="29" spans="1:18" x14ac:dyDescent="0.25">
      <c r="A29" s="117"/>
      <c r="B29" s="117"/>
      <c r="C29" s="117" t="s">
        <v>139</v>
      </c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17"/>
      <c r="P29" s="118"/>
      <c r="Q29" s="118"/>
      <c r="R29" s="118"/>
    </row>
    <row r="30" spans="1:18" x14ac:dyDescent="0.25">
      <c r="A30" s="117"/>
      <c r="B30" s="117"/>
      <c r="C30" s="117"/>
      <c r="D30" s="117"/>
      <c r="E30" s="117"/>
      <c r="F30" s="117"/>
      <c r="G30" s="117"/>
      <c r="H30" s="117"/>
      <c r="I30" s="117"/>
      <c r="J30" s="117"/>
      <c r="K30" s="117"/>
      <c r="L30" s="117"/>
      <c r="M30" s="117"/>
      <c r="N30" s="117"/>
      <c r="O30" s="117"/>
      <c r="P30" s="118"/>
      <c r="Q30" s="118"/>
      <c r="R30" s="118"/>
    </row>
    <row r="31" spans="1:18" x14ac:dyDescent="0.25">
      <c r="A31" s="117"/>
      <c r="B31" s="117"/>
      <c r="C31" s="117"/>
      <c r="D31" s="117"/>
      <c r="E31" s="117"/>
      <c r="F31" s="117"/>
      <c r="G31" s="117"/>
      <c r="H31" s="117"/>
      <c r="I31" s="117"/>
      <c r="J31" s="117"/>
      <c r="K31" s="117"/>
      <c r="L31" s="117"/>
      <c r="M31" s="117"/>
      <c r="N31" s="117"/>
      <c r="O31" s="117"/>
      <c r="P31" s="118"/>
      <c r="Q31" s="118"/>
      <c r="R31" s="118"/>
    </row>
    <row r="32" spans="1:18" x14ac:dyDescent="0.25">
      <c r="A32" s="117"/>
      <c r="B32" s="117"/>
      <c r="C32" s="117"/>
      <c r="D32" s="117"/>
      <c r="E32" s="117"/>
      <c r="F32" s="117"/>
      <c r="G32" s="117"/>
      <c r="H32" s="117"/>
      <c r="I32" s="117"/>
      <c r="J32" s="117"/>
      <c r="K32" s="117"/>
      <c r="L32" s="117"/>
      <c r="M32" s="117"/>
      <c r="N32" s="117"/>
      <c r="O32" s="117"/>
      <c r="P32" s="118"/>
      <c r="Q32" s="118"/>
      <c r="R32" s="118"/>
    </row>
    <row r="33" spans="1:18" x14ac:dyDescent="0.25">
      <c r="A33" s="117"/>
      <c r="B33" s="117"/>
      <c r="C33" s="117"/>
      <c r="D33" s="117"/>
      <c r="E33" s="117"/>
      <c r="F33" s="117"/>
      <c r="G33" s="117"/>
      <c r="H33" s="117"/>
      <c r="I33" s="117"/>
      <c r="J33" s="117"/>
      <c r="K33" s="117"/>
      <c r="L33" s="117"/>
      <c r="M33" s="117"/>
      <c r="N33" s="117"/>
      <c r="O33" s="117"/>
      <c r="P33" s="118"/>
      <c r="Q33" s="118"/>
      <c r="R33" s="118"/>
    </row>
    <row r="34" spans="1:18" x14ac:dyDescent="0.25">
      <c r="A34" s="117"/>
      <c r="B34" s="117"/>
      <c r="C34" s="117"/>
      <c r="D34" s="117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8"/>
      <c r="Q34" s="118"/>
      <c r="R34" s="118"/>
    </row>
    <row r="35" spans="1:18" x14ac:dyDescent="0.25">
      <c r="A35" s="117"/>
      <c r="B35" s="117"/>
      <c r="C35" s="117"/>
      <c r="D35" s="117"/>
      <c r="E35" s="117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8"/>
      <c r="Q35" s="118"/>
      <c r="R35" s="118"/>
    </row>
    <row r="36" spans="1:18" x14ac:dyDescent="0.25">
      <c r="A36" s="117"/>
      <c r="B36" s="117"/>
      <c r="C36" s="117"/>
      <c r="D36" s="117"/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17"/>
      <c r="P36" s="118"/>
      <c r="Q36" s="118"/>
      <c r="R36" s="118"/>
    </row>
    <row r="37" spans="1:18" x14ac:dyDescent="0.25">
      <c r="A37" s="117"/>
      <c r="B37" s="117"/>
      <c r="C37" s="117"/>
      <c r="D37" s="117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8"/>
      <c r="Q37" s="118"/>
      <c r="R37" s="118"/>
    </row>
    <row r="38" spans="1:18" x14ac:dyDescent="0.25">
      <c r="A38" s="117"/>
      <c r="B38" s="117"/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8"/>
      <c r="Q38" s="118"/>
      <c r="R38" s="118"/>
    </row>
    <row r="39" spans="1:18" x14ac:dyDescent="0.25">
      <c r="A39" s="117"/>
      <c r="B39" s="117"/>
      <c r="C39" s="117"/>
      <c r="D39" s="117"/>
      <c r="E39" s="117"/>
      <c r="F39" s="117"/>
      <c r="G39" s="117"/>
      <c r="H39" s="117"/>
      <c r="I39" s="117"/>
      <c r="J39" s="117"/>
      <c r="K39" s="117"/>
      <c r="L39" s="117"/>
      <c r="M39" s="117"/>
      <c r="N39" s="117"/>
      <c r="O39" s="117"/>
      <c r="P39" s="118"/>
      <c r="Q39" s="118"/>
      <c r="R39" s="118"/>
    </row>
    <row r="40" spans="1:18" x14ac:dyDescent="0.25">
      <c r="A40" s="117"/>
      <c r="B40" s="117"/>
      <c r="C40" s="117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8"/>
      <c r="Q40" s="118"/>
      <c r="R40" s="118"/>
    </row>
    <row r="41" spans="1:18" x14ac:dyDescent="0.25">
      <c r="A41" s="117"/>
      <c r="B41" s="117"/>
      <c r="C41" s="117"/>
      <c r="D41" s="117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118"/>
      <c r="Q41" s="118"/>
      <c r="R41" s="118"/>
    </row>
    <row r="42" spans="1:18" x14ac:dyDescent="0.25">
      <c r="A42" s="117"/>
      <c r="B42" s="117"/>
      <c r="C42" s="117"/>
      <c r="D42" s="117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8"/>
      <c r="Q42" s="118"/>
      <c r="R42" s="118"/>
    </row>
    <row r="43" spans="1:18" x14ac:dyDescent="0.25">
      <c r="A43" s="117"/>
      <c r="B43" s="117"/>
      <c r="C43" s="117"/>
      <c r="D43" s="117"/>
      <c r="E43" s="117"/>
      <c r="F43" s="117"/>
      <c r="G43" s="117"/>
      <c r="H43" s="117"/>
      <c r="I43" s="117"/>
      <c r="J43" s="117"/>
      <c r="K43" s="117"/>
      <c r="L43" s="117"/>
      <c r="M43" s="117"/>
      <c r="N43" s="117"/>
      <c r="O43" s="117"/>
      <c r="P43" s="118"/>
      <c r="Q43" s="118"/>
      <c r="R43" s="118"/>
    </row>
    <row r="44" spans="1:18" x14ac:dyDescent="0.25">
      <c r="A44" s="117"/>
      <c r="B44" s="117"/>
      <c r="C44" s="117" t="s">
        <v>140</v>
      </c>
      <c r="D44" s="117"/>
      <c r="E44" s="117"/>
      <c r="F44" s="117"/>
      <c r="G44" s="117"/>
      <c r="H44" s="117"/>
      <c r="I44" s="117"/>
      <c r="J44" s="117"/>
      <c r="K44" s="117"/>
      <c r="L44" s="117"/>
      <c r="M44" s="117"/>
      <c r="N44" s="117"/>
      <c r="O44" s="117"/>
      <c r="P44" s="118"/>
      <c r="Q44" s="118"/>
      <c r="R44" s="118"/>
    </row>
    <row r="45" spans="1:18" x14ac:dyDescent="0.25">
      <c r="A45" s="117"/>
      <c r="B45" s="117"/>
      <c r="C45" s="117" t="s">
        <v>141</v>
      </c>
      <c r="D45" s="117"/>
      <c r="E45" s="117"/>
      <c r="F45" s="117"/>
      <c r="G45" s="117"/>
      <c r="H45" s="117"/>
      <c r="I45" s="117"/>
      <c r="J45" s="117"/>
      <c r="K45" s="117"/>
      <c r="L45" s="117"/>
      <c r="M45" s="117"/>
      <c r="N45" s="117"/>
      <c r="O45" s="117"/>
      <c r="P45" s="118"/>
      <c r="Q45" s="118"/>
      <c r="R45" s="118"/>
    </row>
    <row r="46" spans="1:18" x14ac:dyDescent="0.25">
      <c r="A46" s="117"/>
      <c r="B46" s="117"/>
      <c r="C46" s="117" t="s">
        <v>142</v>
      </c>
      <c r="D46" s="117"/>
      <c r="E46" s="117"/>
      <c r="F46" s="117"/>
      <c r="G46" s="117"/>
      <c r="H46" s="117"/>
      <c r="I46" s="117"/>
      <c r="J46" s="117"/>
      <c r="K46" s="117"/>
      <c r="L46" s="117"/>
      <c r="M46" s="117"/>
      <c r="N46" s="117"/>
      <c r="O46" s="117"/>
      <c r="P46" s="118"/>
      <c r="Q46" s="118"/>
      <c r="R46" s="118"/>
    </row>
    <row r="47" spans="1:18" x14ac:dyDescent="0.25">
      <c r="A47" s="117"/>
      <c r="B47" s="117"/>
      <c r="C47" s="117" t="s">
        <v>143</v>
      </c>
      <c r="D47" s="117"/>
      <c r="E47" s="117"/>
      <c r="F47" s="117"/>
      <c r="G47" s="117"/>
      <c r="H47" s="117"/>
      <c r="I47" s="117"/>
      <c r="J47" s="117"/>
      <c r="K47" s="117"/>
      <c r="L47" s="117"/>
      <c r="M47" s="117"/>
      <c r="N47" s="117"/>
      <c r="O47" s="117"/>
      <c r="P47" s="118"/>
      <c r="Q47" s="118"/>
      <c r="R47" s="118"/>
    </row>
    <row r="48" spans="1:18" x14ac:dyDescent="0.25">
      <c r="A48" s="117"/>
      <c r="B48" s="117"/>
      <c r="C48" s="117"/>
      <c r="D48" s="117"/>
      <c r="E48" s="117"/>
      <c r="F48" s="117"/>
      <c r="G48" s="117"/>
      <c r="H48" s="117"/>
      <c r="I48" s="117"/>
      <c r="J48" s="117"/>
      <c r="K48" s="117"/>
      <c r="L48" s="117"/>
      <c r="M48" s="117"/>
      <c r="N48" s="117"/>
      <c r="O48" s="117"/>
      <c r="P48" s="118"/>
      <c r="Q48" s="118"/>
      <c r="R48" s="118"/>
    </row>
    <row r="49" spans="1:18" x14ac:dyDescent="0.25">
      <c r="A49" s="117"/>
      <c r="B49" s="119">
        <v>5</v>
      </c>
      <c r="C49" s="117" t="s">
        <v>146</v>
      </c>
      <c r="D49" s="117"/>
      <c r="E49" s="117"/>
      <c r="F49" s="117"/>
      <c r="G49" s="117"/>
      <c r="H49" s="117"/>
      <c r="I49" s="117"/>
      <c r="J49" s="117"/>
      <c r="K49" s="117"/>
      <c r="L49" s="117"/>
      <c r="M49" s="117"/>
      <c r="N49" s="117"/>
      <c r="O49" s="117"/>
      <c r="P49" s="118"/>
      <c r="Q49" s="118"/>
      <c r="R49" s="118"/>
    </row>
    <row r="50" spans="1:18" x14ac:dyDescent="0.25">
      <c r="A50" s="117"/>
      <c r="B50" s="117"/>
      <c r="C50" s="117" t="s">
        <v>147</v>
      </c>
      <c r="D50" s="117"/>
      <c r="E50" s="117"/>
      <c r="F50" s="117"/>
      <c r="G50" s="117"/>
      <c r="H50" s="117"/>
      <c r="I50" s="117"/>
      <c r="J50" s="117"/>
      <c r="K50" s="117"/>
      <c r="L50" s="117"/>
      <c r="M50" s="117"/>
      <c r="N50" s="117"/>
      <c r="O50" s="117"/>
      <c r="P50" s="118"/>
      <c r="Q50" s="118"/>
      <c r="R50" s="118"/>
    </row>
    <row r="51" spans="1:18" x14ac:dyDescent="0.25">
      <c r="A51" s="117"/>
      <c r="B51" s="117"/>
      <c r="C51" s="117"/>
      <c r="D51" s="117"/>
      <c r="E51" s="117"/>
      <c r="F51" s="117"/>
      <c r="G51" s="117"/>
      <c r="H51" s="117"/>
      <c r="I51" s="117"/>
      <c r="J51" s="117"/>
      <c r="K51" s="117"/>
      <c r="L51" s="117"/>
      <c r="M51" s="117"/>
      <c r="N51" s="117"/>
      <c r="O51" s="117"/>
      <c r="P51" s="118"/>
      <c r="Q51" s="118"/>
      <c r="R51" s="118"/>
    </row>
    <row r="52" spans="1:18" x14ac:dyDescent="0.25">
      <c r="A52" s="117"/>
      <c r="B52" s="117"/>
      <c r="C52" s="117"/>
      <c r="D52" s="117"/>
      <c r="E52" s="117"/>
      <c r="F52" s="117"/>
      <c r="G52" s="117"/>
      <c r="H52" s="117"/>
      <c r="I52" s="117"/>
      <c r="J52" s="117"/>
      <c r="K52" s="117"/>
      <c r="L52" s="117"/>
      <c r="M52" s="117"/>
      <c r="N52" s="117"/>
      <c r="O52" s="117"/>
      <c r="P52" s="118"/>
      <c r="Q52" s="118"/>
      <c r="R52" s="118"/>
    </row>
    <row r="53" spans="1:18" x14ac:dyDescent="0.25">
      <c r="A53" s="117"/>
      <c r="B53" s="117"/>
      <c r="C53" s="117"/>
      <c r="D53" s="117"/>
      <c r="E53" s="117"/>
      <c r="F53" s="117"/>
      <c r="G53" s="117"/>
      <c r="H53" s="117"/>
      <c r="I53" s="117"/>
      <c r="J53" s="117"/>
      <c r="K53" s="117"/>
      <c r="L53" s="120" t="s">
        <v>148</v>
      </c>
      <c r="M53" s="117"/>
      <c r="N53" s="117"/>
      <c r="O53" s="120"/>
      <c r="P53" s="118"/>
      <c r="Q53" s="118"/>
      <c r="R53" s="118"/>
    </row>
    <row r="54" spans="1:18" x14ac:dyDescent="0.25">
      <c r="A54" s="117"/>
      <c r="B54" s="117"/>
      <c r="C54" s="117"/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8"/>
      <c r="Q54" s="118"/>
      <c r="R54" s="118"/>
    </row>
    <row r="55" spans="1:18" x14ac:dyDescent="0.25">
      <c r="A55" s="117"/>
      <c r="B55" s="117"/>
      <c r="C55" s="117"/>
      <c r="D55" s="117"/>
      <c r="E55" s="117"/>
      <c r="F55" s="117"/>
      <c r="G55" s="117"/>
      <c r="H55" s="117"/>
      <c r="I55" s="117"/>
      <c r="J55" s="117"/>
      <c r="K55" s="121">
        <v>1</v>
      </c>
      <c r="L55" s="117" t="s">
        <v>149</v>
      </c>
      <c r="M55" s="117"/>
      <c r="N55" s="121"/>
      <c r="O55" s="117"/>
      <c r="P55" s="118"/>
      <c r="Q55" s="118"/>
      <c r="R55" s="118"/>
    </row>
    <row r="56" spans="1:18" x14ac:dyDescent="0.25">
      <c r="A56" s="117"/>
      <c r="B56" s="117"/>
      <c r="C56" s="117"/>
      <c r="D56" s="117"/>
      <c r="E56" s="117"/>
      <c r="F56" s="117"/>
      <c r="G56" s="117"/>
      <c r="H56" s="117"/>
      <c r="I56" s="117"/>
      <c r="J56" s="117"/>
      <c r="K56" s="121"/>
      <c r="L56" s="117" t="s">
        <v>150</v>
      </c>
      <c r="M56" s="117"/>
      <c r="N56" s="121"/>
      <c r="O56" s="117"/>
      <c r="P56" s="118"/>
      <c r="Q56" s="118"/>
      <c r="R56" s="118"/>
    </row>
    <row r="57" spans="1:18" x14ac:dyDescent="0.25">
      <c r="A57" s="117"/>
      <c r="B57" s="117"/>
      <c r="C57" s="117"/>
      <c r="D57" s="117"/>
      <c r="E57" s="117"/>
      <c r="F57" s="117"/>
      <c r="G57" s="117"/>
      <c r="H57" s="117"/>
      <c r="I57" s="117"/>
      <c r="J57" s="117"/>
      <c r="K57" s="121">
        <v>2</v>
      </c>
      <c r="L57" s="117" t="s">
        <v>151</v>
      </c>
      <c r="M57" s="117"/>
      <c r="N57" s="121"/>
      <c r="O57" s="117"/>
      <c r="P57" s="118"/>
      <c r="Q57" s="118"/>
      <c r="R57" s="118"/>
    </row>
    <row r="58" spans="1:18" x14ac:dyDescent="0.25">
      <c r="A58" s="117"/>
      <c r="B58" s="117"/>
      <c r="C58" s="117"/>
      <c r="D58" s="117"/>
      <c r="E58" s="117"/>
      <c r="F58" s="117"/>
      <c r="G58" s="117"/>
      <c r="H58" s="117"/>
      <c r="I58" s="117"/>
      <c r="J58" s="117"/>
      <c r="K58" s="121"/>
      <c r="L58" s="117" t="s">
        <v>152</v>
      </c>
      <c r="M58" s="117"/>
      <c r="N58" s="121"/>
      <c r="O58" s="117"/>
      <c r="P58" s="118"/>
      <c r="Q58" s="118"/>
      <c r="R58" s="118"/>
    </row>
    <row r="59" spans="1:18" x14ac:dyDescent="0.25">
      <c r="A59" s="117"/>
      <c r="B59" s="117"/>
      <c r="C59" s="117"/>
      <c r="D59" s="117"/>
      <c r="E59" s="117"/>
      <c r="F59" s="117"/>
      <c r="G59" s="117"/>
      <c r="H59" s="117"/>
      <c r="I59" s="117"/>
      <c r="J59" s="117"/>
      <c r="K59" s="121">
        <v>3</v>
      </c>
      <c r="L59" s="117" t="s">
        <v>153</v>
      </c>
      <c r="M59" s="117"/>
      <c r="N59" s="121"/>
      <c r="O59" s="117"/>
      <c r="P59" s="118"/>
      <c r="Q59" s="118"/>
      <c r="R59" s="118"/>
    </row>
    <row r="60" spans="1:18" x14ac:dyDescent="0.25">
      <c r="A60" s="117"/>
      <c r="B60" s="117"/>
      <c r="C60" s="117"/>
      <c r="D60" s="117"/>
      <c r="E60" s="117"/>
      <c r="F60" s="117"/>
      <c r="G60" s="117"/>
      <c r="H60" s="117"/>
      <c r="I60" s="117"/>
      <c r="J60" s="117"/>
      <c r="K60" s="121">
        <v>4</v>
      </c>
      <c r="L60" s="117" t="s">
        <v>154</v>
      </c>
      <c r="M60" s="117"/>
      <c r="N60" s="121"/>
      <c r="O60" s="117"/>
      <c r="P60" s="118"/>
      <c r="Q60" s="118"/>
      <c r="R60" s="118"/>
    </row>
    <row r="61" spans="1:18" x14ac:dyDescent="0.25">
      <c r="A61" s="117"/>
      <c r="B61" s="117"/>
      <c r="C61" s="117"/>
      <c r="D61" s="117"/>
      <c r="E61" s="117"/>
      <c r="F61" s="117"/>
      <c r="G61" s="117"/>
      <c r="H61" s="117"/>
      <c r="I61" s="117"/>
      <c r="J61" s="117"/>
      <c r="K61" s="121">
        <v>5</v>
      </c>
      <c r="L61" s="117" t="s">
        <v>155</v>
      </c>
      <c r="M61" s="117"/>
      <c r="N61" s="121"/>
      <c r="O61" s="117"/>
      <c r="P61" s="118"/>
      <c r="Q61" s="118"/>
      <c r="R61" s="118"/>
    </row>
    <row r="62" spans="1:18" x14ac:dyDescent="0.25">
      <c r="A62" s="117"/>
      <c r="B62" s="117"/>
      <c r="C62" s="117"/>
      <c r="D62" s="117"/>
      <c r="E62" s="117"/>
      <c r="F62" s="117"/>
      <c r="G62" s="117"/>
      <c r="H62" s="117"/>
      <c r="I62" s="117"/>
      <c r="J62" s="117"/>
      <c r="K62" s="121">
        <v>6</v>
      </c>
      <c r="L62" s="117" t="s">
        <v>156</v>
      </c>
      <c r="M62" s="117"/>
      <c r="N62" s="121"/>
      <c r="O62" s="117"/>
      <c r="P62" s="118"/>
      <c r="Q62" s="118"/>
      <c r="R62" s="118"/>
    </row>
    <row r="63" spans="1:18" x14ac:dyDescent="0.25">
      <c r="A63" s="117"/>
      <c r="B63" s="117"/>
      <c r="C63" s="117"/>
      <c r="D63" s="117"/>
      <c r="E63" s="117"/>
      <c r="F63" s="117"/>
      <c r="G63" s="117"/>
      <c r="H63" s="117"/>
      <c r="I63" s="117"/>
      <c r="J63" s="117"/>
      <c r="K63" s="121">
        <v>7</v>
      </c>
      <c r="L63" s="117" t="s">
        <v>157</v>
      </c>
      <c r="M63" s="117"/>
      <c r="N63" s="121"/>
      <c r="O63" s="117"/>
      <c r="P63" s="118"/>
      <c r="Q63" s="118"/>
      <c r="R63" s="118"/>
    </row>
    <row r="64" spans="1:18" x14ac:dyDescent="0.25">
      <c r="A64" s="117"/>
      <c r="B64" s="117"/>
      <c r="C64" s="117"/>
      <c r="D64" s="117"/>
      <c r="E64" s="117"/>
      <c r="F64" s="117"/>
      <c r="G64" s="117"/>
      <c r="H64" s="117"/>
      <c r="I64" s="117"/>
      <c r="J64" s="117"/>
      <c r="K64" s="117"/>
      <c r="L64" s="117"/>
      <c r="M64" s="117"/>
      <c r="N64" s="117"/>
      <c r="O64" s="117"/>
      <c r="P64" s="118"/>
      <c r="Q64" s="118"/>
      <c r="R64" s="118"/>
    </row>
    <row r="65" spans="1:18" x14ac:dyDescent="0.25">
      <c r="A65" s="117"/>
      <c r="B65" s="117"/>
      <c r="C65" s="117"/>
      <c r="D65" s="117"/>
      <c r="E65" s="117"/>
      <c r="F65" s="117"/>
      <c r="G65" s="117"/>
      <c r="H65" s="117"/>
      <c r="I65" s="117"/>
      <c r="J65" s="117"/>
      <c r="K65" s="117"/>
      <c r="L65" s="117"/>
      <c r="M65" s="117"/>
      <c r="N65" s="117"/>
      <c r="O65" s="117"/>
      <c r="P65" s="118"/>
      <c r="Q65" s="118"/>
      <c r="R65" s="118"/>
    </row>
    <row r="66" spans="1:18" x14ac:dyDescent="0.25">
      <c r="A66" s="117"/>
      <c r="B66" s="117"/>
      <c r="C66" s="117"/>
      <c r="D66" s="117"/>
      <c r="E66" s="117"/>
      <c r="F66" s="117"/>
      <c r="G66" s="117"/>
      <c r="H66" s="117"/>
      <c r="I66" s="117"/>
      <c r="J66" s="117"/>
      <c r="K66" s="117"/>
      <c r="L66" s="117"/>
      <c r="M66" s="117"/>
      <c r="N66" s="117"/>
      <c r="O66" s="117"/>
      <c r="P66" s="118"/>
      <c r="Q66" s="118"/>
      <c r="R66" s="118"/>
    </row>
    <row r="67" spans="1:18" x14ac:dyDescent="0.25">
      <c r="A67" s="117"/>
      <c r="B67" s="117"/>
      <c r="C67" s="117"/>
      <c r="D67" s="117"/>
      <c r="E67" s="117"/>
      <c r="F67" s="117"/>
      <c r="G67" s="117"/>
      <c r="H67" s="117"/>
      <c r="I67" s="117"/>
      <c r="J67" s="117"/>
      <c r="K67" s="117"/>
      <c r="L67" s="117"/>
      <c r="M67" s="117"/>
      <c r="N67" s="117"/>
      <c r="O67" s="117"/>
      <c r="P67" s="118"/>
      <c r="Q67" s="118"/>
      <c r="R67" s="118"/>
    </row>
    <row r="68" spans="1:18" x14ac:dyDescent="0.25">
      <c r="A68" s="117"/>
      <c r="B68" s="117"/>
      <c r="C68" s="117"/>
      <c r="D68" s="117"/>
      <c r="E68" s="117"/>
      <c r="F68" s="117"/>
      <c r="G68" s="117"/>
      <c r="H68" s="117"/>
      <c r="I68" s="117"/>
      <c r="J68" s="117"/>
      <c r="K68" s="117"/>
      <c r="L68" s="117"/>
      <c r="M68" s="117"/>
      <c r="N68" s="117"/>
      <c r="O68" s="117"/>
      <c r="P68" s="118"/>
      <c r="Q68" s="118"/>
      <c r="R68" s="118"/>
    </row>
    <row r="69" spans="1:18" x14ac:dyDescent="0.25">
      <c r="A69" s="117"/>
      <c r="B69" s="117"/>
      <c r="C69" s="117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  <c r="P69" s="118"/>
      <c r="Q69" s="118"/>
      <c r="R69" s="118"/>
    </row>
    <row r="70" spans="1:18" x14ac:dyDescent="0.25">
      <c r="A70" s="117"/>
      <c r="B70" s="117"/>
      <c r="C70" s="117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8"/>
      <c r="Q70" s="118"/>
      <c r="R70" s="118"/>
    </row>
    <row r="71" spans="1:18" x14ac:dyDescent="0.25">
      <c r="A71" s="117"/>
      <c r="B71" s="117"/>
      <c r="C71" s="117"/>
      <c r="D71" s="117"/>
      <c r="E71" s="117"/>
      <c r="F71" s="117"/>
      <c r="G71" s="117"/>
      <c r="H71" s="117"/>
      <c r="I71" s="117"/>
      <c r="J71" s="117"/>
      <c r="K71" s="117"/>
      <c r="L71" s="117"/>
      <c r="M71" s="117"/>
      <c r="N71" s="117"/>
      <c r="O71" s="117"/>
      <c r="P71" s="118"/>
      <c r="Q71" s="118"/>
      <c r="R71" s="118"/>
    </row>
    <row r="72" spans="1:18" x14ac:dyDescent="0.25">
      <c r="A72" s="117"/>
      <c r="B72" s="117"/>
      <c r="C72" s="117"/>
      <c r="D72" s="117"/>
      <c r="E72" s="117"/>
      <c r="F72" s="117"/>
      <c r="G72" s="117"/>
      <c r="H72" s="117"/>
      <c r="I72" s="117"/>
      <c r="J72" s="117"/>
      <c r="K72" s="117"/>
      <c r="L72" s="117"/>
      <c r="M72" s="117"/>
      <c r="N72" s="117"/>
      <c r="O72" s="117"/>
      <c r="P72" s="118"/>
      <c r="Q72" s="118"/>
      <c r="R72" s="118"/>
    </row>
    <row r="73" spans="1:18" x14ac:dyDescent="0.25">
      <c r="A73" s="117"/>
      <c r="B73" s="117"/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  <c r="P73" s="118"/>
      <c r="Q73" s="118"/>
      <c r="R73" s="118"/>
    </row>
    <row r="74" spans="1:18" x14ac:dyDescent="0.25">
      <c r="A74" s="117"/>
      <c r="B74" s="117"/>
      <c r="C74" s="117"/>
      <c r="D74" s="117"/>
      <c r="E74" s="117"/>
      <c r="F74" s="117"/>
      <c r="G74" s="117"/>
      <c r="H74" s="117"/>
      <c r="I74" s="117"/>
      <c r="J74" s="117"/>
      <c r="K74" s="117"/>
      <c r="L74" s="117"/>
      <c r="M74" s="117"/>
      <c r="N74" s="117"/>
      <c r="O74" s="117"/>
      <c r="P74" s="118"/>
      <c r="Q74" s="118"/>
      <c r="R74" s="118"/>
    </row>
    <row r="75" spans="1:18" x14ac:dyDescent="0.25">
      <c r="A75" s="117"/>
      <c r="B75" s="117"/>
      <c r="C75" s="117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  <c r="P75" s="118"/>
      <c r="Q75" s="118"/>
      <c r="R75" s="118"/>
    </row>
    <row r="76" spans="1:18" x14ac:dyDescent="0.25">
      <c r="A76" s="117"/>
      <c r="B76" s="117"/>
      <c r="C76" s="117"/>
      <c r="D76" s="117"/>
      <c r="E76" s="117"/>
      <c r="F76" s="117"/>
      <c r="G76" s="117"/>
      <c r="H76" s="117"/>
      <c r="I76" s="117"/>
      <c r="J76" s="117"/>
      <c r="K76" s="117"/>
      <c r="L76" s="117"/>
      <c r="M76" s="117"/>
      <c r="N76" s="117"/>
      <c r="O76" s="117"/>
      <c r="P76" s="118"/>
      <c r="Q76" s="118"/>
      <c r="R76" s="118"/>
    </row>
    <row r="77" spans="1:18" x14ac:dyDescent="0.25">
      <c r="A77" s="117"/>
      <c r="B77" s="117"/>
      <c r="C77" s="117"/>
      <c r="D77" s="117"/>
      <c r="E77" s="117"/>
      <c r="F77" s="117"/>
      <c r="G77" s="117"/>
      <c r="H77" s="117"/>
      <c r="I77" s="117"/>
      <c r="J77" s="117"/>
      <c r="K77" s="117"/>
      <c r="L77" s="117"/>
      <c r="M77" s="117"/>
      <c r="N77" s="117"/>
      <c r="O77" s="117"/>
      <c r="P77" s="118"/>
      <c r="Q77" s="118"/>
      <c r="R77" s="118"/>
    </row>
    <row r="78" spans="1:18" x14ac:dyDescent="0.25">
      <c r="A78" s="117"/>
      <c r="B78" s="117"/>
      <c r="C78" s="117" t="s">
        <v>144</v>
      </c>
      <c r="D78" s="117"/>
      <c r="E78" s="117"/>
      <c r="F78" s="117"/>
      <c r="G78" s="117"/>
      <c r="H78" s="117"/>
      <c r="I78" s="117"/>
      <c r="J78" s="117"/>
      <c r="K78" s="117"/>
      <c r="L78" s="117"/>
      <c r="M78" s="117"/>
      <c r="N78" s="117"/>
      <c r="O78" s="117"/>
      <c r="P78" s="118"/>
      <c r="Q78" s="118"/>
      <c r="R78" s="118"/>
    </row>
    <row r="79" spans="1:18" x14ac:dyDescent="0.25">
      <c r="A79" s="117"/>
      <c r="B79" s="117"/>
      <c r="C79" s="117"/>
      <c r="D79" s="117"/>
      <c r="E79" s="117"/>
      <c r="F79" s="117"/>
      <c r="G79" s="117"/>
      <c r="H79" s="117"/>
      <c r="I79" s="117"/>
      <c r="J79" s="117"/>
      <c r="K79" s="117"/>
      <c r="L79" s="117"/>
      <c r="M79" s="117"/>
      <c r="N79" s="117"/>
      <c r="O79" s="117"/>
      <c r="P79" s="118"/>
      <c r="Q79" s="118"/>
      <c r="R79" s="118"/>
    </row>
    <row r="80" spans="1:18" x14ac:dyDescent="0.25">
      <c r="A80" s="117"/>
      <c r="B80" s="117"/>
      <c r="C80" s="117"/>
      <c r="D80" s="117"/>
      <c r="E80" s="117"/>
      <c r="F80" s="117"/>
      <c r="G80" s="117"/>
      <c r="H80" s="117"/>
      <c r="I80" s="117"/>
      <c r="J80" s="117"/>
      <c r="K80" s="117"/>
      <c r="L80" s="117"/>
      <c r="M80" s="117"/>
      <c r="N80" s="117"/>
      <c r="O80" s="117"/>
      <c r="P80" s="118"/>
      <c r="Q80" s="118"/>
      <c r="R80" s="118"/>
    </row>
    <row r="81" spans="1:15" x14ac:dyDescent="0.25">
      <c r="A81" s="111"/>
      <c r="B81" s="111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</row>
    <row r="82" spans="1:15" x14ac:dyDescent="0.25">
      <c r="A82" s="111"/>
      <c r="B82" s="111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</row>
    <row r="83" spans="1:15" x14ac:dyDescent="0.25">
      <c r="A83" s="111"/>
      <c r="B83" s="111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/>
    </row>
    <row r="84" spans="1:15" x14ac:dyDescent="0.25">
      <c r="A84" s="111"/>
      <c r="B84" s="111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11"/>
      <c r="N84" s="111"/>
      <c r="O84" s="111"/>
    </row>
    <row r="85" spans="1:15" x14ac:dyDescent="0.25">
      <c r="A85" s="111"/>
      <c r="B85" s="111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</row>
    <row r="86" spans="1:15" x14ac:dyDescent="0.25">
      <c r="A86" s="111"/>
      <c r="B86" s="111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11"/>
      <c r="N86" s="111"/>
      <c r="O86" s="111"/>
    </row>
    <row r="87" spans="1:15" x14ac:dyDescent="0.25">
      <c r="A87" s="111"/>
      <c r="B87" s="111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11"/>
      <c r="N87" s="111"/>
      <c r="O87" s="111"/>
    </row>
    <row r="88" spans="1:15" x14ac:dyDescent="0.25">
      <c r="A88" s="111"/>
      <c r="B88" s="111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/>
    </row>
    <row r="89" spans="1:15" x14ac:dyDescent="0.25">
      <c r="A89" s="111"/>
      <c r="B89" s="111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  <c r="O89" s="111"/>
    </row>
    <row r="90" spans="1:15" x14ac:dyDescent="0.25">
      <c r="A90" s="111"/>
      <c r="B90" s="111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11"/>
      <c r="N90" s="111"/>
      <c r="O90" s="111"/>
    </row>
    <row r="91" spans="1:15" ht="13.5" customHeight="1" x14ac:dyDescent="0.25">
      <c r="A91" s="111"/>
      <c r="B91" s="111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11"/>
      <c r="N91" s="111"/>
      <c r="O91" s="111"/>
    </row>
    <row r="92" spans="1:15" x14ac:dyDescent="0.25">
      <c r="A92" s="111"/>
      <c r="B92" s="111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11"/>
      <c r="N92" s="111"/>
      <c r="O92" s="111"/>
    </row>
    <row r="93" spans="1:15" x14ac:dyDescent="0.25">
      <c r="A93" s="111"/>
      <c r="B93" s="111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/>
    </row>
    <row r="94" spans="1:15" x14ac:dyDescent="0.25">
      <c r="A94" s="111"/>
      <c r="B94" s="111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</row>
    <row r="95" spans="1:15" x14ac:dyDescent="0.25">
      <c r="A95" s="111"/>
      <c r="B95" s="111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11"/>
      <c r="N95" s="111"/>
      <c r="O95" s="111"/>
    </row>
    <row r="96" spans="1:15" x14ac:dyDescent="0.25">
      <c r="A96" s="111"/>
      <c r="B96" s="111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11"/>
      <c r="N96" s="111"/>
      <c r="O96" s="111"/>
    </row>
    <row r="97" spans="1:15" x14ac:dyDescent="0.25">
      <c r="A97" s="111"/>
      <c r="B97" s="111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/>
    </row>
    <row r="98" spans="1:15" x14ac:dyDescent="0.25">
      <c r="A98" s="111"/>
      <c r="B98" s="111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11"/>
      <c r="N98" s="111"/>
      <c r="O98" s="111"/>
    </row>
    <row r="99" spans="1:15" x14ac:dyDescent="0.25">
      <c r="A99" s="111"/>
      <c r="B99" s="111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</row>
    <row r="100" spans="1:15" x14ac:dyDescent="0.25">
      <c r="A100" s="111"/>
      <c r="B100" s="111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11"/>
      <c r="N100" s="111"/>
      <c r="O100" s="111"/>
    </row>
    <row r="101" spans="1:15" x14ac:dyDescent="0.25">
      <c r="A101" s="111"/>
      <c r="B101" s="111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</row>
    <row r="102" spans="1:15" x14ac:dyDescent="0.25">
      <c r="A102" s="111"/>
      <c r="B102" s="111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  <c r="O102" s="111"/>
    </row>
    <row r="103" spans="1:15" x14ac:dyDescent="0.25">
      <c r="A103" s="111"/>
      <c r="B103" s="111"/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</row>
    <row r="104" spans="1:15" x14ac:dyDescent="0.25">
      <c r="A104" s="111"/>
      <c r="B104" s="111"/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  <c r="O104" s="111"/>
    </row>
    <row r="105" spans="1:15" x14ac:dyDescent="0.25">
      <c r="A105" s="111"/>
      <c r="B105" s="111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</row>
    <row r="106" spans="1:15" x14ac:dyDescent="0.25">
      <c r="A106" s="111"/>
      <c r="B106" s="111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11"/>
      <c r="N106" s="111"/>
      <c r="O106" s="111"/>
    </row>
    <row r="107" spans="1:15" x14ac:dyDescent="0.25">
      <c r="A107" s="111"/>
      <c r="B107" s="111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</row>
    <row r="108" spans="1:15" x14ac:dyDescent="0.25">
      <c r="A108" s="111"/>
      <c r="B108" s="111"/>
      <c r="C108" s="111"/>
      <c r="D108" s="111"/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  <c r="O108" s="111"/>
    </row>
    <row r="109" spans="1:15" x14ac:dyDescent="0.25">
      <c r="A109" s="111"/>
      <c r="B109" s="111"/>
      <c r="C109" s="111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</row>
    <row r="110" spans="1:15" x14ac:dyDescent="0.25">
      <c r="A110" s="111"/>
      <c r="B110" s="111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11"/>
      <c r="N110" s="111"/>
      <c r="O110" s="111"/>
    </row>
    <row r="111" spans="1:15" x14ac:dyDescent="0.25">
      <c r="A111" s="111"/>
      <c r="B111" s="111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</row>
    <row r="112" spans="1:15" x14ac:dyDescent="0.25">
      <c r="A112" s="111"/>
      <c r="B112" s="111"/>
      <c r="C112" s="111"/>
      <c r="D112" s="111"/>
      <c r="E112" s="111"/>
      <c r="F112" s="111"/>
      <c r="G112" s="111"/>
      <c r="H112" s="111"/>
      <c r="I112" s="111"/>
      <c r="J112" s="111"/>
      <c r="K112" s="111"/>
      <c r="L112" s="111"/>
      <c r="M112" s="111"/>
      <c r="N112" s="111"/>
      <c r="O112" s="111"/>
    </row>
    <row r="113" spans="1:15" x14ac:dyDescent="0.25">
      <c r="A113" s="111"/>
      <c r="B113" s="111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</row>
    <row r="114" spans="1:15" x14ac:dyDescent="0.25">
      <c r="A114" s="111"/>
      <c r="B114" s="111"/>
      <c r="C114" s="111"/>
      <c r="D114" s="111"/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111"/>
    </row>
    <row r="115" spans="1:15" x14ac:dyDescent="0.25">
      <c r="A115" s="111"/>
      <c r="B115" s="111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</row>
    <row r="116" spans="1:15" x14ac:dyDescent="0.25">
      <c r="A116" s="111"/>
      <c r="B116" s="111"/>
      <c r="C116" s="111"/>
      <c r="D116" s="111"/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  <c r="O116" s="111"/>
    </row>
    <row r="117" spans="1:15" x14ac:dyDescent="0.25">
      <c r="A117" s="111"/>
      <c r="B117" s="111"/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</row>
    <row r="118" spans="1:15" x14ac:dyDescent="0.25">
      <c r="A118" s="111"/>
      <c r="B118" s="111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11"/>
      <c r="N118" s="111"/>
      <c r="O118" s="111"/>
    </row>
    <row r="119" spans="1:15" x14ac:dyDescent="0.25">
      <c r="A119" s="111"/>
      <c r="B119" s="111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  <c r="O119" s="111"/>
    </row>
    <row r="120" spans="1:15" x14ac:dyDescent="0.25">
      <c r="A120" s="111"/>
      <c r="B120" s="111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11"/>
      <c r="N120" s="111"/>
      <c r="O120" s="111"/>
    </row>
    <row r="121" spans="1:15" x14ac:dyDescent="0.25">
      <c r="A121" s="111"/>
      <c r="B121" s="111"/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  <c r="O121" s="111"/>
    </row>
  </sheetData>
  <pageMargins left="0.70866141732283472" right="0.70866141732283472" top="0.74803149606299213" bottom="0.74803149606299213" header="0.31496062992125984" footer="0.31496062992125984"/>
  <pageSetup paperSize="9" orientation="landscape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B0F0"/>
  </sheetPr>
  <dimension ref="B2:H26"/>
  <sheetViews>
    <sheetView workbookViewId="0">
      <selection activeCell="B10" sqref="B10"/>
    </sheetView>
  </sheetViews>
  <sheetFormatPr baseColWidth="10" defaultRowHeight="15" x14ac:dyDescent="0.25"/>
  <cols>
    <col min="1" max="1" width="5.7109375" customWidth="1"/>
    <col min="2" max="2" width="15" bestFit="1" customWidth="1"/>
  </cols>
  <sheetData>
    <row r="2" spans="2:8" x14ac:dyDescent="0.25">
      <c r="B2" s="405" t="s">
        <v>9</v>
      </c>
      <c r="C2" s="405"/>
    </row>
    <row r="3" spans="2:8" x14ac:dyDescent="0.25">
      <c r="B3" s="32" t="s">
        <v>10</v>
      </c>
      <c r="C3" s="33" t="s">
        <v>11</v>
      </c>
    </row>
    <row r="4" spans="2:8" x14ac:dyDescent="0.25">
      <c r="B4" s="1" t="s">
        <v>163</v>
      </c>
      <c r="C4" s="9">
        <v>30</v>
      </c>
    </row>
    <row r="5" spans="2:8" x14ac:dyDescent="0.25">
      <c r="B5" s="1" t="s">
        <v>162</v>
      </c>
      <c r="C5" s="9">
        <v>18</v>
      </c>
    </row>
    <row r="6" spans="2:8" x14ac:dyDescent="0.25">
      <c r="B6" s="1" t="s">
        <v>164</v>
      </c>
      <c r="C6" s="9">
        <v>20</v>
      </c>
    </row>
    <row r="7" spans="2:8" x14ac:dyDescent="0.25">
      <c r="B7" s="122" t="s">
        <v>165</v>
      </c>
      <c r="C7" s="123">
        <v>20</v>
      </c>
    </row>
    <row r="8" spans="2:8" x14ac:dyDescent="0.25">
      <c r="B8" s="1" t="s">
        <v>204</v>
      </c>
      <c r="C8" s="9">
        <v>15</v>
      </c>
    </row>
    <row r="9" spans="2:8" x14ac:dyDescent="0.25">
      <c r="B9" s="1" t="s">
        <v>214</v>
      </c>
      <c r="C9" s="9">
        <v>25</v>
      </c>
    </row>
    <row r="10" spans="2:8" x14ac:dyDescent="0.25">
      <c r="B10" s="1"/>
      <c r="C10" s="9"/>
    </row>
    <row r="15" spans="2:8" x14ac:dyDescent="0.25">
      <c r="B15" s="1"/>
      <c r="C15" s="9"/>
      <c r="D15" s="9" t="s">
        <v>42</v>
      </c>
      <c r="E15" s="9"/>
      <c r="F15" s="1"/>
      <c r="G15" s="1"/>
      <c r="H15" s="1"/>
    </row>
    <row r="16" spans="2:8" x14ac:dyDescent="0.25">
      <c r="B16" s="1" t="s">
        <v>20</v>
      </c>
      <c r="C16" s="9">
        <v>380.98</v>
      </c>
      <c r="D16" s="9">
        <v>0</v>
      </c>
      <c r="E16" s="9">
        <f t="shared" ref="E16:E26" si="0">+C16/2</f>
        <v>190.49</v>
      </c>
      <c r="F16" s="1"/>
      <c r="G16" s="1"/>
      <c r="H16" s="1"/>
    </row>
    <row r="17" spans="2:8" x14ac:dyDescent="0.25">
      <c r="B17" s="1" t="s">
        <v>21</v>
      </c>
      <c r="C17" s="9">
        <v>366</v>
      </c>
      <c r="D17" s="9">
        <v>0</v>
      </c>
      <c r="E17" s="9">
        <f t="shared" si="0"/>
        <v>183</v>
      </c>
      <c r="F17" s="1"/>
      <c r="G17" s="1"/>
      <c r="H17" s="1"/>
    </row>
    <row r="18" spans="2:8" x14ac:dyDescent="0.25">
      <c r="B18" s="1" t="s">
        <v>17</v>
      </c>
      <c r="C18" s="9">
        <v>371.68</v>
      </c>
      <c r="D18" s="9">
        <v>0</v>
      </c>
      <c r="E18" s="9">
        <f t="shared" si="0"/>
        <v>185.84</v>
      </c>
      <c r="F18" s="1"/>
      <c r="G18" s="1"/>
      <c r="H18" s="1"/>
    </row>
    <row r="19" spans="2:8" x14ac:dyDescent="0.25">
      <c r="B19" s="1" t="s">
        <v>31</v>
      </c>
      <c r="C19" s="9">
        <v>371.68</v>
      </c>
      <c r="D19" s="9">
        <v>0</v>
      </c>
      <c r="E19" s="9">
        <f t="shared" si="0"/>
        <v>185.84</v>
      </c>
      <c r="F19" s="1" t="s">
        <v>32</v>
      </c>
      <c r="G19" s="1"/>
      <c r="H19" s="1"/>
    </row>
    <row r="20" spans="2:8" x14ac:dyDescent="0.25">
      <c r="B20" s="1" t="s">
        <v>22</v>
      </c>
      <c r="C20" s="9">
        <v>370.58</v>
      </c>
      <c r="D20" s="9">
        <v>0</v>
      </c>
      <c r="E20" s="9">
        <f t="shared" si="0"/>
        <v>185.29</v>
      </c>
      <c r="F20" s="1"/>
      <c r="G20" s="1"/>
      <c r="H20" s="1"/>
    </row>
    <row r="21" spans="2:8" x14ac:dyDescent="0.25">
      <c r="B21" s="1" t="s">
        <v>23</v>
      </c>
      <c r="C21" s="9">
        <v>378.24</v>
      </c>
      <c r="D21" s="9">
        <v>0</v>
      </c>
      <c r="E21" s="9">
        <f t="shared" si="0"/>
        <v>189.12</v>
      </c>
      <c r="F21" s="1" t="s">
        <v>41</v>
      </c>
      <c r="G21" s="1"/>
      <c r="H21" s="1"/>
    </row>
    <row r="22" spans="2:8" x14ac:dyDescent="0.25">
      <c r="B22" s="1" t="s">
        <v>48</v>
      </c>
      <c r="C22" s="9">
        <v>380.98</v>
      </c>
      <c r="D22" s="9">
        <v>0</v>
      </c>
      <c r="E22" s="9">
        <f t="shared" si="0"/>
        <v>190.49</v>
      </c>
      <c r="F22" s="1"/>
      <c r="G22" s="1"/>
      <c r="H22" s="1"/>
    </row>
    <row r="23" spans="2:8" x14ac:dyDescent="0.25">
      <c r="B23" s="1" t="s">
        <v>56</v>
      </c>
      <c r="C23" s="9">
        <v>371.92</v>
      </c>
      <c r="D23" s="9"/>
      <c r="E23" s="9">
        <f t="shared" si="0"/>
        <v>185.96</v>
      </c>
      <c r="F23" s="1"/>
      <c r="G23" s="1"/>
      <c r="H23" s="1"/>
    </row>
    <row r="24" spans="2:8" x14ac:dyDescent="0.25">
      <c r="B24" s="1" t="s">
        <v>24</v>
      </c>
      <c r="C24" s="9">
        <v>410.82</v>
      </c>
      <c r="D24" s="9">
        <v>0</v>
      </c>
      <c r="E24" s="9">
        <f t="shared" si="0"/>
        <v>205.41</v>
      </c>
      <c r="F24" s="1"/>
      <c r="G24" s="1"/>
      <c r="H24" s="1"/>
    </row>
    <row r="25" spans="2:8" x14ac:dyDescent="0.25">
      <c r="B25" s="1" t="s">
        <v>25</v>
      </c>
      <c r="C25" s="9">
        <v>400</v>
      </c>
      <c r="D25" s="9">
        <v>0</v>
      </c>
      <c r="E25" s="9">
        <f t="shared" si="0"/>
        <v>200</v>
      </c>
      <c r="F25" s="1"/>
      <c r="G25" s="1"/>
      <c r="H25" s="1"/>
    </row>
    <row r="26" spans="2:8" x14ac:dyDescent="0.25">
      <c r="B26" s="1" t="s">
        <v>26</v>
      </c>
      <c r="C26" s="9">
        <v>647.1</v>
      </c>
      <c r="D26" s="9">
        <v>0</v>
      </c>
      <c r="E26" s="9">
        <f t="shared" si="0"/>
        <v>323.55</v>
      </c>
      <c r="F26" s="1"/>
      <c r="G26" s="1"/>
      <c r="H26" s="1"/>
    </row>
  </sheetData>
  <sheetProtection selectLockedCells="1" selectUnlockedCells="1"/>
  <sortState ref="B4:C10">
    <sortCondition ref="B4"/>
  </sortState>
  <mergeCells count="1">
    <mergeCell ref="B2:C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92D050"/>
  </sheetPr>
  <dimension ref="B4:N39"/>
  <sheetViews>
    <sheetView topLeftCell="A7" zoomScale="80" zoomScaleNormal="80" workbookViewId="0">
      <selection activeCell="B16" sqref="B16:B39"/>
    </sheetView>
  </sheetViews>
  <sheetFormatPr baseColWidth="10" defaultRowHeight="15" x14ac:dyDescent="0.25"/>
  <cols>
    <col min="2" max="3" width="26.42578125" bestFit="1" customWidth="1"/>
    <col min="5" max="5" width="12.7109375" bestFit="1" customWidth="1"/>
    <col min="8" max="8" width="6.28515625" bestFit="1" customWidth="1"/>
    <col min="10" max="10" width="8" bestFit="1" customWidth="1"/>
    <col min="11" max="11" width="5.7109375" customWidth="1"/>
    <col min="12" max="12" width="11.140625" customWidth="1"/>
    <col min="13" max="13" width="9" customWidth="1"/>
    <col min="14" max="24" width="5.7109375" customWidth="1"/>
  </cols>
  <sheetData>
    <row r="4" spans="2:14" x14ac:dyDescent="0.25">
      <c r="B4" s="69">
        <f>+'CONTROL H.E.'!C6-'CONTROL H.E.'!C5</f>
        <v>0</v>
      </c>
    </row>
    <row r="5" spans="2:14" x14ac:dyDescent="0.25">
      <c r="B5" s="34" t="str">
        <f>IF(B7=15,"PRIMERA QUINCENA","SEGUNDA QUINCENA")</f>
        <v>SEGUNDA QUINCENA</v>
      </c>
    </row>
    <row r="6" spans="2:14" x14ac:dyDescent="0.25">
      <c r="B6" s="1">
        <f>DAY('CONTROL H.E.'!C5)</f>
        <v>0</v>
      </c>
    </row>
    <row r="7" spans="2:14" x14ac:dyDescent="0.25">
      <c r="B7" s="1">
        <f>DAY('CONTROL H.E.'!C6)</f>
        <v>0</v>
      </c>
    </row>
    <row r="8" spans="2:14" x14ac:dyDescent="0.25">
      <c r="B8" s="1">
        <f>MONTH('CONTROL H.E.'!C6)</f>
        <v>1</v>
      </c>
    </row>
    <row r="9" spans="2:14" x14ac:dyDescent="0.25">
      <c r="B9" s="1" t="str">
        <f>IF(B8=1,"ENERO",IF(B8=2,"FEBRERO",IF(B8=3,"MARZO",IF(B8=4,"ABRIL",IF(B8=5,"MAYO",IF(B8=6,"JUNIO",IF(B8=7,"JULIO",IF(B8=8,"AGOSTO",IF(B8=9,"SEPTIEMBRE",IF(B8=10,"OCTUBRE",IF(B8=11,"NOVIEMBRE",IF(B8=12,"DICIEMBRE",0))))))))))))</f>
        <v>ENERO</v>
      </c>
    </row>
    <row r="10" spans="2:14" x14ac:dyDescent="0.25">
      <c r="B10" s="1">
        <f>YEAR('CONTROL H.E.'!C6)</f>
        <v>1900</v>
      </c>
    </row>
    <row r="11" spans="2:14" x14ac:dyDescent="0.25">
      <c r="B11" s="71" t="str">
        <f>CONCATENATE(B5," DE ",B9," DEL ",B10)</f>
        <v>SEGUNDA QUINCENA DE ENERO DEL 1900</v>
      </c>
    </row>
    <row r="12" spans="2:14" x14ac:dyDescent="0.25">
      <c r="B12" s="71" t="str">
        <f>CONCATENATE("DEL ",B6," AL ",B7," DE ",B9," DEL ",B10)</f>
        <v>DEL 0 AL 0 DE ENERO DEL 1900</v>
      </c>
    </row>
    <row r="14" spans="2:14" x14ac:dyDescent="0.25">
      <c r="B14" s="138">
        <f>+'CONTROL H.E.'!C5</f>
        <v>0</v>
      </c>
      <c r="C14" s="138">
        <f>+'CONTROL H.E.'!C6</f>
        <v>0</v>
      </c>
      <c r="D14" s="83" t="str">
        <f>IF(B14=0," ",VLOOKUP(B14,B:D,3))</f>
        <v xml:space="preserve"> </v>
      </c>
      <c r="E14" s="83">
        <f>'CONTROL H.E.'!C6-'CONTROL H.E.'!C5</f>
        <v>0</v>
      </c>
      <c r="F14">
        <f>+'Reporte Asistencia Laboral'!G7+VARIOS!E14</f>
        <v>0</v>
      </c>
    </row>
    <row r="15" spans="2:14" x14ac:dyDescent="0.25">
      <c r="B15" s="82" t="s">
        <v>103</v>
      </c>
      <c r="C15" s="82" t="s">
        <v>104</v>
      </c>
      <c r="D15" s="82" t="s">
        <v>105</v>
      </c>
      <c r="H15" t="s">
        <v>106</v>
      </c>
      <c r="I15" t="s">
        <v>107</v>
      </c>
      <c r="J15" t="s">
        <v>108</v>
      </c>
    </row>
    <row r="16" spans="2:14" x14ac:dyDescent="0.25">
      <c r="B16" s="237">
        <v>43466</v>
      </c>
      <c r="C16" s="149"/>
      <c r="D16">
        <v>1</v>
      </c>
      <c r="H16">
        <v>1</v>
      </c>
      <c r="I16" t="s">
        <v>109</v>
      </c>
      <c r="J16" t="s">
        <v>3</v>
      </c>
      <c r="K16">
        <f>DAY(L16)</f>
        <v>0</v>
      </c>
      <c r="L16" s="26">
        <f>'CONTROL H.E.'!C5</f>
        <v>0</v>
      </c>
      <c r="M16" s="28">
        <f>WEEKDAY(L16)</f>
        <v>7</v>
      </c>
      <c r="N16" s="28" t="str">
        <f>VLOOKUP(M16,H:J,3,FALSE)</f>
        <v>S</v>
      </c>
    </row>
    <row r="17" spans="2:14" x14ac:dyDescent="0.25">
      <c r="B17" s="149">
        <f>B16+15</f>
        <v>43481</v>
      </c>
      <c r="C17" s="149"/>
      <c r="D17">
        <v>2</v>
      </c>
      <c r="H17">
        <v>2</v>
      </c>
      <c r="I17" t="s">
        <v>110</v>
      </c>
      <c r="J17" t="s">
        <v>4</v>
      </c>
      <c r="K17">
        <f t="shared" ref="K17:K30" si="0">DAY(L17)</f>
        <v>1</v>
      </c>
      <c r="L17" s="26">
        <f>L16+1</f>
        <v>1</v>
      </c>
      <c r="M17" s="28">
        <f t="shared" ref="M17:M29" si="1">WEEKDAY(L17)</f>
        <v>1</v>
      </c>
      <c r="N17" s="28" t="str">
        <f t="shared" ref="N17:N30" si="2">VLOOKUP(M17,H:J,3,FALSE)</f>
        <v>D</v>
      </c>
    </row>
    <row r="18" spans="2:14" x14ac:dyDescent="0.25">
      <c r="B18" s="149">
        <f>B16+31</f>
        <v>43497</v>
      </c>
      <c r="C18" s="149"/>
      <c r="D18">
        <v>3</v>
      </c>
      <c r="H18">
        <v>3</v>
      </c>
      <c r="I18" t="s">
        <v>111</v>
      </c>
      <c r="J18" t="s">
        <v>5</v>
      </c>
      <c r="K18">
        <f t="shared" si="0"/>
        <v>2</v>
      </c>
      <c r="L18" s="26">
        <f t="shared" ref="L18:L29" si="3">L17+1</f>
        <v>2</v>
      </c>
      <c r="M18" s="28">
        <f t="shared" si="1"/>
        <v>2</v>
      </c>
      <c r="N18" s="28" t="str">
        <f t="shared" si="2"/>
        <v>L</v>
      </c>
    </row>
    <row r="19" spans="2:14" x14ac:dyDescent="0.25">
      <c r="B19" s="149">
        <f>B18+15</f>
        <v>43512</v>
      </c>
      <c r="C19" s="149"/>
      <c r="D19">
        <v>4</v>
      </c>
      <c r="H19">
        <v>4</v>
      </c>
      <c r="I19" t="s">
        <v>112</v>
      </c>
      <c r="J19" t="s">
        <v>6</v>
      </c>
      <c r="K19">
        <f t="shared" si="0"/>
        <v>3</v>
      </c>
      <c r="L19" s="26">
        <f t="shared" si="3"/>
        <v>3</v>
      </c>
      <c r="M19" s="28">
        <f t="shared" si="1"/>
        <v>3</v>
      </c>
      <c r="N19" s="28" t="str">
        <f t="shared" si="2"/>
        <v>M</v>
      </c>
    </row>
    <row r="20" spans="2:14" x14ac:dyDescent="0.25">
      <c r="B20" s="149">
        <f>B18+28</f>
        <v>43525</v>
      </c>
      <c r="C20" s="149"/>
      <c r="D20">
        <v>5</v>
      </c>
      <c r="H20">
        <v>5</v>
      </c>
      <c r="I20" t="s">
        <v>113</v>
      </c>
      <c r="J20" t="s">
        <v>7</v>
      </c>
      <c r="K20">
        <f t="shared" si="0"/>
        <v>4</v>
      </c>
      <c r="L20" s="26">
        <f t="shared" si="3"/>
        <v>4</v>
      </c>
      <c r="M20" s="28">
        <f t="shared" si="1"/>
        <v>4</v>
      </c>
      <c r="N20" s="28" t="str">
        <f t="shared" si="2"/>
        <v>Mi</v>
      </c>
    </row>
    <row r="21" spans="2:14" x14ac:dyDescent="0.25">
      <c r="B21" s="149">
        <f>B20+15</f>
        <v>43540</v>
      </c>
      <c r="C21" s="149"/>
      <c r="D21">
        <v>6</v>
      </c>
      <c r="H21">
        <v>6</v>
      </c>
      <c r="I21" t="s">
        <v>114</v>
      </c>
      <c r="J21" t="s">
        <v>8</v>
      </c>
      <c r="K21">
        <f t="shared" si="0"/>
        <v>5</v>
      </c>
      <c r="L21" s="26">
        <f t="shared" si="3"/>
        <v>5</v>
      </c>
      <c r="M21" s="28">
        <f t="shared" si="1"/>
        <v>5</v>
      </c>
      <c r="N21" s="28" t="str">
        <f t="shared" si="2"/>
        <v>J</v>
      </c>
    </row>
    <row r="22" spans="2:14" x14ac:dyDescent="0.25">
      <c r="B22" s="149">
        <f>B20+31</f>
        <v>43556</v>
      </c>
      <c r="C22" s="149"/>
      <c r="D22">
        <v>7</v>
      </c>
      <c r="H22">
        <v>7</v>
      </c>
      <c r="I22" t="s">
        <v>115</v>
      </c>
      <c r="J22" t="s">
        <v>2</v>
      </c>
      <c r="K22">
        <f t="shared" si="0"/>
        <v>6</v>
      </c>
      <c r="L22" s="26">
        <f t="shared" si="3"/>
        <v>6</v>
      </c>
      <c r="M22" s="28">
        <f t="shared" si="1"/>
        <v>6</v>
      </c>
      <c r="N22" s="28" t="str">
        <f t="shared" si="2"/>
        <v>V</v>
      </c>
    </row>
    <row r="23" spans="2:14" x14ac:dyDescent="0.25">
      <c r="B23" s="149">
        <f>B22+15</f>
        <v>43571</v>
      </c>
      <c r="C23" s="149"/>
      <c r="D23">
        <v>8</v>
      </c>
      <c r="K23">
        <f t="shared" si="0"/>
        <v>7</v>
      </c>
      <c r="L23" s="26">
        <f t="shared" si="3"/>
        <v>7</v>
      </c>
      <c r="M23" s="28">
        <f t="shared" si="1"/>
        <v>7</v>
      </c>
      <c r="N23" s="28" t="str">
        <f t="shared" si="2"/>
        <v>S</v>
      </c>
    </row>
    <row r="24" spans="2:14" x14ac:dyDescent="0.25">
      <c r="B24" s="149">
        <f>B22+30</f>
        <v>43586</v>
      </c>
      <c r="C24" s="149"/>
      <c r="D24">
        <v>9</v>
      </c>
      <c r="K24">
        <f t="shared" si="0"/>
        <v>8</v>
      </c>
      <c r="L24" s="26">
        <f t="shared" si="3"/>
        <v>8</v>
      </c>
      <c r="M24" s="28">
        <f t="shared" si="1"/>
        <v>1</v>
      </c>
      <c r="N24" s="28" t="str">
        <f t="shared" si="2"/>
        <v>D</v>
      </c>
    </row>
    <row r="25" spans="2:14" x14ac:dyDescent="0.25">
      <c r="B25" s="149">
        <f>B24+15</f>
        <v>43601</v>
      </c>
      <c r="C25" s="149"/>
      <c r="D25">
        <v>10</v>
      </c>
      <c r="K25">
        <f t="shared" si="0"/>
        <v>9</v>
      </c>
      <c r="L25" s="26">
        <f t="shared" si="3"/>
        <v>9</v>
      </c>
      <c r="M25" s="28">
        <f t="shared" si="1"/>
        <v>2</v>
      </c>
      <c r="N25" s="28" t="str">
        <f t="shared" si="2"/>
        <v>L</v>
      </c>
    </row>
    <row r="26" spans="2:14" x14ac:dyDescent="0.25">
      <c r="B26" s="149">
        <f>B24+31</f>
        <v>43617</v>
      </c>
      <c r="C26" s="149"/>
      <c r="D26">
        <v>11</v>
      </c>
      <c r="K26">
        <f t="shared" si="0"/>
        <v>10</v>
      </c>
      <c r="L26" s="26">
        <f t="shared" si="3"/>
        <v>10</v>
      </c>
      <c r="M26" s="28">
        <f t="shared" si="1"/>
        <v>3</v>
      </c>
      <c r="N26" s="28" t="str">
        <f t="shared" si="2"/>
        <v>M</v>
      </c>
    </row>
    <row r="27" spans="2:14" x14ac:dyDescent="0.25">
      <c r="B27" s="149">
        <f>B26+15</f>
        <v>43632</v>
      </c>
      <c r="C27" s="149"/>
      <c r="D27">
        <v>12</v>
      </c>
      <c r="K27">
        <f t="shared" si="0"/>
        <v>11</v>
      </c>
      <c r="L27" s="26">
        <f t="shared" si="3"/>
        <v>11</v>
      </c>
      <c r="M27" s="28">
        <f t="shared" si="1"/>
        <v>4</v>
      </c>
      <c r="N27" s="28" t="str">
        <f t="shared" si="2"/>
        <v>Mi</v>
      </c>
    </row>
    <row r="28" spans="2:14" x14ac:dyDescent="0.25">
      <c r="B28" s="149">
        <f>B26+30</f>
        <v>43647</v>
      </c>
      <c r="C28" s="149"/>
      <c r="D28">
        <v>13</v>
      </c>
      <c r="K28">
        <f t="shared" si="0"/>
        <v>12</v>
      </c>
      <c r="L28" s="26">
        <f t="shared" si="3"/>
        <v>12</v>
      </c>
      <c r="M28" s="28">
        <f t="shared" si="1"/>
        <v>5</v>
      </c>
      <c r="N28" s="28" t="str">
        <f t="shared" si="2"/>
        <v>J</v>
      </c>
    </row>
    <row r="29" spans="2:14" x14ac:dyDescent="0.25">
      <c r="B29" s="149">
        <f>B28+15</f>
        <v>43662</v>
      </c>
      <c r="C29" s="149"/>
      <c r="D29">
        <v>14</v>
      </c>
      <c r="K29">
        <f t="shared" si="0"/>
        <v>13</v>
      </c>
      <c r="L29" s="26">
        <f t="shared" si="3"/>
        <v>13</v>
      </c>
      <c r="M29" s="28">
        <f t="shared" si="1"/>
        <v>6</v>
      </c>
      <c r="N29" s="28" t="str">
        <f t="shared" si="2"/>
        <v>V</v>
      </c>
    </row>
    <row r="30" spans="2:14" x14ac:dyDescent="0.25">
      <c r="B30" s="149">
        <f>B28+31</f>
        <v>43678</v>
      </c>
      <c r="C30" s="149"/>
      <c r="D30">
        <v>15</v>
      </c>
      <c r="K30">
        <f t="shared" si="0"/>
        <v>14</v>
      </c>
      <c r="L30" s="26">
        <f>L29+1</f>
        <v>14</v>
      </c>
      <c r="M30" s="28">
        <f>WEEKDAY(L30)</f>
        <v>7</v>
      </c>
      <c r="N30" s="28" t="str">
        <f t="shared" si="2"/>
        <v>S</v>
      </c>
    </row>
    <row r="31" spans="2:14" x14ac:dyDescent="0.25">
      <c r="B31" s="149">
        <f>B30+15</f>
        <v>43693</v>
      </c>
      <c r="C31" s="149"/>
      <c r="D31">
        <v>16</v>
      </c>
      <c r="K31">
        <f>IF(B4=14," ",DAY(L31))</f>
        <v>15</v>
      </c>
      <c r="L31" s="26">
        <f>IF(B4=14," ",L30+1)</f>
        <v>15</v>
      </c>
      <c r="M31" s="28">
        <f>IF(L31=" "," ", WEEKDAY(L31))</f>
        <v>1</v>
      </c>
      <c r="N31" s="28" t="str">
        <f>IF(M31=" "," ",VLOOKUP(M31,H:J,3,FALSE))</f>
        <v>D</v>
      </c>
    </row>
    <row r="32" spans="2:14" x14ac:dyDescent="0.25">
      <c r="B32" s="149">
        <f>B30+31</f>
        <v>43709</v>
      </c>
      <c r="C32" s="149"/>
      <c r="D32">
        <v>17</v>
      </c>
    </row>
    <row r="33" spans="2:4" x14ac:dyDescent="0.25">
      <c r="B33" s="149">
        <f>B32+15</f>
        <v>43724</v>
      </c>
      <c r="C33" s="149"/>
      <c r="D33">
        <v>18</v>
      </c>
    </row>
    <row r="34" spans="2:4" x14ac:dyDescent="0.25">
      <c r="B34" s="149">
        <f>B32+30</f>
        <v>43739</v>
      </c>
      <c r="C34" s="149"/>
      <c r="D34">
        <v>19</v>
      </c>
    </row>
    <row r="35" spans="2:4" x14ac:dyDescent="0.25">
      <c r="B35" s="149">
        <f>B34+15</f>
        <v>43754</v>
      </c>
      <c r="C35" s="149"/>
      <c r="D35">
        <v>20</v>
      </c>
    </row>
    <row r="36" spans="2:4" x14ac:dyDescent="0.25">
      <c r="B36" s="149">
        <f>B34+31</f>
        <v>43770</v>
      </c>
      <c r="C36" s="149"/>
      <c r="D36">
        <v>21</v>
      </c>
    </row>
    <row r="37" spans="2:4" x14ac:dyDescent="0.25">
      <c r="B37" s="149">
        <f>B36+15</f>
        <v>43785</v>
      </c>
      <c r="C37" s="149"/>
      <c r="D37">
        <v>22</v>
      </c>
    </row>
    <row r="38" spans="2:4" x14ac:dyDescent="0.25">
      <c r="B38" s="149">
        <f>B36+30</f>
        <v>43800</v>
      </c>
      <c r="C38" s="149"/>
      <c r="D38">
        <v>23</v>
      </c>
    </row>
    <row r="39" spans="2:4" x14ac:dyDescent="0.25">
      <c r="B39" s="149">
        <f>B38+15</f>
        <v>43815</v>
      </c>
      <c r="C39" s="149"/>
      <c r="D39">
        <v>24</v>
      </c>
    </row>
  </sheetData>
  <pageMargins left="0.7" right="0.7" top="0.75" bottom="0.75" header="0.3" footer="0.3"/>
  <pageSetup orientation="portrait" horizontalDpi="120" verticalDpi="72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9" tint="-0.249977111117893"/>
  </sheetPr>
  <dimension ref="A1:JP45"/>
  <sheetViews>
    <sheetView topLeftCell="B1" zoomScale="50" zoomScaleNormal="50" workbookViewId="0">
      <selection activeCell="J15" sqref="J15"/>
    </sheetView>
  </sheetViews>
  <sheetFormatPr baseColWidth="10" defaultRowHeight="15" x14ac:dyDescent="0.25"/>
  <cols>
    <col min="1" max="1" width="2.85546875" style="1" hidden="1" customWidth="1"/>
    <col min="2" max="2" width="5.7109375" style="1" customWidth="1"/>
    <col min="3" max="3" width="42.7109375" style="1" customWidth="1"/>
    <col min="4" max="4" width="14.7109375" style="1" customWidth="1"/>
    <col min="5" max="5" width="10.42578125" style="1" hidden="1" customWidth="1"/>
    <col min="6" max="8" width="6.28515625" style="1" customWidth="1"/>
    <col min="9" max="9" width="12.42578125" style="1" customWidth="1"/>
    <col min="10" max="12" width="6.28515625" style="1" customWidth="1"/>
    <col min="13" max="13" width="10.7109375" style="1" customWidth="1"/>
    <col min="14" max="16" width="6.28515625" style="1" customWidth="1"/>
    <col min="17" max="17" width="9.7109375" style="1" customWidth="1"/>
    <col min="18" max="20" width="6.28515625" style="1" customWidth="1"/>
    <col min="21" max="21" width="9.7109375" style="1" customWidth="1"/>
    <col min="22" max="24" width="6.28515625" style="1" customWidth="1"/>
    <col min="25" max="25" width="10.7109375" style="1" customWidth="1"/>
    <col min="26" max="28" width="6.28515625" style="1" customWidth="1"/>
    <col min="29" max="29" width="9.7109375" style="1" customWidth="1"/>
    <col min="30" max="30" width="6.28515625" style="1" customWidth="1"/>
    <col min="31" max="31" width="8.28515625" style="1" bestFit="1" customWidth="1"/>
    <col min="32" max="32" width="6.28515625" style="1" customWidth="1"/>
    <col min="33" max="33" width="10" style="1" bestFit="1" customWidth="1"/>
    <col min="34" max="34" width="8.28515625" style="1" bestFit="1" customWidth="1"/>
    <col min="35" max="35" width="6.28515625" style="1" customWidth="1"/>
    <col min="36" max="36" width="7.7109375" style="1" bestFit="1" customWidth="1"/>
    <col min="37" max="37" width="9.7109375" style="1" customWidth="1"/>
    <col min="38" max="40" width="6.28515625" style="1" customWidth="1"/>
    <col min="41" max="41" width="10.7109375" style="1" customWidth="1"/>
    <col min="42" max="44" width="6.28515625" style="1" customWidth="1"/>
    <col min="45" max="45" width="9.7109375" style="1" customWidth="1"/>
    <col min="46" max="48" width="6.28515625" style="1" customWidth="1"/>
    <col min="49" max="49" width="10.7109375" style="1" customWidth="1"/>
    <col min="50" max="52" width="6.28515625" style="1" customWidth="1"/>
    <col min="53" max="53" width="9.7109375" style="1" customWidth="1"/>
    <col min="54" max="56" width="6.28515625" style="1" customWidth="1"/>
    <col min="57" max="57" width="10.7109375" style="1" customWidth="1"/>
    <col min="58" max="60" width="6.28515625" style="1" customWidth="1"/>
    <col min="61" max="61" width="9.7109375" style="1" customWidth="1"/>
    <col min="62" max="64" width="6.28515625" style="1" customWidth="1"/>
    <col min="65" max="65" width="10.7109375" style="1" customWidth="1"/>
    <col min="66" max="68" width="6.28515625" style="1" customWidth="1"/>
    <col min="69" max="69" width="9.7109375" style="1" customWidth="1"/>
    <col min="70" max="72" width="6.28515625" style="1" customWidth="1"/>
    <col min="73" max="73" width="10.7109375" style="1" customWidth="1"/>
    <col min="74" max="76" width="6.28515625" style="1" customWidth="1"/>
    <col min="77" max="77" width="9.7109375" style="1" customWidth="1"/>
    <col min="78" max="80" width="6.28515625" style="1" customWidth="1"/>
    <col min="81" max="81" width="10.7109375" style="1" customWidth="1"/>
    <col min="82" max="84" width="6.28515625" style="1" customWidth="1"/>
    <col min="85" max="85" width="9.7109375" style="1" customWidth="1"/>
    <col min="86" max="88" width="6.28515625" style="1" customWidth="1"/>
    <col min="89" max="89" width="10.7109375" style="1" customWidth="1"/>
    <col min="90" max="92" width="6.28515625" style="1" customWidth="1"/>
    <col min="93" max="93" width="9.7109375" style="1" customWidth="1"/>
    <col min="94" max="96" width="6.28515625" style="1" customWidth="1"/>
    <col min="97" max="97" width="10.7109375" style="1" customWidth="1"/>
    <col min="98" max="100" width="6.28515625" style="1" customWidth="1"/>
    <col min="101" max="101" width="9.7109375" style="1" customWidth="1"/>
    <col min="102" max="104" width="6.28515625" style="1" customWidth="1"/>
    <col min="105" max="105" width="10.7109375" style="1" customWidth="1"/>
    <col min="106" max="108" width="6.28515625" style="1" customWidth="1"/>
    <col min="109" max="109" width="9.7109375" style="1" customWidth="1"/>
    <col min="110" max="112" width="6.28515625" style="1" customWidth="1"/>
    <col min="113" max="113" width="10.7109375" style="1" customWidth="1"/>
    <col min="114" max="116" width="6.28515625" style="1" customWidth="1"/>
    <col min="117" max="117" width="9.7109375" style="1" customWidth="1"/>
    <col min="118" max="120" width="6.28515625" style="1" customWidth="1"/>
    <col min="121" max="121" width="10.7109375" style="1" customWidth="1"/>
    <col min="122" max="124" width="6.28515625" style="1" customWidth="1"/>
    <col min="125" max="125" width="10.7109375" style="1" customWidth="1"/>
    <col min="126" max="128" width="6.28515625" style="1" customWidth="1"/>
    <col min="129" max="130" width="10.7109375" style="1" customWidth="1"/>
    <col min="131" max="132" width="6.28515625" style="1" customWidth="1"/>
    <col min="133" max="133" width="9.7109375" style="1" customWidth="1"/>
    <col min="134" max="136" width="6.28515625" style="1" customWidth="1"/>
    <col min="137" max="137" width="10.7109375" style="1" customWidth="1"/>
    <col min="138" max="140" width="6.28515625" style="1" customWidth="1"/>
    <col min="141" max="141" width="9.7109375" style="1" customWidth="1"/>
    <col min="142" max="144" width="6.28515625" style="1" customWidth="1"/>
    <col min="145" max="145" width="10.7109375" style="1" customWidth="1"/>
    <col min="146" max="148" width="6.28515625" style="1" customWidth="1"/>
    <col min="149" max="149" width="9.7109375" style="1" customWidth="1"/>
    <col min="150" max="152" width="6.28515625" style="1" customWidth="1"/>
    <col min="153" max="153" width="10.7109375" style="1" customWidth="1"/>
    <col min="154" max="156" width="6.28515625" style="1" customWidth="1"/>
    <col min="157" max="157" width="9.7109375" style="1" customWidth="1"/>
    <col min="158" max="160" width="6.28515625" style="1" customWidth="1"/>
    <col min="161" max="161" width="10.7109375" style="1" customWidth="1"/>
    <col min="162" max="164" width="6.28515625" style="1" customWidth="1"/>
    <col min="165" max="165" width="9.7109375" style="1" customWidth="1"/>
    <col min="166" max="168" width="6.28515625" style="1" customWidth="1"/>
    <col min="169" max="169" width="10.7109375" style="1" customWidth="1"/>
    <col min="170" max="172" width="6.28515625" style="1" customWidth="1"/>
    <col min="173" max="173" width="9.7109375" style="1" customWidth="1"/>
    <col min="174" max="176" width="6.28515625" style="1" customWidth="1"/>
    <col min="177" max="177" width="10.7109375" style="1" customWidth="1"/>
    <col min="178" max="180" width="6.28515625" style="1" customWidth="1"/>
    <col min="181" max="181" width="9.7109375" style="1" customWidth="1"/>
    <col min="182" max="184" width="6.28515625" style="1" customWidth="1"/>
    <col min="185" max="185" width="10.7109375" style="1" customWidth="1"/>
    <col min="186" max="188" width="6.28515625" style="1" customWidth="1"/>
    <col min="189" max="189" width="9.7109375" style="1" customWidth="1"/>
    <col min="190" max="192" width="6.28515625" style="1" customWidth="1"/>
    <col min="193" max="193" width="10.7109375" style="1" customWidth="1"/>
    <col min="194" max="196" width="6.28515625" style="1" customWidth="1"/>
    <col min="197" max="197" width="9.7109375" style="1" customWidth="1"/>
    <col min="198" max="200" width="6.28515625" style="1" customWidth="1"/>
    <col min="201" max="201" width="12.85546875" style="1" customWidth="1"/>
    <col min="202" max="204" width="6.28515625" style="1" customWidth="1"/>
    <col min="205" max="205" width="9.7109375" style="1" customWidth="1"/>
    <col min="206" max="208" width="6.28515625" style="1" customWidth="1"/>
    <col min="209" max="209" width="10.7109375" style="1" customWidth="1"/>
    <col min="210" max="212" width="6.28515625" style="1" customWidth="1"/>
    <col min="213" max="213" width="9.7109375" style="1" customWidth="1"/>
    <col min="214" max="216" width="6.28515625" style="1" customWidth="1"/>
    <col min="217" max="217" width="10.7109375" style="1" customWidth="1"/>
    <col min="218" max="220" width="6.28515625" style="1" customWidth="1"/>
    <col min="221" max="221" width="9.7109375" style="1" customWidth="1"/>
    <col min="222" max="224" width="6.28515625" style="1" customWidth="1"/>
    <col min="225" max="225" width="10.7109375" style="1" customWidth="1"/>
    <col min="226" max="228" width="6.28515625" style="1" customWidth="1"/>
    <col min="229" max="229" width="9.7109375" style="1" customWidth="1"/>
    <col min="230" max="232" width="6.28515625" style="1" customWidth="1"/>
    <col min="233" max="233" width="10.7109375" style="1" customWidth="1"/>
    <col min="234" max="236" width="6.28515625" style="1" customWidth="1"/>
    <col min="237" max="237" width="9.7109375" style="1" customWidth="1"/>
    <col min="238" max="240" width="6.28515625" style="1" customWidth="1"/>
    <col min="241" max="241" width="10.7109375" style="1" customWidth="1"/>
    <col min="242" max="244" width="6.28515625" style="1" customWidth="1"/>
    <col min="245" max="245" width="9.7109375" style="1" customWidth="1"/>
    <col min="246" max="248" width="6.28515625" style="1" customWidth="1"/>
    <col min="249" max="249" width="10.7109375" style="1" customWidth="1"/>
    <col min="250" max="252" width="6.28515625" style="1" customWidth="1"/>
    <col min="253" max="253" width="9.7109375" style="1" customWidth="1"/>
    <col min="254" max="256" width="6.28515625" style="1" customWidth="1"/>
    <col min="257" max="257" width="10.7109375" style="1" customWidth="1"/>
    <col min="258" max="260" width="6.28515625" style="1" customWidth="1"/>
    <col min="261" max="261" width="9.7109375" style="1" customWidth="1"/>
    <col min="262" max="262" width="9.140625" style="9" bestFit="1" customWidth="1"/>
    <col min="263" max="265" width="7.7109375" style="9" customWidth="1"/>
    <col min="266" max="266" width="4.7109375" style="9" customWidth="1"/>
    <col min="270" max="271" width="11.42578125" style="1"/>
    <col min="276" max="276" width="4.7109375" style="9" customWidth="1"/>
    <col min="277" max="16384" width="11.42578125" style="1"/>
  </cols>
  <sheetData>
    <row r="1" spans="2:276" ht="15.75" customHeight="1" x14ac:dyDescent="0.25"/>
    <row r="2" spans="2:276" ht="22.5" x14ac:dyDescent="0.4">
      <c r="C2" s="429" t="s">
        <v>43</v>
      </c>
      <c r="D2" s="429"/>
      <c r="E2" s="429"/>
      <c r="F2" s="94"/>
      <c r="G2" s="94"/>
    </row>
    <row r="3" spans="2:276" ht="23.25" thickBot="1" x14ac:dyDescent="0.45">
      <c r="C3" s="366" t="s">
        <v>100</v>
      </c>
      <c r="D3" s="366"/>
      <c r="E3" s="366"/>
      <c r="F3" s="91"/>
      <c r="G3" s="91"/>
    </row>
    <row r="4" spans="2:276" ht="15.75" thickBot="1" x14ac:dyDescent="0.3">
      <c r="C4" s="35" t="str">
        <f>IF(VARIOS!B4&gt;=14,IF(C5=0," ",+VARIOS!B11)," ")</f>
        <v xml:space="preserve"> </v>
      </c>
      <c r="F4" s="49" t="e">
        <f>IF(F5=7,"F",IF(F5=1,"F",0))</f>
        <v>#VALUE!</v>
      </c>
      <c r="I4" s="45"/>
      <c r="J4" s="45"/>
      <c r="K4" s="45"/>
      <c r="V4" s="49" t="e">
        <f>IF(V5=7,"F",IF(V5=1,"F",0))</f>
        <v>#VALUE!</v>
      </c>
      <c r="W4" s="45"/>
      <c r="X4" s="45"/>
      <c r="Y4" s="45"/>
      <c r="Z4" s="45"/>
      <c r="AA4" s="45"/>
      <c r="AL4" s="49" t="e">
        <f>IF(AL5=7,"F",IF(AL5=1,"F",0))</f>
        <v>#VALUE!</v>
      </c>
      <c r="AM4" s="45"/>
      <c r="AN4" s="45"/>
      <c r="AO4" s="45"/>
      <c r="AP4" s="45"/>
      <c r="AQ4" s="45"/>
      <c r="BB4" s="49" t="e">
        <f>IF(BB5=7,"F",IF(BB5=1,"F",0))</f>
        <v>#VALUE!</v>
      </c>
      <c r="BC4" s="45"/>
      <c r="BD4" s="45"/>
      <c r="BE4" s="45"/>
      <c r="BF4" s="45"/>
      <c r="BG4" s="45"/>
      <c r="BR4" s="49" t="e">
        <f>IF(BR5=7,"F",IF(BR5=1,"F",0))</f>
        <v>#VALUE!</v>
      </c>
      <c r="BS4" s="45"/>
      <c r="BT4" s="45"/>
      <c r="BU4" s="45"/>
      <c r="BV4" s="45"/>
      <c r="BW4" s="45"/>
      <c r="CH4" s="49" t="e">
        <f>IF(CH5=7,"F",IF(CH5=1,"F",0))</f>
        <v>#VALUE!</v>
      </c>
      <c r="CI4" s="45"/>
      <c r="CJ4" s="45"/>
      <c r="CK4" s="45"/>
      <c r="CL4" s="45"/>
      <c r="CM4" s="45"/>
      <c r="CX4" s="49" t="e">
        <f>IF(CX5=7,"F",IF(CX5=1,"F",0))</f>
        <v>#VALUE!</v>
      </c>
      <c r="CY4" s="45"/>
      <c r="CZ4" s="45"/>
      <c r="DA4" s="45"/>
      <c r="DB4" s="45"/>
      <c r="DC4" s="45"/>
      <c r="DN4" s="49" t="e">
        <f>IF(DN5=7,"F",IF(DN5=1,"F",0))</f>
        <v>#VALUE!</v>
      </c>
      <c r="DO4" s="45"/>
      <c r="DP4" s="45"/>
      <c r="DQ4" s="45"/>
      <c r="DR4" s="45"/>
      <c r="DS4" s="45"/>
      <c r="ED4" s="49" t="e">
        <f>IF(ED5=7,"F",IF(ED5=1,"F",0))</f>
        <v>#VALUE!</v>
      </c>
      <c r="EE4" s="45"/>
      <c r="EF4" s="45"/>
      <c r="EG4" s="45"/>
      <c r="EH4" s="45"/>
      <c r="EI4" s="45"/>
      <c r="ET4" s="49" t="e">
        <f>IF(ET5=7,"F",IF(ET5=1,"F",0))</f>
        <v>#VALUE!</v>
      </c>
      <c r="EU4" s="45"/>
      <c r="EV4" s="45"/>
      <c r="EW4" s="45"/>
      <c r="EX4" s="45"/>
      <c r="EY4" s="45"/>
      <c r="FJ4" s="49" t="e">
        <f>IF(FJ5=7,"F",IF(FJ5=1,"F",0))</f>
        <v>#VALUE!</v>
      </c>
      <c r="FK4" s="45"/>
      <c r="FL4" s="45"/>
      <c r="FM4" s="45"/>
      <c r="FN4" s="45"/>
      <c r="FO4" s="45"/>
      <c r="FZ4" s="49" t="e">
        <f>IF(FZ5=7,"F",IF(FZ5=1,"F",0))</f>
        <v>#VALUE!</v>
      </c>
      <c r="GA4" s="45"/>
      <c r="GB4" s="45"/>
      <c r="GC4" s="45"/>
      <c r="GD4" s="45"/>
      <c r="GE4" s="45"/>
      <c r="GP4" s="49" t="e">
        <f>IF(GP5=7,"F",IF(GP5=1,"F",0))</f>
        <v>#VALUE!</v>
      </c>
      <c r="GQ4" s="45"/>
      <c r="GR4" s="45"/>
      <c r="GS4" s="45"/>
      <c r="GT4" s="45"/>
      <c r="GU4" s="45"/>
      <c r="HF4" s="49" t="e">
        <f>IF(HF5=7,"F",IF(HF5=1,"F",0))</f>
        <v>#VALUE!</v>
      </c>
      <c r="HG4" s="45"/>
      <c r="HH4" s="45"/>
      <c r="HI4" s="45"/>
      <c r="HJ4" s="45"/>
      <c r="HK4" s="45"/>
      <c r="HV4" s="49" t="e">
        <f>IF(HV5=7,"F",IF(HV5=1,"F",0))</f>
        <v>#VALUE!</v>
      </c>
      <c r="HW4" s="45"/>
      <c r="HX4" s="45"/>
      <c r="HY4" s="45"/>
      <c r="HZ4" s="45"/>
      <c r="IA4" s="45"/>
      <c r="IL4" s="49" t="e">
        <f>IF(IL5=7,"F",IF(IL5=1,"F",0))</f>
        <v>#VALUE!</v>
      </c>
      <c r="IM4" s="45"/>
      <c r="IN4" s="45"/>
      <c r="IO4" s="45"/>
      <c r="IP4" s="45"/>
      <c r="IQ4" s="45"/>
    </row>
    <row r="5" spans="2:276" s="3" customFormat="1" ht="21.75" customHeight="1" x14ac:dyDescent="0.3">
      <c r="B5" s="67" t="s">
        <v>98</v>
      </c>
      <c r="C5" s="68"/>
      <c r="D5" s="81" t="s">
        <v>102</v>
      </c>
      <c r="F5" s="426" t="e">
        <f>WEEKDAY(F6)</f>
        <v>#VALUE!</v>
      </c>
      <c r="G5" s="427"/>
      <c r="H5" s="427"/>
      <c r="I5" s="427"/>
      <c r="J5" s="427"/>
      <c r="K5" s="427"/>
      <c r="L5" s="427"/>
      <c r="M5" s="427"/>
      <c r="N5" s="427"/>
      <c r="O5" s="427"/>
      <c r="P5" s="427"/>
      <c r="Q5" s="427"/>
      <c r="R5" s="427"/>
      <c r="S5" s="427"/>
      <c r="T5" s="427"/>
      <c r="U5" s="428"/>
      <c r="V5" s="426" t="e">
        <f>WEEKDAY(V6)</f>
        <v>#VALUE!</v>
      </c>
      <c r="W5" s="427"/>
      <c r="X5" s="427"/>
      <c r="Y5" s="427"/>
      <c r="Z5" s="427"/>
      <c r="AA5" s="427"/>
      <c r="AB5" s="427"/>
      <c r="AC5" s="427"/>
      <c r="AD5" s="427"/>
      <c r="AE5" s="427"/>
      <c r="AF5" s="427"/>
      <c r="AG5" s="427"/>
      <c r="AH5" s="427"/>
      <c r="AI5" s="427"/>
      <c r="AJ5" s="427"/>
      <c r="AK5" s="428"/>
      <c r="AL5" s="426" t="e">
        <f>WEEKDAY(AL6)</f>
        <v>#VALUE!</v>
      </c>
      <c r="AM5" s="427"/>
      <c r="AN5" s="427"/>
      <c r="AO5" s="427"/>
      <c r="AP5" s="427"/>
      <c r="AQ5" s="427"/>
      <c r="AR5" s="427"/>
      <c r="AS5" s="427"/>
      <c r="AT5" s="427"/>
      <c r="AU5" s="427"/>
      <c r="AV5" s="427"/>
      <c r="AW5" s="427"/>
      <c r="AX5" s="427"/>
      <c r="AY5" s="427"/>
      <c r="AZ5" s="427"/>
      <c r="BA5" s="428"/>
      <c r="BB5" s="426" t="e">
        <f>WEEKDAY(BB6)</f>
        <v>#VALUE!</v>
      </c>
      <c r="BC5" s="427"/>
      <c r="BD5" s="427"/>
      <c r="BE5" s="427"/>
      <c r="BF5" s="427"/>
      <c r="BG5" s="427"/>
      <c r="BH5" s="427"/>
      <c r="BI5" s="427"/>
      <c r="BJ5" s="427"/>
      <c r="BK5" s="427"/>
      <c r="BL5" s="427"/>
      <c r="BM5" s="427"/>
      <c r="BN5" s="427"/>
      <c r="BO5" s="427"/>
      <c r="BP5" s="427"/>
      <c r="BQ5" s="428"/>
      <c r="BR5" s="426" t="e">
        <f>WEEKDAY(BR6)</f>
        <v>#VALUE!</v>
      </c>
      <c r="BS5" s="427"/>
      <c r="BT5" s="427"/>
      <c r="BU5" s="427"/>
      <c r="BV5" s="427"/>
      <c r="BW5" s="427"/>
      <c r="BX5" s="427"/>
      <c r="BY5" s="427"/>
      <c r="BZ5" s="427"/>
      <c r="CA5" s="427"/>
      <c r="CB5" s="427"/>
      <c r="CC5" s="427"/>
      <c r="CD5" s="427"/>
      <c r="CE5" s="427"/>
      <c r="CF5" s="427"/>
      <c r="CG5" s="428"/>
      <c r="CH5" s="426" t="e">
        <f>WEEKDAY(CH6)</f>
        <v>#VALUE!</v>
      </c>
      <c r="CI5" s="427"/>
      <c r="CJ5" s="427"/>
      <c r="CK5" s="427"/>
      <c r="CL5" s="427"/>
      <c r="CM5" s="427"/>
      <c r="CN5" s="427"/>
      <c r="CO5" s="427"/>
      <c r="CP5" s="427"/>
      <c r="CQ5" s="427"/>
      <c r="CR5" s="427"/>
      <c r="CS5" s="427"/>
      <c r="CT5" s="427"/>
      <c r="CU5" s="427"/>
      <c r="CV5" s="427"/>
      <c r="CW5" s="428"/>
      <c r="CX5" s="426" t="e">
        <f>WEEKDAY(CX6)</f>
        <v>#VALUE!</v>
      </c>
      <c r="CY5" s="427"/>
      <c r="CZ5" s="427"/>
      <c r="DA5" s="427"/>
      <c r="DB5" s="427"/>
      <c r="DC5" s="427"/>
      <c r="DD5" s="427"/>
      <c r="DE5" s="427"/>
      <c r="DF5" s="427"/>
      <c r="DG5" s="427"/>
      <c r="DH5" s="427"/>
      <c r="DI5" s="427"/>
      <c r="DJ5" s="427"/>
      <c r="DK5" s="427"/>
      <c r="DL5" s="427"/>
      <c r="DM5" s="428"/>
      <c r="DN5" s="426" t="e">
        <f>WEEKDAY(DN6)</f>
        <v>#VALUE!</v>
      </c>
      <c r="DO5" s="427"/>
      <c r="DP5" s="427"/>
      <c r="DQ5" s="427"/>
      <c r="DR5" s="427"/>
      <c r="DS5" s="427"/>
      <c r="DT5" s="427"/>
      <c r="DU5" s="427"/>
      <c r="DV5" s="427"/>
      <c r="DW5" s="427"/>
      <c r="DX5" s="427"/>
      <c r="DY5" s="427"/>
      <c r="DZ5" s="427"/>
      <c r="EA5" s="427"/>
      <c r="EB5" s="427"/>
      <c r="EC5" s="428"/>
      <c r="ED5" s="426" t="e">
        <f>WEEKDAY(ED6)</f>
        <v>#VALUE!</v>
      </c>
      <c r="EE5" s="427"/>
      <c r="EF5" s="427"/>
      <c r="EG5" s="427"/>
      <c r="EH5" s="427"/>
      <c r="EI5" s="427"/>
      <c r="EJ5" s="427"/>
      <c r="EK5" s="427"/>
      <c r="EL5" s="427"/>
      <c r="EM5" s="427"/>
      <c r="EN5" s="427"/>
      <c r="EO5" s="427"/>
      <c r="EP5" s="427"/>
      <c r="EQ5" s="427"/>
      <c r="ER5" s="427"/>
      <c r="ES5" s="428"/>
      <c r="ET5" s="426" t="e">
        <f>WEEKDAY(ET6)</f>
        <v>#VALUE!</v>
      </c>
      <c r="EU5" s="427"/>
      <c r="EV5" s="427"/>
      <c r="EW5" s="427"/>
      <c r="EX5" s="427"/>
      <c r="EY5" s="427"/>
      <c r="EZ5" s="427"/>
      <c r="FA5" s="427"/>
      <c r="FB5" s="427"/>
      <c r="FC5" s="427"/>
      <c r="FD5" s="427"/>
      <c r="FE5" s="427"/>
      <c r="FF5" s="427"/>
      <c r="FG5" s="427"/>
      <c r="FH5" s="427"/>
      <c r="FI5" s="428"/>
      <c r="FJ5" s="426" t="e">
        <f>WEEKDAY(FJ6)</f>
        <v>#VALUE!</v>
      </c>
      <c r="FK5" s="427"/>
      <c r="FL5" s="427"/>
      <c r="FM5" s="427"/>
      <c r="FN5" s="427"/>
      <c r="FO5" s="427"/>
      <c r="FP5" s="427"/>
      <c r="FQ5" s="427"/>
      <c r="FR5" s="427"/>
      <c r="FS5" s="427"/>
      <c r="FT5" s="427"/>
      <c r="FU5" s="427"/>
      <c r="FV5" s="427"/>
      <c r="FW5" s="427"/>
      <c r="FX5" s="427"/>
      <c r="FY5" s="428"/>
      <c r="FZ5" s="426" t="e">
        <f>WEEKDAY(FZ6)</f>
        <v>#VALUE!</v>
      </c>
      <c r="GA5" s="427"/>
      <c r="GB5" s="427"/>
      <c r="GC5" s="427"/>
      <c r="GD5" s="427"/>
      <c r="GE5" s="427"/>
      <c r="GF5" s="427"/>
      <c r="GG5" s="427"/>
      <c r="GH5" s="427"/>
      <c r="GI5" s="427"/>
      <c r="GJ5" s="427"/>
      <c r="GK5" s="427"/>
      <c r="GL5" s="427"/>
      <c r="GM5" s="427"/>
      <c r="GN5" s="427"/>
      <c r="GO5" s="428"/>
      <c r="GP5" s="426" t="e">
        <f>WEEKDAY(GP6)</f>
        <v>#VALUE!</v>
      </c>
      <c r="GQ5" s="427"/>
      <c r="GR5" s="427"/>
      <c r="GS5" s="427"/>
      <c r="GT5" s="427"/>
      <c r="GU5" s="427"/>
      <c r="GV5" s="427"/>
      <c r="GW5" s="427"/>
      <c r="GX5" s="427"/>
      <c r="GY5" s="427"/>
      <c r="GZ5" s="427"/>
      <c r="HA5" s="427"/>
      <c r="HB5" s="427"/>
      <c r="HC5" s="427"/>
      <c r="HD5" s="427"/>
      <c r="HE5" s="428"/>
      <c r="HF5" s="426" t="e">
        <f>WEEKDAY(HF6)</f>
        <v>#VALUE!</v>
      </c>
      <c r="HG5" s="427"/>
      <c r="HH5" s="427"/>
      <c r="HI5" s="427"/>
      <c r="HJ5" s="427"/>
      <c r="HK5" s="427"/>
      <c r="HL5" s="427"/>
      <c r="HM5" s="427"/>
      <c r="HN5" s="427"/>
      <c r="HO5" s="427"/>
      <c r="HP5" s="427"/>
      <c r="HQ5" s="427"/>
      <c r="HR5" s="427"/>
      <c r="HS5" s="427"/>
      <c r="HT5" s="427"/>
      <c r="HU5" s="428"/>
      <c r="HV5" s="426" t="e">
        <f>WEEKDAY(HV6)</f>
        <v>#VALUE!</v>
      </c>
      <c r="HW5" s="427"/>
      <c r="HX5" s="427"/>
      <c r="HY5" s="427"/>
      <c r="HZ5" s="427"/>
      <c r="IA5" s="427"/>
      <c r="IB5" s="427"/>
      <c r="IC5" s="427"/>
      <c r="ID5" s="427"/>
      <c r="IE5" s="427"/>
      <c r="IF5" s="427"/>
      <c r="IG5" s="427"/>
      <c r="IH5" s="427"/>
      <c r="II5" s="427"/>
      <c r="IJ5" s="427"/>
      <c r="IK5" s="428"/>
      <c r="IL5" s="426" t="e">
        <f>WEEKDAY(IL6)</f>
        <v>#VALUE!</v>
      </c>
      <c r="IM5" s="427"/>
      <c r="IN5" s="427"/>
      <c r="IO5" s="427"/>
      <c r="IP5" s="427"/>
      <c r="IQ5" s="427"/>
      <c r="IR5" s="427"/>
      <c r="IS5" s="427"/>
      <c r="IT5" s="427"/>
      <c r="IU5" s="427"/>
      <c r="IV5" s="427"/>
      <c r="IW5" s="427"/>
      <c r="IX5" s="427"/>
      <c r="IY5" s="427"/>
      <c r="IZ5" s="427"/>
      <c r="JA5" s="428"/>
      <c r="JB5" s="9"/>
      <c r="JC5" s="9"/>
      <c r="JD5" s="9"/>
      <c r="JE5" s="9"/>
      <c r="JF5" s="9"/>
      <c r="JP5" s="9"/>
    </row>
    <row r="6" spans="2:276" ht="21.75" thickBot="1" x14ac:dyDescent="0.4">
      <c r="B6" s="95" t="s">
        <v>99</v>
      </c>
      <c r="C6" s="68"/>
      <c r="D6" s="70" t="s">
        <v>101</v>
      </c>
      <c r="F6" s="418" t="str">
        <f>IF(C5=0," ",+C5)</f>
        <v xml:space="preserve"> </v>
      </c>
      <c r="G6" s="419"/>
      <c r="H6" s="419"/>
      <c r="I6" s="419"/>
      <c r="J6" s="419"/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20"/>
      <c r="V6" s="418" t="str">
        <f>IF(F6=" "," ",+F6+1)</f>
        <v xml:space="preserve"> </v>
      </c>
      <c r="W6" s="419"/>
      <c r="X6" s="419"/>
      <c r="Y6" s="419"/>
      <c r="Z6" s="419"/>
      <c r="AA6" s="419"/>
      <c r="AB6" s="419"/>
      <c r="AC6" s="419"/>
      <c r="AD6" s="419"/>
      <c r="AE6" s="419"/>
      <c r="AF6" s="419"/>
      <c r="AG6" s="419"/>
      <c r="AH6" s="419"/>
      <c r="AI6" s="419"/>
      <c r="AJ6" s="419"/>
      <c r="AK6" s="420"/>
      <c r="AL6" s="418" t="str">
        <f>IF(V6=" "," ",+V6+1)</f>
        <v xml:space="preserve"> </v>
      </c>
      <c r="AM6" s="419"/>
      <c r="AN6" s="419"/>
      <c r="AO6" s="419"/>
      <c r="AP6" s="419"/>
      <c r="AQ6" s="419"/>
      <c r="AR6" s="419"/>
      <c r="AS6" s="419"/>
      <c r="AT6" s="419"/>
      <c r="AU6" s="419"/>
      <c r="AV6" s="419"/>
      <c r="AW6" s="419"/>
      <c r="AX6" s="419"/>
      <c r="AY6" s="419"/>
      <c r="AZ6" s="419"/>
      <c r="BA6" s="420"/>
      <c r="BB6" s="418" t="str">
        <f>IF(AL6=" "," ",+AL6+1)</f>
        <v xml:space="preserve"> </v>
      </c>
      <c r="BC6" s="419"/>
      <c r="BD6" s="419"/>
      <c r="BE6" s="419"/>
      <c r="BF6" s="419"/>
      <c r="BG6" s="419"/>
      <c r="BH6" s="419"/>
      <c r="BI6" s="419"/>
      <c r="BJ6" s="419"/>
      <c r="BK6" s="419"/>
      <c r="BL6" s="419"/>
      <c r="BM6" s="419"/>
      <c r="BN6" s="419"/>
      <c r="BO6" s="419"/>
      <c r="BP6" s="419"/>
      <c r="BQ6" s="420"/>
      <c r="BR6" s="418" t="str">
        <f>IF(BB6=" "," ",+BB6+1)</f>
        <v xml:space="preserve"> </v>
      </c>
      <c r="BS6" s="419"/>
      <c r="BT6" s="419"/>
      <c r="BU6" s="419"/>
      <c r="BV6" s="419"/>
      <c r="BW6" s="419"/>
      <c r="BX6" s="419"/>
      <c r="BY6" s="419"/>
      <c r="BZ6" s="419"/>
      <c r="CA6" s="419"/>
      <c r="CB6" s="419"/>
      <c r="CC6" s="419"/>
      <c r="CD6" s="419"/>
      <c r="CE6" s="419"/>
      <c r="CF6" s="419"/>
      <c r="CG6" s="420"/>
      <c r="CH6" s="418" t="str">
        <f>IF(BR6=" "," ",+BR6+1)</f>
        <v xml:space="preserve"> </v>
      </c>
      <c r="CI6" s="419"/>
      <c r="CJ6" s="419"/>
      <c r="CK6" s="419"/>
      <c r="CL6" s="419"/>
      <c r="CM6" s="419"/>
      <c r="CN6" s="419"/>
      <c r="CO6" s="419"/>
      <c r="CP6" s="419"/>
      <c r="CQ6" s="419"/>
      <c r="CR6" s="419"/>
      <c r="CS6" s="419"/>
      <c r="CT6" s="419"/>
      <c r="CU6" s="419"/>
      <c r="CV6" s="419"/>
      <c r="CW6" s="420"/>
      <c r="CX6" s="418" t="str">
        <f>IF(CH6=" "," ",+CH6+1)</f>
        <v xml:space="preserve"> </v>
      </c>
      <c r="CY6" s="419"/>
      <c r="CZ6" s="419"/>
      <c r="DA6" s="419"/>
      <c r="DB6" s="419"/>
      <c r="DC6" s="419"/>
      <c r="DD6" s="419"/>
      <c r="DE6" s="419"/>
      <c r="DF6" s="419"/>
      <c r="DG6" s="419"/>
      <c r="DH6" s="419"/>
      <c r="DI6" s="419"/>
      <c r="DJ6" s="419"/>
      <c r="DK6" s="419"/>
      <c r="DL6" s="419"/>
      <c r="DM6" s="420"/>
      <c r="DN6" s="418" t="str">
        <f>IF(CX6=" "," ",+CX6+1)</f>
        <v xml:space="preserve"> </v>
      </c>
      <c r="DO6" s="419"/>
      <c r="DP6" s="419"/>
      <c r="DQ6" s="419"/>
      <c r="DR6" s="419"/>
      <c r="DS6" s="419"/>
      <c r="DT6" s="419"/>
      <c r="DU6" s="419"/>
      <c r="DV6" s="419"/>
      <c r="DW6" s="419"/>
      <c r="DX6" s="419"/>
      <c r="DY6" s="419"/>
      <c r="DZ6" s="419"/>
      <c r="EA6" s="419"/>
      <c r="EB6" s="419"/>
      <c r="EC6" s="420"/>
      <c r="ED6" s="418" t="str">
        <f>IF(DN6=" "," ",+DN6+1)</f>
        <v xml:space="preserve"> </v>
      </c>
      <c r="EE6" s="419"/>
      <c r="EF6" s="419"/>
      <c r="EG6" s="419"/>
      <c r="EH6" s="419"/>
      <c r="EI6" s="419"/>
      <c r="EJ6" s="419"/>
      <c r="EK6" s="419"/>
      <c r="EL6" s="419"/>
      <c r="EM6" s="419"/>
      <c r="EN6" s="419"/>
      <c r="EO6" s="419"/>
      <c r="EP6" s="419"/>
      <c r="EQ6" s="419"/>
      <c r="ER6" s="419"/>
      <c r="ES6" s="420"/>
      <c r="ET6" s="418" t="str">
        <f>IF(ED6=" "," ",+ED6+1)</f>
        <v xml:space="preserve"> </v>
      </c>
      <c r="EU6" s="419"/>
      <c r="EV6" s="419"/>
      <c r="EW6" s="419"/>
      <c r="EX6" s="419"/>
      <c r="EY6" s="419"/>
      <c r="EZ6" s="419"/>
      <c r="FA6" s="419"/>
      <c r="FB6" s="419"/>
      <c r="FC6" s="419"/>
      <c r="FD6" s="419"/>
      <c r="FE6" s="419"/>
      <c r="FF6" s="419"/>
      <c r="FG6" s="419"/>
      <c r="FH6" s="419"/>
      <c r="FI6" s="420"/>
      <c r="FJ6" s="418" t="str">
        <f>IF(ET6=" "," ",+ET6+1)</f>
        <v xml:space="preserve"> </v>
      </c>
      <c r="FK6" s="419"/>
      <c r="FL6" s="419"/>
      <c r="FM6" s="419"/>
      <c r="FN6" s="419"/>
      <c r="FO6" s="419"/>
      <c r="FP6" s="419"/>
      <c r="FQ6" s="419"/>
      <c r="FR6" s="419"/>
      <c r="FS6" s="419"/>
      <c r="FT6" s="419"/>
      <c r="FU6" s="419"/>
      <c r="FV6" s="419"/>
      <c r="FW6" s="419"/>
      <c r="FX6" s="419"/>
      <c r="FY6" s="420"/>
      <c r="FZ6" s="418" t="str">
        <f>IF(FJ6=" "," ",+FJ6+1)</f>
        <v xml:space="preserve"> </v>
      </c>
      <c r="GA6" s="419"/>
      <c r="GB6" s="419"/>
      <c r="GC6" s="419"/>
      <c r="GD6" s="419"/>
      <c r="GE6" s="419"/>
      <c r="GF6" s="419"/>
      <c r="GG6" s="419"/>
      <c r="GH6" s="419"/>
      <c r="GI6" s="419"/>
      <c r="GJ6" s="419"/>
      <c r="GK6" s="419"/>
      <c r="GL6" s="419"/>
      <c r="GM6" s="419"/>
      <c r="GN6" s="419"/>
      <c r="GO6" s="420"/>
      <c r="GP6" s="418" t="str">
        <f>IF(FZ6=" "," ",+FZ6+1)</f>
        <v xml:space="preserve"> </v>
      </c>
      <c r="GQ6" s="419"/>
      <c r="GR6" s="419"/>
      <c r="GS6" s="419"/>
      <c r="GT6" s="419"/>
      <c r="GU6" s="419"/>
      <c r="GV6" s="419"/>
      <c r="GW6" s="419"/>
      <c r="GX6" s="419"/>
      <c r="GY6" s="419"/>
      <c r="GZ6" s="419"/>
      <c r="HA6" s="419"/>
      <c r="HB6" s="419"/>
      <c r="HC6" s="419"/>
      <c r="HD6" s="419"/>
      <c r="HE6" s="420"/>
      <c r="HF6" s="418" t="str">
        <f>IF(GP6=" "," ",+GP6+1)</f>
        <v xml:space="preserve"> </v>
      </c>
      <c r="HG6" s="419"/>
      <c r="HH6" s="419"/>
      <c r="HI6" s="419"/>
      <c r="HJ6" s="419"/>
      <c r="HK6" s="419"/>
      <c r="HL6" s="419"/>
      <c r="HM6" s="419"/>
      <c r="HN6" s="419"/>
      <c r="HO6" s="419"/>
      <c r="HP6" s="419"/>
      <c r="HQ6" s="419"/>
      <c r="HR6" s="419"/>
      <c r="HS6" s="419"/>
      <c r="HT6" s="419"/>
      <c r="HU6" s="420"/>
      <c r="HV6" s="418" t="str">
        <f>IF(HF6=" "," ",+HF6+1)</f>
        <v xml:space="preserve"> </v>
      </c>
      <c r="HW6" s="419"/>
      <c r="HX6" s="419"/>
      <c r="HY6" s="419"/>
      <c r="HZ6" s="419"/>
      <c r="IA6" s="419"/>
      <c r="IB6" s="419"/>
      <c r="IC6" s="419"/>
      <c r="ID6" s="419"/>
      <c r="IE6" s="419"/>
      <c r="IF6" s="419"/>
      <c r="IG6" s="419"/>
      <c r="IH6" s="419"/>
      <c r="II6" s="419"/>
      <c r="IJ6" s="419"/>
      <c r="IK6" s="420"/>
      <c r="IL6" s="418" t="str">
        <f>IF(HV6=" "," ",+HV6+1)</f>
        <v xml:space="preserve"> </v>
      </c>
      <c r="IM6" s="419"/>
      <c r="IN6" s="419"/>
      <c r="IO6" s="419"/>
      <c r="IP6" s="419"/>
      <c r="IQ6" s="419"/>
      <c r="IR6" s="419"/>
      <c r="IS6" s="419"/>
      <c r="IT6" s="419"/>
      <c r="IU6" s="419"/>
      <c r="IV6" s="419"/>
      <c r="IW6" s="419"/>
      <c r="IX6" s="419"/>
      <c r="IY6" s="419"/>
      <c r="IZ6" s="419"/>
      <c r="JA6" s="420"/>
    </row>
    <row r="7" spans="2:276" ht="19.5" thickBot="1" x14ac:dyDescent="0.3">
      <c r="B7" s="44" t="s">
        <v>88</v>
      </c>
      <c r="C7" s="84" t="str">
        <f>IF((C6-C5)&gt;=14,VARIOS!D14," ")</f>
        <v xml:space="preserve"> </v>
      </c>
      <c r="F7" s="421" t="s">
        <v>29</v>
      </c>
      <c r="G7" s="422"/>
      <c r="H7" s="422"/>
      <c r="I7" s="422"/>
      <c r="J7" s="422"/>
      <c r="K7" s="422"/>
      <c r="L7" s="422"/>
      <c r="M7" s="423"/>
      <c r="N7" s="424" t="s">
        <v>12</v>
      </c>
      <c r="O7" s="424"/>
      <c r="P7" s="424"/>
      <c r="Q7" s="424"/>
      <c r="R7" s="424"/>
      <c r="S7" s="424"/>
      <c r="T7" s="424"/>
      <c r="U7" s="425"/>
      <c r="V7" s="412" t="s">
        <v>29</v>
      </c>
      <c r="W7" s="413"/>
      <c r="X7" s="413"/>
      <c r="Y7" s="413"/>
      <c r="Z7" s="413"/>
      <c r="AA7" s="413"/>
      <c r="AB7" s="413"/>
      <c r="AC7" s="414"/>
      <c r="AD7" s="415" t="s">
        <v>12</v>
      </c>
      <c r="AE7" s="416"/>
      <c r="AF7" s="416"/>
      <c r="AG7" s="416"/>
      <c r="AH7" s="416"/>
      <c r="AI7" s="416"/>
      <c r="AJ7" s="416"/>
      <c r="AK7" s="417"/>
      <c r="AL7" s="412" t="s">
        <v>29</v>
      </c>
      <c r="AM7" s="413"/>
      <c r="AN7" s="413"/>
      <c r="AO7" s="413"/>
      <c r="AP7" s="413"/>
      <c r="AQ7" s="413"/>
      <c r="AR7" s="413"/>
      <c r="AS7" s="414"/>
      <c r="AT7" s="415" t="s">
        <v>12</v>
      </c>
      <c r="AU7" s="416"/>
      <c r="AV7" s="416"/>
      <c r="AW7" s="416"/>
      <c r="AX7" s="416"/>
      <c r="AY7" s="416"/>
      <c r="AZ7" s="416"/>
      <c r="BA7" s="417"/>
      <c r="BB7" s="412" t="s">
        <v>29</v>
      </c>
      <c r="BC7" s="413"/>
      <c r="BD7" s="413"/>
      <c r="BE7" s="413"/>
      <c r="BF7" s="413"/>
      <c r="BG7" s="413"/>
      <c r="BH7" s="413"/>
      <c r="BI7" s="414"/>
      <c r="BJ7" s="415" t="s">
        <v>12</v>
      </c>
      <c r="BK7" s="416"/>
      <c r="BL7" s="416"/>
      <c r="BM7" s="416"/>
      <c r="BN7" s="416"/>
      <c r="BO7" s="416"/>
      <c r="BP7" s="416"/>
      <c r="BQ7" s="417"/>
      <c r="BR7" s="412" t="s">
        <v>29</v>
      </c>
      <c r="BS7" s="413"/>
      <c r="BT7" s="413"/>
      <c r="BU7" s="413"/>
      <c r="BV7" s="413"/>
      <c r="BW7" s="413"/>
      <c r="BX7" s="413"/>
      <c r="BY7" s="414"/>
      <c r="BZ7" s="415" t="s">
        <v>12</v>
      </c>
      <c r="CA7" s="416"/>
      <c r="CB7" s="416"/>
      <c r="CC7" s="416"/>
      <c r="CD7" s="416"/>
      <c r="CE7" s="416"/>
      <c r="CF7" s="416"/>
      <c r="CG7" s="417"/>
      <c r="CH7" s="412" t="s">
        <v>29</v>
      </c>
      <c r="CI7" s="413"/>
      <c r="CJ7" s="413"/>
      <c r="CK7" s="413"/>
      <c r="CL7" s="413"/>
      <c r="CM7" s="413"/>
      <c r="CN7" s="413"/>
      <c r="CO7" s="414"/>
      <c r="CP7" s="415" t="s">
        <v>12</v>
      </c>
      <c r="CQ7" s="416"/>
      <c r="CR7" s="416"/>
      <c r="CS7" s="416"/>
      <c r="CT7" s="416"/>
      <c r="CU7" s="416"/>
      <c r="CV7" s="416"/>
      <c r="CW7" s="417"/>
      <c r="CX7" s="412" t="s">
        <v>29</v>
      </c>
      <c r="CY7" s="413"/>
      <c r="CZ7" s="413"/>
      <c r="DA7" s="413"/>
      <c r="DB7" s="413"/>
      <c r="DC7" s="413"/>
      <c r="DD7" s="413"/>
      <c r="DE7" s="414"/>
      <c r="DF7" s="415" t="s">
        <v>12</v>
      </c>
      <c r="DG7" s="416"/>
      <c r="DH7" s="416"/>
      <c r="DI7" s="416"/>
      <c r="DJ7" s="416"/>
      <c r="DK7" s="416"/>
      <c r="DL7" s="416"/>
      <c r="DM7" s="417"/>
      <c r="DN7" s="412" t="s">
        <v>29</v>
      </c>
      <c r="DO7" s="413"/>
      <c r="DP7" s="413"/>
      <c r="DQ7" s="413"/>
      <c r="DR7" s="413"/>
      <c r="DS7" s="413"/>
      <c r="DT7" s="413"/>
      <c r="DU7" s="414"/>
      <c r="DV7" s="415" t="s">
        <v>12</v>
      </c>
      <c r="DW7" s="416"/>
      <c r="DX7" s="416"/>
      <c r="DY7" s="416"/>
      <c r="DZ7" s="416"/>
      <c r="EA7" s="416"/>
      <c r="EB7" s="416"/>
      <c r="EC7" s="417"/>
      <c r="ED7" s="412" t="s">
        <v>29</v>
      </c>
      <c r="EE7" s="413"/>
      <c r="EF7" s="413"/>
      <c r="EG7" s="413"/>
      <c r="EH7" s="413"/>
      <c r="EI7" s="413"/>
      <c r="EJ7" s="413"/>
      <c r="EK7" s="414"/>
      <c r="EL7" s="415" t="s">
        <v>12</v>
      </c>
      <c r="EM7" s="416"/>
      <c r="EN7" s="416"/>
      <c r="EO7" s="416"/>
      <c r="EP7" s="416"/>
      <c r="EQ7" s="416"/>
      <c r="ER7" s="416"/>
      <c r="ES7" s="417"/>
      <c r="ET7" s="412" t="s">
        <v>29</v>
      </c>
      <c r="EU7" s="413"/>
      <c r="EV7" s="413"/>
      <c r="EW7" s="413"/>
      <c r="EX7" s="413"/>
      <c r="EY7" s="413"/>
      <c r="EZ7" s="413"/>
      <c r="FA7" s="414"/>
      <c r="FB7" s="415" t="s">
        <v>12</v>
      </c>
      <c r="FC7" s="416"/>
      <c r="FD7" s="416"/>
      <c r="FE7" s="416"/>
      <c r="FF7" s="416"/>
      <c r="FG7" s="416"/>
      <c r="FH7" s="416"/>
      <c r="FI7" s="417"/>
      <c r="FJ7" s="412" t="s">
        <v>29</v>
      </c>
      <c r="FK7" s="413"/>
      <c r="FL7" s="413"/>
      <c r="FM7" s="413"/>
      <c r="FN7" s="413"/>
      <c r="FO7" s="413"/>
      <c r="FP7" s="413"/>
      <c r="FQ7" s="414"/>
      <c r="FR7" s="415" t="s">
        <v>12</v>
      </c>
      <c r="FS7" s="416"/>
      <c r="FT7" s="416"/>
      <c r="FU7" s="416"/>
      <c r="FV7" s="416"/>
      <c r="FW7" s="416"/>
      <c r="FX7" s="416"/>
      <c r="FY7" s="417"/>
      <c r="FZ7" s="412" t="s">
        <v>29</v>
      </c>
      <c r="GA7" s="413"/>
      <c r="GB7" s="413"/>
      <c r="GC7" s="413"/>
      <c r="GD7" s="413"/>
      <c r="GE7" s="413"/>
      <c r="GF7" s="413"/>
      <c r="GG7" s="414"/>
      <c r="GH7" s="415" t="s">
        <v>12</v>
      </c>
      <c r="GI7" s="416"/>
      <c r="GJ7" s="416"/>
      <c r="GK7" s="416"/>
      <c r="GL7" s="416"/>
      <c r="GM7" s="416"/>
      <c r="GN7" s="416"/>
      <c r="GO7" s="417"/>
      <c r="GP7" s="412" t="s">
        <v>29</v>
      </c>
      <c r="GQ7" s="413"/>
      <c r="GR7" s="413"/>
      <c r="GS7" s="413"/>
      <c r="GT7" s="413"/>
      <c r="GU7" s="413"/>
      <c r="GV7" s="413"/>
      <c r="GW7" s="414"/>
      <c r="GX7" s="415" t="s">
        <v>12</v>
      </c>
      <c r="GY7" s="416"/>
      <c r="GZ7" s="416"/>
      <c r="HA7" s="416"/>
      <c r="HB7" s="416"/>
      <c r="HC7" s="416"/>
      <c r="HD7" s="416"/>
      <c r="HE7" s="417"/>
      <c r="HF7" s="412" t="s">
        <v>29</v>
      </c>
      <c r="HG7" s="413"/>
      <c r="HH7" s="413"/>
      <c r="HI7" s="413"/>
      <c r="HJ7" s="413"/>
      <c r="HK7" s="413"/>
      <c r="HL7" s="413"/>
      <c r="HM7" s="414"/>
      <c r="HN7" s="415" t="s">
        <v>12</v>
      </c>
      <c r="HO7" s="416"/>
      <c r="HP7" s="416"/>
      <c r="HQ7" s="416"/>
      <c r="HR7" s="416"/>
      <c r="HS7" s="416"/>
      <c r="HT7" s="416"/>
      <c r="HU7" s="417"/>
      <c r="HV7" s="412" t="s">
        <v>29</v>
      </c>
      <c r="HW7" s="413"/>
      <c r="HX7" s="413"/>
      <c r="HY7" s="413"/>
      <c r="HZ7" s="413"/>
      <c r="IA7" s="413"/>
      <c r="IB7" s="413"/>
      <c r="IC7" s="414"/>
      <c r="ID7" s="415" t="s">
        <v>12</v>
      </c>
      <c r="IE7" s="416"/>
      <c r="IF7" s="416"/>
      <c r="IG7" s="416"/>
      <c r="IH7" s="416"/>
      <c r="II7" s="416"/>
      <c r="IJ7" s="416"/>
      <c r="IK7" s="417"/>
      <c r="IL7" s="412" t="s">
        <v>29</v>
      </c>
      <c r="IM7" s="413"/>
      <c r="IN7" s="413"/>
      <c r="IO7" s="413"/>
      <c r="IP7" s="413"/>
      <c r="IQ7" s="413"/>
      <c r="IR7" s="413"/>
      <c r="IS7" s="414"/>
      <c r="IT7" s="415" t="s">
        <v>12</v>
      </c>
      <c r="IU7" s="416"/>
      <c r="IV7" s="416"/>
      <c r="IW7" s="416"/>
      <c r="IX7" s="416"/>
      <c r="IY7" s="416"/>
      <c r="IZ7" s="416"/>
      <c r="JA7" s="417"/>
      <c r="JB7" s="412" t="s">
        <v>29</v>
      </c>
      <c r="JC7" s="413"/>
      <c r="JD7" s="415" t="s">
        <v>12</v>
      </c>
      <c r="JE7" s="416"/>
    </row>
    <row r="8" spans="2:276" ht="15.75" thickBot="1" x14ac:dyDescent="0.3">
      <c r="F8" s="406" t="s">
        <v>94</v>
      </c>
      <c r="G8" s="407"/>
      <c r="H8" s="407"/>
      <c r="I8" s="408"/>
      <c r="J8" s="406" t="s">
        <v>95</v>
      </c>
      <c r="K8" s="407"/>
      <c r="L8" s="407"/>
      <c r="M8" s="408"/>
      <c r="N8" s="409" t="s">
        <v>94</v>
      </c>
      <c r="O8" s="410"/>
      <c r="P8" s="410"/>
      <c r="Q8" s="411"/>
      <c r="R8" s="409" t="s">
        <v>95</v>
      </c>
      <c r="S8" s="410"/>
      <c r="T8" s="410"/>
      <c r="U8" s="411"/>
      <c r="V8" s="406" t="s">
        <v>94</v>
      </c>
      <c r="W8" s="407"/>
      <c r="X8" s="407"/>
      <c r="Y8" s="408"/>
      <c r="Z8" s="406" t="s">
        <v>95</v>
      </c>
      <c r="AA8" s="407"/>
      <c r="AB8" s="407"/>
      <c r="AC8" s="408"/>
      <c r="AD8" s="409" t="s">
        <v>94</v>
      </c>
      <c r="AE8" s="410"/>
      <c r="AF8" s="410"/>
      <c r="AG8" s="411"/>
      <c r="AH8" s="409" t="s">
        <v>95</v>
      </c>
      <c r="AI8" s="410"/>
      <c r="AJ8" s="410"/>
      <c r="AK8" s="411"/>
      <c r="AL8" s="406" t="s">
        <v>94</v>
      </c>
      <c r="AM8" s="407"/>
      <c r="AN8" s="407"/>
      <c r="AO8" s="408"/>
      <c r="AP8" s="406" t="s">
        <v>95</v>
      </c>
      <c r="AQ8" s="407"/>
      <c r="AR8" s="407"/>
      <c r="AS8" s="408"/>
      <c r="AT8" s="409" t="s">
        <v>94</v>
      </c>
      <c r="AU8" s="410"/>
      <c r="AV8" s="410"/>
      <c r="AW8" s="411"/>
      <c r="AX8" s="409" t="s">
        <v>95</v>
      </c>
      <c r="AY8" s="410"/>
      <c r="AZ8" s="410"/>
      <c r="BA8" s="411"/>
      <c r="BB8" s="406" t="s">
        <v>94</v>
      </c>
      <c r="BC8" s="407"/>
      <c r="BD8" s="407"/>
      <c r="BE8" s="408"/>
      <c r="BF8" s="406" t="s">
        <v>95</v>
      </c>
      <c r="BG8" s="407"/>
      <c r="BH8" s="407"/>
      <c r="BI8" s="408"/>
      <c r="BJ8" s="409" t="s">
        <v>94</v>
      </c>
      <c r="BK8" s="410"/>
      <c r="BL8" s="410"/>
      <c r="BM8" s="411"/>
      <c r="BN8" s="409" t="s">
        <v>95</v>
      </c>
      <c r="BO8" s="410"/>
      <c r="BP8" s="410"/>
      <c r="BQ8" s="411"/>
      <c r="BR8" s="406" t="s">
        <v>94</v>
      </c>
      <c r="BS8" s="407"/>
      <c r="BT8" s="407"/>
      <c r="BU8" s="408"/>
      <c r="BV8" s="406" t="s">
        <v>95</v>
      </c>
      <c r="BW8" s="407"/>
      <c r="BX8" s="407"/>
      <c r="BY8" s="408"/>
      <c r="BZ8" s="409" t="s">
        <v>94</v>
      </c>
      <c r="CA8" s="410"/>
      <c r="CB8" s="410"/>
      <c r="CC8" s="411"/>
      <c r="CD8" s="409" t="s">
        <v>95</v>
      </c>
      <c r="CE8" s="410"/>
      <c r="CF8" s="410"/>
      <c r="CG8" s="411"/>
      <c r="CH8" s="406" t="s">
        <v>94</v>
      </c>
      <c r="CI8" s="407"/>
      <c r="CJ8" s="407"/>
      <c r="CK8" s="408"/>
      <c r="CL8" s="406" t="s">
        <v>95</v>
      </c>
      <c r="CM8" s="407"/>
      <c r="CN8" s="407"/>
      <c r="CO8" s="408"/>
      <c r="CP8" s="409" t="s">
        <v>94</v>
      </c>
      <c r="CQ8" s="410"/>
      <c r="CR8" s="410"/>
      <c r="CS8" s="411"/>
      <c r="CT8" s="409" t="s">
        <v>95</v>
      </c>
      <c r="CU8" s="410"/>
      <c r="CV8" s="410"/>
      <c r="CW8" s="411"/>
      <c r="CX8" s="406" t="s">
        <v>94</v>
      </c>
      <c r="CY8" s="407"/>
      <c r="CZ8" s="407"/>
      <c r="DA8" s="408"/>
      <c r="DB8" s="406" t="s">
        <v>95</v>
      </c>
      <c r="DC8" s="407"/>
      <c r="DD8" s="407"/>
      <c r="DE8" s="408"/>
      <c r="DF8" s="409" t="s">
        <v>94</v>
      </c>
      <c r="DG8" s="410"/>
      <c r="DH8" s="410"/>
      <c r="DI8" s="411"/>
      <c r="DJ8" s="409" t="s">
        <v>95</v>
      </c>
      <c r="DK8" s="410"/>
      <c r="DL8" s="410"/>
      <c r="DM8" s="411"/>
      <c r="DN8" s="406" t="s">
        <v>94</v>
      </c>
      <c r="DO8" s="407"/>
      <c r="DP8" s="407"/>
      <c r="DQ8" s="408"/>
      <c r="DR8" s="406" t="s">
        <v>95</v>
      </c>
      <c r="DS8" s="407"/>
      <c r="DT8" s="407"/>
      <c r="DU8" s="408"/>
      <c r="DV8" s="409" t="s">
        <v>94</v>
      </c>
      <c r="DW8" s="410"/>
      <c r="DX8" s="410"/>
      <c r="DY8" s="411"/>
      <c r="DZ8" s="409" t="s">
        <v>95</v>
      </c>
      <c r="EA8" s="410"/>
      <c r="EB8" s="410"/>
      <c r="EC8" s="411"/>
      <c r="ED8" s="406" t="s">
        <v>94</v>
      </c>
      <c r="EE8" s="407"/>
      <c r="EF8" s="407"/>
      <c r="EG8" s="408"/>
      <c r="EH8" s="406" t="s">
        <v>95</v>
      </c>
      <c r="EI8" s="407"/>
      <c r="EJ8" s="407"/>
      <c r="EK8" s="408"/>
      <c r="EL8" s="409" t="s">
        <v>94</v>
      </c>
      <c r="EM8" s="410"/>
      <c r="EN8" s="410"/>
      <c r="EO8" s="411"/>
      <c r="EP8" s="409" t="s">
        <v>95</v>
      </c>
      <c r="EQ8" s="410"/>
      <c r="ER8" s="410"/>
      <c r="ES8" s="411"/>
      <c r="ET8" s="406" t="s">
        <v>94</v>
      </c>
      <c r="EU8" s="407"/>
      <c r="EV8" s="407"/>
      <c r="EW8" s="408"/>
      <c r="EX8" s="406" t="s">
        <v>95</v>
      </c>
      <c r="EY8" s="407"/>
      <c r="EZ8" s="407"/>
      <c r="FA8" s="408"/>
      <c r="FB8" s="409" t="s">
        <v>94</v>
      </c>
      <c r="FC8" s="410"/>
      <c r="FD8" s="410"/>
      <c r="FE8" s="411"/>
      <c r="FF8" s="409" t="s">
        <v>95</v>
      </c>
      <c r="FG8" s="410"/>
      <c r="FH8" s="410"/>
      <c r="FI8" s="411"/>
      <c r="FJ8" s="406" t="s">
        <v>94</v>
      </c>
      <c r="FK8" s="407"/>
      <c r="FL8" s="407"/>
      <c r="FM8" s="408"/>
      <c r="FN8" s="406" t="s">
        <v>95</v>
      </c>
      <c r="FO8" s="407"/>
      <c r="FP8" s="407"/>
      <c r="FQ8" s="408"/>
      <c r="FR8" s="409" t="s">
        <v>94</v>
      </c>
      <c r="FS8" s="410"/>
      <c r="FT8" s="410"/>
      <c r="FU8" s="411"/>
      <c r="FV8" s="409" t="s">
        <v>95</v>
      </c>
      <c r="FW8" s="410"/>
      <c r="FX8" s="410"/>
      <c r="FY8" s="411"/>
      <c r="FZ8" s="406" t="s">
        <v>94</v>
      </c>
      <c r="GA8" s="407"/>
      <c r="GB8" s="407"/>
      <c r="GC8" s="408"/>
      <c r="GD8" s="406" t="s">
        <v>95</v>
      </c>
      <c r="GE8" s="407"/>
      <c r="GF8" s="407"/>
      <c r="GG8" s="408"/>
      <c r="GH8" s="409" t="s">
        <v>94</v>
      </c>
      <c r="GI8" s="410"/>
      <c r="GJ8" s="410"/>
      <c r="GK8" s="411"/>
      <c r="GL8" s="409" t="s">
        <v>95</v>
      </c>
      <c r="GM8" s="410"/>
      <c r="GN8" s="410"/>
      <c r="GO8" s="411"/>
      <c r="GP8" s="406" t="s">
        <v>94</v>
      </c>
      <c r="GQ8" s="407"/>
      <c r="GR8" s="407"/>
      <c r="GS8" s="408"/>
      <c r="GT8" s="406" t="s">
        <v>95</v>
      </c>
      <c r="GU8" s="407"/>
      <c r="GV8" s="407"/>
      <c r="GW8" s="408"/>
      <c r="GX8" s="409" t="s">
        <v>94</v>
      </c>
      <c r="GY8" s="410"/>
      <c r="GZ8" s="410"/>
      <c r="HA8" s="411"/>
      <c r="HB8" s="409" t="s">
        <v>95</v>
      </c>
      <c r="HC8" s="410"/>
      <c r="HD8" s="410"/>
      <c r="HE8" s="411"/>
      <c r="HF8" s="406" t="s">
        <v>94</v>
      </c>
      <c r="HG8" s="407"/>
      <c r="HH8" s="407"/>
      <c r="HI8" s="408"/>
      <c r="HJ8" s="406" t="s">
        <v>95</v>
      </c>
      <c r="HK8" s="407"/>
      <c r="HL8" s="407"/>
      <c r="HM8" s="408"/>
      <c r="HN8" s="409" t="s">
        <v>94</v>
      </c>
      <c r="HO8" s="410"/>
      <c r="HP8" s="410"/>
      <c r="HQ8" s="411"/>
      <c r="HR8" s="409" t="s">
        <v>95</v>
      </c>
      <c r="HS8" s="410"/>
      <c r="HT8" s="410"/>
      <c r="HU8" s="411"/>
      <c r="HV8" s="406" t="s">
        <v>94</v>
      </c>
      <c r="HW8" s="407"/>
      <c r="HX8" s="407"/>
      <c r="HY8" s="408"/>
      <c r="HZ8" s="406" t="s">
        <v>95</v>
      </c>
      <c r="IA8" s="407"/>
      <c r="IB8" s="407"/>
      <c r="IC8" s="408"/>
      <c r="ID8" s="409" t="s">
        <v>94</v>
      </c>
      <c r="IE8" s="410"/>
      <c r="IF8" s="410"/>
      <c r="IG8" s="411"/>
      <c r="IH8" s="409" t="s">
        <v>95</v>
      </c>
      <c r="II8" s="410"/>
      <c r="IJ8" s="410"/>
      <c r="IK8" s="411"/>
      <c r="IL8" s="406" t="s">
        <v>94</v>
      </c>
      <c r="IM8" s="407"/>
      <c r="IN8" s="407"/>
      <c r="IO8" s="408"/>
      <c r="IP8" s="406" t="s">
        <v>95</v>
      </c>
      <c r="IQ8" s="407"/>
      <c r="IR8" s="407"/>
      <c r="IS8" s="408"/>
      <c r="IT8" s="409" t="s">
        <v>94</v>
      </c>
      <c r="IU8" s="410"/>
      <c r="IV8" s="410"/>
      <c r="IW8" s="411"/>
      <c r="IX8" s="409" t="s">
        <v>95</v>
      </c>
      <c r="IY8" s="410"/>
      <c r="IZ8" s="410"/>
      <c r="JA8" s="411"/>
      <c r="JB8" s="92"/>
      <c r="JC8" s="93"/>
      <c r="JD8" s="89"/>
      <c r="JE8" s="90"/>
    </row>
    <row r="9" spans="2:276" ht="54.95" customHeight="1" x14ac:dyDescent="0.25">
      <c r="B9" s="10" t="s">
        <v>13</v>
      </c>
      <c r="C9" s="80" t="s">
        <v>0</v>
      </c>
      <c r="D9" s="79" t="s">
        <v>33</v>
      </c>
      <c r="E9" s="37" t="s">
        <v>1</v>
      </c>
      <c r="F9" s="63" t="s">
        <v>92</v>
      </c>
      <c r="G9" s="64" t="s">
        <v>93</v>
      </c>
      <c r="H9" s="65" t="s">
        <v>96</v>
      </c>
      <c r="I9" s="66" t="s">
        <v>91</v>
      </c>
      <c r="J9" s="63" t="s">
        <v>92</v>
      </c>
      <c r="K9" s="64" t="s">
        <v>93</v>
      </c>
      <c r="L9" s="65" t="s">
        <v>97</v>
      </c>
      <c r="M9" s="66" t="s">
        <v>91</v>
      </c>
      <c r="N9" s="59" t="s">
        <v>92</v>
      </c>
      <c r="O9" s="60" t="s">
        <v>93</v>
      </c>
      <c r="P9" s="61" t="s">
        <v>96</v>
      </c>
      <c r="Q9" s="62" t="s">
        <v>91</v>
      </c>
      <c r="R9" s="59" t="s">
        <v>92</v>
      </c>
      <c r="S9" s="60" t="s">
        <v>93</v>
      </c>
      <c r="T9" s="61" t="s">
        <v>97</v>
      </c>
      <c r="U9" s="62" t="s">
        <v>91</v>
      </c>
      <c r="V9" s="63" t="s">
        <v>92</v>
      </c>
      <c r="W9" s="64" t="s">
        <v>93</v>
      </c>
      <c r="X9" s="65" t="s">
        <v>96</v>
      </c>
      <c r="Y9" s="66" t="s">
        <v>91</v>
      </c>
      <c r="Z9" s="63" t="s">
        <v>92</v>
      </c>
      <c r="AA9" s="64" t="s">
        <v>93</v>
      </c>
      <c r="AB9" s="65" t="s">
        <v>97</v>
      </c>
      <c r="AC9" s="66" t="s">
        <v>91</v>
      </c>
      <c r="AD9" s="59" t="s">
        <v>92</v>
      </c>
      <c r="AE9" s="60" t="s">
        <v>93</v>
      </c>
      <c r="AF9" s="61" t="s">
        <v>96</v>
      </c>
      <c r="AG9" s="62" t="s">
        <v>91</v>
      </c>
      <c r="AH9" s="59" t="s">
        <v>92</v>
      </c>
      <c r="AI9" s="60" t="s">
        <v>93</v>
      </c>
      <c r="AJ9" s="61" t="s">
        <v>97</v>
      </c>
      <c r="AK9" s="62" t="s">
        <v>91</v>
      </c>
      <c r="AL9" s="63" t="s">
        <v>92</v>
      </c>
      <c r="AM9" s="64" t="s">
        <v>93</v>
      </c>
      <c r="AN9" s="65" t="s">
        <v>96</v>
      </c>
      <c r="AO9" s="66" t="s">
        <v>91</v>
      </c>
      <c r="AP9" s="63" t="s">
        <v>92</v>
      </c>
      <c r="AQ9" s="64" t="s">
        <v>93</v>
      </c>
      <c r="AR9" s="65" t="s">
        <v>97</v>
      </c>
      <c r="AS9" s="66" t="s">
        <v>91</v>
      </c>
      <c r="AT9" s="59" t="s">
        <v>92</v>
      </c>
      <c r="AU9" s="60" t="s">
        <v>93</v>
      </c>
      <c r="AV9" s="61" t="s">
        <v>96</v>
      </c>
      <c r="AW9" s="62" t="s">
        <v>91</v>
      </c>
      <c r="AX9" s="59" t="s">
        <v>92</v>
      </c>
      <c r="AY9" s="60" t="s">
        <v>93</v>
      </c>
      <c r="AZ9" s="61" t="s">
        <v>97</v>
      </c>
      <c r="BA9" s="62" t="s">
        <v>91</v>
      </c>
      <c r="BB9" s="63" t="s">
        <v>92</v>
      </c>
      <c r="BC9" s="64" t="s">
        <v>93</v>
      </c>
      <c r="BD9" s="65" t="s">
        <v>96</v>
      </c>
      <c r="BE9" s="66" t="s">
        <v>91</v>
      </c>
      <c r="BF9" s="63" t="s">
        <v>92</v>
      </c>
      <c r="BG9" s="64" t="s">
        <v>93</v>
      </c>
      <c r="BH9" s="65" t="s">
        <v>97</v>
      </c>
      <c r="BI9" s="66" t="s">
        <v>91</v>
      </c>
      <c r="BJ9" s="59" t="s">
        <v>92</v>
      </c>
      <c r="BK9" s="60" t="s">
        <v>93</v>
      </c>
      <c r="BL9" s="61" t="s">
        <v>96</v>
      </c>
      <c r="BM9" s="62" t="s">
        <v>91</v>
      </c>
      <c r="BN9" s="59" t="s">
        <v>92</v>
      </c>
      <c r="BO9" s="60" t="s">
        <v>93</v>
      </c>
      <c r="BP9" s="61" t="s">
        <v>97</v>
      </c>
      <c r="BQ9" s="62" t="s">
        <v>91</v>
      </c>
      <c r="BR9" s="63" t="s">
        <v>92</v>
      </c>
      <c r="BS9" s="64" t="s">
        <v>93</v>
      </c>
      <c r="BT9" s="65" t="s">
        <v>96</v>
      </c>
      <c r="BU9" s="66" t="s">
        <v>91</v>
      </c>
      <c r="BV9" s="63" t="s">
        <v>92</v>
      </c>
      <c r="BW9" s="64" t="s">
        <v>93</v>
      </c>
      <c r="BX9" s="65" t="s">
        <v>97</v>
      </c>
      <c r="BY9" s="66" t="s">
        <v>91</v>
      </c>
      <c r="BZ9" s="59" t="s">
        <v>92</v>
      </c>
      <c r="CA9" s="60" t="s">
        <v>93</v>
      </c>
      <c r="CB9" s="61" t="s">
        <v>96</v>
      </c>
      <c r="CC9" s="62" t="s">
        <v>91</v>
      </c>
      <c r="CD9" s="59" t="s">
        <v>92</v>
      </c>
      <c r="CE9" s="60" t="s">
        <v>93</v>
      </c>
      <c r="CF9" s="61" t="s">
        <v>97</v>
      </c>
      <c r="CG9" s="62" t="s">
        <v>91</v>
      </c>
      <c r="CH9" s="63" t="s">
        <v>92</v>
      </c>
      <c r="CI9" s="64" t="s">
        <v>93</v>
      </c>
      <c r="CJ9" s="65" t="s">
        <v>96</v>
      </c>
      <c r="CK9" s="66" t="s">
        <v>91</v>
      </c>
      <c r="CL9" s="63" t="s">
        <v>92</v>
      </c>
      <c r="CM9" s="64" t="s">
        <v>93</v>
      </c>
      <c r="CN9" s="65" t="s">
        <v>97</v>
      </c>
      <c r="CO9" s="66" t="s">
        <v>91</v>
      </c>
      <c r="CP9" s="59" t="s">
        <v>92</v>
      </c>
      <c r="CQ9" s="60" t="s">
        <v>93</v>
      </c>
      <c r="CR9" s="61" t="s">
        <v>96</v>
      </c>
      <c r="CS9" s="62" t="s">
        <v>91</v>
      </c>
      <c r="CT9" s="59" t="s">
        <v>92</v>
      </c>
      <c r="CU9" s="60" t="s">
        <v>93</v>
      </c>
      <c r="CV9" s="61" t="s">
        <v>97</v>
      </c>
      <c r="CW9" s="62" t="s">
        <v>91</v>
      </c>
      <c r="CX9" s="63" t="s">
        <v>92</v>
      </c>
      <c r="CY9" s="64" t="s">
        <v>93</v>
      </c>
      <c r="CZ9" s="65" t="s">
        <v>96</v>
      </c>
      <c r="DA9" s="66" t="s">
        <v>91</v>
      </c>
      <c r="DB9" s="63" t="s">
        <v>92</v>
      </c>
      <c r="DC9" s="64" t="s">
        <v>93</v>
      </c>
      <c r="DD9" s="65" t="s">
        <v>97</v>
      </c>
      <c r="DE9" s="66" t="s">
        <v>91</v>
      </c>
      <c r="DF9" s="59" t="s">
        <v>92</v>
      </c>
      <c r="DG9" s="60" t="s">
        <v>93</v>
      </c>
      <c r="DH9" s="61" t="s">
        <v>96</v>
      </c>
      <c r="DI9" s="62" t="s">
        <v>91</v>
      </c>
      <c r="DJ9" s="59" t="s">
        <v>92</v>
      </c>
      <c r="DK9" s="60" t="s">
        <v>93</v>
      </c>
      <c r="DL9" s="61" t="s">
        <v>97</v>
      </c>
      <c r="DM9" s="62" t="s">
        <v>91</v>
      </c>
      <c r="DN9" s="63" t="s">
        <v>92</v>
      </c>
      <c r="DO9" s="64" t="s">
        <v>93</v>
      </c>
      <c r="DP9" s="65" t="s">
        <v>96</v>
      </c>
      <c r="DQ9" s="66" t="s">
        <v>91</v>
      </c>
      <c r="DR9" s="63" t="s">
        <v>92</v>
      </c>
      <c r="DS9" s="64" t="s">
        <v>93</v>
      </c>
      <c r="DT9" s="65" t="s">
        <v>97</v>
      </c>
      <c r="DU9" s="66" t="s">
        <v>91</v>
      </c>
      <c r="DV9" s="59" t="s">
        <v>92</v>
      </c>
      <c r="DW9" s="60" t="s">
        <v>93</v>
      </c>
      <c r="DX9" s="61" t="s">
        <v>96</v>
      </c>
      <c r="DY9" s="62" t="s">
        <v>91</v>
      </c>
      <c r="DZ9" s="59" t="s">
        <v>92</v>
      </c>
      <c r="EA9" s="60" t="s">
        <v>93</v>
      </c>
      <c r="EB9" s="61" t="s">
        <v>97</v>
      </c>
      <c r="EC9" s="62" t="s">
        <v>91</v>
      </c>
      <c r="ED9" s="63" t="s">
        <v>92</v>
      </c>
      <c r="EE9" s="64" t="s">
        <v>93</v>
      </c>
      <c r="EF9" s="65" t="s">
        <v>96</v>
      </c>
      <c r="EG9" s="66" t="s">
        <v>91</v>
      </c>
      <c r="EH9" s="63" t="s">
        <v>92</v>
      </c>
      <c r="EI9" s="64" t="s">
        <v>93</v>
      </c>
      <c r="EJ9" s="65" t="s">
        <v>97</v>
      </c>
      <c r="EK9" s="66" t="s">
        <v>91</v>
      </c>
      <c r="EL9" s="59" t="s">
        <v>92</v>
      </c>
      <c r="EM9" s="60" t="s">
        <v>93</v>
      </c>
      <c r="EN9" s="61" t="s">
        <v>96</v>
      </c>
      <c r="EO9" s="62" t="s">
        <v>91</v>
      </c>
      <c r="EP9" s="59" t="s">
        <v>92</v>
      </c>
      <c r="EQ9" s="60" t="s">
        <v>93</v>
      </c>
      <c r="ER9" s="61" t="s">
        <v>97</v>
      </c>
      <c r="ES9" s="62" t="s">
        <v>91</v>
      </c>
      <c r="ET9" s="63" t="s">
        <v>92</v>
      </c>
      <c r="EU9" s="64" t="s">
        <v>93</v>
      </c>
      <c r="EV9" s="65" t="s">
        <v>96</v>
      </c>
      <c r="EW9" s="66" t="s">
        <v>91</v>
      </c>
      <c r="EX9" s="63" t="s">
        <v>92</v>
      </c>
      <c r="EY9" s="64" t="s">
        <v>93</v>
      </c>
      <c r="EZ9" s="65" t="s">
        <v>97</v>
      </c>
      <c r="FA9" s="66" t="s">
        <v>91</v>
      </c>
      <c r="FB9" s="59" t="s">
        <v>92</v>
      </c>
      <c r="FC9" s="60" t="s">
        <v>93</v>
      </c>
      <c r="FD9" s="61" t="s">
        <v>96</v>
      </c>
      <c r="FE9" s="62" t="s">
        <v>91</v>
      </c>
      <c r="FF9" s="59" t="s">
        <v>92</v>
      </c>
      <c r="FG9" s="60" t="s">
        <v>93</v>
      </c>
      <c r="FH9" s="61" t="s">
        <v>97</v>
      </c>
      <c r="FI9" s="62" t="s">
        <v>91</v>
      </c>
      <c r="FJ9" s="63" t="s">
        <v>92</v>
      </c>
      <c r="FK9" s="64" t="s">
        <v>93</v>
      </c>
      <c r="FL9" s="65" t="s">
        <v>96</v>
      </c>
      <c r="FM9" s="66" t="s">
        <v>91</v>
      </c>
      <c r="FN9" s="63" t="s">
        <v>92</v>
      </c>
      <c r="FO9" s="64" t="s">
        <v>93</v>
      </c>
      <c r="FP9" s="65" t="s">
        <v>97</v>
      </c>
      <c r="FQ9" s="66" t="s">
        <v>91</v>
      </c>
      <c r="FR9" s="59" t="s">
        <v>92</v>
      </c>
      <c r="FS9" s="60" t="s">
        <v>93</v>
      </c>
      <c r="FT9" s="61" t="s">
        <v>96</v>
      </c>
      <c r="FU9" s="62" t="s">
        <v>91</v>
      </c>
      <c r="FV9" s="59" t="s">
        <v>92</v>
      </c>
      <c r="FW9" s="60" t="s">
        <v>93</v>
      </c>
      <c r="FX9" s="61" t="s">
        <v>97</v>
      </c>
      <c r="FY9" s="62" t="s">
        <v>91</v>
      </c>
      <c r="FZ9" s="63" t="s">
        <v>92</v>
      </c>
      <c r="GA9" s="64" t="s">
        <v>93</v>
      </c>
      <c r="GB9" s="65" t="s">
        <v>96</v>
      </c>
      <c r="GC9" s="66" t="s">
        <v>91</v>
      </c>
      <c r="GD9" s="63" t="s">
        <v>92</v>
      </c>
      <c r="GE9" s="64" t="s">
        <v>93</v>
      </c>
      <c r="GF9" s="65" t="s">
        <v>97</v>
      </c>
      <c r="GG9" s="66" t="s">
        <v>91</v>
      </c>
      <c r="GH9" s="59" t="s">
        <v>92</v>
      </c>
      <c r="GI9" s="60" t="s">
        <v>93</v>
      </c>
      <c r="GJ9" s="61" t="s">
        <v>96</v>
      </c>
      <c r="GK9" s="62" t="s">
        <v>91</v>
      </c>
      <c r="GL9" s="59" t="s">
        <v>92</v>
      </c>
      <c r="GM9" s="60" t="s">
        <v>93</v>
      </c>
      <c r="GN9" s="61" t="s">
        <v>97</v>
      </c>
      <c r="GO9" s="62" t="s">
        <v>91</v>
      </c>
      <c r="GP9" s="63" t="s">
        <v>92</v>
      </c>
      <c r="GQ9" s="64" t="s">
        <v>93</v>
      </c>
      <c r="GR9" s="65" t="s">
        <v>96</v>
      </c>
      <c r="GS9" s="66" t="s">
        <v>91</v>
      </c>
      <c r="GT9" s="63" t="s">
        <v>92</v>
      </c>
      <c r="GU9" s="64" t="s">
        <v>93</v>
      </c>
      <c r="GV9" s="65" t="s">
        <v>97</v>
      </c>
      <c r="GW9" s="66" t="s">
        <v>91</v>
      </c>
      <c r="GX9" s="59" t="s">
        <v>92</v>
      </c>
      <c r="GY9" s="60" t="s">
        <v>93</v>
      </c>
      <c r="GZ9" s="61" t="s">
        <v>96</v>
      </c>
      <c r="HA9" s="62" t="s">
        <v>91</v>
      </c>
      <c r="HB9" s="59" t="s">
        <v>92</v>
      </c>
      <c r="HC9" s="60" t="s">
        <v>93</v>
      </c>
      <c r="HD9" s="61" t="s">
        <v>97</v>
      </c>
      <c r="HE9" s="62" t="s">
        <v>91</v>
      </c>
      <c r="HF9" s="63" t="s">
        <v>92</v>
      </c>
      <c r="HG9" s="64" t="s">
        <v>93</v>
      </c>
      <c r="HH9" s="65" t="s">
        <v>96</v>
      </c>
      <c r="HI9" s="66" t="s">
        <v>91</v>
      </c>
      <c r="HJ9" s="63" t="s">
        <v>92</v>
      </c>
      <c r="HK9" s="64" t="s">
        <v>93</v>
      </c>
      <c r="HL9" s="65" t="s">
        <v>97</v>
      </c>
      <c r="HM9" s="66" t="s">
        <v>91</v>
      </c>
      <c r="HN9" s="59" t="s">
        <v>92</v>
      </c>
      <c r="HO9" s="60" t="s">
        <v>93</v>
      </c>
      <c r="HP9" s="61" t="s">
        <v>96</v>
      </c>
      <c r="HQ9" s="62" t="s">
        <v>91</v>
      </c>
      <c r="HR9" s="59" t="s">
        <v>92</v>
      </c>
      <c r="HS9" s="60" t="s">
        <v>93</v>
      </c>
      <c r="HT9" s="61" t="s">
        <v>97</v>
      </c>
      <c r="HU9" s="62" t="s">
        <v>91</v>
      </c>
      <c r="HV9" s="63" t="s">
        <v>92</v>
      </c>
      <c r="HW9" s="64" t="s">
        <v>93</v>
      </c>
      <c r="HX9" s="65" t="s">
        <v>96</v>
      </c>
      <c r="HY9" s="66" t="s">
        <v>91</v>
      </c>
      <c r="HZ9" s="63" t="s">
        <v>92</v>
      </c>
      <c r="IA9" s="64" t="s">
        <v>93</v>
      </c>
      <c r="IB9" s="65" t="s">
        <v>97</v>
      </c>
      <c r="IC9" s="66" t="s">
        <v>91</v>
      </c>
      <c r="ID9" s="59" t="s">
        <v>92</v>
      </c>
      <c r="IE9" s="60" t="s">
        <v>93</v>
      </c>
      <c r="IF9" s="61" t="s">
        <v>96</v>
      </c>
      <c r="IG9" s="62" t="s">
        <v>91</v>
      </c>
      <c r="IH9" s="59" t="s">
        <v>92</v>
      </c>
      <c r="II9" s="60" t="s">
        <v>93</v>
      </c>
      <c r="IJ9" s="61" t="s">
        <v>97</v>
      </c>
      <c r="IK9" s="62" t="s">
        <v>91</v>
      </c>
      <c r="IL9" s="63" t="s">
        <v>92</v>
      </c>
      <c r="IM9" s="64" t="s">
        <v>93</v>
      </c>
      <c r="IN9" s="65" t="s">
        <v>96</v>
      </c>
      <c r="IO9" s="66" t="s">
        <v>91</v>
      </c>
      <c r="IP9" s="63" t="s">
        <v>92</v>
      </c>
      <c r="IQ9" s="64" t="s">
        <v>93</v>
      </c>
      <c r="IR9" s="65" t="s">
        <v>97</v>
      </c>
      <c r="IS9" s="66" t="s">
        <v>91</v>
      </c>
      <c r="IT9" s="59" t="s">
        <v>92</v>
      </c>
      <c r="IU9" s="60" t="s">
        <v>93</v>
      </c>
      <c r="IV9" s="61" t="s">
        <v>96</v>
      </c>
      <c r="IW9" s="62" t="s">
        <v>91</v>
      </c>
      <c r="IX9" s="59" t="s">
        <v>92</v>
      </c>
      <c r="IY9" s="60" t="s">
        <v>93</v>
      </c>
      <c r="IZ9" s="61" t="s">
        <v>97</v>
      </c>
      <c r="JA9" s="62" t="s">
        <v>91</v>
      </c>
      <c r="JB9" s="41" t="s">
        <v>45</v>
      </c>
      <c r="JC9" s="10" t="s">
        <v>46</v>
      </c>
      <c r="JD9" s="13" t="s">
        <v>45</v>
      </c>
      <c r="JE9" s="37" t="s">
        <v>46</v>
      </c>
      <c r="JF9" s="3"/>
      <c r="JP9" s="3"/>
    </row>
    <row r="10" spans="2:276" ht="30" customHeight="1" x14ac:dyDescent="0.3">
      <c r="B10" s="23">
        <v>1</v>
      </c>
      <c r="C10" s="77" t="e">
        <f>VLOOKUP(#REF!,EMPLEADO!C:Q,15,FALSE)</f>
        <v>#REF!</v>
      </c>
      <c r="D10" s="6" t="s">
        <v>35</v>
      </c>
      <c r="E10" s="38" t="s">
        <v>56</v>
      </c>
      <c r="F10" s="50"/>
      <c r="G10" s="51"/>
      <c r="H10" s="57">
        <f>(+G10-F10)*24</f>
        <v>0</v>
      </c>
      <c r="I10" s="47"/>
      <c r="J10" s="50"/>
      <c r="K10" s="51"/>
      <c r="L10" s="57">
        <f t="shared" ref="L10:L31" si="0">(+K10-J10)*24</f>
        <v>0</v>
      </c>
      <c r="M10" s="47"/>
      <c r="N10" s="52"/>
      <c r="O10" s="53"/>
      <c r="P10" s="57">
        <f t="shared" ref="P10:P31" si="1">(+O10-N10)*24</f>
        <v>0</v>
      </c>
      <c r="Q10" s="47"/>
      <c r="R10" s="53"/>
      <c r="S10" s="53"/>
      <c r="T10" s="57">
        <f>(+S10-R10)*24</f>
        <v>0</v>
      </c>
      <c r="U10" s="47"/>
      <c r="V10" s="50"/>
      <c r="W10" s="51"/>
      <c r="X10" s="57">
        <f t="shared" ref="X10:X31" si="2">(+W10-V10)*24</f>
        <v>0</v>
      </c>
      <c r="Y10" s="47"/>
      <c r="Z10" s="50"/>
      <c r="AA10" s="51"/>
      <c r="AB10" s="57">
        <f t="shared" ref="AB10:AB31" si="3">(+AA10-Z10)*24</f>
        <v>0</v>
      </c>
      <c r="AC10" s="47"/>
      <c r="AD10" s="52"/>
      <c r="AE10" s="74"/>
      <c r="AF10" s="57">
        <f t="shared" ref="AF10:AF31" si="4">(+AE10-AD10)*24</f>
        <v>0</v>
      </c>
      <c r="AG10" s="47"/>
      <c r="AH10" s="53"/>
      <c r="AI10" s="53"/>
      <c r="AJ10" s="75">
        <f>(+AI10-AH10)*24</f>
        <v>0</v>
      </c>
      <c r="AK10" s="47"/>
      <c r="AL10" s="50"/>
      <c r="AM10" s="51"/>
      <c r="AN10" s="57">
        <f t="shared" ref="AN10:AN31" si="5">(+AM10-AL10)*24</f>
        <v>0</v>
      </c>
      <c r="AO10" s="47"/>
      <c r="AP10" s="50"/>
      <c r="AQ10" s="51"/>
      <c r="AR10" s="57">
        <f t="shared" ref="AR10:AR31" si="6">(+AQ10-AP10)*24</f>
        <v>0</v>
      </c>
      <c r="AS10" s="47"/>
      <c r="AT10" s="50"/>
      <c r="AU10" s="51"/>
      <c r="AV10" s="57">
        <f t="shared" ref="AV10:AV31" si="7">(+AU10-AT10)*24</f>
        <v>0</v>
      </c>
      <c r="AW10" s="47"/>
      <c r="AX10" s="50"/>
      <c r="AY10" s="51"/>
      <c r="AZ10" s="57">
        <f t="shared" ref="AZ10:AZ31" si="8">(+AY10-AX10)*24</f>
        <v>0</v>
      </c>
      <c r="BA10" s="47"/>
      <c r="BB10" s="50"/>
      <c r="BC10" s="51"/>
      <c r="BD10" s="57">
        <f t="shared" ref="BD10:BD32" si="9">(+BC10-BB10)*24</f>
        <v>0</v>
      </c>
      <c r="BE10" s="47"/>
      <c r="BF10" s="50"/>
      <c r="BG10" s="51"/>
      <c r="BH10" s="57">
        <f t="shared" ref="BH10:BH32" si="10">(+BG10-BF10)*24</f>
        <v>0</v>
      </c>
      <c r="BI10" s="47"/>
      <c r="BJ10" s="50"/>
      <c r="BK10" s="51"/>
      <c r="BL10" s="57">
        <f t="shared" ref="BL10:BL32" si="11">(+BK10-BJ10)*24</f>
        <v>0</v>
      </c>
      <c r="BM10" s="47"/>
      <c r="BN10" s="50"/>
      <c r="BO10" s="51"/>
      <c r="BP10" s="57">
        <f t="shared" ref="BP10:BP32" si="12">(+BO10-BN10)*24</f>
        <v>0</v>
      </c>
      <c r="BQ10" s="47"/>
      <c r="BR10" s="50"/>
      <c r="BS10" s="51"/>
      <c r="BT10" s="57">
        <f t="shared" ref="BT10:BT32" si="13">(+BS10-BR10)*24</f>
        <v>0</v>
      </c>
      <c r="BU10" s="47"/>
      <c r="BV10" s="50"/>
      <c r="BW10" s="51"/>
      <c r="BX10" s="57">
        <f t="shared" ref="BX10:BX32" si="14">(+BW10-BV10)*24</f>
        <v>0</v>
      </c>
      <c r="BY10" s="47"/>
      <c r="BZ10" s="50"/>
      <c r="CA10" s="51"/>
      <c r="CB10" s="57">
        <f t="shared" ref="CB10:CB32" si="15">(+CA10-BZ10)*24</f>
        <v>0</v>
      </c>
      <c r="CC10" s="47"/>
      <c r="CD10" s="50"/>
      <c r="CE10" s="51"/>
      <c r="CF10" s="57">
        <f t="shared" ref="CF10:CF32" si="16">(+CE10-CD10)*24</f>
        <v>0</v>
      </c>
      <c r="CG10" s="47"/>
      <c r="CH10" s="50"/>
      <c r="CI10" s="51"/>
      <c r="CJ10" s="57">
        <f t="shared" ref="CJ10:CJ32" si="17">(+CI10-CH10)*24</f>
        <v>0</v>
      </c>
      <c r="CK10" s="47"/>
      <c r="CL10" s="50"/>
      <c r="CM10" s="51"/>
      <c r="CN10" s="57">
        <f t="shared" ref="CN10:CN32" si="18">(+CM10-CL10)*24</f>
        <v>0</v>
      </c>
      <c r="CO10" s="47"/>
      <c r="CP10" s="50"/>
      <c r="CQ10" s="51"/>
      <c r="CR10" s="57">
        <f t="shared" ref="CR10:CR32" si="19">(+CQ10-CP10)*24</f>
        <v>0</v>
      </c>
      <c r="CS10" s="47"/>
      <c r="CT10" s="50"/>
      <c r="CU10" s="51"/>
      <c r="CV10" s="57">
        <f t="shared" ref="CV10:CV32" si="20">(+CU10-CT10)*24</f>
        <v>0</v>
      </c>
      <c r="CW10" s="47"/>
      <c r="CX10" s="50"/>
      <c r="CY10" s="51"/>
      <c r="CZ10" s="57">
        <f t="shared" ref="CZ10:CZ32" si="21">(+CY10-CX10)*24</f>
        <v>0</v>
      </c>
      <c r="DA10" s="47"/>
      <c r="DB10" s="50"/>
      <c r="DC10" s="51"/>
      <c r="DD10" s="57">
        <f t="shared" ref="DD10:DD32" si="22">(+DC10-DB10)*24</f>
        <v>0</v>
      </c>
      <c r="DE10" s="47"/>
      <c r="DF10" s="50"/>
      <c r="DG10" s="51"/>
      <c r="DH10" s="57">
        <f t="shared" ref="DH10:DH32" si="23">(+DG10-DF10)*24</f>
        <v>0</v>
      </c>
      <c r="DI10" s="47"/>
      <c r="DJ10" s="50"/>
      <c r="DK10" s="51"/>
      <c r="DL10" s="57">
        <f t="shared" ref="DL10:DL32" si="24">(+DK10-DJ10)*24</f>
        <v>0</v>
      </c>
      <c r="DM10" s="47"/>
      <c r="DN10" s="50"/>
      <c r="DO10" s="51"/>
      <c r="DP10" s="57">
        <f t="shared" ref="DP10:DP32" si="25">(+DO10-DN10)*24</f>
        <v>0</v>
      </c>
      <c r="DQ10" s="47"/>
      <c r="DR10" s="50"/>
      <c r="DS10" s="51"/>
      <c r="DT10" s="57">
        <f t="shared" ref="DT10:DT32" si="26">(+DS10-DR10)*24</f>
        <v>0</v>
      </c>
      <c r="DU10" s="47"/>
      <c r="DV10" s="50"/>
      <c r="DW10" s="51"/>
      <c r="DX10" s="57">
        <f t="shared" ref="DX10:DX32" si="27">(+DW10-DV10)*24</f>
        <v>0</v>
      </c>
      <c r="DY10" s="47"/>
      <c r="DZ10" s="50"/>
      <c r="EA10" s="51"/>
      <c r="EB10" s="57">
        <f t="shared" ref="EB10:EB32" si="28">(+EA10-DZ10)*24</f>
        <v>0</v>
      </c>
      <c r="EC10" s="47"/>
      <c r="ED10" s="50"/>
      <c r="EE10" s="51"/>
      <c r="EF10" s="57">
        <f t="shared" ref="EF10:EF32" si="29">(+EE10-ED10)*24</f>
        <v>0</v>
      </c>
      <c r="EG10" s="47"/>
      <c r="EH10" s="50"/>
      <c r="EI10" s="51"/>
      <c r="EJ10" s="57">
        <f t="shared" ref="EJ10:EJ32" si="30">(+EI10-EH10)*24</f>
        <v>0</v>
      </c>
      <c r="EK10" s="47"/>
      <c r="EL10" s="50"/>
      <c r="EM10" s="51"/>
      <c r="EN10" s="57">
        <f t="shared" ref="EN10:EN32" si="31">(+EM10-EL10)*24</f>
        <v>0</v>
      </c>
      <c r="EO10" s="47"/>
      <c r="EP10" s="50"/>
      <c r="EQ10" s="51"/>
      <c r="ER10" s="57">
        <f t="shared" ref="ER10:ER32" si="32">(+EQ10-EP10)*24</f>
        <v>0</v>
      </c>
      <c r="ES10" s="47"/>
      <c r="ET10" s="50"/>
      <c r="EU10" s="51"/>
      <c r="EV10" s="57">
        <f t="shared" ref="EV10:EV32" si="33">(+EU10-ET10)*24</f>
        <v>0</v>
      </c>
      <c r="EW10" s="47"/>
      <c r="EX10" s="50"/>
      <c r="EY10" s="51"/>
      <c r="EZ10" s="57">
        <f t="shared" ref="EZ10:EZ32" si="34">(+EY10-EX10)*24</f>
        <v>0</v>
      </c>
      <c r="FA10" s="47"/>
      <c r="FB10" s="50"/>
      <c r="FC10" s="51"/>
      <c r="FD10" s="57">
        <f t="shared" ref="FD10:FD32" si="35">(+FC10-FB10)*24</f>
        <v>0</v>
      </c>
      <c r="FE10" s="47"/>
      <c r="FF10" s="50"/>
      <c r="FG10" s="51"/>
      <c r="FH10" s="57">
        <f t="shared" ref="FH10:FH32" si="36">(+FG10-FF10)*24</f>
        <v>0</v>
      </c>
      <c r="FI10" s="47"/>
      <c r="FJ10" s="50"/>
      <c r="FK10" s="51"/>
      <c r="FL10" s="57">
        <f t="shared" ref="FL10:FL32" si="37">(+FK10-FJ10)*24</f>
        <v>0</v>
      </c>
      <c r="FM10" s="47"/>
      <c r="FN10" s="50"/>
      <c r="FO10" s="51"/>
      <c r="FP10" s="57">
        <f t="shared" ref="FP10:FP32" si="38">(+FO10-FN10)*24</f>
        <v>0</v>
      </c>
      <c r="FQ10" s="47"/>
      <c r="FR10" s="50"/>
      <c r="FS10" s="51"/>
      <c r="FT10" s="57">
        <f t="shared" ref="FT10:FT32" si="39">(+FS10-FR10)*24</f>
        <v>0</v>
      </c>
      <c r="FU10" s="47"/>
      <c r="FV10" s="50"/>
      <c r="FW10" s="51"/>
      <c r="FX10" s="57">
        <f t="shared" ref="FX10:FX32" si="40">(+FW10-FV10)*24</f>
        <v>0</v>
      </c>
      <c r="FY10" s="47"/>
      <c r="FZ10" s="50"/>
      <c r="GA10" s="51"/>
      <c r="GB10" s="57">
        <f t="shared" ref="GB10:GB32" si="41">(+GA10-FZ10)*24</f>
        <v>0</v>
      </c>
      <c r="GC10" s="47"/>
      <c r="GD10" s="50"/>
      <c r="GE10" s="51"/>
      <c r="GF10" s="57">
        <f t="shared" ref="GF10:GF32" si="42">(+GE10-GD10)*24</f>
        <v>0</v>
      </c>
      <c r="GG10" s="47"/>
      <c r="GH10" s="50"/>
      <c r="GI10" s="51"/>
      <c r="GJ10" s="57">
        <f t="shared" ref="GJ10:GJ32" si="43">(+GI10-GH10)*24</f>
        <v>0</v>
      </c>
      <c r="GK10" s="47"/>
      <c r="GL10" s="50"/>
      <c r="GM10" s="51"/>
      <c r="GN10" s="57">
        <f t="shared" ref="GN10:GN32" si="44">(+GM10-GL10)*24</f>
        <v>0</v>
      </c>
      <c r="GO10" s="47"/>
      <c r="GP10" s="52"/>
      <c r="GQ10" s="51"/>
      <c r="GR10" s="57">
        <f t="shared" ref="GR10:GR32" si="45">(+GQ10-GP10)*24</f>
        <v>0</v>
      </c>
      <c r="GS10" s="47"/>
      <c r="GT10" s="50"/>
      <c r="GU10" s="51"/>
      <c r="GV10" s="57">
        <f t="shared" ref="GV10:GV32" si="46">(+GU10-GT10)*24</f>
        <v>0</v>
      </c>
      <c r="GW10" s="47"/>
      <c r="GX10" s="50"/>
      <c r="GY10" s="51"/>
      <c r="GZ10" s="57">
        <f t="shared" ref="GZ10:GZ32" si="47">(+GY10-GX10)*24</f>
        <v>0</v>
      </c>
      <c r="HA10" s="47"/>
      <c r="HB10" s="50"/>
      <c r="HC10" s="51"/>
      <c r="HD10" s="57">
        <f t="shared" ref="HD10:HD32" si="48">(+HC10-HB10)*24</f>
        <v>0</v>
      </c>
      <c r="HE10" s="47"/>
      <c r="HF10" s="50"/>
      <c r="HG10" s="51"/>
      <c r="HH10" s="57">
        <f t="shared" ref="HH10:HH32" si="49">(+HG10-HF10)*24</f>
        <v>0</v>
      </c>
      <c r="HI10" s="47"/>
      <c r="HJ10" s="50"/>
      <c r="HK10" s="51"/>
      <c r="HL10" s="57">
        <f t="shared" ref="HL10:HL32" si="50">(+HK10-HJ10)*24</f>
        <v>0</v>
      </c>
      <c r="HM10" s="47"/>
      <c r="HN10" s="50"/>
      <c r="HO10" s="51"/>
      <c r="HP10" s="57">
        <f t="shared" ref="HP10:HP32" si="51">(+HO10-HN10)*24</f>
        <v>0</v>
      </c>
      <c r="HQ10" s="47"/>
      <c r="HR10" s="50"/>
      <c r="HS10" s="51"/>
      <c r="HT10" s="57">
        <f t="shared" ref="HT10:HT32" si="52">(+HS10-HR10)*24</f>
        <v>0</v>
      </c>
      <c r="HU10" s="47"/>
      <c r="HV10" s="50"/>
      <c r="HW10" s="51"/>
      <c r="HX10" s="57">
        <f t="shared" ref="HX10:HX32" si="53">(+HW10-HV10)*24</f>
        <v>0</v>
      </c>
      <c r="HY10" s="47"/>
      <c r="HZ10" s="50"/>
      <c r="IA10" s="51"/>
      <c r="IB10" s="57">
        <f t="shared" ref="IB10:IB32" si="54">(+IA10-HZ10)*24</f>
        <v>0</v>
      </c>
      <c r="IC10" s="47"/>
      <c r="ID10" s="50"/>
      <c r="IE10" s="51"/>
      <c r="IF10" s="57">
        <f t="shared" ref="IF10:IF32" si="55">(+IE10-ID10)*24</f>
        <v>0</v>
      </c>
      <c r="IG10" s="47"/>
      <c r="IH10" s="50"/>
      <c r="II10" s="51"/>
      <c r="IJ10" s="57">
        <f t="shared" ref="IJ10:IJ32" si="56">(+II10-IH10)*24</f>
        <v>0</v>
      </c>
      <c r="IK10" s="47"/>
      <c r="IL10" s="50"/>
      <c r="IM10" s="51"/>
      <c r="IN10" s="57">
        <f t="shared" ref="IN10:IN32" si="57">(+IM10-IL10)*24</f>
        <v>0</v>
      </c>
      <c r="IO10" s="47"/>
      <c r="IP10" s="50"/>
      <c r="IQ10" s="51"/>
      <c r="IR10" s="57">
        <f t="shared" ref="IR10:IR32" si="58">(+IQ10-IP10)*24</f>
        <v>0</v>
      </c>
      <c r="IS10" s="47"/>
      <c r="IT10" s="50"/>
      <c r="IU10" s="51"/>
      <c r="IV10" s="57">
        <f t="shared" ref="IV10:IV32" si="59">(+IU10-IT10)*24</f>
        <v>0</v>
      </c>
      <c r="IW10" s="47"/>
      <c r="IX10" s="50"/>
      <c r="IY10" s="51"/>
      <c r="IZ10" s="57">
        <f t="shared" ref="IZ10:IZ32" si="60">(+IY10-IX10)*24</f>
        <v>0</v>
      </c>
      <c r="JA10" s="47"/>
      <c r="JB10" s="36" t="e">
        <f t="shared" ref="JB10:JB32" si="61">IF($F$4="F",0,+H10)+IF($V$4="F",0,+X10)+IF($AL$4="F",0,+AN10)+IF($BB$4="F",0,+BD10)+IF($BR$4="F",0,+BT10)+IF($CH$4="F",0,+CJ10)+IF($CX$4="F",0,+CZ10)+IF($DN$4="F",0,+DP10)+IF($ED$4="F",0,+EF10)+IF($ET$4="F",0,EV10)+IF($FJ$4="F",0,+FL10)+IF($FZ$4="F",0,GB10)+IF($GP$4="F",0,+GR10)+IF($HF$4="F",0,+HH10)+IF($HV$4="F",0,+HX10)+IF($IL$4="F",0,+IN10)</f>
        <v>#VALUE!</v>
      </c>
      <c r="JC10" s="36" t="e">
        <f t="shared" ref="JC10:JC32" si="62">IF($F$4="F",0,+L10)+IF($V$4="F",0,+AB10)+IF($AL$4="F",0,+AR10)+IF($BB$4="F",0,+BH10)+IF($BR$4="F",0,+BX10)+IF($CH$4="F",0,+CN10)+IF($CX$4="F",0,+DD10)+IF($DN$4="F",0,+DT10)+IF($ED$4="F",0,+EJ10)+IF($ET$4="F",0,EZ10)+IF($FJ$4="F",0,+FP10)+IF($FZ$4="F",0,GF10)+IF($GP$4="F",0,+GV10)+IF($HF$4="F",0,+HL10)+IF($HV$4="F",0,+IB10)+IF($IL$4="F",0,+IR10)</f>
        <v>#VALUE!</v>
      </c>
      <c r="JD10" s="36" t="e">
        <f t="shared" ref="JD10:JD32" si="63">IF($F$4="F",0,+P10)+IF($V$4="F",0,+AF10)+IF($AL$4="F",0,+AV10)+IF($BB$4="F",0,+BL10)+IF($BR$4="F",0,+CB10)+IF($CH$4="F",0,+CR10)+IF($CX$4="F",0,+DH10)+IF($DN$4="F",0,+DX10)+IF($ED$4="F",0,+EN10)+IF($ET$4="F",0,FD10)+IF($FJ$4="F",0,+FT10)+IF($FZ$4="F",0,GJ10)+IF($GP$4="F",0,+GZ10)+IF($HF$4="F",0,+HP10)+IF($HV$4="F",0,+IF10)+IF($IL$4="F",0,+IV10)</f>
        <v>#VALUE!</v>
      </c>
      <c r="JE10" s="36" t="e">
        <f>IF($F$4="F",0,+S10)+IF($V$4="F",0,+AJ10)+IF($AL$4="F",0,+AZ10)+IF($BB$4="F",0,+BP10)+IF($BR$4="F",0,+CF10)+IF($CH$4="F",0,+CV10)+IF($CX$4="F",0,+DL10)+IF($DN$4="F",0,+EB10)+IF($ED$4="F",0,+ER10)+IF($ET$4="F",0,FH10)+IF($FJ$4="F",0,+FX10)+IF($FZ$4="F",0,GN10)+IF($GP$4="F",0,+HD10)+IF($HF$4="F",0,+HT10)+IF($HV$4="F",0,+IJ10)+IF($IL$4="F",0,+IZ10)</f>
        <v>#VALUE!</v>
      </c>
      <c r="JF10" s="36"/>
      <c r="JP10" s="36"/>
    </row>
    <row r="11" spans="2:276" ht="40.5" customHeight="1" x14ac:dyDescent="0.3">
      <c r="B11" s="23">
        <v>2</v>
      </c>
      <c r="C11" s="77" t="e">
        <f>VLOOKUP(#REF!,EMPLEADO!C:Q,15,FALSE)</f>
        <v>#REF!</v>
      </c>
      <c r="D11" s="6" t="s">
        <v>36</v>
      </c>
      <c r="E11" s="38" t="s">
        <v>25</v>
      </c>
      <c r="F11" s="52"/>
      <c r="G11" s="53"/>
      <c r="H11" s="57">
        <f t="shared" ref="H11:H31" si="64">(+G11-F11)*24</f>
        <v>0</v>
      </c>
      <c r="I11" s="47"/>
      <c r="J11" s="50"/>
      <c r="K11" s="51"/>
      <c r="L11" s="57">
        <f t="shared" si="0"/>
        <v>0</v>
      </c>
      <c r="M11" s="47"/>
      <c r="N11" s="52"/>
      <c r="O11" s="53"/>
      <c r="P11" s="57">
        <f t="shared" si="1"/>
        <v>0</v>
      </c>
      <c r="Q11" s="47"/>
      <c r="R11" s="53"/>
      <c r="S11" s="53"/>
      <c r="T11" s="57">
        <f t="shared" ref="T11:T31" si="65">(+S11-R11)*24</f>
        <v>0</v>
      </c>
      <c r="U11" s="47"/>
      <c r="V11" s="50"/>
      <c r="W11" s="51"/>
      <c r="X11" s="57">
        <f t="shared" si="2"/>
        <v>0</v>
      </c>
      <c r="Y11" s="47"/>
      <c r="Z11" s="50"/>
      <c r="AA11" s="51"/>
      <c r="AB11" s="57">
        <f t="shared" si="3"/>
        <v>0</v>
      </c>
      <c r="AC11" s="47"/>
      <c r="AD11" s="52"/>
      <c r="AE11" s="74"/>
      <c r="AF11" s="57">
        <f t="shared" si="4"/>
        <v>0</v>
      </c>
      <c r="AG11" s="47"/>
      <c r="AH11" s="53"/>
      <c r="AI11" s="53"/>
      <c r="AJ11" s="75">
        <f t="shared" ref="AJ11:AJ31" si="66">(+AI11-AH11)*24</f>
        <v>0</v>
      </c>
      <c r="AK11" s="47"/>
      <c r="AL11" s="50"/>
      <c r="AM11" s="51"/>
      <c r="AN11" s="57">
        <f t="shared" si="5"/>
        <v>0</v>
      </c>
      <c r="AO11" s="47"/>
      <c r="AP11" s="50"/>
      <c r="AQ11" s="51"/>
      <c r="AR11" s="57">
        <f t="shared" si="6"/>
        <v>0</v>
      </c>
      <c r="AS11" s="47"/>
      <c r="AT11" s="50"/>
      <c r="AU11" s="51"/>
      <c r="AV11" s="57">
        <f t="shared" si="7"/>
        <v>0</v>
      </c>
      <c r="AW11" s="47"/>
      <c r="AX11" s="50"/>
      <c r="AY11" s="51"/>
      <c r="AZ11" s="57">
        <f t="shared" si="8"/>
        <v>0</v>
      </c>
      <c r="BA11" s="47"/>
      <c r="BB11" s="50"/>
      <c r="BC11" s="51"/>
      <c r="BD11" s="57">
        <f t="shared" si="9"/>
        <v>0</v>
      </c>
      <c r="BE11" s="47"/>
      <c r="BF11" s="50"/>
      <c r="BG11" s="51"/>
      <c r="BH11" s="57">
        <f t="shared" si="10"/>
        <v>0</v>
      </c>
      <c r="BI11" s="47"/>
      <c r="BJ11" s="50"/>
      <c r="BK11" s="51"/>
      <c r="BL11" s="57">
        <f t="shared" si="11"/>
        <v>0</v>
      </c>
      <c r="BM11" s="47"/>
      <c r="BN11" s="50"/>
      <c r="BO11" s="51"/>
      <c r="BP11" s="57">
        <f t="shared" si="12"/>
        <v>0</v>
      </c>
      <c r="BQ11" s="47"/>
      <c r="BR11" s="52"/>
      <c r="BS11" s="53"/>
      <c r="BT11" s="57">
        <f t="shared" si="13"/>
        <v>0</v>
      </c>
      <c r="BU11" s="47"/>
      <c r="BV11" s="50"/>
      <c r="BW11" s="51"/>
      <c r="BX11" s="57">
        <f t="shared" si="14"/>
        <v>0</v>
      </c>
      <c r="BY11" s="47"/>
      <c r="BZ11" s="50"/>
      <c r="CA11" s="51"/>
      <c r="CB11" s="57">
        <f t="shared" si="15"/>
        <v>0</v>
      </c>
      <c r="CC11" s="47"/>
      <c r="CD11" s="50"/>
      <c r="CE11" s="51"/>
      <c r="CF11" s="57">
        <f t="shared" si="16"/>
        <v>0</v>
      </c>
      <c r="CG11" s="47"/>
      <c r="CH11" s="50"/>
      <c r="CI11" s="51"/>
      <c r="CJ11" s="57">
        <f t="shared" si="17"/>
        <v>0</v>
      </c>
      <c r="CK11" s="47"/>
      <c r="CL11" s="50"/>
      <c r="CM11" s="51"/>
      <c r="CN11" s="57">
        <f t="shared" si="18"/>
        <v>0</v>
      </c>
      <c r="CO11" s="47"/>
      <c r="CP11" s="50"/>
      <c r="CQ11" s="51"/>
      <c r="CR11" s="57">
        <f t="shared" si="19"/>
        <v>0</v>
      </c>
      <c r="CS11" s="47"/>
      <c r="CT11" s="50"/>
      <c r="CU11" s="51"/>
      <c r="CV11" s="57">
        <f t="shared" si="20"/>
        <v>0</v>
      </c>
      <c r="CW11" s="47"/>
      <c r="CX11" s="50"/>
      <c r="CY11" s="51"/>
      <c r="CZ11" s="57">
        <f t="shared" si="21"/>
        <v>0</v>
      </c>
      <c r="DA11" s="47"/>
      <c r="DB11" s="50"/>
      <c r="DC11" s="51"/>
      <c r="DD11" s="57">
        <f t="shared" si="22"/>
        <v>0</v>
      </c>
      <c r="DE11" s="47"/>
      <c r="DF11" s="50"/>
      <c r="DG11" s="51"/>
      <c r="DH11" s="57">
        <f t="shared" si="23"/>
        <v>0</v>
      </c>
      <c r="DI11" s="47"/>
      <c r="DJ11" s="50"/>
      <c r="DK11" s="51"/>
      <c r="DL11" s="57">
        <f t="shared" si="24"/>
        <v>0</v>
      </c>
      <c r="DM11" s="47"/>
      <c r="DN11" s="50"/>
      <c r="DO11" s="51"/>
      <c r="DP11" s="57">
        <f t="shared" si="25"/>
        <v>0</v>
      </c>
      <c r="DQ11" s="47"/>
      <c r="DR11" s="50"/>
      <c r="DS11" s="51"/>
      <c r="DT11" s="57">
        <f t="shared" si="26"/>
        <v>0</v>
      </c>
      <c r="DU11" s="47"/>
      <c r="DV11" s="52"/>
      <c r="DW11" s="53"/>
      <c r="DX11" s="57">
        <f t="shared" si="27"/>
        <v>0</v>
      </c>
      <c r="DY11" s="47"/>
      <c r="DZ11" s="50"/>
      <c r="EA11" s="51"/>
      <c r="EB11" s="57">
        <f t="shared" si="28"/>
        <v>0</v>
      </c>
      <c r="EC11" s="47"/>
      <c r="ED11" s="50"/>
      <c r="EE11" s="51"/>
      <c r="EF11" s="57">
        <f t="shared" si="29"/>
        <v>0</v>
      </c>
      <c r="EG11" s="47"/>
      <c r="EH11" s="50"/>
      <c r="EI11" s="51"/>
      <c r="EJ11" s="57">
        <f t="shared" si="30"/>
        <v>0</v>
      </c>
      <c r="EK11" s="47"/>
      <c r="EL11" s="50"/>
      <c r="EM11" s="51"/>
      <c r="EN11" s="57">
        <f t="shared" si="31"/>
        <v>0</v>
      </c>
      <c r="EO11" s="47"/>
      <c r="EP11" s="50"/>
      <c r="EQ11" s="51"/>
      <c r="ER11" s="57">
        <f t="shared" si="32"/>
        <v>0</v>
      </c>
      <c r="ES11" s="47"/>
      <c r="ET11" s="50"/>
      <c r="EU11" s="51"/>
      <c r="EV11" s="57">
        <f t="shared" si="33"/>
        <v>0</v>
      </c>
      <c r="EW11" s="47"/>
      <c r="EX11" s="50"/>
      <c r="EY11" s="51"/>
      <c r="EZ11" s="57">
        <f t="shared" si="34"/>
        <v>0</v>
      </c>
      <c r="FA11" s="47"/>
      <c r="FB11" s="50"/>
      <c r="FC11" s="51"/>
      <c r="FD11" s="57">
        <f t="shared" si="35"/>
        <v>0</v>
      </c>
      <c r="FE11" s="47"/>
      <c r="FF11" s="50"/>
      <c r="FG11" s="51"/>
      <c r="FH11" s="57">
        <f t="shared" si="36"/>
        <v>0</v>
      </c>
      <c r="FI11" s="47"/>
      <c r="FJ11" s="50"/>
      <c r="FK11" s="51"/>
      <c r="FL11" s="57">
        <f t="shared" si="37"/>
        <v>0</v>
      </c>
      <c r="FM11" s="47"/>
      <c r="FN11" s="50"/>
      <c r="FO11" s="51"/>
      <c r="FP11" s="57">
        <f t="shared" si="38"/>
        <v>0</v>
      </c>
      <c r="FQ11" s="47"/>
      <c r="FR11" s="50"/>
      <c r="FS11" s="51"/>
      <c r="FT11" s="57">
        <f t="shared" si="39"/>
        <v>0</v>
      </c>
      <c r="FU11" s="47"/>
      <c r="FV11" s="50"/>
      <c r="FW11" s="51"/>
      <c r="FX11" s="57">
        <f t="shared" si="40"/>
        <v>0</v>
      </c>
      <c r="FY11" s="47"/>
      <c r="FZ11" s="50"/>
      <c r="GA11" s="51"/>
      <c r="GB11" s="57">
        <f t="shared" si="41"/>
        <v>0</v>
      </c>
      <c r="GC11" s="47"/>
      <c r="GD11" s="50"/>
      <c r="GE11" s="51"/>
      <c r="GF11" s="57">
        <f t="shared" si="42"/>
        <v>0</v>
      </c>
      <c r="GG11" s="47"/>
      <c r="GH11" s="50"/>
      <c r="GI11" s="51"/>
      <c r="GJ11" s="57">
        <f t="shared" si="43"/>
        <v>0</v>
      </c>
      <c r="GK11" s="47"/>
      <c r="GL11" s="50"/>
      <c r="GM11" s="51"/>
      <c r="GN11" s="57">
        <f t="shared" si="44"/>
        <v>0</v>
      </c>
      <c r="GO11" s="47"/>
      <c r="GP11" s="52"/>
      <c r="GQ11" s="53"/>
      <c r="GR11" s="57">
        <f t="shared" si="45"/>
        <v>0</v>
      </c>
      <c r="GS11" s="47"/>
      <c r="GT11" s="50"/>
      <c r="GU11" s="51"/>
      <c r="GV11" s="57">
        <f t="shared" si="46"/>
        <v>0</v>
      </c>
      <c r="GW11" s="47"/>
      <c r="GX11" s="50"/>
      <c r="GY11" s="51"/>
      <c r="GZ11" s="57">
        <f t="shared" si="47"/>
        <v>0</v>
      </c>
      <c r="HA11" s="47"/>
      <c r="HB11" s="50"/>
      <c r="HC11" s="51"/>
      <c r="HD11" s="57">
        <f t="shared" si="48"/>
        <v>0</v>
      </c>
      <c r="HE11" s="47"/>
      <c r="HF11" s="52"/>
      <c r="HG11" s="53"/>
      <c r="HH11" s="57">
        <f t="shared" si="49"/>
        <v>0</v>
      </c>
      <c r="HI11" s="47"/>
      <c r="HJ11" s="50"/>
      <c r="HK11" s="51"/>
      <c r="HL11" s="57">
        <f t="shared" si="50"/>
        <v>0</v>
      </c>
      <c r="HM11" s="47"/>
      <c r="HN11" s="50"/>
      <c r="HO11" s="51"/>
      <c r="HP11" s="57">
        <f t="shared" si="51"/>
        <v>0</v>
      </c>
      <c r="HQ11" s="47"/>
      <c r="HR11" s="50"/>
      <c r="HS11" s="51"/>
      <c r="HT11" s="57">
        <f t="shared" si="52"/>
        <v>0</v>
      </c>
      <c r="HU11" s="47"/>
      <c r="HV11" s="52"/>
      <c r="HW11" s="53"/>
      <c r="HX11" s="75">
        <f t="shared" si="53"/>
        <v>0</v>
      </c>
      <c r="HY11" s="47"/>
      <c r="HZ11" s="50"/>
      <c r="IA11" s="51"/>
      <c r="IB11" s="57">
        <f t="shared" si="54"/>
        <v>0</v>
      </c>
      <c r="IC11" s="47"/>
      <c r="ID11" s="50"/>
      <c r="IE11" s="51"/>
      <c r="IF11" s="57">
        <f t="shared" si="55"/>
        <v>0</v>
      </c>
      <c r="IG11" s="47"/>
      <c r="IH11" s="50"/>
      <c r="II11" s="51"/>
      <c r="IJ11" s="57">
        <f t="shared" si="56"/>
        <v>0</v>
      </c>
      <c r="IK11" s="47"/>
      <c r="IL11" s="50"/>
      <c r="IM11" s="51"/>
      <c r="IN11" s="57">
        <f t="shared" si="57"/>
        <v>0</v>
      </c>
      <c r="IO11" s="47"/>
      <c r="IP11" s="50"/>
      <c r="IQ11" s="51"/>
      <c r="IR11" s="57">
        <f t="shared" si="58"/>
        <v>0</v>
      </c>
      <c r="IS11" s="47"/>
      <c r="IT11" s="50"/>
      <c r="IU11" s="51"/>
      <c r="IV11" s="57">
        <f t="shared" si="59"/>
        <v>0</v>
      </c>
      <c r="IW11" s="47"/>
      <c r="IX11" s="50"/>
      <c r="IY11" s="51"/>
      <c r="IZ11" s="57">
        <f t="shared" si="60"/>
        <v>0</v>
      </c>
      <c r="JA11" s="47"/>
      <c r="JB11" s="36" t="e">
        <f t="shared" si="61"/>
        <v>#VALUE!</v>
      </c>
      <c r="JC11" s="36" t="e">
        <f t="shared" si="62"/>
        <v>#VALUE!</v>
      </c>
      <c r="JD11" s="36" t="e">
        <f t="shared" si="63"/>
        <v>#VALUE!</v>
      </c>
      <c r="JE11" s="36" t="e">
        <f>IF($F$4="F",0,+S11)+IF($V$4="F",0,+AJ11)+IF($AL$4="F",0,+AZ11)+IF($BB$4="F",0,+BP11)+IF($BR$4="F",0,+CF11)+IF($CH$4="F",0,+CV11)+IF($CX$4="F",0,+DL11)+IF($DN$4="F",0,+EB11)+IF($ED$4="F",0,+ER11)+IF($ET$4="F",0,FH11)+IF($FJ$4="F",0,+FX11)+IF($FZ$4="F",0,GN11)+IF($GP$4="F",0,+HD11)+IF($HF$4="F",0,+HT11)+IF($HV$4="F",0,+IJ11)+IF($IL$4="F",0,+IZ11)</f>
        <v>#VALUE!</v>
      </c>
      <c r="JF11" s="36"/>
      <c r="JP11" s="36"/>
    </row>
    <row r="12" spans="2:276" ht="30" customHeight="1" x14ac:dyDescent="0.3">
      <c r="B12" s="23">
        <v>3</v>
      </c>
      <c r="C12" s="77" t="e">
        <f>VLOOKUP(#REF!,EMPLEADO!C:Q,15,FALSE)</f>
        <v>#REF!</v>
      </c>
      <c r="D12" s="6" t="s">
        <v>34</v>
      </c>
      <c r="E12" s="38" t="s">
        <v>23</v>
      </c>
      <c r="F12" s="50"/>
      <c r="G12" s="51"/>
      <c r="H12" s="57">
        <f t="shared" si="64"/>
        <v>0</v>
      </c>
      <c r="I12" s="47"/>
      <c r="J12" s="50"/>
      <c r="K12" s="51"/>
      <c r="L12" s="57">
        <f t="shared" si="0"/>
        <v>0</v>
      </c>
      <c r="M12" s="47"/>
      <c r="N12" s="50"/>
      <c r="O12" s="51"/>
      <c r="P12" s="57">
        <f t="shared" si="1"/>
        <v>0</v>
      </c>
      <c r="Q12" s="47"/>
      <c r="R12" s="53"/>
      <c r="S12" s="53"/>
      <c r="T12" s="57">
        <f t="shared" si="65"/>
        <v>0</v>
      </c>
      <c r="U12" s="47"/>
      <c r="V12" s="50"/>
      <c r="W12" s="51"/>
      <c r="X12" s="57">
        <f t="shared" si="2"/>
        <v>0</v>
      </c>
      <c r="Y12" s="47"/>
      <c r="Z12" s="50"/>
      <c r="AA12" s="51"/>
      <c r="AB12" s="57">
        <f t="shared" si="3"/>
        <v>0</v>
      </c>
      <c r="AC12" s="47"/>
      <c r="AD12" s="50"/>
      <c r="AE12" s="51"/>
      <c r="AF12" s="57">
        <f t="shared" si="4"/>
        <v>0</v>
      </c>
      <c r="AG12" s="47"/>
      <c r="AH12" s="53"/>
      <c r="AI12" s="53"/>
      <c r="AJ12" s="75">
        <f t="shared" si="66"/>
        <v>0</v>
      </c>
      <c r="AK12" s="47"/>
      <c r="AL12" s="50"/>
      <c r="AM12" s="51"/>
      <c r="AN12" s="57">
        <f t="shared" si="5"/>
        <v>0</v>
      </c>
      <c r="AO12" s="47"/>
      <c r="AP12" s="50"/>
      <c r="AQ12" s="51"/>
      <c r="AR12" s="57">
        <f t="shared" si="6"/>
        <v>0</v>
      </c>
      <c r="AS12" s="47"/>
      <c r="AT12" s="50"/>
      <c r="AU12" s="51"/>
      <c r="AV12" s="57">
        <f t="shared" si="7"/>
        <v>0</v>
      </c>
      <c r="AW12" s="47"/>
      <c r="AX12" s="50"/>
      <c r="AY12" s="51"/>
      <c r="AZ12" s="57">
        <f t="shared" si="8"/>
        <v>0</v>
      </c>
      <c r="BA12" s="47"/>
      <c r="BB12" s="50"/>
      <c r="BC12" s="51"/>
      <c r="BD12" s="57">
        <f t="shared" si="9"/>
        <v>0</v>
      </c>
      <c r="BE12" s="47"/>
      <c r="BF12" s="50"/>
      <c r="BG12" s="51"/>
      <c r="BH12" s="57">
        <f t="shared" si="10"/>
        <v>0</v>
      </c>
      <c r="BI12" s="47"/>
      <c r="BJ12" s="50"/>
      <c r="BK12" s="51"/>
      <c r="BL12" s="57">
        <f t="shared" si="11"/>
        <v>0</v>
      </c>
      <c r="BM12" s="47"/>
      <c r="BN12" s="50"/>
      <c r="BO12" s="51"/>
      <c r="BP12" s="57">
        <f t="shared" si="12"/>
        <v>0</v>
      </c>
      <c r="BQ12" s="47"/>
      <c r="BR12" s="50"/>
      <c r="BS12" s="51"/>
      <c r="BT12" s="57">
        <f t="shared" si="13"/>
        <v>0</v>
      </c>
      <c r="BU12" s="47"/>
      <c r="BV12" s="50"/>
      <c r="BW12" s="51"/>
      <c r="BX12" s="57">
        <f t="shared" si="14"/>
        <v>0</v>
      </c>
      <c r="BY12" s="47"/>
      <c r="BZ12" s="50"/>
      <c r="CA12" s="51"/>
      <c r="CB12" s="57">
        <f t="shared" si="15"/>
        <v>0</v>
      </c>
      <c r="CC12" s="47"/>
      <c r="CD12" s="50"/>
      <c r="CE12" s="51"/>
      <c r="CF12" s="57">
        <f t="shared" si="16"/>
        <v>0</v>
      </c>
      <c r="CG12" s="47"/>
      <c r="CH12" s="52"/>
      <c r="CI12" s="53"/>
      <c r="CJ12" s="57">
        <f t="shared" si="17"/>
        <v>0</v>
      </c>
      <c r="CK12" s="47"/>
      <c r="CL12" s="50"/>
      <c r="CM12" s="51"/>
      <c r="CN12" s="57">
        <f t="shared" si="18"/>
        <v>0</v>
      </c>
      <c r="CO12" s="47"/>
      <c r="CP12" s="50"/>
      <c r="CQ12" s="51"/>
      <c r="CR12" s="57">
        <f t="shared" si="19"/>
        <v>0</v>
      </c>
      <c r="CS12" s="47"/>
      <c r="CT12" s="50"/>
      <c r="CU12" s="51"/>
      <c r="CV12" s="57">
        <f t="shared" si="20"/>
        <v>0</v>
      </c>
      <c r="CW12" s="47"/>
      <c r="CX12" s="50"/>
      <c r="CY12" s="51"/>
      <c r="CZ12" s="57">
        <f t="shared" si="21"/>
        <v>0</v>
      </c>
      <c r="DA12" s="47"/>
      <c r="DB12" s="50"/>
      <c r="DC12" s="51"/>
      <c r="DD12" s="57">
        <f t="shared" si="22"/>
        <v>0</v>
      </c>
      <c r="DE12" s="47"/>
      <c r="DF12" s="50"/>
      <c r="DG12" s="51"/>
      <c r="DH12" s="57">
        <f t="shared" si="23"/>
        <v>0</v>
      </c>
      <c r="DI12" s="47"/>
      <c r="DJ12" s="50"/>
      <c r="DK12" s="51"/>
      <c r="DL12" s="57">
        <f t="shared" si="24"/>
        <v>0</v>
      </c>
      <c r="DM12" s="47"/>
      <c r="DN12" s="50"/>
      <c r="DO12" s="51"/>
      <c r="DP12" s="57">
        <f t="shared" si="25"/>
        <v>0</v>
      </c>
      <c r="DQ12" s="47"/>
      <c r="DR12" s="50"/>
      <c r="DS12" s="51"/>
      <c r="DT12" s="57">
        <f t="shared" si="26"/>
        <v>0</v>
      </c>
      <c r="DU12" s="47"/>
      <c r="DV12" s="50"/>
      <c r="DW12" s="51"/>
      <c r="DX12" s="57">
        <f t="shared" si="27"/>
        <v>0</v>
      </c>
      <c r="DY12" s="47"/>
      <c r="DZ12" s="50"/>
      <c r="EA12" s="51"/>
      <c r="EB12" s="57">
        <f t="shared" si="28"/>
        <v>0</v>
      </c>
      <c r="EC12" s="47"/>
      <c r="ED12" s="50"/>
      <c r="EE12" s="51"/>
      <c r="EF12" s="57">
        <f t="shared" si="29"/>
        <v>0</v>
      </c>
      <c r="EG12" s="47"/>
      <c r="EH12" s="50"/>
      <c r="EI12" s="51"/>
      <c r="EJ12" s="57">
        <f t="shared" si="30"/>
        <v>0</v>
      </c>
      <c r="EK12" s="47"/>
      <c r="EL12" s="50"/>
      <c r="EM12" s="51"/>
      <c r="EN12" s="57">
        <f t="shared" si="31"/>
        <v>0</v>
      </c>
      <c r="EO12" s="47"/>
      <c r="EP12" s="50"/>
      <c r="EQ12" s="51"/>
      <c r="ER12" s="57">
        <f t="shared" si="32"/>
        <v>0</v>
      </c>
      <c r="ES12" s="47"/>
      <c r="ET12" s="50"/>
      <c r="EU12" s="51"/>
      <c r="EV12" s="57">
        <f t="shared" si="33"/>
        <v>0</v>
      </c>
      <c r="EW12" s="47"/>
      <c r="EX12" s="50"/>
      <c r="EY12" s="51"/>
      <c r="EZ12" s="57">
        <f t="shared" si="34"/>
        <v>0</v>
      </c>
      <c r="FA12" s="47"/>
      <c r="FB12" s="50"/>
      <c r="FC12" s="51"/>
      <c r="FD12" s="57">
        <f t="shared" si="35"/>
        <v>0</v>
      </c>
      <c r="FE12" s="47"/>
      <c r="FF12" s="50"/>
      <c r="FG12" s="51"/>
      <c r="FH12" s="57">
        <f t="shared" si="36"/>
        <v>0</v>
      </c>
      <c r="FI12" s="47"/>
      <c r="FJ12" s="50"/>
      <c r="FK12" s="51"/>
      <c r="FL12" s="57">
        <f t="shared" si="37"/>
        <v>0</v>
      </c>
      <c r="FM12" s="47"/>
      <c r="FN12" s="50"/>
      <c r="FO12" s="51"/>
      <c r="FP12" s="57">
        <f t="shared" si="38"/>
        <v>0</v>
      </c>
      <c r="FQ12" s="47"/>
      <c r="FR12" s="50"/>
      <c r="FS12" s="51"/>
      <c r="FT12" s="57">
        <f t="shared" si="39"/>
        <v>0</v>
      </c>
      <c r="FU12" s="47"/>
      <c r="FV12" s="50"/>
      <c r="FW12" s="51"/>
      <c r="FX12" s="57">
        <f t="shared" si="40"/>
        <v>0</v>
      </c>
      <c r="FY12" s="47"/>
      <c r="FZ12" s="50"/>
      <c r="GA12" s="51"/>
      <c r="GB12" s="57">
        <f t="shared" si="41"/>
        <v>0</v>
      </c>
      <c r="GC12" s="47"/>
      <c r="GD12" s="50"/>
      <c r="GE12" s="51"/>
      <c r="GF12" s="57">
        <f t="shared" si="42"/>
        <v>0</v>
      </c>
      <c r="GG12" s="47"/>
      <c r="GH12" s="50"/>
      <c r="GI12" s="51"/>
      <c r="GJ12" s="57">
        <f t="shared" si="43"/>
        <v>0</v>
      </c>
      <c r="GK12" s="47"/>
      <c r="GL12" s="50"/>
      <c r="GM12" s="51"/>
      <c r="GN12" s="57">
        <f t="shared" si="44"/>
        <v>0</v>
      </c>
      <c r="GO12" s="47"/>
      <c r="GP12" s="50"/>
      <c r="GQ12" s="51"/>
      <c r="GR12" s="57">
        <f t="shared" si="45"/>
        <v>0</v>
      </c>
      <c r="GS12" s="47"/>
      <c r="GT12" s="50"/>
      <c r="GU12" s="51"/>
      <c r="GV12" s="57">
        <f t="shared" si="46"/>
        <v>0</v>
      </c>
      <c r="GW12" s="47"/>
      <c r="GX12" s="50"/>
      <c r="GY12" s="51"/>
      <c r="GZ12" s="57">
        <f t="shared" si="47"/>
        <v>0</v>
      </c>
      <c r="HA12" s="47"/>
      <c r="HB12" s="50"/>
      <c r="HC12" s="51"/>
      <c r="HD12" s="57">
        <f t="shared" si="48"/>
        <v>0</v>
      </c>
      <c r="HE12" s="47"/>
      <c r="HF12" s="50"/>
      <c r="HG12" s="51"/>
      <c r="HH12" s="57">
        <f t="shared" si="49"/>
        <v>0</v>
      </c>
      <c r="HI12" s="47"/>
      <c r="HJ12" s="50"/>
      <c r="HK12" s="51"/>
      <c r="HL12" s="57">
        <f t="shared" si="50"/>
        <v>0</v>
      </c>
      <c r="HM12" s="47"/>
      <c r="HN12" s="50"/>
      <c r="HO12" s="51"/>
      <c r="HP12" s="57">
        <f t="shared" si="51"/>
        <v>0</v>
      </c>
      <c r="HQ12" s="47"/>
      <c r="HR12" s="50"/>
      <c r="HS12" s="51"/>
      <c r="HT12" s="57">
        <f t="shared" si="52"/>
        <v>0</v>
      </c>
      <c r="HU12" s="47"/>
      <c r="HV12" s="50"/>
      <c r="HW12" s="51"/>
      <c r="HX12" s="57">
        <f t="shared" si="53"/>
        <v>0</v>
      </c>
      <c r="HY12" s="47"/>
      <c r="HZ12" s="50"/>
      <c r="IA12" s="51"/>
      <c r="IB12" s="57">
        <f t="shared" si="54"/>
        <v>0</v>
      </c>
      <c r="IC12" s="47"/>
      <c r="ID12" s="50"/>
      <c r="IE12" s="51"/>
      <c r="IF12" s="57">
        <f t="shared" si="55"/>
        <v>0</v>
      </c>
      <c r="IG12" s="47"/>
      <c r="IH12" s="50"/>
      <c r="II12" s="51"/>
      <c r="IJ12" s="57">
        <f t="shared" si="56"/>
        <v>0</v>
      </c>
      <c r="IK12" s="47"/>
      <c r="IL12" s="50"/>
      <c r="IM12" s="51"/>
      <c r="IN12" s="57">
        <f t="shared" si="57"/>
        <v>0</v>
      </c>
      <c r="IO12" s="47"/>
      <c r="IP12" s="50"/>
      <c r="IQ12" s="51"/>
      <c r="IR12" s="57">
        <f t="shared" si="58"/>
        <v>0</v>
      </c>
      <c r="IS12" s="47"/>
      <c r="IT12" s="50"/>
      <c r="IU12" s="51"/>
      <c r="IV12" s="57">
        <f t="shared" si="59"/>
        <v>0</v>
      </c>
      <c r="IW12" s="47"/>
      <c r="IX12" s="50"/>
      <c r="IY12" s="51"/>
      <c r="IZ12" s="57">
        <f t="shared" si="60"/>
        <v>0</v>
      </c>
      <c r="JA12" s="47"/>
      <c r="JB12" s="36" t="e">
        <f t="shared" si="61"/>
        <v>#VALUE!</v>
      </c>
      <c r="JC12" s="36" t="e">
        <f t="shared" si="62"/>
        <v>#VALUE!</v>
      </c>
      <c r="JD12" s="36" t="e">
        <f t="shared" si="63"/>
        <v>#VALUE!</v>
      </c>
      <c r="JE12" s="36" t="e">
        <f>IF($F$4="F",0,+S12)+IF($V$4="F",0,+AJ12)+IF($AL$4="F",0,+AZ12)+IF($BB$4="F",0,+BP12)+IF($BR$4="F",0,+CF12)+IF($CH$4="F",0,+CV12)+IF($CX$4="F",0,+DL12)+IF($DN$4="F",0,+EB12)+IF($ED$4="F",0,+ER12)+IF($ET$4="F",0,FH12)+IF($FJ$4="F",0,+FX12)+IF($FZ$4="F",0,GN12)+IF($GP$4="F",0,+HD12)+IF($HF$4="F",0,+HT12)+IF($HV$4="F",0,+IJ12)+IF($IL$4="F",0,+IZ12)</f>
        <v>#VALUE!</v>
      </c>
      <c r="JF12" s="36"/>
      <c r="JP12" s="36"/>
    </row>
    <row r="13" spans="2:276" ht="30" customHeight="1" x14ac:dyDescent="0.3">
      <c r="B13" s="23">
        <v>4</v>
      </c>
      <c r="C13" s="77" t="e">
        <f>VLOOKUP(#REF!,EMPLEADO!C:Q,15,FALSE)</f>
        <v>#REF!</v>
      </c>
      <c r="D13" s="6" t="s">
        <v>37</v>
      </c>
      <c r="E13" s="38" t="s">
        <v>17</v>
      </c>
      <c r="F13" s="52"/>
      <c r="G13" s="53"/>
      <c r="H13" s="57">
        <f t="shared" si="64"/>
        <v>0</v>
      </c>
      <c r="I13" s="47"/>
      <c r="J13" s="50"/>
      <c r="K13" s="51"/>
      <c r="L13" s="57">
        <f t="shared" si="0"/>
        <v>0</v>
      </c>
      <c r="M13" s="47"/>
      <c r="N13" s="52"/>
      <c r="O13" s="53"/>
      <c r="P13" s="57">
        <f t="shared" si="1"/>
        <v>0</v>
      </c>
      <c r="Q13" s="47"/>
      <c r="R13" s="53"/>
      <c r="S13" s="53"/>
      <c r="T13" s="57">
        <f t="shared" si="65"/>
        <v>0</v>
      </c>
      <c r="U13" s="47"/>
      <c r="V13" s="50"/>
      <c r="W13" s="51"/>
      <c r="X13" s="57">
        <f t="shared" si="2"/>
        <v>0</v>
      </c>
      <c r="Y13" s="47"/>
      <c r="Z13" s="50"/>
      <c r="AA13" s="51"/>
      <c r="AB13" s="57">
        <f t="shared" si="3"/>
        <v>0</v>
      </c>
      <c r="AC13" s="47"/>
      <c r="AD13" s="50"/>
      <c r="AE13" s="51"/>
      <c r="AF13" s="57">
        <f t="shared" si="4"/>
        <v>0</v>
      </c>
      <c r="AG13" s="47"/>
      <c r="AH13" s="53"/>
      <c r="AI13" s="53"/>
      <c r="AJ13" s="75">
        <f t="shared" si="66"/>
        <v>0</v>
      </c>
      <c r="AK13" s="47"/>
      <c r="AL13" s="50"/>
      <c r="AM13" s="51"/>
      <c r="AN13" s="57">
        <f t="shared" si="5"/>
        <v>0</v>
      </c>
      <c r="AO13" s="47"/>
      <c r="AP13" s="50"/>
      <c r="AQ13" s="51"/>
      <c r="AR13" s="57">
        <f t="shared" si="6"/>
        <v>0</v>
      </c>
      <c r="AS13" s="47"/>
      <c r="AT13" s="50"/>
      <c r="AU13" s="51"/>
      <c r="AV13" s="57">
        <f t="shared" si="7"/>
        <v>0</v>
      </c>
      <c r="AW13" s="47"/>
      <c r="AX13" s="50"/>
      <c r="AY13" s="51"/>
      <c r="AZ13" s="57">
        <f t="shared" si="8"/>
        <v>0</v>
      </c>
      <c r="BA13" s="47"/>
      <c r="BB13" s="50"/>
      <c r="BC13" s="51"/>
      <c r="BD13" s="57">
        <f t="shared" si="9"/>
        <v>0</v>
      </c>
      <c r="BE13" s="47"/>
      <c r="BF13" s="50"/>
      <c r="BG13" s="51"/>
      <c r="BH13" s="57">
        <f t="shared" si="10"/>
        <v>0</v>
      </c>
      <c r="BI13" s="47"/>
      <c r="BJ13" s="50"/>
      <c r="BK13" s="51"/>
      <c r="BL13" s="57">
        <f t="shared" si="11"/>
        <v>0</v>
      </c>
      <c r="BM13" s="47"/>
      <c r="BN13" s="50"/>
      <c r="BO13" s="51"/>
      <c r="BP13" s="57">
        <f t="shared" si="12"/>
        <v>0</v>
      </c>
      <c r="BQ13" s="47"/>
      <c r="BR13" s="50"/>
      <c r="BS13" s="51"/>
      <c r="BT13" s="57">
        <f t="shared" si="13"/>
        <v>0</v>
      </c>
      <c r="BU13" s="47"/>
      <c r="BV13" s="50"/>
      <c r="BW13" s="51"/>
      <c r="BX13" s="57">
        <f t="shared" si="14"/>
        <v>0</v>
      </c>
      <c r="BY13" s="47"/>
      <c r="BZ13" s="50"/>
      <c r="CA13" s="51"/>
      <c r="CB13" s="57">
        <f t="shared" si="15"/>
        <v>0</v>
      </c>
      <c r="CC13" s="47"/>
      <c r="CD13" s="50"/>
      <c r="CE13" s="51"/>
      <c r="CF13" s="57">
        <f t="shared" si="16"/>
        <v>0</v>
      </c>
      <c r="CG13" s="47"/>
      <c r="CH13" s="50"/>
      <c r="CI13" s="51"/>
      <c r="CJ13" s="57">
        <f t="shared" si="17"/>
        <v>0</v>
      </c>
      <c r="CK13" s="47"/>
      <c r="CL13" s="50"/>
      <c r="CM13" s="51"/>
      <c r="CN13" s="57">
        <f t="shared" si="18"/>
        <v>0</v>
      </c>
      <c r="CO13" s="47"/>
      <c r="CP13" s="50"/>
      <c r="CQ13" s="51"/>
      <c r="CR13" s="57">
        <f t="shared" si="19"/>
        <v>0</v>
      </c>
      <c r="CS13" s="47"/>
      <c r="CT13" s="50"/>
      <c r="CU13" s="51"/>
      <c r="CV13" s="57">
        <f t="shared" si="20"/>
        <v>0</v>
      </c>
      <c r="CW13" s="47"/>
      <c r="CX13" s="50"/>
      <c r="CY13" s="51"/>
      <c r="CZ13" s="57">
        <f t="shared" si="21"/>
        <v>0</v>
      </c>
      <c r="DA13" s="47"/>
      <c r="DB13" s="50"/>
      <c r="DC13" s="51"/>
      <c r="DD13" s="57">
        <f t="shared" si="22"/>
        <v>0</v>
      </c>
      <c r="DE13" s="47"/>
      <c r="DF13" s="50"/>
      <c r="DG13" s="51"/>
      <c r="DH13" s="57">
        <f t="shared" si="23"/>
        <v>0</v>
      </c>
      <c r="DI13" s="47"/>
      <c r="DJ13" s="50"/>
      <c r="DK13" s="51"/>
      <c r="DL13" s="57">
        <f t="shared" si="24"/>
        <v>0</v>
      </c>
      <c r="DM13" s="47"/>
      <c r="DN13" s="50"/>
      <c r="DO13" s="51"/>
      <c r="DP13" s="57">
        <f t="shared" si="25"/>
        <v>0</v>
      </c>
      <c r="DQ13" s="47"/>
      <c r="DR13" s="50"/>
      <c r="DS13" s="51"/>
      <c r="DT13" s="57">
        <f t="shared" si="26"/>
        <v>0</v>
      </c>
      <c r="DU13" s="47"/>
      <c r="DV13" s="50"/>
      <c r="DW13" s="51"/>
      <c r="DX13" s="57">
        <f t="shared" si="27"/>
        <v>0</v>
      </c>
      <c r="DY13" s="47"/>
      <c r="DZ13" s="50"/>
      <c r="EA13" s="51"/>
      <c r="EB13" s="57">
        <f t="shared" si="28"/>
        <v>0</v>
      </c>
      <c r="EC13" s="47"/>
      <c r="ED13" s="50"/>
      <c r="EE13" s="51"/>
      <c r="EF13" s="57">
        <f t="shared" si="29"/>
        <v>0</v>
      </c>
      <c r="EG13" s="47"/>
      <c r="EH13" s="50"/>
      <c r="EI13" s="51"/>
      <c r="EJ13" s="57">
        <f t="shared" si="30"/>
        <v>0</v>
      </c>
      <c r="EK13" s="47"/>
      <c r="EL13" s="50"/>
      <c r="EM13" s="51"/>
      <c r="EN13" s="57">
        <f t="shared" si="31"/>
        <v>0</v>
      </c>
      <c r="EO13" s="47"/>
      <c r="EP13" s="50"/>
      <c r="EQ13" s="51"/>
      <c r="ER13" s="57">
        <f t="shared" si="32"/>
        <v>0</v>
      </c>
      <c r="ES13" s="47"/>
      <c r="ET13" s="50"/>
      <c r="EU13" s="51"/>
      <c r="EV13" s="57">
        <f t="shared" si="33"/>
        <v>0</v>
      </c>
      <c r="EW13" s="47"/>
      <c r="EX13" s="50"/>
      <c r="EY13" s="51"/>
      <c r="EZ13" s="57">
        <f t="shared" si="34"/>
        <v>0</v>
      </c>
      <c r="FA13" s="47"/>
      <c r="FB13" s="50"/>
      <c r="FC13" s="51"/>
      <c r="FD13" s="57">
        <f t="shared" si="35"/>
        <v>0</v>
      </c>
      <c r="FE13" s="47"/>
      <c r="FF13" s="50"/>
      <c r="FG13" s="51"/>
      <c r="FH13" s="57">
        <f t="shared" si="36"/>
        <v>0</v>
      </c>
      <c r="FI13" s="47"/>
      <c r="FJ13" s="50"/>
      <c r="FK13" s="51"/>
      <c r="FL13" s="57">
        <f t="shared" si="37"/>
        <v>0</v>
      </c>
      <c r="FM13" s="47"/>
      <c r="FN13" s="50"/>
      <c r="FO13" s="51"/>
      <c r="FP13" s="57">
        <f t="shared" si="38"/>
        <v>0</v>
      </c>
      <c r="FQ13" s="47"/>
      <c r="FR13" s="50"/>
      <c r="FS13" s="51"/>
      <c r="FT13" s="57">
        <f t="shared" si="39"/>
        <v>0</v>
      </c>
      <c r="FU13" s="47"/>
      <c r="FV13" s="50"/>
      <c r="FW13" s="51"/>
      <c r="FX13" s="57">
        <f t="shared" si="40"/>
        <v>0</v>
      </c>
      <c r="FY13" s="47"/>
      <c r="FZ13" s="50"/>
      <c r="GA13" s="51"/>
      <c r="GB13" s="57">
        <f t="shared" si="41"/>
        <v>0</v>
      </c>
      <c r="GC13" s="47"/>
      <c r="GD13" s="50"/>
      <c r="GE13" s="51"/>
      <c r="GF13" s="57">
        <f t="shared" si="42"/>
        <v>0</v>
      </c>
      <c r="GG13" s="47"/>
      <c r="GH13" s="50"/>
      <c r="GI13" s="51"/>
      <c r="GJ13" s="57">
        <f t="shared" si="43"/>
        <v>0</v>
      </c>
      <c r="GK13" s="47"/>
      <c r="GL13" s="50"/>
      <c r="GM13" s="51"/>
      <c r="GN13" s="57">
        <f t="shared" si="44"/>
        <v>0</v>
      </c>
      <c r="GO13" s="47"/>
      <c r="GP13" s="50"/>
      <c r="GQ13" s="51"/>
      <c r="GR13" s="57">
        <f t="shared" si="45"/>
        <v>0</v>
      </c>
      <c r="GS13" s="47"/>
      <c r="GT13" s="50"/>
      <c r="GU13" s="51"/>
      <c r="GV13" s="57">
        <f t="shared" si="46"/>
        <v>0</v>
      </c>
      <c r="GW13" s="47"/>
      <c r="GX13" s="50"/>
      <c r="GY13" s="51"/>
      <c r="GZ13" s="57">
        <f t="shared" si="47"/>
        <v>0</v>
      </c>
      <c r="HA13" s="47"/>
      <c r="HB13" s="50"/>
      <c r="HC13" s="51"/>
      <c r="HD13" s="57">
        <f t="shared" si="48"/>
        <v>0</v>
      </c>
      <c r="HE13" s="47"/>
      <c r="HF13" s="50"/>
      <c r="HG13" s="51"/>
      <c r="HH13" s="57">
        <f t="shared" si="49"/>
        <v>0</v>
      </c>
      <c r="HI13" s="47"/>
      <c r="HJ13" s="50"/>
      <c r="HK13" s="51"/>
      <c r="HL13" s="57">
        <f t="shared" si="50"/>
        <v>0</v>
      </c>
      <c r="HM13" s="47"/>
      <c r="HN13" s="50"/>
      <c r="HO13" s="51"/>
      <c r="HP13" s="57">
        <f t="shared" si="51"/>
        <v>0</v>
      </c>
      <c r="HQ13" s="47"/>
      <c r="HR13" s="50"/>
      <c r="HS13" s="51"/>
      <c r="HT13" s="57">
        <f t="shared" si="52"/>
        <v>0</v>
      </c>
      <c r="HU13" s="47"/>
      <c r="HV13" s="50"/>
      <c r="HW13" s="51"/>
      <c r="HX13" s="57">
        <f t="shared" si="53"/>
        <v>0</v>
      </c>
      <c r="HY13" s="47"/>
      <c r="HZ13" s="50"/>
      <c r="IA13" s="51"/>
      <c r="IB13" s="57">
        <f t="shared" si="54"/>
        <v>0</v>
      </c>
      <c r="IC13" s="47"/>
      <c r="ID13" s="50"/>
      <c r="IE13" s="51"/>
      <c r="IF13" s="57">
        <f t="shared" si="55"/>
        <v>0</v>
      </c>
      <c r="IG13" s="47"/>
      <c r="IH13" s="50"/>
      <c r="II13" s="51"/>
      <c r="IJ13" s="57">
        <f t="shared" si="56"/>
        <v>0</v>
      </c>
      <c r="IK13" s="47"/>
      <c r="IL13" s="50"/>
      <c r="IM13" s="51"/>
      <c r="IN13" s="57">
        <f t="shared" si="57"/>
        <v>0</v>
      </c>
      <c r="IO13" s="47"/>
      <c r="IP13" s="50"/>
      <c r="IQ13" s="51"/>
      <c r="IR13" s="57">
        <f t="shared" si="58"/>
        <v>0</v>
      </c>
      <c r="IS13" s="47"/>
      <c r="IT13" s="50"/>
      <c r="IU13" s="51"/>
      <c r="IV13" s="57">
        <f t="shared" si="59"/>
        <v>0</v>
      </c>
      <c r="IW13" s="47"/>
      <c r="IX13" s="50"/>
      <c r="IY13" s="51"/>
      <c r="IZ13" s="57">
        <f t="shared" si="60"/>
        <v>0</v>
      </c>
      <c r="JA13" s="47"/>
      <c r="JB13" s="36" t="e">
        <f t="shared" si="61"/>
        <v>#VALUE!</v>
      </c>
      <c r="JC13" s="36" t="e">
        <f t="shared" si="62"/>
        <v>#VALUE!</v>
      </c>
      <c r="JD13" s="36" t="e">
        <f t="shared" si="63"/>
        <v>#VALUE!</v>
      </c>
      <c r="JE13" s="36" t="e">
        <f>IF($F$4="F",0,+S13)+IF($V$4="F",0,+AJ13)+IF($AL$4="F",0,+AZ13)+IF($BB$4="F",0,+BP13)+IF($BR$4="F",0,+CF13)+IF($CH$4="F",0,+CV13)+IF($CX$4="F",0,+DL13)+IF($DN$4="F",0,+EB13)+IF($ED$4="F",0,+ER13)+IF($ET$4="F",0,FH13)+IF($FJ$4="F",0,+FX13)+IF($FZ$4="F",0,GN13)+IF($GP$4="F",0,+HD13)+IF($HF$4="F",0,+HT13)+IF($HV$4="F",0,+IJ13)+IF($IL$4="F",0,+IZ13)</f>
        <v>#VALUE!</v>
      </c>
      <c r="JF13" s="36"/>
      <c r="JP13" s="36"/>
    </row>
    <row r="14" spans="2:276" ht="30" customHeight="1" x14ac:dyDescent="0.3">
      <c r="B14" s="23">
        <v>5</v>
      </c>
      <c r="C14" s="77" t="e">
        <f>VLOOKUP(#REF!,EMPLEADO!C:Q,15,FALSE)</f>
        <v>#REF!</v>
      </c>
      <c r="D14" s="6" t="s">
        <v>38</v>
      </c>
      <c r="E14" s="38" t="s">
        <v>17</v>
      </c>
      <c r="F14" s="50"/>
      <c r="G14" s="51"/>
      <c r="H14" s="57">
        <f t="shared" si="64"/>
        <v>0</v>
      </c>
      <c r="I14" s="47"/>
      <c r="J14" s="50"/>
      <c r="K14" s="51"/>
      <c r="L14" s="57">
        <f t="shared" si="0"/>
        <v>0</v>
      </c>
      <c r="M14" s="47"/>
      <c r="N14" s="52"/>
      <c r="O14" s="53"/>
      <c r="P14" s="57">
        <f t="shared" si="1"/>
        <v>0</v>
      </c>
      <c r="Q14" s="47"/>
      <c r="R14" s="53"/>
      <c r="S14" s="53"/>
      <c r="T14" s="57">
        <f t="shared" si="65"/>
        <v>0</v>
      </c>
      <c r="U14" s="47"/>
      <c r="V14" s="50"/>
      <c r="W14" s="51"/>
      <c r="X14" s="57">
        <f t="shared" si="2"/>
        <v>0</v>
      </c>
      <c r="Y14" s="47"/>
      <c r="Z14" s="50"/>
      <c r="AA14" s="51"/>
      <c r="AB14" s="57">
        <f t="shared" si="3"/>
        <v>0</v>
      </c>
      <c r="AC14" s="47"/>
      <c r="AD14" s="50"/>
      <c r="AE14" s="51"/>
      <c r="AF14" s="57">
        <f t="shared" si="4"/>
        <v>0</v>
      </c>
      <c r="AG14" s="47"/>
      <c r="AH14" s="53"/>
      <c r="AI14" s="53"/>
      <c r="AJ14" s="75">
        <f t="shared" si="66"/>
        <v>0</v>
      </c>
      <c r="AK14" s="47"/>
      <c r="AL14" s="50"/>
      <c r="AM14" s="51"/>
      <c r="AN14" s="57">
        <f t="shared" si="5"/>
        <v>0</v>
      </c>
      <c r="AO14" s="47"/>
      <c r="AP14" s="50"/>
      <c r="AQ14" s="51"/>
      <c r="AR14" s="57">
        <f t="shared" si="6"/>
        <v>0</v>
      </c>
      <c r="AS14" s="47"/>
      <c r="AT14" s="50"/>
      <c r="AU14" s="51"/>
      <c r="AV14" s="57">
        <f t="shared" si="7"/>
        <v>0</v>
      </c>
      <c r="AW14" s="47"/>
      <c r="AX14" s="50"/>
      <c r="AY14" s="51"/>
      <c r="AZ14" s="57">
        <f t="shared" si="8"/>
        <v>0</v>
      </c>
      <c r="BA14" s="47"/>
      <c r="BB14" s="50"/>
      <c r="BC14" s="51"/>
      <c r="BD14" s="57">
        <f t="shared" si="9"/>
        <v>0</v>
      </c>
      <c r="BE14" s="47"/>
      <c r="BF14" s="50"/>
      <c r="BG14" s="51"/>
      <c r="BH14" s="57">
        <f t="shared" si="10"/>
        <v>0</v>
      </c>
      <c r="BI14" s="47"/>
      <c r="BJ14" s="50"/>
      <c r="BK14" s="51"/>
      <c r="BL14" s="57">
        <f t="shared" si="11"/>
        <v>0</v>
      </c>
      <c r="BM14" s="47"/>
      <c r="BN14" s="50"/>
      <c r="BO14" s="51"/>
      <c r="BP14" s="57">
        <f t="shared" si="12"/>
        <v>0</v>
      </c>
      <c r="BQ14" s="47"/>
      <c r="BR14" s="50"/>
      <c r="BS14" s="51"/>
      <c r="BT14" s="57">
        <f t="shared" si="13"/>
        <v>0</v>
      </c>
      <c r="BU14" s="47"/>
      <c r="BV14" s="50"/>
      <c r="BW14" s="51"/>
      <c r="BX14" s="57">
        <f t="shared" si="14"/>
        <v>0</v>
      </c>
      <c r="BY14" s="47"/>
      <c r="BZ14" s="50"/>
      <c r="CA14" s="51"/>
      <c r="CB14" s="57">
        <f t="shared" si="15"/>
        <v>0</v>
      </c>
      <c r="CC14" s="47"/>
      <c r="CD14" s="50"/>
      <c r="CE14" s="51"/>
      <c r="CF14" s="57">
        <f t="shared" si="16"/>
        <v>0</v>
      </c>
      <c r="CG14" s="47"/>
      <c r="CH14" s="50"/>
      <c r="CI14" s="51"/>
      <c r="CJ14" s="57">
        <f t="shared" si="17"/>
        <v>0</v>
      </c>
      <c r="CK14" s="47"/>
      <c r="CL14" s="50"/>
      <c r="CM14" s="51"/>
      <c r="CN14" s="57">
        <f t="shared" si="18"/>
        <v>0</v>
      </c>
      <c r="CO14" s="47"/>
      <c r="CP14" s="50"/>
      <c r="CQ14" s="51"/>
      <c r="CR14" s="57">
        <f t="shared" si="19"/>
        <v>0</v>
      </c>
      <c r="CS14" s="47"/>
      <c r="CT14" s="50"/>
      <c r="CU14" s="51"/>
      <c r="CV14" s="57">
        <f t="shared" si="20"/>
        <v>0</v>
      </c>
      <c r="CW14" s="47"/>
      <c r="CX14" s="50"/>
      <c r="CY14" s="51"/>
      <c r="CZ14" s="57">
        <f t="shared" si="21"/>
        <v>0</v>
      </c>
      <c r="DA14" s="47"/>
      <c r="DB14" s="50"/>
      <c r="DC14" s="51"/>
      <c r="DD14" s="57">
        <f t="shared" si="22"/>
        <v>0</v>
      </c>
      <c r="DE14" s="47"/>
      <c r="DF14" s="50"/>
      <c r="DG14" s="51"/>
      <c r="DH14" s="57">
        <f t="shared" si="23"/>
        <v>0</v>
      </c>
      <c r="DI14" s="47"/>
      <c r="DJ14" s="50"/>
      <c r="DK14" s="51"/>
      <c r="DL14" s="57">
        <f t="shared" si="24"/>
        <v>0</v>
      </c>
      <c r="DM14" s="47"/>
      <c r="DN14" s="50"/>
      <c r="DO14" s="51"/>
      <c r="DP14" s="57">
        <f t="shared" si="25"/>
        <v>0</v>
      </c>
      <c r="DQ14" s="47"/>
      <c r="DR14" s="50"/>
      <c r="DS14" s="51"/>
      <c r="DT14" s="57">
        <f t="shared" si="26"/>
        <v>0</v>
      </c>
      <c r="DU14" s="47"/>
      <c r="DV14" s="50"/>
      <c r="DW14" s="51"/>
      <c r="DX14" s="57">
        <f t="shared" si="27"/>
        <v>0</v>
      </c>
      <c r="DY14" s="47"/>
      <c r="DZ14" s="50"/>
      <c r="EA14" s="51"/>
      <c r="EB14" s="57">
        <f t="shared" si="28"/>
        <v>0</v>
      </c>
      <c r="EC14" s="47"/>
      <c r="ED14" s="50"/>
      <c r="EE14" s="51"/>
      <c r="EF14" s="57">
        <f t="shared" si="29"/>
        <v>0</v>
      </c>
      <c r="EG14" s="47"/>
      <c r="EH14" s="50"/>
      <c r="EI14" s="51"/>
      <c r="EJ14" s="57">
        <f t="shared" si="30"/>
        <v>0</v>
      </c>
      <c r="EK14" s="47"/>
      <c r="EL14" s="50"/>
      <c r="EM14" s="51"/>
      <c r="EN14" s="57">
        <f t="shared" si="31"/>
        <v>0</v>
      </c>
      <c r="EO14" s="47"/>
      <c r="EP14" s="50"/>
      <c r="EQ14" s="51"/>
      <c r="ER14" s="57">
        <f t="shared" si="32"/>
        <v>0</v>
      </c>
      <c r="ES14" s="47"/>
      <c r="ET14" s="50"/>
      <c r="EU14" s="51"/>
      <c r="EV14" s="57">
        <f t="shared" si="33"/>
        <v>0</v>
      </c>
      <c r="EW14" s="47"/>
      <c r="EX14" s="50"/>
      <c r="EY14" s="51"/>
      <c r="EZ14" s="57">
        <f t="shared" si="34"/>
        <v>0</v>
      </c>
      <c r="FA14" s="47"/>
      <c r="FB14" s="50"/>
      <c r="FC14" s="51"/>
      <c r="FD14" s="57">
        <f t="shared" si="35"/>
        <v>0</v>
      </c>
      <c r="FE14" s="47"/>
      <c r="FF14" s="50"/>
      <c r="FG14" s="51"/>
      <c r="FH14" s="57">
        <f t="shared" si="36"/>
        <v>0</v>
      </c>
      <c r="FI14" s="47"/>
      <c r="FJ14" s="50"/>
      <c r="FK14" s="51"/>
      <c r="FL14" s="57">
        <f t="shared" si="37"/>
        <v>0</v>
      </c>
      <c r="FM14" s="47"/>
      <c r="FN14" s="50"/>
      <c r="FO14" s="51"/>
      <c r="FP14" s="57">
        <f t="shared" si="38"/>
        <v>0</v>
      </c>
      <c r="FQ14" s="47"/>
      <c r="FR14" s="50"/>
      <c r="FS14" s="51"/>
      <c r="FT14" s="57">
        <f t="shared" si="39"/>
        <v>0</v>
      </c>
      <c r="FU14" s="47"/>
      <c r="FV14" s="50"/>
      <c r="FW14" s="51"/>
      <c r="FX14" s="57">
        <f t="shared" si="40"/>
        <v>0</v>
      </c>
      <c r="FY14" s="47"/>
      <c r="FZ14" s="50"/>
      <c r="GA14" s="51"/>
      <c r="GB14" s="57">
        <f t="shared" si="41"/>
        <v>0</v>
      </c>
      <c r="GC14" s="47"/>
      <c r="GD14" s="50"/>
      <c r="GE14" s="51"/>
      <c r="GF14" s="57">
        <f t="shared" si="42"/>
        <v>0</v>
      </c>
      <c r="GG14" s="47"/>
      <c r="GH14" s="50"/>
      <c r="GI14" s="51"/>
      <c r="GJ14" s="57">
        <f t="shared" si="43"/>
        <v>0</v>
      </c>
      <c r="GK14" s="47"/>
      <c r="GL14" s="50"/>
      <c r="GM14" s="51"/>
      <c r="GN14" s="57">
        <f t="shared" si="44"/>
        <v>0</v>
      </c>
      <c r="GO14" s="47"/>
      <c r="GP14" s="50"/>
      <c r="GQ14" s="51"/>
      <c r="GR14" s="57">
        <f t="shared" si="45"/>
        <v>0</v>
      </c>
      <c r="GS14" s="47"/>
      <c r="GT14" s="50"/>
      <c r="GU14" s="51"/>
      <c r="GV14" s="57">
        <f t="shared" si="46"/>
        <v>0</v>
      </c>
      <c r="GW14" s="47"/>
      <c r="GX14" s="50"/>
      <c r="GY14" s="51"/>
      <c r="GZ14" s="57">
        <f t="shared" si="47"/>
        <v>0</v>
      </c>
      <c r="HA14" s="47"/>
      <c r="HB14" s="50"/>
      <c r="HC14" s="51"/>
      <c r="HD14" s="57">
        <f t="shared" si="48"/>
        <v>0</v>
      </c>
      <c r="HE14" s="47"/>
      <c r="HF14" s="50"/>
      <c r="HG14" s="51"/>
      <c r="HH14" s="57">
        <f t="shared" si="49"/>
        <v>0</v>
      </c>
      <c r="HI14" s="47"/>
      <c r="HJ14" s="50"/>
      <c r="HK14" s="51"/>
      <c r="HL14" s="57">
        <f t="shared" si="50"/>
        <v>0</v>
      </c>
      <c r="HM14" s="47"/>
      <c r="HN14" s="50"/>
      <c r="HO14" s="51"/>
      <c r="HP14" s="57">
        <f t="shared" si="51"/>
        <v>0</v>
      </c>
      <c r="HQ14" s="47"/>
      <c r="HR14" s="50"/>
      <c r="HS14" s="51"/>
      <c r="HT14" s="57">
        <f t="shared" si="52"/>
        <v>0</v>
      </c>
      <c r="HU14" s="47"/>
      <c r="HV14" s="50"/>
      <c r="HW14" s="51"/>
      <c r="HX14" s="57">
        <f t="shared" si="53"/>
        <v>0</v>
      </c>
      <c r="HY14" s="47"/>
      <c r="HZ14" s="50"/>
      <c r="IA14" s="51"/>
      <c r="IB14" s="57">
        <f t="shared" si="54"/>
        <v>0</v>
      </c>
      <c r="IC14" s="47"/>
      <c r="ID14" s="50"/>
      <c r="IE14" s="51"/>
      <c r="IF14" s="57">
        <f t="shared" si="55"/>
        <v>0</v>
      </c>
      <c r="IG14" s="47"/>
      <c r="IH14" s="50"/>
      <c r="II14" s="51"/>
      <c r="IJ14" s="57">
        <f t="shared" si="56"/>
        <v>0</v>
      </c>
      <c r="IK14" s="47"/>
      <c r="IL14" s="50"/>
      <c r="IM14" s="51"/>
      <c r="IN14" s="57">
        <f t="shared" si="57"/>
        <v>0</v>
      </c>
      <c r="IO14" s="47"/>
      <c r="IP14" s="50"/>
      <c r="IQ14" s="51"/>
      <c r="IR14" s="57">
        <f t="shared" si="58"/>
        <v>0</v>
      </c>
      <c r="IS14" s="47"/>
      <c r="IT14" s="50"/>
      <c r="IU14" s="51"/>
      <c r="IV14" s="57">
        <f t="shared" si="59"/>
        <v>0</v>
      </c>
      <c r="IW14" s="47"/>
      <c r="IX14" s="50"/>
      <c r="IY14" s="51"/>
      <c r="IZ14" s="57">
        <f t="shared" si="60"/>
        <v>0</v>
      </c>
      <c r="JA14" s="47"/>
      <c r="JB14" s="36" t="e">
        <f t="shared" si="61"/>
        <v>#VALUE!</v>
      </c>
      <c r="JC14" s="36" t="e">
        <f t="shared" si="62"/>
        <v>#VALUE!</v>
      </c>
      <c r="JD14" s="36" t="e">
        <f t="shared" si="63"/>
        <v>#VALUE!</v>
      </c>
      <c r="JE14" s="36" t="e">
        <f>IF($F$4="F",0,+S14)+IF($V$4="F",0,+AJ14)+IF($AL$4="F",0,+AZ14)+IF($BB$4="F",0,+BP14)+IF($BR$4="F",0,+CF14)+IF($CH$4="F",0,+CV14)+IF($CX$4="F",0,+DL14)+IF($DN$4="F",0,+EB14)+IF($ED$4="F",0,+ER14)+IF($ET$4="F",0,FH14)+IF($FJ$4="F",0,+FX14)+IF($FZ$4="F",0,GN14)+IF($GP$4="F",0,+HD14)+IF($HF$4="F",0,+HT14)+IF($HV$4="F",0,+IJ14)+IF($IL$4="F",0,+IZ14)</f>
        <v>#VALUE!</v>
      </c>
      <c r="JF14" s="36"/>
      <c r="JP14" s="36"/>
    </row>
    <row r="15" spans="2:276" ht="30" customHeight="1" x14ac:dyDescent="0.3">
      <c r="B15" s="23">
        <v>6</v>
      </c>
      <c r="C15" s="77" t="e">
        <f>VLOOKUP(#REF!,EMPLEADO!C:Q,15,FALSE)</f>
        <v>#REF!</v>
      </c>
      <c r="D15" s="6" t="s">
        <v>39</v>
      </c>
      <c r="E15" s="38" t="s">
        <v>17</v>
      </c>
      <c r="F15" s="52"/>
      <c r="G15" s="53"/>
      <c r="H15" s="57">
        <f t="shared" si="64"/>
        <v>0</v>
      </c>
      <c r="I15" s="47"/>
      <c r="J15" s="50"/>
      <c r="K15" s="51"/>
      <c r="L15" s="57">
        <f t="shared" si="0"/>
        <v>0</v>
      </c>
      <c r="M15" s="47"/>
      <c r="N15" s="52"/>
      <c r="O15" s="53"/>
      <c r="P15" s="57">
        <f t="shared" si="1"/>
        <v>0</v>
      </c>
      <c r="Q15" s="47"/>
      <c r="R15" s="53"/>
      <c r="S15" s="53"/>
      <c r="T15" s="57">
        <f t="shared" si="65"/>
        <v>0</v>
      </c>
      <c r="U15" s="47"/>
      <c r="V15" s="50"/>
      <c r="W15" s="51"/>
      <c r="X15" s="57">
        <f t="shared" si="2"/>
        <v>0</v>
      </c>
      <c r="Y15" s="47"/>
      <c r="Z15" s="50"/>
      <c r="AA15" s="51"/>
      <c r="AB15" s="57">
        <f t="shared" si="3"/>
        <v>0</v>
      </c>
      <c r="AC15" s="47"/>
      <c r="AD15" s="50"/>
      <c r="AE15" s="51"/>
      <c r="AF15" s="57">
        <f t="shared" si="4"/>
        <v>0</v>
      </c>
      <c r="AG15" s="47"/>
      <c r="AH15" s="53"/>
      <c r="AI15" s="53"/>
      <c r="AJ15" s="75">
        <f t="shared" si="66"/>
        <v>0</v>
      </c>
      <c r="AK15" s="47"/>
      <c r="AL15" s="50"/>
      <c r="AM15" s="51"/>
      <c r="AN15" s="57">
        <f t="shared" si="5"/>
        <v>0</v>
      </c>
      <c r="AO15" s="47"/>
      <c r="AP15" s="50"/>
      <c r="AQ15" s="51"/>
      <c r="AR15" s="57">
        <f t="shared" si="6"/>
        <v>0</v>
      </c>
      <c r="AS15" s="47"/>
      <c r="AT15" s="50"/>
      <c r="AU15" s="51"/>
      <c r="AV15" s="57">
        <f t="shared" si="7"/>
        <v>0</v>
      </c>
      <c r="AW15" s="47"/>
      <c r="AX15" s="50"/>
      <c r="AY15" s="51"/>
      <c r="AZ15" s="57">
        <f t="shared" si="8"/>
        <v>0</v>
      </c>
      <c r="BA15" s="47"/>
      <c r="BB15" s="50"/>
      <c r="BC15" s="51"/>
      <c r="BD15" s="57">
        <f t="shared" si="9"/>
        <v>0</v>
      </c>
      <c r="BE15" s="47"/>
      <c r="BF15" s="50"/>
      <c r="BG15" s="51"/>
      <c r="BH15" s="57">
        <f t="shared" si="10"/>
        <v>0</v>
      </c>
      <c r="BI15" s="47"/>
      <c r="BJ15" s="50"/>
      <c r="BK15" s="51"/>
      <c r="BL15" s="57">
        <f t="shared" si="11"/>
        <v>0</v>
      </c>
      <c r="BM15" s="47"/>
      <c r="BN15" s="50"/>
      <c r="BO15" s="51"/>
      <c r="BP15" s="57">
        <f t="shared" si="12"/>
        <v>0</v>
      </c>
      <c r="BQ15" s="47"/>
      <c r="BR15" s="50"/>
      <c r="BS15" s="51"/>
      <c r="BT15" s="57">
        <f t="shared" si="13"/>
        <v>0</v>
      </c>
      <c r="BU15" s="47"/>
      <c r="BV15" s="50"/>
      <c r="BW15" s="51"/>
      <c r="BX15" s="57">
        <f t="shared" si="14"/>
        <v>0</v>
      </c>
      <c r="BY15" s="47"/>
      <c r="BZ15" s="50"/>
      <c r="CA15" s="51"/>
      <c r="CB15" s="57">
        <f t="shared" si="15"/>
        <v>0</v>
      </c>
      <c r="CC15" s="47"/>
      <c r="CD15" s="50"/>
      <c r="CE15" s="51"/>
      <c r="CF15" s="57">
        <f t="shared" si="16"/>
        <v>0</v>
      </c>
      <c r="CG15" s="47"/>
      <c r="CH15" s="50"/>
      <c r="CI15" s="51"/>
      <c r="CJ15" s="57">
        <f t="shared" si="17"/>
        <v>0</v>
      </c>
      <c r="CK15" s="47"/>
      <c r="CL15" s="50"/>
      <c r="CM15" s="51"/>
      <c r="CN15" s="57">
        <f t="shared" si="18"/>
        <v>0</v>
      </c>
      <c r="CO15" s="47"/>
      <c r="CP15" s="50"/>
      <c r="CQ15" s="51"/>
      <c r="CR15" s="57">
        <f t="shared" si="19"/>
        <v>0</v>
      </c>
      <c r="CS15" s="47"/>
      <c r="CT15" s="50"/>
      <c r="CU15" s="51"/>
      <c r="CV15" s="57">
        <f t="shared" si="20"/>
        <v>0</v>
      </c>
      <c r="CW15" s="47"/>
      <c r="CX15" s="50"/>
      <c r="CY15" s="51"/>
      <c r="CZ15" s="57">
        <f t="shared" si="21"/>
        <v>0</v>
      </c>
      <c r="DA15" s="47"/>
      <c r="DB15" s="50"/>
      <c r="DC15" s="51"/>
      <c r="DD15" s="57">
        <f t="shared" si="22"/>
        <v>0</v>
      </c>
      <c r="DE15" s="47"/>
      <c r="DF15" s="50"/>
      <c r="DG15" s="51"/>
      <c r="DH15" s="57">
        <f t="shared" si="23"/>
        <v>0</v>
      </c>
      <c r="DI15" s="47"/>
      <c r="DJ15" s="50"/>
      <c r="DK15" s="51"/>
      <c r="DL15" s="57">
        <f t="shared" si="24"/>
        <v>0</v>
      </c>
      <c r="DM15" s="47"/>
      <c r="DN15" s="50"/>
      <c r="DO15" s="51"/>
      <c r="DP15" s="57">
        <f t="shared" si="25"/>
        <v>0</v>
      </c>
      <c r="DQ15" s="47"/>
      <c r="DR15" s="50"/>
      <c r="DS15" s="51"/>
      <c r="DT15" s="57">
        <f t="shared" si="26"/>
        <v>0</v>
      </c>
      <c r="DU15" s="47"/>
      <c r="DV15" s="50"/>
      <c r="DW15" s="51"/>
      <c r="DX15" s="57">
        <f t="shared" si="27"/>
        <v>0</v>
      </c>
      <c r="DY15" s="47"/>
      <c r="DZ15" s="50"/>
      <c r="EA15" s="51"/>
      <c r="EB15" s="57">
        <f t="shared" si="28"/>
        <v>0</v>
      </c>
      <c r="EC15" s="47"/>
      <c r="ED15" s="50"/>
      <c r="EE15" s="51"/>
      <c r="EF15" s="57">
        <f t="shared" si="29"/>
        <v>0</v>
      </c>
      <c r="EG15" s="47"/>
      <c r="EH15" s="50"/>
      <c r="EI15" s="51"/>
      <c r="EJ15" s="57">
        <f t="shared" si="30"/>
        <v>0</v>
      </c>
      <c r="EK15" s="47"/>
      <c r="EL15" s="50"/>
      <c r="EM15" s="51"/>
      <c r="EN15" s="57">
        <f t="shared" si="31"/>
        <v>0</v>
      </c>
      <c r="EO15" s="47"/>
      <c r="EP15" s="50"/>
      <c r="EQ15" s="51"/>
      <c r="ER15" s="57">
        <f t="shared" si="32"/>
        <v>0</v>
      </c>
      <c r="ES15" s="47"/>
      <c r="ET15" s="50"/>
      <c r="EU15" s="51"/>
      <c r="EV15" s="57">
        <f t="shared" si="33"/>
        <v>0</v>
      </c>
      <c r="EW15" s="47"/>
      <c r="EX15" s="50"/>
      <c r="EY15" s="51"/>
      <c r="EZ15" s="57">
        <f t="shared" si="34"/>
        <v>0</v>
      </c>
      <c r="FA15" s="47"/>
      <c r="FB15" s="50"/>
      <c r="FC15" s="51"/>
      <c r="FD15" s="57">
        <f t="shared" si="35"/>
        <v>0</v>
      </c>
      <c r="FE15" s="47"/>
      <c r="FF15" s="50"/>
      <c r="FG15" s="51"/>
      <c r="FH15" s="57">
        <f t="shared" si="36"/>
        <v>0</v>
      </c>
      <c r="FI15" s="47"/>
      <c r="FJ15" s="50"/>
      <c r="FK15" s="51"/>
      <c r="FL15" s="57">
        <f t="shared" si="37"/>
        <v>0</v>
      </c>
      <c r="FM15" s="47"/>
      <c r="FN15" s="50"/>
      <c r="FO15" s="51"/>
      <c r="FP15" s="57">
        <f t="shared" si="38"/>
        <v>0</v>
      </c>
      <c r="FQ15" s="47"/>
      <c r="FR15" s="50"/>
      <c r="FS15" s="51"/>
      <c r="FT15" s="57">
        <f t="shared" si="39"/>
        <v>0</v>
      </c>
      <c r="FU15" s="47"/>
      <c r="FV15" s="50"/>
      <c r="FW15" s="51"/>
      <c r="FX15" s="57">
        <f t="shared" si="40"/>
        <v>0</v>
      </c>
      <c r="FY15" s="47"/>
      <c r="FZ15" s="50"/>
      <c r="GA15" s="51"/>
      <c r="GB15" s="57">
        <f t="shared" si="41"/>
        <v>0</v>
      </c>
      <c r="GC15" s="47"/>
      <c r="GD15" s="50"/>
      <c r="GE15" s="51"/>
      <c r="GF15" s="57">
        <f t="shared" si="42"/>
        <v>0</v>
      </c>
      <c r="GG15" s="47"/>
      <c r="GH15" s="50"/>
      <c r="GI15" s="51"/>
      <c r="GJ15" s="57">
        <f t="shared" si="43"/>
        <v>0</v>
      </c>
      <c r="GK15" s="47"/>
      <c r="GL15" s="50"/>
      <c r="GM15" s="51"/>
      <c r="GN15" s="57">
        <f t="shared" si="44"/>
        <v>0</v>
      </c>
      <c r="GO15" s="47"/>
      <c r="GP15" s="50"/>
      <c r="GQ15" s="51"/>
      <c r="GR15" s="57">
        <f t="shared" si="45"/>
        <v>0</v>
      </c>
      <c r="GS15" s="47"/>
      <c r="GT15" s="50"/>
      <c r="GU15" s="51"/>
      <c r="GV15" s="57">
        <f t="shared" si="46"/>
        <v>0</v>
      </c>
      <c r="GW15" s="47"/>
      <c r="GX15" s="50"/>
      <c r="GY15" s="51"/>
      <c r="GZ15" s="57">
        <f t="shared" si="47"/>
        <v>0</v>
      </c>
      <c r="HA15" s="47"/>
      <c r="HB15" s="50"/>
      <c r="HC15" s="51"/>
      <c r="HD15" s="57">
        <f t="shared" si="48"/>
        <v>0</v>
      </c>
      <c r="HE15" s="47"/>
      <c r="HF15" s="50"/>
      <c r="HG15" s="51"/>
      <c r="HH15" s="57">
        <f t="shared" si="49"/>
        <v>0</v>
      </c>
      <c r="HI15" s="47"/>
      <c r="HJ15" s="50"/>
      <c r="HK15" s="51"/>
      <c r="HL15" s="57">
        <f t="shared" si="50"/>
        <v>0</v>
      </c>
      <c r="HM15" s="47"/>
      <c r="HN15" s="50"/>
      <c r="HO15" s="51"/>
      <c r="HP15" s="57">
        <f t="shared" si="51"/>
        <v>0</v>
      </c>
      <c r="HQ15" s="47"/>
      <c r="HR15" s="50"/>
      <c r="HS15" s="51"/>
      <c r="HT15" s="57">
        <f t="shared" si="52"/>
        <v>0</v>
      </c>
      <c r="HU15" s="47"/>
      <c r="HV15" s="50"/>
      <c r="HW15" s="51"/>
      <c r="HX15" s="57">
        <f t="shared" si="53"/>
        <v>0</v>
      </c>
      <c r="HY15" s="47"/>
      <c r="HZ15" s="50"/>
      <c r="IA15" s="51"/>
      <c r="IB15" s="57">
        <f t="shared" si="54"/>
        <v>0</v>
      </c>
      <c r="IC15" s="47"/>
      <c r="ID15" s="50"/>
      <c r="IE15" s="51"/>
      <c r="IF15" s="57">
        <f t="shared" si="55"/>
        <v>0</v>
      </c>
      <c r="IG15" s="47"/>
      <c r="IH15" s="50"/>
      <c r="II15" s="51"/>
      <c r="IJ15" s="57">
        <f t="shared" si="56"/>
        <v>0</v>
      </c>
      <c r="IK15" s="47"/>
      <c r="IL15" s="50"/>
      <c r="IM15" s="51"/>
      <c r="IN15" s="57">
        <f t="shared" si="57"/>
        <v>0</v>
      </c>
      <c r="IO15" s="47"/>
      <c r="IP15" s="50"/>
      <c r="IQ15" s="51"/>
      <c r="IR15" s="57">
        <f t="shared" si="58"/>
        <v>0</v>
      </c>
      <c r="IS15" s="47"/>
      <c r="IT15" s="50"/>
      <c r="IU15" s="51"/>
      <c r="IV15" s="57">
        <f t="shared" si="59"/>
        <v>0</v>
      </c>
      <c r="IW15" s="47"/>
      <c r="IX15" s="50"/>
      <c r="IY15" s="51"/>
      <c r="IZ15" s="57">
        <f t="shared" si="60"/>
        <v>0</v>
      </c>
      <c r="JA15" s="47"/>
      <c r="JB15" s="36" t="e">
        <f t="shared" si="61"/>
        <v>#VALUE!</v>
      </c>
      <c r="JC15" s="36" t="e">
        <f t="shared" si="62"/>
        <v>#VALUE!</v>
      </c>
      <c r="JD15" s="36" t="e">
        <f t="shared" si="63"/>
        <v>#VALUE!</v>
      </c>
      <c r="JE15" s="36" t="e">
        <f>IF($F$4="F",0,+T15)+IF($V$4="F",0,+AJ15)+IF($AL$4="F",0,+AZ15)+IF($BB$4="F",0,+BP15)+IF($BR$4="F",0,+CF15)+IF($CH$4="F",0,+CV15)+IF($CX$4="F",0,+DL15)+IF($DN$4="F",0,+EB15)+IF($ED$4="F",0,+ER15)+IF($ET$4="F",0,FH15)+IF($FJ$4="F",0,+FX15)+IF($FZ$4="F",0,GN15)+IF($GP$4="F",0,+HD15)+IF($HF$4="F",0,+HT15)+IF($HV$4="F",0,+IJ15)+IF($IL$4="F",0,+IZ15)</f>
        <v>#VALUE!</v>
      </c>
      <c r="JF15" s="36"/>
      <c r="JP15" s="36"/>
    </row>
    <row r="16" spans="2:276" ht="30" customHeight="1" x14ac:dyDescent="0.3">
      <c r="B16" s="23">
        <v>7</v>
      </c>
      <c r="C16" s="77" t="e">
        <f>VLOOKUP(#REF!,EMPLEADO!C:Q,15,FALSE)</f>
        <v>#REF!</v>
      </c>
      <c r="D16" s="6" t="s">
        <v>40</v>
      </c>
      <c r="E16" s="38" t="s">
        <v>17</v>
      </c>
      <c r="F16" s="50"/>
      <c r="G16" s="51"/>
      <c r="H16" s="57">
        <f t="shared" si="64"/>
        <v>0</v>
      </c>
      <c r="I16" s="47"/>
      <c r="J16" s="50"/>
      <c r="K16" s="51"/>
      <c r="L16" s="57">
        <f t="shared" si="0"/>
        <v>0</v>
      </c>
      <c r="M16" s="47"/>
      <c r="N16" s="52"/>
      <c r="O16" s="53"/>
      <c r="P16" s="57">
        <f t="shared" si="1"/>
        <v>0</v>
      </c>
      <c r="Q16" s="47"/>
      <c r="R16" s="53"/>
      <c r="S16" s="53"/>
      <c r="T16" s="57">
        <f t="shared" si="65"/>
        <v>0</v>
      </c>
      <c r="U16" s="47"/>
      <c r="V16" s="50"/>
      <c r="W16" s="51"/>
      <c r="X16" s="57">
        <f t="shared" si="2"/>
        <v>0</v>
      </c>
      <c r="Y16" s="47"/>
      <c r="Z16" s="50"/>
      <c r="AA16" s="51"/>
      <c r="AB16" s="57">
        <f t="shared" si="3"/>
        <v>0</v>
      </c>
      <c r="AC16" s="47"/>
      <c r="AD16" s="50"/>
      <c r="AE16" s="51"/>
      <c r="AF16" s="57">
        <f t="shared" si="4"/>
        <v>0</v>
      </c>
      <c r="AG16" s="47"/>
      <c r="AH16" s="53"/>
      <c r="AI16" s="53"/>
      <c r="AJ16" s="75">
        <f t="shared" si="66"/>
        <v>0</v>
      </c>
      <c r="AK16" s="47"/>
      <c r="AL16" s="50"/>
      <c r="AM16" s="51"/>
      <c r="AN16" s="57">
        <f t="shared" si="5"/>
        <v>0</v>
      </c>
      <c r="AO16" s="47"/>
      <c r="AP16" s="50"/>
      <c r="AQ16" s="51"/>
      <c r="AR16" s="57">
        <f t="shared" si="6"/>
        <v>0</v>
      </c>
      <c r="AS16" s="47"/>
      <c r="AT16" s="50"/>
      <c r="AU16" s="51"/>
      <c r="AV16" s="57">
        <f t="shared" si="7"/>
        <v>0</v>
      </c>
      <c r="AW16" s="47"/>
      <c r="AX16" s="50"/>
      <c r="AY16" s="51"/>
      <c r="AZ16" s="57">
        <f t="shared" si="8"/>
        <v>0</v>
      </c>
      <c r="BA16" s="47"/>
      <c r="BB16" s="50"/>
      <c r="BC16" s="51"/>
      <c r="BD16" s="57">
        <f t="shared" si="9"/>
        <v>0</v>
      </c>
      <c r="BE16" s="47"/>
      <c r="BF16" s="50"/>
      <c r="BG16" s="51"/>
      <c r="BH16" s="57">
        <f t="shared" si="10"/>
        <v>0</v>
      </c>
      <c r="BI16" s="47"/>
      <c r="BJ16" s="50"/>
      <c r="BK16" s="51"/>
      <c r="BL16" s="57">
        <f t="shared" si="11"/>
        <v>0</v>
      </c>
      <c r="BM16" s="47"/>
      <c r="BN16" s="50"/>
      <c r="BO16" s="51"/>
      <c r="BP16" s="57">
        <f t="shared" si="12"/>
        <v>0</v>
      </c>
      <c r="BQ16" s="47"/>
      <c r="BR16" s="50"/>
      <c r="BS16" s="51"/>
      <c r="BT16" s="57">
        <f t="shared" si="13"/>
        <v>0</v>
      </c>
      <c r="BU16" s="47"/>
      <c r="BV16" s="50"/>
      <c r="BW16" s="51"/>
      <c r="BX16" s="57">
        <f t="shared" si="14"/>
        <v>0</v>
      </c>
      <c r="BY16" s="47"/>
      <c r="BZ16" s="50"/>
      <c r="CA16" s="51"/>
      <c r="CB16" s="57">
        <f t="shared" si="15"/>
        <v>0</v>
      </c>
      <c r="CC16" s="47"/>
      <c r="CD16" s="50"/>
      <c r="CE16" s="51"/>
      <c r="CF16" s="57">
        <f t="shared" si="16"/>
        <v>0</v>
      </c>
      <c r="CG16" s="47"/>
      <c r="CH16" s="50"/>
      <c r="CI16" s="51"/>
      <c r="CJ16" s="57">
        <f t="shared" si="17"/>
        <v>0</v>
      </c>
      <c r="CK16" s="47"/>
      <c r="CL16" s="50"/>
      <c r="CM16" s="51"/>
      <c r="CN16" s="57">
        <f t="shared" si="18"/>
        <v>0</v>
      </c>
      <c r="CO16" s="47"/>
      <c r="CP16" s="50"/>
      <c r="CQ16" s="51"/>
      <c r="CR16" s="57">
        <f t="shared" si="19"/>
        <v>0</v>
      </c>
      <c r="CS16" s="47"/>
      <c r="CT16" s="50"/>
      <c r="CU16" s="51"/>
      <c r="CV16" s="57">
        <f t="shared" si="20"/>
        <v>0</v>
      </c>
      <c r="CW16" s="47"/>
      <c r="CX16" s="50"/>
      <c r="CY16" s="51"/>
      <c r="CZ16" s="57">
        <f t="shared" si="21"/>
        <v>0</v>
      </c>
      <c r="DA16" s="47"/>
      <c r="DB16" s="50"/>
      <c r="DC16" s="51"/>
      <c r="DD16" s="57">
        <f t="shared" si="22"/>
        <v>0</v>
      </c>
      <c r="DE16" s="47"/>
      <c r="DF16" s="50"/>
      <c r="DG16" s="51"/>
      <c r="DH16" s="57">
        <f t="shared" si="23"/>
        <v>0</v>
      </c>
      <c r="DI16" s="47"/>
      <c r="DJ16" s="50"/>
      <c r="DK16" s="51"/>
      <c r="DL16" s="57">
        <f t="shared" si="24"/>
        <v>0</v>
      </c>
      <c r="DM16" s="47"/>
      <c r="DN16" s="50"/>
      <c r="DO16" s="51"/>
      <c r="DP16" s="57">
        <f t="shared" si="25"/>
        <v>0</v>
      </c>
      <c r="DQ16" s="47"/>
      <c r="DR16" s="50"/>
      <c r="DS16" s="51"/>
      <c r="DT16" s="57">
        <f t="shared" si="26"/>
        <v>0</v>
      </c>
      <c r="DU16" s="47"/>
      <c r="DV16" s="50"/>
      <c r="DW16" s="51"/>
      <c r="DX16" s="57">
        <f t="shared" si="27"/>
        <v>0</v>
      </c>
      <c r="DY16" s="47"/>
      <c r="DZ16" s="50"/>
      <c r="EA16" s="51"/>
      <c r="EB16" s="57">
        <f t="shared" si="28"/>
        <v>0</v>
      </c>
      <c r="EC16" s="47"/>
      <c r="ED16" s="50"/>
      <c r="EE16" s="51"/>
      <c r="EF16" s="57">
        <f t="shared" si="29"/>
        <v>0</v>
      </c>
      <c r="EG16" s="47"/>
      <c r="EH16" s="50"/>
      <c r="EI16" s="51"/>
      <c r="EJ16" s="57">
        <f t="shared" si="30"/>
        <v>0</v>
      </c>
      <c r="EK16" s="47"/>
      <c r="EL16" s="50"/>
      <c r="EM16" s="51"/>
      <c r="EN16" s="57">
        <f t="shared" si="31"/>
        <v>0</v>
      </c>
      <c r="EO16" s="47"/>
      <c r="EP16" s="50"/>
      <c r="EQ16" s="51"/>
      <c r="ER16" s="57">
        <f t="shared" si="32"/>
        <v>0</v>
      </c>
      <c r="ES16" s="47"/>
      <c r="ET16" s="50"/>
      <c r="EU16" s="51"/>
      <c r="EV16" s="57">
        <f t="shared" si="33"/>
        <v>0</v>
      </c>
      <c r="EW16" s="47"/>
      <c r="EX16" s="50"/>
      <c r="EY16" s="51"/>
      <c r="EZ16" s="57">
        <f t="shared" si="34"/>
        <v>0</v>
      </c>
      <c r="FA16" s="47"/>
      <c r="FB16" s="50"/>
      <c r="FC16" s="51"/>
      <c r="FD16" s="57">
        <f t="shared" si="35"/>
        <v>0</v>
      </c>
      <c r="FE16" s="47"/>
      <c r="FF16" s="50"/>
      <c r="FG16" s="51"/>
      <c r="FH16" s="57">
        <f t="shared" si="36"/>
        <v>0</v>
      </c>
      <c r="FI16" s="47"/>
      <c r="FJ16" s="50"/>
      <c r="FK16" s="51"/>
      <c r="FL16" s="57">
        <f t="shared" si="37"/>
        <v>0</v>
      </c>
      <c r="FM16" s="47"/>
      <c r="FN16" s="50"/>
      <c r="FO16" s="51"/>
      <c r="FP16" s="57">
        <f t="shared" si="38"/>
        <v>0</v>
      </c>
      <c r="FQ16" s="47"/>
      <c r="FR16" s="50"/>
      <c r="FS16" s="51"/>
      <c r="FT16" s="57">
        <f t="shared" si="39"/>
        <v>0</v>
      </c>
      <c r="FU16" s="47"/>
      <c r="FV16" s="50"/>
      <c r="FW16" s="51"/>
      <c r="FX16" s="57">
        <f t="shared" si="40"/>
        <v>0</v>
      </c>
      <c r="FY16" s="47"/>
      <c r="FZ16" s="50"/>
      <c r="GA16" s="51"/>
      <c r="GB16" s="57">
        <f t="shared" si="41"/>
        <v>0</v>
      </c>
      <c r="GC16" s="47"/>
      <c r="GD16" s="50"/>
      <c r="GE16" s="51"/>
      <c r="GF16" s="57">
        <f t="shared" si="42"/>
        <v>0</v>
      </c>
      <c r="GG16" s="47"/>
      <c r="GH16" s="50"/>
      <c r="GI16" s="51"/>
      <c r="GJ16" s="57">
        <f t="shared" si="43"/>
        <v>0</v>
      </c>
      <c r="GK16" s="47"/>
      <c r="GL16" s="50"/>
      <c r="GM16" s="51"/>
      <c r="GN16" s="57">
        <f t="shared" si="44"/>
        <v>0</v>
      </c>
      <c r="GO16" s="47"/>
      <c r="GP16" s="50"/>
      <c r="GQ16" s="51"/>
      <c r="GR16" s="57">
        <f t="shared" si="45"/>
        <v>0</v>
      </c>
      <c r="GS16" s="47"/>
      <c r="GT16" s="50"/>
      <c r="GU16" s="51"/>
      <c r="GV16" s="57">
        <f t="shared" si="46"/>
        <v>0</v>
      </c>
      <c r="GW16" s="47"/>
      <c r="GX16" s="50"/>
      <c r="GY16" s="51"/>
      <c r="GZ16" s="57">
        <f t="shared" si="47"/>
        <v>0</v>
      </c>
      <c r="HA16" s="47"/>
      <c r="HB16" s="50"/>
      <c r="HC16" s="51"/>
      <c r="HD16" s="57">
        <f t="shared" si="48"/>
        <v>0</v>
      </c>
      <c r="HE16" s="47"/>
      <c r="HF16" s="50"/>
      <c r="HG16" s="51"/>
      <c r="HH16" s="57">
        <f t="shared" si="49"/>
        <v>0</v>
      </c>
      <c r="HI16" s="47"/>
      <c r="HJ16" s="50"/>
      <c r="HK16" s="51"/>
      <c r="HL16" s="57">
        <f t="shared" si="50"/>
        <v>0</v>
      </c>
      <c r="HM16" s="47"/>
      <c r="HN16" s="50"/>
      <c r="HO16" s="51"/>
      <c r="HP16" s="57">
        <f t="shared" si="51"/>
        <v>0</v>
      </c>
      <c r="HQ16" s="47"/>
      <c r="HR16" s="50"/>
      <c r="HS16" s="51"/>
      <c r="HT16" s="57">
        <f t="shared" si="52"/>
        <v>0</v>
      </c>
      <c r="HU16" s="47"/>
      <c r="HV16" s="50"/>
      <c r="HW16" s="51"/>
      <c r="HX16" s="57">
        <f t="shared" si="53"/>
        <v>0</v>
      </c>
      <c r="HY16" s="47"/>
      <c r="HZ16" s="50"/>
      <c r="IA16" s="51"/>
      <c r="IB16" s="57">
        <f t="shared" si="54"/>
        <v>0</v>
      </c>
      <c r="IC16" s="47"/>
      <c r="ID16" s="50"/>
      <c r="IE16" s="51"/>
      <c r="IF16" s="57">
        <f t="shared" si="55"/>
        <v>0</v>
      </c>
      <c r="IG16" s="47"/>
      <c r="IH16" s="50"/>
      <c r="II16" s="51"/>
      <c r="IJ16" s="57">
        <f t="shared" si="56"/>
        <v>0</v>
      </c>
      <c r="IK16" s="47"/>
      <c r="IL16" s="50"/>
      <c r="IM16" s="51"/>
      <c r="IN16" s="57">
        <f t="shared" si="57"/>
        <v>0</v>
      </c>
      <c r="IO16" s="47"/>
      <c r="IP16" s="50"/>
      <c r="IQ16" s="51"/>
      <c r="IR16" s="57">
        <f t="shared" si="58"/>
        <v>0</v>
      </c>
      <c r="IS16" s="47"/>
      <c r="IT16" s="50"/>
      <c r="IU16" s="51"/>
      <c r="IV16" s="57">
        <f t="shared" si="59"/>
        <v>0</v>
      </c>
      <c r="IW16" s="47"/>
      <c r="IX16" s="50"/>
      <c r="IY16" s="51"/>
      <c r="IZ16" s="57">
        <f t="shared" si="60"/>
        <v>0</v>
      </c>
      <c r="JA16" s="47"/>
      <c r="JB16" s="36" t="e">
        <f t="shared" si="61"/>
        <v>#VALUE!</v>
      </c>
      <c r="JC16" s="36" t="e">
        <f t="shared" si="62"/>
        <v>#VALUE!</v>
      </c>
      <c r="JD16" s="36" t="e">
        <f t="shared" si="63"/>
        <v>#VALUE!</v>
      </c>
      <c r="JE16" s="36" t="e">
        <f t="shared" ref="JE16:JE32" si="67">IF($F$4="F",0,+S16)+IF($V$4="F",0,+AJ16)+IF($AL$4="F",0,+AZ16)+IF($BB$4="F",0,+BP16)+IF($BR$4="F",0,+CF16)+IF($CH$4="F",0,+CV16)+IF($CX$4="F",0,+DL16)+IF($DN$4="F",0,+EB16)+IF($ED$4="F",0,+ER16)+IF($ET$4="F",0,FH16)+IF($FJ$4="F",0,+FX16)+IF($FZ$4="F",0,GN16)+IF($GP$4="F",0,+HD16)+IF($HF$4="F",0,+HT16)+IF($HV$4="F",0,+IJ16)+IF($IL$4="F",0,+IZ16)</f>
        <v>#VALUE!</v>
      </c>
      <c r="JF16" s="36"/>
      <c r="JP16" s="36"/>
    </row>
    <row r="17" spans="2:276" ht="30" customHeight="1" x14ac:dyDescent="0.3">
      <c r="B17" s="23">
        <v>8</v>
      </c>
      <c r="C17" s="77" t="e">
        <f>VLOOKUP(#REF!,EMPLEADO!C:Q,15,FALSE)</f>
        <v>#REF!</v>
      </c>
      <c r="D17" s="6" t="s">
        <v>47</v>
      </c>
      <c r="E17" s="38" t="s">
        <v>20</v>
      </c>
      <c r="F17" s="50"/>
      <c r="G17" s="51"/>
      <c r="H17" s="57">
        <f t="shared" si="64"/>
        <v>0</v>
      </c>
      <c r="I17" s="47"/>
      <c r="J17" s="50"/>
      <c r="K17" s="51"/>
      <c r="L17" s="57">
        <f t="shared" si="0"/>
        <v>0</v>
      </c>
      <c r="M17" s="47"/>
      <c r="N17" s="52"/>
      <c r="O17" s="53"/>
      <c r="P17" s="57">
        <f t="shared" si="1"/>
        <v>0</v>
      </c>
      <c r="Q17" s="47"/>
      <c r="R17" s="53"/>
      <c r="S17" s="53"/>
      <c r="T17" s="57">
        <f t="shared" si="65"/>
        <v>0</v>
      </c>
      <c r="U17" s="47"/>
      <c r="V17" s="50"/>
      <c r="W17" s="51"/>
      <c r="X17" s="57">
        <f t="shared" si="2"/>
        <v>0</v>
      </c>
      <c r="Y17" s="47"/>
      <c r="Z17" s="50"/>
      <c r="AA17" s="51"/>
      <c r="AB17" s="57">
        <f t="shared" si="3"/>
        <v>0</v>
      </c>
      <c r="AC17" s="47"/>
      <c r="AD17" s="50"/>
      <c r="AE17" s="51"/>
      <c r="AF17" s="57">
        <f t="shared" si="4"/>
        <v>0</v>
      </c>
      <c r="AG17" s="47"/>
      <c r="AH17" s="53"/>
      <c r="AI17" s="53"/>
      <c r="AJ17" s="75">
        <f t="shared" si="66"/>
        <v>0</v>
      </c>
      <c r="AK17" s="47"/>
      <c r="AL17" s="50"/>
      <c r="AM17" s="51"/>
      <c r="AN17" s="57">
        <f t="shared" si="5"/>
        <v>0</v>
      </c>
      <c r="AO17" s="47"/>
      <c r="AP17" s="50"/>
      <c r="AQ17" s="51"/>
      <c r="AR17" s="57">
        <f t="shared" si="6"/>
        <v>0</v>
      </c>
      <c r="AS17" s="47"/>
      <c r="AT17" s="50"/>
      <c r="AU17" s="51"/>
      <c r="AV17" s="57">
        <f t="shared" si="7"/>
        <v>0</v>
      </c>
      <c r="AW17" s="47"/>
      <c r="AX17" s="50"/>
      <c r="AY17" s="51"/>
      <c r="AZ17" s="57">
        <f t="shared" si="8"/>
        <v>0</v>
      </c>
      <c r="BA17" s="47"/>
      <c r="BB17" s="50"/>
      <c r="BC17" s="51"/>
      <c r="BD17" s="57">
        <f t="shared" si="9"/>
        <v>0</v>
      </c>
      <c r="BE17" s="47"/>
      <c r="BF17" s="50"/>
      <c r="BG17" s="51"/>
      <c r="BH17" s="57">
        <f t="shared" si="10"/>
        <v>0</v>
      </c>
      <c r="BI17" s="47"/>
      <c r="BJ17" s="50"/>
      <c r="BK17" s="51"/>
      <c r="BL17" s="57">
        <f t="shared" si="11"/>
        <v>0</v>
      </c>
      <c r="BM17" s="47"/>
      <c r="BN17" s="50"/>
      <c r="BO17" s="51"/>
      <c r="BP17" s="57">
        <f t="shared" si="12"/>
        <v>0</v>
      </c>
      <c r="BQ17" s="47"/>
      <c r="BR17" s="50"/>
      <c r="BS17" s="51"/>
      <c r="BT17" s="57">
        <f t="shared" si="13"/>
        <v>0</v>
      </c>
      <c r="BU17" s="47"/>
      <c r="BV17" s="50"/>
      <c r="BW17" s="51"/>
      <c r="BX17" s="57">
        <f t="shared" si="14"/>
        <v>0</v>
      </c>
      <c r="BY17" s="47"/>
      <c r="BZ17" s="50"/>
      <c r="CA17" s="51"/>
      <c r="CB17" s="57">
        <f t="shared" si="15"/>
        <v>0</v>
      </c>
      <c r="CC17" s="47"/>
      <c r="CD17" s="50"/>
      <c r="CE17" s="51"/>
      <c r="CF17" s="57">
        <f t="shared" si="16"/>
        <v>0</v>
      </c>
      <c r="CG17" s="47"/>
      <c r="CH17" s="50"/>
      <c r="CI17" s="51"/>
      <c r="CJ17" s="57">
        <f t="shared" si="17"/>
        <v>0</v>
      </c>
      <c r="CK17" s="47"/>
      <c r="CL17" s="50"/>
      <c r="CM17" s="51"/>
      <c r="CN17" s="57">
        <f t="shared" si="18"/>
        <v>0</v>
      </c>
      <c r="CO17" s="47"/>
      <c r="CP17" s="50"/>
      <c r="CQ17" s="51"/>
      <c r="CR17" s="57">
        <f t="shared" si="19"/>
        <v>0</v>
      </c>
      <c r="CS17" s="47"/>
      <c r="CT17" s="50"/>
      <c r="CU17" s="51"/>
      <c r="CV17" s="57">
        <f t="shared" si="20"/>
        <v>0</v>
      </c>
      <c r="CW17" s="47"/>
      <c r="CX17" s="50"/>
      <c r="CY17" s="51"/>
      <c r="CZ17" s="57">
        <f t="shared" si="21"/>
        <v>0</v>
      </c>
      <c r="DA17" s="47"/>
      <c r="DB17" s="50"/>
      <c r="DC17" s="51"/>
      <c r="DD17" s="57">
        <f t="shared" si="22"/>
        <v>0</v>
      </c>
      <c r="DE17" s="47"/>
      <c r="DF17" s="50"/>
      <c r="DG17" s="51"/>
      <c r="DH17" s="57">
        <f t="shared" si="23"/>
        <v>0</v>
      </c>
      <c r="DI17" s="47"/>
      <c r="DJ17" s="50"/>
      <c r="DK17" s="51"/>
      <c r="DL17" s="57">
        <f t="shared" si="24"/>
        <v>0</v>
      </c>
      <c r="DM17" s="47"/>
      <c r="DN17" s="50"/>
      <c r="DO17" s="51"/>
      <c r="DP17" s="57">
        <f t="shared" si="25"/>
        <v>0</v>
      </c>
      <c r="DQ17" s="47"/>
      <c r="DR17" s="50"/>
      <c r="DS17" s="51"/>
      <c r="DT17" s="57">
        <f t="shared" si="26"/>
        <v>0</v>
      </c>
      <c r="DU17" s="47"/>
      <c r="DV17" s="50"/>
      <c r="DW17" s="51"/>
      <c r="DX17" s="57">
        <f t="shared" si="27"/>
        <v>0</v>
      </c>
      <c r="DY17" s="47"/>
      <c r="DZ17" s="50"/>
      <c r="EA17" s="51"/>
      <c r="EB17" s="57">
        <f t="shared" si="28"/>
        <v>0</v>
      </c>
      <c r="EC17" s="47"/>
      <c r="ED17" s="50"/>
      <c r="EE17" s="51"/>
      <c r="EF17" s="57">
        <f t="shared" si="29"/>
        <v>0</v>
      </c>
      <c r="EG17" s="47"/>
      <c r="EH17" s="50"/>
      <c r="EI17" s="51"/>
      <c r="EJ17" s="57">
        <f t="shared" si="30"/>
        <v>0</v>
      </c>
      <c r="EK17" s="47"/>
      <c r="EL17" s="50"/>
      <c r="EM17" s="51"/>
      <c r="EN17" s="57">
        <f t="shared" si="31"/>
        <v>0</v>
      </c>
      <c r="EO17" s="47"/>
      <c r="EP17" s="50"/>
      <c r="EQ17" s="51"/>
      <c r="ER17" s="57">
        <f t="shared" si="32"/>
        <v>0</v>
      </c>
      <c r="ES17" s="47"/>
      <c r="ET17" s="50"/>
      <c r="EU17" s="51"/>
      <c r="EV17" s="57">
        <f t="shared" si="33"/>
        <v>0</v>
      </c>
      <c r="EW17" s="47"/>
      <c r="EX17" s="50"/>
      <c r="EY17" s="51"/>
      <c r="EZ17" s="57">
        <f t="shared" si="34"/>
        <v>0</v>
      </c>
      <c r="FA17" s="47"/>
      <c r="FB17" s="50"/>
      <c r="FC17" s="51"/>
      <c r="FD17" s="57">
        <f t="shared" si="35"/>
        <v>0</v>
      </c>
      <c r="FE17" s="47"/>
      <c r="FF17" s="50"/>
      <c r="FG17" s="51"/>
      <c r="FH17" s="57">
        <f t="shared" si="36"/>
        <v>0</v>
      </c>
      <c r="FI17" s="47"/>
      <c r="FJ17" s="50"/>
      <c r="FK17" s="51"/>
      <c r="FL17" s="57">
        <f t="shared" si="37"/>
        <v>0</v>
      </c>
      <c r="FM17" s="47"/>
      <c r="FN17" s="50"/>
      <c r="FO17" s="51"/>
      <c r="FP17" s="57">
        <f t="shared" si="38"/>
        <v>0</v>
      </c>
      <c r="FQ17" s="47"/>
      <c r="FR17" s="50"/>
      <c r="FS17" s="51"/>
      <c r="FT17" s="57">
        <f t="shared" si="39"/>
        <v>0</v>
      </c>
      <c r="FU17" s="47"/>
      <c r="FV17" s="50"/>
      <c r="FW17" s="51"/>
      <c r="FX17" s="57">
        <f t="shared" si="40"/>
        <v>0</v>
      </c>
      <c r="FY17" s="47"/>
      <c r="FZ17" s="50"/>
      <c r="GA17" s="51"/>
      <c r="GB17" s="57">
        <f t="shared" si="41"/>
        <v>0</v>
      </c>
      <c r="GC17" s="47"/>
      <c r="GD17" s="50"/>
      <c r="GE17" s="51"/>
      <c r="GF17" s="57">
        <f t="shared" si="42"/>
        <v>0</v>
      </c>
      <c r="GG17" s="47"/>
      <c r="GH17" s="50"/>
      <c r="GI17" s="51"/>
      <c r="GJ17" s="57">
        <f t="shared" si="43"/>
        <v>0</v>
      </c>
      <c r="GK17" s="47"/>
      <c r="GL17" s="50"/>
      <c r="GM17" s="51"/>
      <c r="GN17" s="57">
        <f t="shared" si="44"/>
        <v>0</v>
      </c>
      <c r="GO17" s="47"/>
      <c r="GP17" s="50"/>
      <c r="GQ17" s="51"/>
      <c r="GR17" s="57">
        <f t="shared" si="45"/>
        <v>0</v>
      </c>
      <c r="GS17" s="47"/>
      <c r="GT17" s="50"/>
      <c r="GU17" s="51"/>
      <c r="GV17" s="57">
        <f t="shared" si="46"/>
        <v>0</v>
      </c>
      <c r="GW17" s="47"/>
      <c r="GX17" s="50"/>
      <c r="GY17" s="51"/>
      <c r="GZ17" s="57">
        <f t="shared" si="47"/>
        <v>0</v>
      </c>
      <c r="HA17" s="47"/>
      <c r="HB17" s="50"/>
      <c r="HC17" s="51"/>
      <c r="HD17" s="57">
        <f t="shared" si="48"/>
        <v>0</v>
      </c>
      <c r="HE17" s="47"/>
      <c r="HF17" s="50"/>
      <c r="HG17" s="51"/>
      <c r="HH17" s="57">
        <f t="shared" si="49"/>
        <v>0</v>
      </c>
      <c r="HI17" s="47"/>
      <c r="HJ17" s="50"/>
      <c r="HK17" s="51"/>
      <c r="HL17" s="57">
        <f t="shared" si="50"/>
        <v>0</v>
      </c>
      <c r="HM17" s="47"/>
      <c r="HN17" s="50"/>
      <c r="HO17" s="51"/>
      <c r="HP17" s="57">
        <f t="shared" si="51"/>
        <v>0</v>
      </c>
      <c r="HQ17" s="47"/>
      <c r="HR17" s="50"/>
      <c r="HS17" s="51"/>
      <c r="HT17" s="57">
        <f t="shared" si="52"/>
        <v>0</v>
      </c>
      <c r="HU17" s="47"/>
      <c r="HV17" s="50"/>
      <c r="HW17" s="51"/>
      <c r="HX17" s="57">
        <f t="shared" si="53"/>
        <v>0</v>
      </c>
      <c r="HY17" s="47"/>
      <c r="HZ17" s="50"/>
      <c r="IA17" s="51"/>
      <c r="IB17" s="57">
        <f t="shared" si="54"/>
        <v>0</v>
      </c>
      <c r="IC17" s="47"/>
      <c r="ID17" s="50"/>
      <c r="IE17" s="51"/>
      <c r="IF17" s="57">
        <f t="shared" si="55"/>
        <v>0</v>
      </c>
      <c r="IG17" s="47"/>
      <c r="IH17" s="50"/>
      <c r="II17" s="51"/>
      <c r="IJ17" s="57">
        <f t="shared" si="56"/>
        <v>0</v>
      </c>
      <c r="IK17" s="47"/>
      <c r="IL17" s="50"/>
      <c r="IM17" s="51"/>
      <c r="IN17" s="57">
        <f t="shared" si="57"/>
        <v>0</v>
      </c>
      <c r="IO17" s="47"/>
      <c r="IP17" s="50"/>
      <c r="IQ17" s="51"/>
      <c r="IR17" s="57">
        <f t="shared" si="58"/>
        <v>0</v>
      </c>
      <c r="IS17" s="47"/>
      <c r="IT17" s="50"/>
      <c r="IU17" s="51"/>
      <c r="IV17" s="57">
        <f t="shared" si="59"/>
        <v>0</v>
      </c>
      <c r="IW17" s="47"/>
      <c r="IX17" s="50"/>
      <c r="IY17" s="51"/>
      <c r="IZ17" s="57">
        <f t="shared" si="60"/>
        <v>0</v>
      </c>
      <c r="JA17" s="47"/>
      <c r="JB17" s="36" t="e">
        <f t="shared" si="61"/>
        <v>#VALUE!</v>
      </c>
      <c r="JC17" s="36" t="e">
        <f t="shared" si="62"/>
        <v>#VALUE!</v>
      </c>
      <c r="JD17" s="36" t="e">
        <f t="shared" si="63"/>
        <v>#VALUE!</v>
      </c>
      <c r="JE17" s="36" t="e">
        <f t="shared" si="67"/>
        <v>#VALUE!</v>
      </c>
      <c r="JF17" s="36"/>
      <c r="JP17" s="36"/>
    </row>
    <row r="18" spans="2:276" ht="30" customHeight="1" x14ac:dyDescent="0.3">
      <c r="B18" s="23">
        <v>9</v>
      </c>
      <c r="C18" s="77" t="e">
        <f>VLOOKUP(#REF!,EMPLEADO!C:Q,15,FALSE)</f>
        <v>#REF!</v>
      </c>
      <c r="D18" s="16" t="s">
        <v>49</v>
      </c>
      <c r="E18" s="39" t="s">
        <v>17</v>
      </c>
      <c r="F18" s="50"/>
      <c r="G18" s="51"/>
      <c r="H18" s="57">
        <f t="shared" si="64"/>
        <v>0</v>
      </c>
      <c r="I18" s="47"/>
      <c r="J18" s="50"/>
      <c r="K18" s="51"/>
      <c r="L18" s="57">
        <f t="shared" si="0"/>
        <v>0</v>
      </c>
      <c r="M18" s="47"/>
      <c r="N18" s="52"/>
      <c r="O18" s="53"/>
      <c r="P18" s="57">
        <f t="shared" si="1"/>
        <v>0</v>
      </c>
      <c r="Q18" s="47"/>
      <c r="R18" s="53"/>
      <c r="S18" s="53"/>
      <c r="T18" s="57">
        <f t="shared" si="65"/>
        <v>0</v>
      </c>
      <c r="U18" s="47"/>
      <c r="V18" s="50"/>
      <c r="W18" s="51"/>
      <c r="X18" s="57">
        <f t="shared" si="2"/>
        <v>0</v>
      </c>
      <c r="Y18" s="47"/>
      <c r="Z18" s="50"/>
      <c r="AA18" s="51"/>
      <c r="AB18" s="57">
        <f t="shared" si="3"/>
        <v>0</v>
      </c>
      <c r="AC18" s="47"/>
      <c r="AD18" s="50"/>
      <c r="AE18" s="51"/>
      <c r="AF18" s="57">
        <f t="shared" si="4"/>
        <v>0</v>
      </c>
      <c r="AG18" s="47"/>
      <c r="AH18" s="53"/>
      <c r="AI18" s="53"/>
      <c r="AJ18" s="75">
        <f t="shared" si="66"/>
        <v>0</v>
      </c>
      <c r="AK18" s="47"/>
      <c r="AL18" s="50"/>
      <c r="AM18" s="51"/>
      <c r="AN18" s="57">
        <f t="shared" si="5"/>
        <v>0</v>
      </c>
      <c r="AO18" s="47"/>
      <c r="AP18" s="50"/>
      <c r="AQ18" s="51"/>
      <c r="AR18" s="57">
        <f t="shared" si="6"/>
        <v>0</v>
      </c>
      <c r="AS18" s="47"/>
      <c r="AT18" s="50"/>
      <c r="AU18" s="51"/>
      <c r="AV18" s="57">
        <f t="shared" si="7"/>
        <v>0</v>
      </c>
      <c r="AW18" s="47"/>
      <c r="AX18" s="50"/>
      <c r="AY18" s="51"/>
      <c r="AZ18" s="57">
        <f t="shared" si="8"/>
        <v>0</v>
      </c>
      <c r="BA18" s="47"/>
      <c r="BB18" s="50"/>
      <c r="BC18" s="51"/>
      <c r="BD18" s="57">
        <f t="shared" si="9"/>
        <v>0</v>
      </c>
      <c r="BE18" s="47"/>
      <c r="BF18" s="50"/>
      <c r="BG18" s="51"/>
      <c r="BH18" s="57">
        <f t="shared" si="10"/>
        <v>0</v>
      </c>
      <c r="BI18" s="47"/>
      <c r="BJ18" s="50"/>
      <c r="BK18" s="51"/>
      <c r="BL18" s="57">
        <f t="shared" si="11"/>
        <v>0</v>
      </c>
      <c r="BM18" s="47"/>
      <c r="BN18" s="50"/>
      <c r="BO18" s="51"/>
      <c r="BP18" s="57">
        <f t="shared" si="12"/>
        <v>0</v>
      </c>
      <c r="BQ18" s="47"/>
      <c r="BR18" s="50"/>
      <c r="BS18" s="51"/>
      <c r="BT18" s="57">
        <f t="shared" si="13"/>
        <v>0</v>
      </c>
      <c r="BU18" s="47"/>
      <c r="BV18" s="50"/>
      <c r="BW18" s="51"/>
      <c r="BX18" s="57">
        <f t="shared" si="14"/>
        <v>0</v>
      </c>
      <c r="BY18" s="47"/>
      <c r="BZ18" s="50"/>
      <c r="CA18" s="51"/>
      <c r="CB18" s="57">
        <f t="shared" si="15"/>
        <v>0</v>
      </c>
      <c r="CC18" s="47"/>
      <c r="CD18" s="50"/>
      <c r="CE18" s="51"/>
      <c r="CF18" s="57">
        <f t="shared" si="16"/>
        <v>0</v>
      </c>
      <c r="CG18" s="47"/>
      <c r="CH18" s="50"/>
      <c r="CI18" s="51"/>
      <c r="CJ18" s="57">
        <f t="shared" si="17"/>
        <v>0</v>
      </c>
      <c r="CK18" s="47"/>
      <c r="CL18" s="50"/>
      <c r="CM18" s="51"/>
      <c r="CN18" s="57">
        <f t="shared" si="18"/>
        <v>0</v>
      </c>
      <c r="CO18" s="47"/>
      <c r="CP18" s="50"/>
      <c r="CQ18" s="51"/>
      <c r="CR18" s="57">
        <f t="shared" si="19"/>
        <v>0</v>
      </c>
      <c r="CS18" s="47"/>
      <c r="CT18" s="50"/>
      <c r="CU18" s="51"/>
      <c r="CV18" s="57">
        <f t="shared" si="20"/>
        <v>0</v>
      </c>
      <c r="CW18" s="47"/>
      <c r="CX18" s="50"/>
      <c r="CY18" s="51"/>
      <c r="CZ18" s="57">
        <f t="shared" si="21"/>
        <v>0</v>
      </c>
      <c r="DA18" s="47"/>
      <c r="DB18" s="50"/>
      <c r="DC18" s="51"/>
      <c r="DD18" s="57">
        <f t="shared" si="22"/>
        <v>0</v>
      </c>
      <c r="DE18" s="47"/>
      <c r="DF18" s="50"/>
      <c r="DG18" s="51"/>
      <c r="DH18" s="57">
        <f t="shared" si="23"/>
        <v>0</v>
      </c>
      <c r="DI18" s="47"/>
      <c r="DJ18" s="50"/>
      <c r="DK18" s="51"/>
      <c r="DL18" s="57">
        <f t="shared" si="24"/>
        <v>0</v>
      </c>
      <c r="DM18" s="47"/>
      <c r="DN18" s="50"/>
      <c r="DO18" s="51"/>
      <c r="DP18" s="57">
        <f t="shared" si="25"/>
        <v>0</v>
      </c>
      <c r="DQ18" s="47"/>
      <c r="DR18" s="50"/>
      <c r="DS18" s="51"/>
      <c r="DT18" s="57">
        <f t="shared" si="26"/>
        <v>0</v>
      </c>
      <c r="DU18" s="47"/>
      <c r="DV18" s="50"/>
      <c r="DW18" s="51"/>
      <c r="DX18" s="57">
        <f t="shared" si="27"/>
        <v>0</v>
      </c>
      <c r="DY18" s="47"/>
      <c r="DZ18" s="50"/>
      <c r="EA18" s="51"/>
      <c r="EB18" s="57">
        <f t="shared" si="28"/>
        <v>0</v>
      </c>
      <c r="EC18" s="47"/>
      <c r="ED18" s="50"/>
      <c r="EE18" s="51"/>
      <c r="EF18" s="57">
        <f t="shared" si="29"/>
        <v>0</v>
      </c>
      <c r="EG18" s="47"/>
      <c r="EH18" s="50"/>
      <c r="EI18" s="51"/>
      <c r="EJ18" s="57">
        <f t="shared" si="30"/>
        <v>0</v>
      </c>
      <c r="EK18" s="47"/>
      <c r="EL18" s="50"/>
      <c r="EM18" s="51"/>
      <c r="EN18" s="57">
        <f t="shared" si="31"/>
        <v>0</v>
      </c>
      <c r="EO18" s="47"/>
      <c r="EP18" s="50"/>
      <c r="EQ18" s="51"/>
      <c r="ER18" s="57">
        <f t="shared" si="32"/>
        <v>0</v>
      </c>
      <c r="ES18" s="47"/>
      <c r="ET18" s="50"/>
      <c r="EU18" s="51"/>
      <c r="EV18" s="57">
        <f t="shared" si="33"/>
        <v>0</v>
      </c>
      <c r="EW18" s="47"/>
      <c r="EX18" s="50"/>
      <c r="EY18" s="51"/>
      <c r="EZ18" s="57">
        <f t="shared" si="34"/>
        <v>0</v>
      </c>
      <c r="FA18" s="47"/>
      <c r="FB18" s="50"/>
      <c r="FC18" s="51"/>
      <c r="FD18" s="57">
        <f t="shared" si="35"/>
        <v>0</v>
      </c>
      <c r="FE18" s="47"/>
      <c r="FF18" s="50"/>
      <c r="FG18" s="51"/>
      <c r="FH18" s="57">
        <f t="shared" si="36"/>
        <v>0</v>
      </c>
      <c r="FI18" s="47"/>
      <c r="FJ18" s="50"/>
      <c r="FK18" s="51"/>
      <c r="FL18" s="57">
        <f t="shared" si="37"/>
        <v>0</v>
      </c>
      <c r="FM18" s="47"/>
      <c r="FN18" s="50"/>
      <c r="FO18" s="51"/>
      <c r="FP18" s="57">
        <f t="shared" si="38"/>
        <v>0</v>
      </c>
      <c r="FQ18" s="47"/>
      <c r="FR18" s="50"/>
      <c r="FS18" s="51"/>
      <c r="FT18" s="57">
        <f t="shared" si="39"/>
        <v>0</v>
      </c>
      <c r="FU18" s="47"/>
      <c r="FV18" s="50"/>
      <c r="FW18" s="51"/>
      <c r="FX18" s="57">
        <f t="shared" si="40"/>
        <v>0</v>
      </c>
      <c r="FY18" s="47"/>
      <c r="FZ18" s="50"/>
      <c r="GA18" s="51"/>
      <c r="GB18" s="57">
        <f t="shared" si="41"/>
        <v>0</v>
      </c>
      <c r="GC18" s="47"/>
      <c r="GD18" s="50"/>
      <c r="GE18" s="51"/>
      <c r="GF18" s="57">
        <f t="shared" si="42"/>
        <v>0</v>
      </c>
      <c r="GG18" s="47"/>
      <c r="GH18" s="50"/>
      <c r="GI18" s="51"/>
      <c r="GJ18" s="57">
        <f t="shared" si="43"/>
        <v>0</v>
      </c>
      <c r="GK18" s="47"/>
      <c r="GL18" s="50"/>
      <c r="GM18" s="51"/>
      <c r="GN18" s="57">
        <f t="shared" si="44"/>
        <v>0</v>
      </c>
      <c r="GO18" s="47"/>
      <c r="GP18" s="50"/>
      <c r="GQ18" s="51"/>
      <c r="GR18" s="57">
        <f t="shared" si="45"/>
        <v>0</v>
      </c>
      <c r="GS18" s="47"/>
      <c r="GT18" s="50"/>
      <c r="GU18" s="51"/>
      <c r="GV18" s="57">
        <f t="shared" si="46"/>
        <v>0</v>
      </c>
      <c r="GW18" s="47"/>
      <c r="GX18" s="50"/>
      <c r="GY18" s="51"/>
      <c r="GZ18" s="57">
        <f t="shared" si="47"/>
        <v>0</v>
      </c>
      <c r="HA18" s="47"/>
      <c r="HB18" s="50"/>
      <c r="HC18" s="51"/>
      <c r="HD18" s="57">
        <f t="shared" si="48"/>
        <v>0</v>
      </c>
      <c r="HE18" s="47"/>
      <c r="HF18" s="50"/>
      <c r="HG18" s="51"/>
      <c r="HH18" s="57">
        <f t="shared" si="49"/>
        <v>0</v>
      </c>
      <c r="HI18" s="47"/>
      <c r="HJ18" s="50"/>
      <c r="HK18" s="51"/>
      <c r="HL18" s="57">
        <f t="shared" si="50"/>
        <v>0</v>
      </c>
      <c r="HM18" s="47"/>
      <c r="HN18" s="50"/>
      <c r="HO18" s="51"/>
      <c r="HP18" s="57">
        <f t="shared" si="51"/>
        <v>0</v>
      </c>
      <c r="HQ18" s="47"/>
      <c r="HR18" s="50"/>
      <c r="HS18" s="51"/>
      <c r="HT18" s="57">
        <f t="shared" si="52"/>
        <v>0</v>
      </c>
      <c r="HU18" s="47"/>
      <c r="HV18" s="50"/>
      <c r="HW18" s="51"/>
      <c r="HX18" s="57">
        <f t="shared" si="53"/>
        <v>0</v>
      </c>
      <c r="HY18" s="47"/>
      <c r="HZ18" s="50"/>
      <c r="IA18" s="51"/>
      <c r="IB18" s="57">
        <f t="shared" si="54"/>
        <v>0</v>
      </c>
      <c r="IC18" s="47"/>
      <c r="ID18" s="50"/>
      <c r="IE18" s="51"/>
      <c r="IF18" s="57">
        <f t="shared" si="55"/>
        <v>0</v>
      </c>
      <c r="IG18" s="47"/>
      <c r="IH18" s="50"/>
      <c r="II18" s="51"/>
      <c r="IJ18" s="57">
        <f t="shared" si="56"/>
        <v>0</v>
      </c>
      <c r="IK18" s="47"/>
      <c r="IL18" s="50"/>
      <c r="IM18" s="51"/>
      <c r="IN18" s="57">
        <f t="shared" si="57"/>
        <v>0</v>
      </c>
      <c r="IO18" s="47"/>
      <c r="IP18" s="50"/>
      <c r="IQ18" s="51"/>
      <c r="IR18" s="57">
        <f t="shared" si="58"/>
        <v>0</v>
      </c>
      <c r="IS18" s="47"/>
      <c r="IT18" s="50"/>
      <c r="IU18" s="51"/>
      <c r="IV18" s="57">
        <f t="shared" si="59"/>
        <v>0</v>
      </c>
      <c r="IW18" s="47"/>
      <c r="IX18" s="50"/>
      <c r="IY18" s="51"/>
      <c r="IZ18" s="57">
        <f t="shared" si="60"/>
        <v>0</v>
      </c>
      <c r="JA18" s="47"/>
      <c r="JB18" s="36" t="e">
        <f t="shared" si="61"/>
        <v>#VALUE!</v>
      </c>
      <c r="JC18" s="36" t="e">
        <f t="shared" si="62"/>
        <v>#VALUE!</v>
      </c>
      <c r="JD18" s="36" t="e">
        <f t="shared" si="63"/>
        <v>#VALUE!</v>
      </c>
      <c r="JE18" s="36" t="e">
        <f t="shared" si="67"/>
        <v>#VALUE!</v>
      </c>
      <c r="JF18" s="36"/>
      <c r="JP18" s="36"/>
    </row>
    <row r="19" spans="2:276" ht="30" customHeight="1" x14ac:dyDescent="0.3">
      <c r="B19" s="23">
        <v>10</v>
      </c>
      <c r="C19" s="77" t="e">
        <f>VLOOKUP(#REF!,EMPLEADO!C:Q,15,FALSE)</f>
        <v>#REF!</v>
      </c>
      <c r="D19" s="16" t="s">
        <v>50</v>
      </c>
      <c r="E19" s="39" t="s">
        <v>17</v>
      </c>
      <c r="F19" s="50"/>
      <c r="G19" s="51"/>
      <c r="H19" s="57">
        <f t="shared" si="64"/>
        <v>0</v>
      </c>
      <c r="I19" s="47"/>
      <c r="J19" s="50"/>
      <c r="K19" s="51"/>
      <c r="L19" s="57">
        <f t="shared" si="0"/>
        <v>0</v>
      </c>
      <c r="M19" s="47"/>
      <c r="N19" s="52"/>
      <c r="O19" s="53"/>
      <c r="P19" s="57">
        <f t="shared" si="1"/>
        <v>0</v>
      </c>
      <c r="Q19" s="47"/>
      <c r="R19" s="53"/>
      <c r="S19" s="53"/>
      <c r="T19" s="57">
        <f t="shared" si="65"/>
        <v>0</v>
      </c>
      <c r="U19" s="47"/>
      <c r="V19" s="50"/>
      <c r="W19" s="51"/>
      <c r="X19" s="57">
        <f t="shared" si="2"/>
        <v>0</v>
      </c>
      <c r="Y19" s="47"/>
      <c r="Z19" s="50"/>
      <c r="AA19" s="51"/>
      <c r="AB19" s="57">
        <f t="shared" si="3"/>
        <v>0</v>
      </c>
      <c r="AC19" s="47"/>
      <c r="AD19" s="50"/>
      <c r="AE19" s="51"/>
      <c r="AF19" s="57">
        <f t="shared" si="4"/>
        <v>0</v>
      </c>
      <c r="AG19" s="47"/>
      <c r="AH19" s="53"/>
      <c r="AI19" s="53"/>
      <c r="AJ19" s="75">
        <f t="shared" si="66"/>
        <v>0</v>
      </c>
      <c r="AK19" s="47"/>
      <c r="AL19" s="50"/>
      <c r="AM19" s="51"/>
      <c r="AN19" s="57">
        <f t="shared" si="5"/>
        <v>0</v>
      </c>
      <c r="AO19" s="47"/>
      <c r="AP19" s="50"/>
      <c r="AQ19" s="51"/>
      <c r="AR19" s="57">
        <f t="shared" si="6"/>
        <v>0</v>
      </c>
      <c r="AS19" s="47"/>
      <c r="AT19" s="50"/>
      <c r="AU19" s="51"/>
      <c r="AV19" s="57">
        <f t="shared" si="7"/>
        <v>0</v>
      </c>
      <c r="AW19" s="47"/>
      <c r="AX19" s="50"/>
      <c r="AY19" s="51"/>
      <c r="AZ19" s="57">
        <f t="shared" si="8"/>
        <v>0</v>
      </c>
      <c r="BA19" s="47"/>
      <c r="BB19" s="50"/>
      <c r="BC19" s="51"/>
      <c r="BD19" s="57">
        <f t="shared" si="9"/>
        <v>0</v>
      </c>
      <c r="BE19" s="47"/>
      <c r="BF19" s="50"/>
      <c r="BG19" s="51"/>
      <c r="BH19" s="57">
        <f t="shared" si="10"/>
        <v>0</v>
      </c>
      <c r="BI19" s="47"/>
      <c r="BJ19" s="50"/>
      <c r="BK19" s="51"/>
      <c r="BL19" s="57">
        <f t="shared" si="11"/>
        <v>0</v>
      </c>
      <c r="BM19" s="47"/>
      <c r="BN19" s="50"/>
      <c r="BO19" s="51"/>
      <c r="BP19" s="57">
        <f t="shared" si="12"/>
        <v>0</v>
      </c>
      <c r="BQ19" s="47"/>
      <c r="BR19" s="50"/>
      <c r="BS19" s="51"/>
      <c r="BT19" s="57">
        <f t="shared" si="13"/>
        <v>0</v>
      </c>
      <c r="BU19" s="47"/>
      <c r="BV19" s="50"/>
      <c r="BW19" s="51"/>
      <c r="BX19" s="57">
        <f t="shared" si="14"/>
        <v>0</v>
      </c>
      <c r="BY19" s="47"/>
      <c r="BZ19" s="50"/>
      <c r="CA19" s="51"/>
      <c r="CB19" s="57">
        <f t="shared" si="15"/>
        <v>0</v>
      </c>
      <c r="CC19" s="47"/>
      <c r="CD19" s="50"/>
      <c r="CE19" s="51"/>
      <c r="CF19" s="57">
        <f t="shared" si="16"/>
        <v>0</v>
      </c>
      <c r="CG19" s="47"/>
      <c r="CH19" s="50"/>
      <c r="CI19" s="51"/>
      <c r="CJ19" s="57">
        <f t="shared" si="17"/>
        <v>0</v>
      </c>
      <c r="CK19" s="47"/>
      <c r="CL19" s="50"/>
      <c r="CM19" s="51"/>
      <c r="CN19" s="57">
        <f t="shared" si="18"/>
        <v>0</v>
      </c>
      <c r="CO19" s="47"/>
      <c r="CP19" s="50"/>
      <c r="CQ19" s="51"/>
      <c r="CR19" s="57">
        <f t="shared" si="19"/>
        <v>0</v>
      </c>
      <c r="CS19" s="47"/>
      <c r="CT19" s="50"/>
      <c r="CU19" s="51"/>
      <c r="CV19" s="57">
        <f t="shared" si="20"/>
        <v>0</v>
      </c>
      <c r="CW19" s="47"/>
      <c r="CX19" s="50"/>
      <c r="CY19" s="51"/>
      <c r="CZ19" s="57">
        <f t="shared" si="21"/>
        <v>0</v>
      </c>
      <c r="DA19" s="47"/>
      <c r="DB19" s="50"/>
      <c r="DC19" s="51"/>
      <c r="DD19" s="57">
        <f t="shared" si="22"/>
        <v>0</v>
      </c>
      <c r="DE19" s="47"/>
      <c r="DF19" s="50"/>
      <c r="DG19" s="51"/>
      <c r="DH19" s="57">
        <f t="shared" si="23"/>
        <v>0</v>
      </c>
      <c r="DI19" s="47"/>
      <c r="DJ19" s="50"/>
      <c r="DK19" s="51"/>
      <c r="DL19" s="57">
        <f t="shared" si="24"/>
        <v>0</v>
      </c>
      <c r="DM19" s="47"/>
      <c r="DN19" s="50"/>
      <c r="DO19" s="51"/>
      <c r="DP19" s="57">
        <f t="shared" si="25"/>
        <v>0</v>
      </c>
      <c r="DQ19" s="47"/>
      <c r="DR19" s="50"/>
      <c r="DS19" s="51"/>
      <c r="DT19" s="57">
        <f t="shared" si="26"/>
        <v>0</v>
      </c>
      <c r="DU19" s="47"/>
      <c r="DV19" s="50"/>
      <c r="DW19" s="51"/>
      <c r="DX19" s="57">
        <f t="shared" si="27"/>
        <v>0</v>
      </c>
      <c r="DY19" s="47"/>
      <c r="DZ19" s="50"/>
      <c r="EA19" s="51"/>
      <c r="EB19" s="57">
        <f t="shared" si="28"/>
        <v>0</v>
      </c>
      <c r="EC19" s="47"/>
      <c r="ED19" s="50"/>
      <c r="EE19" s="51"/>
      <c r="EF19" s="57">
        <f t="shared" si="29"/>
        <v>0</v>
      </c>
      <c r="EG19" s="47"/>
      <c r="EH19" s="50"/>
      <c r="EI19" s="51"/>
      <c r="EJ19" s="57">
        <f t="shared" si="30"/>
        <v>0</v>
      </c>
      <c r="EK19" s="47"/>
      <c r="EL19" s="50"/>
      <c r="EM19" s="51"/>
      <c r="EN19" s="57">
        <f t="shared" si="31"/>
        <v>0</v>
      </c>
      <c r="EO19" s="47"/>
      <c r="EP19" s="50"/>
      <c r="EQ19" s="51"/>
      <c r="ER19" s="57">
        <f t="shared" si="32"/>
        <v>0</v>
      </c>
      <c r="ES19" s="47"/>
      <c r="ET19" s="50"/>
      <c r="EU19" s="51"/>
      <c r="EV19" s="57">
        <f t="shared" si="33"/>
        <v>0</v>
      </c>
      <c r="EW19" s="47"/>
      <c r="EX19" s="50"/>
      <c r="EY19" s="51"/>
      <c r="EZ19" s="57">
        <f t="shared" si="34"/>
        <v>0</v>
      </c>
      <c r="FA19" s="47"/>
      <c r="FB19" s="50"/>
      <c r="FC19" s="51"/>
      <c r="FD19" s="57">
        <f t="shared" si="35"/>
        <v>0</v>
      </c>
      <c r="FE19" s="47"/>
      <c r="FF19" s="50"/>
      <c r="FG19" s="51"/>
      <c r="FH19" s="57">
        <f t="shared" si="36"/>
        <v>0</v>
      </c>
      <c r="FI19" s="47"/>
      <c r="FJ19" s="50"/>
      <c r="FK19" s="51"/>
      <c r="FL19" s="57">
        <f t="shared" si="37"/>
        <v>0</v>
      </c>
      <c r="FM19" s="47"/>
      <c r="FN19" s="50"/>
      <c r="FO19" s="51"/>
      <c r="FP19" s="57">
        <f t="shared" si="38"/>
        <v>0</v>
      </c>
      <c r="FQ19" s="47"/>
      <c r="FR19" s="50"/>
      <c r="FS19" s="51"/>
      <c r="FT19" s="57">
        <f t="shared" si="39"/>
        <v>0</v>
      </c>
      <c r="FU19" s="47"/>
      <c r="FV19" s="50"/>
      <c r="FW19" s="51"/>
      <c r="FX19" s="57">
        <f t="shared" si="40"/>
        <v>0</v>
      </c>
      <c r="FY19" s="47"/>
      <c r="FZ19" s="50"/>
      <c r="GA19" s="51"/>
      <c r="GB19" s="57">
        <f t="shared" si="41"/>
        <v>0</v>
      </c>
      <c r="GC19" s="47"/>
      <c r="GD19" s="50"/>
      <c r="GE19" s="51"/>
      <c r="GF19" s="57">
        <f t="shared" si="42"/>
        <v>0</v>
      </c>
      <c r="GG19" s="47"/>
      <c r="GH19" s="50"/>
      <c r="GI19" s="51"/>
      <c r="GJ19" s="57">
        <f t="shared" si="43"/>
        <v>0</v>
      </c>
      <c r="GK19" s="47"/>
      <c r="GL19" s="50"/>
      <c r="GM19" s="51"/>
      <c r="GN19" s="57">
        <f t="shared" si="44"/>
        <v>0</v>
      </c>
      <c r="GO19" s="47"/>
      <c r="GP19" s="50"/>
      <c r="GQ19" s="51"/>
      <c r="GR19" s="57">
        <f t="shared" si="45"/>
        <v>0</v>
      </c>
      <c r="GS19" s="47"/>
      <c r="GT19" s="50"/>
      <c r="GU19" s="51"/>
      <c r="GV19" s="57">
        <f t="shared" si="46"/>
        <v>0</v>
      </c>
      <c r="GW19" s="47"/>
      <c r="GX19" s="50"/>
      <c r="GY19" s="51"/>
      <c r="GZ19" s="57">
        <f t="shared" si="47"/>
        <v>0</v>
      </c>
      <c r="HA19" s="47"/>
      <c r="HB19" s="50"/>
      <c r="HC19" s="51"/>
      <c r="HD19" s="57">
        <f t="shared" si="48"/>
        <v>0</v>
      </c>
      <c r="HE19" s="47"/>
      <c r="HF19" s="50"/>
      <c r="HG19" s="51"/>
      <c r="HH19" s="57">
        <f t="shared" si="49"/>
        <v>0</v>
      </c>
      <c r="HI19" s="47"/>
      <c r="HJ19" s="50"/>
      <c r="HK19" s="51"/>
      <c r="HL19" s="57">
        <f t="shared" si="50"/>
        <v>0</v>
      </c>
      <c r="HM19" s="47"/>
      <c r="HN19" s="50"/>
      <c r="HO19" s="51"/>
      <c r="HP19" s="57">
        <f t="shared" si="51"/>
        <v>0</v>
      </c>
      <c r="HQ19" s="47"/>
      <c r="HR19" s="50"/>
      <c r="HS19" s="51"/>
      <c r="HT19" s="57">
        <f t="shared" si="52"/>
        <v>0</v>
      </c>
      <c r="HU19" s="47"/>
      <c r="HV19" s="50"/>
      <c r="HW19" s="51"/>
      <c r="HX19" s="57">
        <f t="shared" si="53"/>
        <v>0</v>
      </c>
      <c r="HY19" s="47"/>
      <c r="HZ19" s="50"/>
      <c r="IA19" s="51"/>
      <c r="IB19" s="57">
        <f t="shared" si="54"/>
        <v>0</v>
      </c>
      <c r="IC19" s="47"/>
      <c r="ID19" s="50"/>
      <c r="IE19" s="51"/>
      <c r="IF19" s="57">
        <f t="shared" si="55"/>
        <v>0</v>
      </c>
      <c r="IG19" s="47"/>
      <c r="IH19" s="50"/>
      <c r="II19" s="51"/>
      <c r="IJ19" s="57">
        <f t="shared" si="56"/>
        <v>0</v>
      </c>
      <c r="IK19" s="47"/>
      <c r="IL19" s="50"/>
      <c r="IM19" s="51"/>
      <c r="IN19" s="57">
        <f t="shared" si="57"/>
        <v>0</v>
      </c>
      <c r="IO19" s="47"/>
      <c r="IP19" s="50"/>
      <c r="IQ19" s="51"/>
      <c r="IR19" s="57">
        <f t="shared" si="58"/>
        <v>0</v>
      </c>
      <c r="IS19" s="47"/>
      <c r="IT19" s="50"/>
      <c r="IU19" s="51"/>
      <c r="IV19" s="57">
        <f t="shared" si="59"/>
        <v>0</v>
      </c>
      <c r="IW19" s="47"/>
      <c r="IX19" s="50"/>
      <c r="IY19" s="51"/>
      <c r="IZ19" s="57">
        <f t="shared" si="60"/>
        <v>0</v>
      </c>
      <c r="JA19" s="47"/>
      <c r="JB19" s="36" t="e">
        <f t="shared" si="61"/>
        <v>#VALUE!</v>
      </c>
      <c r="JC19" s="36" t="e">
        <f t="shared" si="62"/>
        <v>#VALUE!</v>
      </c>
      <c r="JD19" s="36" t="e">
        <f t="shared" si="63"/>
        <v>#VALUE!</v>
      </c>
      <c r="JE19" s="36" t="e">
        <f t="shared" si="67"/>
        <v>#VALUE!</v>
      </c>
      <c r="JF19" s="36"/>
      <c r="JP19" s="36"/>
    </row>
    <row r="20" spans="2:276" ht="30" customHeight="1" x14ac:dyDescent="0.3">
      <c r="B20" s="23">
        <v>11</v>
      </c>
      <c r="C20" s="77" t="e">
        <f>VLOOKUP(#REF!,EMPLEADO!C:Q,15,FALSE)</f>
        <v>#REF!</v>
      </c>
      <c r="D20" s="17" t="s">
        <v>53</v>
      </c>
      <c r="E20" s="40" t="s">
        <v>17</v>
      </c>
      <c r="F20" s="50"/>
      <c r="G20" s="51"/>
      <c r="H20" s="57">
        <f t="shared" si="64"/>
        <v>0</v>
      </c>
      <c r="I20" s="47"/>
      <c r="J20" s="50"/>
      <c r="K20" s="51"/>
      <c r="L20" s="57">
        <f t="shared" si="0"/>
        <v>0</v>
      </c>
      <c r="M20" s="47"/>
      <c r="N20" s="52"/>
      <c r="O20" s="53"/>
      <c r="P20" s="57">
        <f t="shared" si="1"/>
        <v>0</v>
      </c>
      <c r="Q20" s="47"/>
      <c r="R20" s="53"/>
      <c r="S20" s="53"/>
      <c r="T20" s="57">
        <f t="shared" si="65"/>
        <v>0</v>
      </c>
      <c r="U20" s="47"/>
      <c r="V20" s="50"/>
      <c r="W20" s="51"/>
      <c r="X20" s="57">
        <f t="shared" si="2"/>
        <v>0</v>
      </c>
      <c r="Y20" s="47"/>
      <c r="Z20" s="50"/>
      <c r="AA20" s="51"/>
      <c r="AB20" s="57">
        <f t="shared" si="3"/>
        <v>0</v>
      </c>
      <c r="AC20" s="47"/>
      <c r="AD20" s="50"/>
      <c r="AE20" s="51"/>
      <c r="AF20" s="57">
        <f t="shared" si="4"/>
        <v>0</v>
      </c>
      <c r="AG20" s="47"/>
      <c r="AH20" s="53"/>
      <c r="AI20" s="53"/>
      <c r="AJ20" s="75">
        <f t="shared" si="66"/>
        <v>0</v>
      </c>
      <c r="AK20" s="47"/>
      <c r="AL20" s="50"/>
      <c r="AM20" s="51"/>
      <c r="AN20" s="57">
        <f t="shared" si="5"/>
        <v>0</v>
      </c>
      <c r="AO20" s="47"/>
      <c r="AP20" s="50"/>
      <c r="AQ20" s="51"/>
      <c r="AR20" s="57">
        <f t="shared" si="6"/>
        <v>0</v>
      </c>
      <c r="AS20" s="47"/>
      <c r="AT20" s="50"/>
      <c r="AU20" s="51"/>
      <c r="AV20" s="57">
        <f t="shared" si="7"/>
        <v>0</v>
      </c>
      <c r="AW20" s="47"/>
      <c r="AX20" s="50"/>
      <c r="AY20" s="51"/>
      <c r="AZ20" s="57">
        <f t="shared" si="8"/>
        <v>0</v>
      </c>
      <c r="BA20" s="47"/>
      <c r="BB20" s="50"/>
      <c r="BC20" s="51"/>
      <c r="BD20" s="57">
        <f t="shared" si="9"/>
        <v>0</v>
      </c>
      <c r="BE20" s="47"/>
      <c r="BF20" s="50"/>
      <c r="BG20" s="51"/>
      <c r="BH20" s="57">
        <f t="shared" si="10"/>
        <v>0</v>
      </c>
      <c r="BI20" s="47"/>
      <c r="BJ20" s="50"/>
      <c r="BK20" s="51"/>
      <c r="BL20" s="57">
        <f t="shared" si="11"/>
        <v>0</v>
      </c>
      <c r="BM20" s="47"/>
      <c r="BN20" s="50"/>
      <c r="BO20" s="51"/>
      <c r="BP20" s="57">
        <f t="shared" si="12"/>
        <v>0</v>
      </c>
      <c r="BQ20" s="47"/>
      <c r="BR20" s="50"/>
      <c r="BS20" s="51"/>
      <c r="BT20" s="57">
        <f t="shared" si="13"/>
        <v>0</v>
      </c>
      <c r="BU20" s="47"/>
      <c r="BV20" s="50"/>
      <c r="BW20" s="51"/>
      <c r="BX20" s="57">
        <f t="shared" si="14"/>
        <v>0</v>
      </c>
      <c r="BY20" s="47"/>
      <c r="BZ20" s="50"/>
      <c r="CA20" s="51"/>
      <c r="CB20" s="57">
        <f t="shared" si="15"/>
        <v>0</v>
      </c>
      <c r="CC20" s="47"/>
      <c r="CD20" s="50"/>
      <c r="CE20" s="51"/>
      <c r="CF20" s="57">
        <f t="shared" si="16"/>
        <v>0</v>
      </c>
      <c r="CG20" s="47"/>
      <c r="CH20" s="50"/>
      <c r="CI20" s="51"/>
      <c r="CJ20" s="57">
        <f t="shared" si="17"/>
        <v>0</v>
      </c>
      <c r="CK20" s="47"/>
      <c r="CL20" s="50"/>
      <c r="CM20" s="51"/>
      <c r="CN20" s="57">
        <f t="shared" si="18"/>
        <v>0</v>
      </c>
      <c r="CO20" s="47"/>
      <c r="CP20" s="50"/>
      <c r="CQ20" s="51"/>
      <c r="CR20" s="57">
        <f t="shared" si="19"/>
        <v>0</v>
      </c>
      <c r="CS20" s="47"/>
      <c r="CT20" s="50"/>
      <c r="CU20" s="51"/>
      <c r="CV20" s="57">
        <f t="shared" si="20"/>
        <v>0</v>
      </c>
      <c r="CW20" s="47"/>
      <c r="CX20" s="50"/>
      <c r="CY20" s="51"/>
      <c r="CZ20" s="57">
        <f t="shared" si="21"/>
        <v>0</v>
      </c>
      <c r="DA20" s="47"/>
      <c r="DB20" s="50"/>
      <c r="DC20" s="51"/>
      <c r="DD20" s="57">
        <f t="shared" si="22"/>
        <v>0</v>
      </c>
      <c r="DE20" s="47"/>
      <c r="DF20" s="50"/>
      <c r="DG20" s="51"/>
      <c r="DH20" s="57">
        <f t="shared" si="23"/>
        <v>0</v>
      </c>
      <c r="DI20" s="47"/>
      <c r="DJ20" s="50"/>
      <c r="DK20" s="51"/>
      <c r="DL20" s="57">
        <f t="shared" si="24"/>
        <v>0</v>
      </c>
      <c r="DM20" s="47"/>
      <c r="DN20" s="50"/>
      <c r="DO20" s="51"/>
      <c r="DP20" s="57">
        <f t="shared" si="25"/>
        <v>0</v>
      </c>
      <c r="DQ20" s="47"/>
      <c r="DR20" s="50"/>
      <c r="DS20" s="51"/>
      <c r="DT20" s="57">
        <f t="shared" si="26"/>
        <v>0</v>
      </c>
      <c r="DU20" s="47"/>
      <c r="DV20" s="50"/>
      <c r="DW20" s="51"/>
      <c r="DX20" s="57">
        <f t="shared" si="27"/>
        <v>0</v>
      </c>
      <c r="DY20" s="47"/>
      <c r="DZ20" s="50"/>
      <c r="EA20" s="51"/>
      <c r="EB20" s="57">
        <f t="shared" si="28"/>
        <v>0</v>
      </c>
      <c r="EC20" s="47"/>
      <c r="ED20" s="50"/>
      <c r="EE20" s="51"/>
      <c r="EF20" s="57">
        <f t="shared" si="29"/>
        <v>0</v>
      </c>
      <c r="EG20" s="47"/>
      <c r="EH20" s="50"/>
      <c r="EI20" s="51"/>
      <c r="EJ20" s="57">
        <f t="shared" si="30"/>
        <v>0</v>
      </c>
      <c r="EK20" s="47"/>
      <c r="EL20" s="50"/>
      <c r="EM20" s="51"/>
      <c r="EN20" s="57">
        <f t="shared" si="31"/>
        <v>0</v>
      </c>
      <c r="EO20" s="47"/>
      <c r="EP20" s="50"/>
      <c r="EQ20" s="51"/>
      <c r="ER20" s="57">
        <f t="shared" si="32"/>
        <v>0</v>
      </c>
      <c r="ES20" s="47"/>
      <c r="ET20" s="50"/>
      <c r="EU20" s="51"/>
      <c r="EV20" s="57">
        <f t="shared" si="33"/>
        <v>0</v>
      </c>
      <c r="EW20" s="47"/>
      <c r="EX20" s="50"/>
      <c r="EY20" s="51"/>
      <c r="EZ20" s="57">
        <f t="shared" si="34"/>
        <v>0</v>
      </c>
      <c r="FA20" s="47"/>
      <c r="FB20" s="50"/>
      <c r="FC20" s="51"/>
      <c r="FD20" s="57">
        <f t="shared" si="35"/>
        <v>0</v>
      </c>
      <c r="FE20" s="47"/>
      <c r="FF20" s="50"/>
      <c r="FG20" s="51"/>
      <c r="FH20" s="57">
        <f t="shared" si="36"/>
        <v>0</v>
      </c>
      <c r="FI20" s="47"/>
      <c r="FJ20" s="50"/>
      <c r="FK20" s="51"/>
      <c r="FL20" s="57">
        <f t="shared" si="37"/>
        <v>0</v>
      </c>
      <c r="FM20" s="47"/>
      <c r="FN20" s="50"/>
      <c r="FO20" s="51"/>
      <c r="FP20" s="57">
        <f t="shared" si="38"/>
        <v>0</v>
      </c>
      <c r="FQ20" s="47"/>
      <c r="FR20" s="50"/>
      <c r="FS20" s="51"/>
      <c r="FT20" s="57">
        <f t="shared" si="39"/>
        <v>0</v>
      </c>
      <c r="FU20" s="47"/>
      <c r="FV20" s="50"/>
      <c r="FW20" s="51"/>
      <c r="FX20" s="57">
        <f t="shared" si="40"/>
        <v>0</v>
      </c>
      <c r="FY20" s="47"/>
      <c r="FZ20" s="50"/>
      <c r="GA20" s="51"/>
      <c r="GB20" s="57">
        <f t="shared" si="41"/>
        <v>0</v>
      </c>
      <c r="GC20" s="47"/>
      <c r="GD20" s="50"/>
      <c r="GE20" s="51"/>
      <c r="GF20" s="57">
        <f t="shared" si="42"/>
        <v>0</v>
      </c>
      <c r="GG20" s="47"/>
      <c r="GH20" s="50"/>
      <c r="GI20" s="51"/>
      <c r="GJ20" s="57">
        <f t="shared" si="43"/>
        <v>0</v>
      </c>
      <c r="GK20" s="47"/>
      <c r="GL20" s="50"/>
      <c r="GM20" s="51"/>
      <c r="GN20" s="57">
        <f t="shared" si="44"/>
        <v>0</v>
      </c>
      <c r="GO20" s="47"/>
      <c r="GP20" s="50"/>
      <c r="GQ20" s="51"/>
      <c r="GR20" s="57">
        <f t="shared" si="45"/>
        <v>0</v>
      </c>
      <c r="GS20" s="47"/>
      <c r="GT20" s="50"/>
      <c r="GU20" s="51"/>
      <c r="GV20" s="57">
        <f t="shared" si="46"/>
        <v>0</v>
      </c>
      <c r="GW20" s="47"/>
      <c r="GX20" s="50"/>
      <c r="GY20" s="51"/>
      <c r="GZ20" s="57">
        <f t="shared" si="47"/>
        <v>0</v>
      </c>
      <c r="HA20" s="47"/>
      <c r="HB20" s="50"/>
      <c r="HC20" s="51"/>
      <c r="HD20" s="57">
        <f t="shared" si="48"/>
        <v>0</v>
      </c>
      <c r="HE20" s="47"/>
      <c r="HF20" s="50"/>
      <c r="HG20" s="51"/>
      <c r="HH20" s="57">
        <f t="shared" si="49"/>
        <v>0</v>
      </c>
      <c r="HI20" s="47"/>
      <c r="HJ20" s="50"/>
      <c r="HK20" s="51"/>
      <c r="HL20" s="57">
        <f t="shared" si="50"/>
        <v>0</v>
      </c>
      <c r="HM20" s="47"/>
      <c r="HN20" s="50"/>
      <c r="HO20" s="51"/>
      <c r="HP20" s="57">
        <f t="shared" si="51"/>
        <v>0</v>
      </c>
      <c r="HQ20" s="47"/>
      <c r="HR20" s="50"/>
      <c r="HS20" s="51"/>
      <c r="HT20" s="57">
        <f t="shared" si="52"/>
        <v>0</v>
      </c>
      <c r="HU20" s="47"/>
      <c r="HV20" s="50"/>
      <c r="HW20" s="51"/>
      <c r="HX20" s="57">
        <f t="shared" si="53"/>
        <v>0</v>
      </c>
      <c r="HY20" s="47"/>
      <c r="HZ20" s="50"/>
      <c r="IA20" s="51"/>
      <c r="IB20" s="57">
        <f t="shared" si="54"/>
        <v>0</v>
      </c>
      <c r="IC20" s="47"/>
      <c r="ID20" s="50"/>
      <c r="IE20" s="51"/>
      <c r="IF20" s="57">
        <f t="shared" si="55"/>
        <v>0</v>
      </c>
      <c r="IG20" s="47"/>
      <c r="IH20" s="50"/>
      <c r="II20" s="51"/>
      <c r="IJ20" s="57">
        <f t="shared" si="56"/>
        <v>0</v>
      </c>
      <c r="IK20" s="47"/>
      <c r="IL20" s="50"/>
      <c r="IM20" s="51"/>
      <c r="IN20" s="57">
        <f t="shared" si="57"/>
        <v>0</v>
      </c>
      <c r="IO20" s="47"/>
      <c r="IP20" s="50"/>
      <c r="IQ20" s="51"/>
      <c r="IR20" s="57">
        <f t="shared" si="58"/>
        <v>0</v>
      </c>
      <c r="IS20" s="47"/>
      <c r="IT20" s="50"/>
      <c r="IU20" s="51"/>
      <c r="IV20" s="57">
        <f t="shared" si="59"/>
        <v>0</v>
      </c>
      <c r="IW20" s="47"/>
      <c r="IX20" s="50"/>
      <c r="IY20" s="51"/>
      <c r="IZ20" s="57">
        <f t="shared" si="60"/>
        <v>0</v>
      </c>
      <c r="JA20" s="47"/>
      <c r="JB20" s="36" t="e">
        <f t="shared" si="61"/>
        <v>#VALUE!</v>
      </c>
      <c r="JC20" s="36" t="e">
        <f t="shared" si="62"/>
        <v>#VALUE!</v>
      </c>
      <c r="JD20" s="36" t="e">
        <f t="shared" si="63"/>
        <v>#VALUE!</v>
      </c>
      <c r="JE20" s="36" t="e">
        <f t="shared" si="67"/>
        <v>#VALUE!</v>
      </c>
      <c r="JF20" s="36"/>
      <c r="JP20" s="36"/>
    </row>
    <row r="21" spans="2:276" ht="30" customHeight="1" x14ac:dyDescent="0.3">
      <c r="B21" s="23">
        <v>12</v>
      </c>
      <c r="C21" s="77" t="e">
        <f>VLOOKUP(#REF!,EMPLEADO!C:Q,15,FALSE)</f>
        <v>#REF!</v>
      </c>
      <c r="D21" s="17" t="s">
        <v>54</v>
      </c>
      <c r="E21" s="40" t="s">
        <v>17</v>
      </c>
      <c r="F21" s="50"/>
      <c r="G21" s="51"/>
      <c r="H21" s="57">
        <f t="shared" si="64"/>
        <v>0</v>
      </c>
      <c r="I21" s="47"/>
      <c r="J21" s="50"/>
      <c r="K21" s="51"/>
      <c r="L21" s="57">
        <f t="shared" si="0"/>
        <v>0</v>
      </c>
      <c r="M21" s="47"/>
      <c r="N21" s="52"/>
      <c r="O21" s="53"/>
      <c r="P21" s="57">
        <f t="shared" si="1"/>
        <v>0</v>
      </c>
      <c r="Q21" s="47"/>
      <c r="R21" s="53"/>
      <c r="S21" s="53"/>
      <c r="T21" s="57">
        <f t="shared" si="65"/>
        <v>0</v>
      </c>
      <c r="U21" s="47"/>
      <c r="V21" s="50"/>
      <c r="W21" s="51"/>
      <c r="X21" s="57">
        <f t="shared" si="2"/>
        <v>0</v>
      </c>
      <c r="Y21" s="47"/>
      <c r="Z21" s="50"/>
      <c r="AA21" s="51"/>
      <c r="AB21" s="57">
        <f t="shared" si="3"/>
        <v>0</v>
      </c>
      <c r="AC21" s="47"/>
      <c r="AD21" s="50"/>
      <c r="AE21" s="51"/>
      <c r="AF21" s="57">
        <f t="shared" si="4"/>
        <v>0</v>
      </c>
      <c r="AG21" s="47"/>
      <c r="AH21" s="53"/>
      <c r="AI21" s="53"/>
      <c r="AJ21" s="75">
        <f t="shared" si="66"/>
        <v>0</v>
      </c>
      <c r="AK21" s="47"/>
      <c r="AL21" s="50"/>
      <c r="AM21" s="51"/>
      <c r="AN21" s="57">
        <f t="shared" si="5"/>
        <v>0</v>
      </c>
      <c r="AO21" s="47"/>
      <c r="AP21" s="50"/>
      <c r="AQ21" s="51"/>
      <c r="AR21" s="57">
        <f t="shared" si="6"/>
        <v>0</v>
      </c>
      <c r="AS21" s="47"/>
      <c r="AT21" s="50"/>
      <c r="AU21" s="51"/>
      <c r="AV21" s="57">
        <f t="shared" si="7"/>
        <v>0</v>
      </c>
      <c r="AW21" s="47"/>
      <c r="AX21" s="50"/>
      <c r="AY21" s="51"/>
      <c r="AZ21" s="57">
        <f t="shared" si="8"/>
        <v>0</v>
      </c>
      <c r="BA21" s="47"/>
      <c r="BB21" s="50"/>
      <c r="BC21" s="51"/>
      <c r="BD21" s="57">
        <f t="shared" si="9"/>
        <v>0</v>
      </c>
      <c r="BE21" s="47"/>
      <c r="BF21" s="50"/>
      <c r="BG21" s="51"/>
      <c r="BH21" s="57">
        <f t="shared" si="10"/>
        <v>0</v>
      </c>
      <c r="BI21" s="47"/>
      <c r="BJ21" s="50"/>
      <c r="BK21" s="51"/>
      <c r="BL21" s="57">
        <f t="shared" si="11"/>
        <v>0</v>
      </c>
      <c r="BM21" s="47"/>
      <c r="BN21" s="50"/>
      <c r="BO21" s="51"/>
      <c r="BP21" s="57">
        <f t="shared" si="12"/>
        <v>0</v>
      </c>
      <c r="BQ21" s="47"/>
      <c r="BR21" s="50"/>
      <c r="BS21" s="51"/>
      <c r="BT21" s="57">
        <f t="shared" si="13"/>
        <v>0</v>
      </c>
      <c r="BU21" s="47"/>
      <c r="BV21" s="50"/>
      <c r="BW21" s="51"/>
      <c r="BX21" s="57">
        <f t="shared" si="14"/>
        <v>0</v>
      </c>
      <c r="BY21" s="47"/>
      <c r="BZ21" s="50"/>
      <c r="CA21" s="51"/>
      <c r="CB21" s="57">
        <f t="shared" si="15"/>
        <v>0</v>
      </c>
      <c r="CC21" s="47"/>
      <c r="CD21" s="50"/>
      <c r="CE21" s="51"/>
      <c r="CF21" s="57">
        <f t="shared" si="16"/>
        <v>0</v>
      </c>
      <c r="CG21" s="47"/>
      <c r="CH21" s="50"/>
      <c r="CI21" s="51"/>
      <c r="CJ21" s="57">
        <f t="shared" si="17"/>
        <v>0</v>
      </c>
      <c r="CK21" s="47"/>
      <c r="CL21" s="50"/>
      <c r="CM21" s="51"/>
      <c r="CN21" s="57">
        <f t="shared" si="18"/>
        <v>0</v>
      </c>
      <c r="CO21" s="47"/>
      <c r="CP21" s="50"/>
      <c r="CQ21" s="51"/>
      <c r="CR21" s="57">
        <f t="shared" si="19"/>
        <v>0</v>
      </c>
      <c r="CS21" s="47"/>
      <c r="CT21" s="50"/>
      <c r="CU21" s="51"/>
      <c r="CV21" s="57">
        <f t="shared" si="20"/>
        <v>0</v>
      </c>
      <c r="CW21" s="47"/>
      <c r="CX21" s="50"/>
      <c r="CY21" s="51"/>
      <c r="CZ21" s="57">
        <f t="shared" si="21"/>
        <v>0</v>
      </c>
      <c r="DA21" s="47"/>
      <c r="DB21" s="50"/>
      <c r="DC21" s="51"/>
      <c r="DD21" s="57">
        <f t="shared" si="22"/>
        <v>0</v>
      </c>
      <c r="DE21" s="47"/>
      <c r="DF21" s="50"/>
      <c r="DG21" s="51"/>
      <c r="DH21" s="57">
        <f t="shared" si="23"/>
        <v>0</v>
      </c>
      <c r="DI21" s="47"/>
      <c r="DJ21" s="50"/>
      <c r="DK21" s="51"/>
      <c r="DL21" s="57">
        <f t="shared" si="24"/>
        <v>0</v>
      </c>
      <c r="DM21" s="47"/>
      <c r="DN21" s="50"/>
      <c r="DO21" s="51"/>
      <c r="DP21" s="57">
        <f t="shared" si="25"/>
        <v>0</v>
      </c>
      <c r="DQ21" s="47"/>
      <c r="DR21" s="50"/>
      <c r="DS21" s="51"/>
      <c r="DT21" s="57">
        <f t="shared" si="26"/>
        <v>0</v>
      </c>
      <c r="DU21" s="47"/>
      <c r="DV21" s="50"/>
      <c r="DW21" s="51"/>
      <c r="DX21" s="57">
        <f t="shared" si="27"/>
        <v>0</v>
      </c>
      <c r="DY21" s="47"/>
      <c r="DZ21" s="50"/>
      <c r="EA21" s="51"/>
      <c r="EB21" s="57">
        <f t="shared" si="28"/>
        <v>0</v>
      </c>
      <c r="EC21" s="47"/>
      <c r="ED21" s="50"/>
      <c r="EE21" s="51"/>
      <c r="EF21" s="57">
        <f t="shared" si="29"/>
        <v>0</v>
      </c>
      <c r="EG21" s="47"/>
      <c r="EH21" s="50"/>
      <c r="EI21" s="51"/>
      <c r="EJ21" s="57">
        <f t="shared" si="30"/>
        <v>0</v>
      </c>
      <c r="EK21" s="47"/>
      <c r="EL21" s="50"/>
      <c r="EM21" s="51"/>
      <c r="EN21" s="57">
        <f t="shared" si="31"/>
        <v>0</v>
      </c>
      <c r="EO21" s="47"/>
      <c r="EP21" s="50"/>
      <c r="EQ21" s="51"/>
      <c r="ER21" s="57">
        <f t="shared" si="32"/>
        <v>0</v>
      </c>
      <c r="ES21" s="47"/>
      <c r="ET21" s="50"/>
      <c r="EU21" s="51"/>
      <c r="EV21" s="57">
        <f t="shared" si="33"/>
        <v>0</v>
      </c>
      <c r="EW21" s="47"/>
      <c r="EX21" s="50"/>
      <c r="EY21" s="51"/>
      <c r="EZ21" s="57">
        <f t="shared" si="34"/>
        <v>0</v>
      </c>
      <c r="FA21" s="47"/>
      <c r="FB21" s="50"/>
      <c r="FC21" s="51"/>
      <c r="FD21" s="57">
        <f t="shared" si="35"/>
        <v>0</v>
      </c>
      <c r="FE21" s="47"/>
      <c r="FF21" s="50"/>
      <c r="FG21" s="51"/>
      <c r="FH21" s="57">
        <f t="shared" si="36"/>
        <v>0</v>
      </c>
      <c r="FI21" s="47"/>
      <c r="FJ21" s="50"/>
      <c r="FK21" s="51"/>
      <c r="FL21" s="57">
        <f t="shared" si="37"/>
        <v>0</v>
      </c>
      <c r="FM21" s="47"/>
      <c r="FN21" s="50"/>
      <c r="FO21" s="51"/>
      <c r="FP21" s="57">
        <f t="shared" si="38"/>
        <v>0</v>
      </c>
      <c r="FQ21" s="47"/>
      <c r="FR21" s="50"/>
      <c r="FS21" s="51"/>
      <c r="FT21" s="57">
        <f t="shared" si="39"/>
        <v>0</v>
      </c>
      <c r="FU21" s="47"/>
      <c r="FV21" s="50"/>
      <c r="FW21" s="51"/>
      <c r="FX21" s="57">
        <f t="shared" si="40"/>
        <v>0</v>
      </c>
      <c r="FY21" s="47"/>
      <c r="FZ21" s="50"/>
      <c r="GA21" s="51"/>
      <c r="GB21" s="57">
        <f t="shared" si="41"/>
        <v>0</v>
      </c>
      <c r="GC21" s="47"/>
      <c r="GD21" s="50"/>
      <c r="GE21" s="51"/>
      <c r="GF21" s="57">
        <f t="shared" si="42"/>
        <v>0</v>
      </c>
      <c r="GG21" s="47"/>
      <c r="GH21" s="50"/>
      <c r="GI21" s="51"/>
      <c r="GJ21" s="57">
        <f t="shared" si="43"/>
        <v>0</v>
      </c>
      <c r="GK21" s="47"/>
      <c r="GL21" s="50"/>
      <c r="GM21" s="51"/>
      <c r="GN21" s="57">
        <f t="shared" si="44"/>
        <v>0</v>
      </c>
      <c r="GO21" s="47"/>
      <c r="GP21" s="50"/>
      <c r="GQ21" s="51"/>
      <c r="GR21" s="57">
        <f t="shared" si="45"/>
        <v>0</v>
      </c>
      <c r="GS21" s="47"/>
      <c r="GT21" s="50"/>
      <c r="GU21" s="51"/>
      <c r="GV21" s="57">
        <f t="shared" si="46"/>
        <v>0</v>
      </c>
      <c r="GW21" s="47"/>
      <c r="GX21" s="50"/>
      <c r="GY21" s="51"/>
      <c r="GZ21" s="57">
        <f t="shared" si="47"/>
        <v>0</v>
      </c>
      <c r="HA21" s="47"/>
      <c r="HB21" s="50"/>
      <c r="HC21" s="51"/>
      <c r="HD21" s="57">
        <f t="shared" si="48"/>
        <v>0</v>
      </c>
      <c r="HE21" s="47"/>
      <c r="HF21" s="50"/>
      <c r="HG21" s="51"/>
      <c r="HH21" s="57">
        <f t="shared" si="49"/>
        <v>0</v>
      </c>
      <c r="HI21" s="47"/>
      <c r="HJ21" s="50"/>
      <c r="HK21" s="51"/>
      <c r="HL21" s="57">
        <f t="shared" si="50"/>
        <v>0</v>
      </c>
      <c r="HM21" s="47"/>
      <c r="HN21" s="50"/>
      <c r="HO21" s="51"/>
      <c r="HP21" s="57">
        <f t="shared" si="51"/>
        <v>0</v>
      </c>
      <c r="HQ21" s="47"/>
      <c r="HR21" s="50"/>
      <c r="HS21" s="51"/>
      <c r="HT21" s="57">
        <f t="shared" si="52"/>
        <v>0</v>
      </c>
      <c r="HU21" s="47"/>
      <c r="HV21" s="50"/>
      <c r="HW21" s="51"/>
      <c r="HX21" s="57">
        <f t="shared" si="53"/>
        <v>0</v>
      </c>
      <c r="HY21" s="47"/>
      <c r="HZ21" s="50"/>
      <c r="IA21" s="51"/>
      <c r="IB21" s="57">
        <f t="shared" si="54"/>
        <v>0</v>
      </c>
      <c r="IC21" s="47"/>
      <c r="ID21" s="50"/>
      <c r="IE21" s="51"/>
      <c r="IF21" s="57">
        <f t="shared" si="55"/>
        <v>0</v>
      </c>
      <c r="IG21" s="47"/>
      <c r="IH21" s="50"/>
      <c r="II21" s="51"/>
      <c r="IJ21" s="57">
        <f t="shared" si="56"/>
        <v>0</v>
      </c>
      <c r="IK21" s="47"/>
      <c r="IL21" s="50"/>
      <c r="IM21" s="51"/>
      <c r="IN21" s="57">
        <f t="shared" si="57"/>
        <v>0</v>
      </c>
      <c r="IO21" s="47"/>
      <c r="IP21" s="50"/>
      <c r="IQ21" s="51"/>
      <c r="IR21" s="57">
        <f t="shared" si="58"/>
        <v>0</v>
      </c>
      <c r="IS21" s="47"/>
      <c r="IT21" s="50"/>
      <c r="IU21" s="51"/>
      <c r="IV21" s="57">
        <f t="shared" si="59"/>
        <v>0</v>
      </c>
      <c r="IW21" s="47"/>
      <c r="IX21" s="50"/>
      <c r="IY21" s="51"/>
      <c r="IZ21" s="57">
        <f t="shared" si="60"/>
        <v>0</v>
      </c>
      <c r="JA21" s="47"/>
      <c r="JB21" s="36" t="e">
        <f t="shared" si="61"/>
        <v>#VALUE!</v>
      </c>
      <c r="JC21" s="36" t="e">
        <f t="shared" si="62"/>
        <v>#VALUE!</v>
      </c>
      <c r="JD21" s="36" t="e">
        <f t="shared" si="63"/>
        <v>#VALUE!</v>
      </c>
      <c r="JE21" s="36" t="e">
        <f t="shared" si="67"/>
        <v>#VALUE!</v>
      </c>
      <c r="JF21" s="36"/>
      <c r="JP21" s="36"/>
    </row>
    <row r="22" spans="2:276" ht="30" customHeight="1" x14ac:dyDescent="0.3">
      <c r="B22" s="23">
        <v>13</v>
      </c>
      <c r="C22" s="77" t="e">
        <f>VLOOKUP(#REF!,EMPLEADO!C:Q,15,FALSE)</f>
        <v>#REF!</v>
      </c>
      <c r="D22" s="16" t="s">
        <v>55</v>
      </c>
      <c r="E22" s="39" t="s">
        <v>17</v>
      </c>
      <c r="F22" s="52"/>
      <c r="G22" s="53"/>
      <c r="H22" s="57">
        <f t="shared" si="64"/>
        <v>0</v>
      </c>
      <c r="I22" s="47"/>
      <c r="J22" s="50"/>
      <c r="K22" s="51"/>
      <c r="L22" s="57">
        <f t="shared" si="0"/>
        <v>0</v>
      </c>
      <c r="M22" s="47"/>
      <c r="N22" s="52"/>
      <c r="O22" s="53"/>
      <c r="P22" s="57">
        <f t="shared" si="1"/>
        <v>0</v>
      </c>
      <c r="Q22" s="47"/>
      <c r="R22" s="53"/>
      <c r="S22" s="53"/>
      <c r="T22" s="57">
        <f t="shared" si="65"/>
        <v>0</v>
      </c>
      <c r="U22" s="47"/>
      <c r="V22" s="50"/>
      <c r="W22" s="51"/>
      <c r="X22" s="57">
        <f t="shared" si="2"/>
        <v>0</v>
      </c>
      <c r="Y22" s="47"/>
      <c r="Z22" s="50"/>
      <c r="AA22" s="51"/>
      <c r="AB22" s="57">
        <f t="shared" si="3"/>
        <v>0</v>
      </c>
      <c r="AC22" s="47"/>
      <c r="AD22" s="50"/>
      <c r="AE22" s="51"/>
      <c r="AF22" s="57">
        <f t="shared" si="4"/>
        <v>0</v>
      </c>
      <c r="AG22" s="47"/>
      <c r="AH22" s="53"/>
      <c r="AI22" s="53"/>
      <c r="AJ22" s="75">
        <f t="shared" si="66"/>
        <v>0</v>
      </c>
      <c r="AK22" s="47"/>
      <c r="AL22" s="50"/>
      <c r="AM22" s="51"/>
      <c r="AN22" s="57">
        <f t="shared" si="5"/>
        <v>0</v>
      </c>
      <c r="AO22" s="47"/>
      <c r="AP22" s="50"/>
      <c r="AQ22" s="51"/>
      <c r="AR22" s="57">
        <f t="shared" si="6"/>
        <v>0</v>
      </c>
      <c r="AS22" s="47"/>
      <c r="AT22" s="50"/>
      <c r="AU22" s="51"/>
      <c r="AV22" s="57">
        <f t="shared" si="7"/>
        <v>0</v>
      </c>
      <c r="AW22" s="47"/>
      <c r="AX22" s="50"/>
      <c r="AY22" s="51"/>
      <c r="AZ22" s="57">
        <f t="shared" si="8"/>
        <v>0</v>
      </c>
      <c r="BA22" s="47"/>
      <c r="BB22" s="50"/>
      <c r="BC22" s="51"/>
      <c r="BD22" s="57">
        <f t="shared" si="9"/>
        <v>0</v>
      </c>
      <c r="BE22" s="47"/>
      <c r="BF22" s="50"/>
      <c r="BG22" s="51"/>
      <c r="BH22" s="57">
        <f t="shared" si="10"/>
        <v>0</v>
      </c>
      <c r="BI22" s="47"/>
      <c r="BJ22" s="50"/>
      <c r="BK22" s="51"/>
      <c r="BL22" s="57">
        <f t="shared" si="11"/>
        <v>0</v>
      </c>
      <c r="BM22" s="47"/>
      <c r="BN22" s="50"/>
      <c r="BO22" s="51"/>
      <c r="BP22" s="57">
        <f t="shared" si="12"/>
        <v>0</v>
      </c>
      <c r="BQ22" s="47"/>
      <c r="BR22" s="50"/>
      <c r="BS22" s="51"/>
      <c r="BT22" s="57">
        <f t="shared" si="13"/>
        <v>0</v>
      </c>
      <c r="BU22" s="47"/>
      <c r="BV22" s="50"/>
      <c r="BW22" s="51"/>
      <c r="BX22" s="57">
        <f t="shared" si="14"/>
        <v>0</v>
      </c>
      <c r="BY22" s="47"/>
      <c r="BZ22" s="50"/>
      <c r="CA22" s="51"/>
      <c r="CB22" s="57">
        <f t="shared" si="15"/>
        <v>0</v>
      </c>
      <c r="CC22" s="47"/>
      <c r="CD22" s="50"/>
      <c r="CE22" s="51"/>
      <c r="CF22" s="57">
        <f t="shared" si="16"/>
        <v>0</v>
      </c>
      <c r="CG22" s="47"/>
      <c r="CH22" s="50"/>
      <c r="CI22" s="51"/>
      <c r="CJ22" s="57">
        <f t="shared" si="17"/>
        <v>0</v>
      </c>
      <c r="CK22" s="47"/>
      <c r="CL22" s="50"/>
      <c r="CM22" s="51"/>
      <c r="CN22" s="57">
        <f t="shared" si="18"/>
        <v>0</v>
      </c>
      <c r="CO22" s="47"/>
      <c r="CP22" s="50"/>
      <c r="CQ22" s="51"/>
      <c r="CR22" s="57">
        <f t="shared" si="19"/>
        <v>0</v>
      </c>
      <c r="CS22" s="47"/>
      <c r="CT22" s="50"/>
      <c r="CU22" s="51"/>
      <c r="CV22" s="57">
        <f t="shared" si="20"/>
        <v>0</v>
      </c>
      <c r="CW22" s="47"/>
      <c r="CX22" s="50"/>
      <c r="CY22" s="51"/>
      <c r="CZ22" s="57">
        <f t="shared" si="21"/>
        <v>0</v>
      </c>
      <c r="DA22" s="47"/>
      <c r="DB22" s="50"/>
      <c r="DC22" s="51"/>
      <c r="DD22" s="57">
        <f t="shared" si="22"/>
        <v>0</v>
      </c>
      <c r="DE22" s="47"/>
      <c r="DF22" s="50"/>
      <c r="DG22" s="51"/>
      <c r="DH22" s="57">
        <f t="shared" si="23"/>
        <v>0</v>
      </c>
      <c r="DI22" s="47"/>
      <c r="DJ22" s="50"/>
      <c r="DK22" s="51"/>
      <c r="DL22" s="57">
        <f t="shared" si="24"/>
        <v>0</v>
      </c>
      <c r="DM22" s="47"/>
      <c r="DN22" s="50"/>
      <c r="DO22" s="51"/>
      <c r="DP22" s="57">
        <f t="shared" si="25"/>
        <v>0</v>
      </c>
      <c r="DQ22" s="47"/>
      <c r="DR22" s="50"/>
      <c r="DS22" s="51"/>
      <c r="DT22" s="57">
        <f t="shared" si="26"/>
        <v>0</v>
      </c>
      <c r="DU22" s="47"/>
      <c r="DV22" s="50"/>
      <c r="DW22" s="51"/>
      <c r="DX22" s="57">
        <f t="shared" si="27"/>
        <v>0</v>
      </c>
      <c r="DY22" s="47"/>
      <c r="DZ22" s="50"/>
      <c r="EA22" s="51"/>
      <c r="EB22" s="57">
        <f t="shared" si="28"/>
        <v>0</v>
      </c>
      <c r="EC22" s="47"/>
      <c r="ED22" s="50"/>
      <c r="EE22" s="51"/>
      <c r="EF22" s="57">
        <f t="shared" si="29"/>
        <v>0</v>
      </c>
      <c r="EG22" s="47"/>
      <c r="EH22" s="50"/>
      <c r="EI22" s="51"/>
      <c r="EJ22" s="57">
        <f t="shared" si="30"/>
        <v>0</v>
      </c>
      <c r="EK22" s="47"/>
      <c r="EL22" s="50"/>
      <c r="EM22" s="51"/>
      <c r="EN22" s="57">
        <f t="shared" si="31"/>
        <v>0</v>
      </c>
      <c r="EO22" s="47"/>
      <c r="EP22" s="50"/>
      <c r="EQ22" s="51"/>
      <c r="ER22" s="57">
        <f t="shared" si="32"/>
        <v>0</v>
      </c>
      <c r="ES22" s="47"/>
      <c r="ET22" s="50"/>
      <c r="EU22" s="51"/>
      <c r="EV22" s="57">
        <f t="shared" si="33"/>
        <v>0</v>
      </c>
      <c r="EW22" s="47"/>
      <c r="EX22" s="50"/>
      <c r="EY22" s="51"/>
      <c r="EZ22" s="57">
        <f t="shared" si="34"/>
        <v>0</v>
      </c>
      <c r="FA22" s="47"/>
      <c r="FB22" s="50"/>
      <c r="FC22" s="51"/>
      <c r="FD22" s="57">
        <f t="shared" si="35"/>
        <v>0</v>
      </c>
      <c r="FE22" s="47"/>
      <c r="FF22" s="50"/>
      <c r="FG22" s="51"/>
      <c r="FH22" s="57">
        <f t="shared" si="36"/>
        <v>0</v>
      </c>
      <c r="FI22" s="47"/>
      <c r="FJ22" s="50"/>
      <c r="FK22" s="51"/>
      <c r="FL22" s="57">
        <f t="shared" si="37"/>
        <v>0</v>
      </c>
      <c r="FM22" s="47"/>
      <c r="FN22" s="50"/>
      <c r="FO22" s="51"/>
      <c r="FP22" s="57">
        <f t="shared" si="38"/>
        <v>0</v>
      </c>
      <c r="FQ22" s="47"/>
      <c r="FR22" s="50"/>
      <c r="FS22" s="51"/>
      <c r="FT22" s="57">
        <f t="shared" si="39"/>
        <v>0</v>
      </c>
      <c r="FU22" s="47"/>
      <c r="FV22" s="50"/>
      <c r="FW22" s="51"/>
      <c r="FX22" s="57">
        <f t="shared" si="40"/>
        <v>0</v>
      </c>
      <c r="FY22" s="47"/>
      <c r="FZ22" s="50"/>
      <c r="GA22" s="51"/>
      <c r="GB22" s="57">
        <f t="shared" si="41"/>
        <v>0</v>
      </c>
      <c r="GC22" s="47"/>
      <c r="GD22" s="50"/>
      <c r="GE22" s="51"/>
      <c r="GF22" s="57">
        <f t="shared" si="42"/>
        <v>0</v>
      </c>
      <c r="GG22" s="47"/>
      <c r="GH22" s="50"/>
      <c r="GI22" s="51"/>
      <c r="GJ22" s="57">
        <f t="shared" si="43"/>
        <v>0</v>
      </c>
      <c r="GK22" s="47"/>
      <c r="GL22" s="50"/>
      <c r="GM22" s="51"/>
      <c r="GN22" s="57">
        <f t="shared" si="44"/>
        <v>0</v>
      </c>
      <c r="GO22" s="47"/>
      <c r="GP22" s="50"/>
      <c r="GQ22" s="51"/>
      <c r="GR22" s="57">
        <f t="shared" si="45"/>
        <v>0</v>
      </c>
      <c r="GS22" s="47"/>
      <c r="GT22" s="50"/>
      <c r="GU22" s="51"/>
      <c r="GV22" s="57">
        <f t="shared" si="46"/>
        <v>0</v>
      </c>
      <c r="GW22" s="47"/>
      <c r="GX22" s="50"/>
      <c r="GY22" s="51"/>
      <c r="GZ22" s="57">
        <f t="shared" si="47"/>
        <v>0</v>
      </c>
      <c r="HA22" s="47"/>
      <c r="HB22" s="50"/>
      <c r="HC22" s="51"/>
      <c r="HD22" s="57">
        <f t="shared" si="48"/>
        <v>0</v>
      </c>
      <c r="HE22" s="47"/>
      <c r="HF22" s="50"/>
      <c r="HG22" s="51"/>
      <c r="HH22" s="57">
        <f t="shared" si="49"/>
        <v>0</v>
      </c>
      <c r="HI22" s="47"/>
      <c r="HJ22" s="50"/>
      <c r="HK22" s="51"/>
      <c r="HL22" s="57">
        <f t="shared" si="50"/>
        <v>0</v>
      </c>
      <c r="HM22" s="47"/>
      <c r="HN22" s="50"/>
      <c r="HO22" s="51"/>
      <c r="HP22" s="57">
        <f t="shared" si="51"/>
        <v>0</v>
      </c>
      <c r="HQ22" s="47"/>
      <c r="HR22" s="50"/>
      <c r="HS22" s="51"/>
      <c r="HT22" s="57">
        <f t="shared" si="52"/>
        <v>0</v>
      </c>
      <c r="HU22" s="47"/>
      <c r="HV22" s="50"/>
      <c r="HW22" s="51"/>
      <c r="HX22" s="57">
        <f t="shared" si="53"/>
        <v>0</v>
      </c>
      <c r="HY22" s="47"/>
      <c r="HZ22" s="50"/>
      <c r="IA22" s="51"/>
      <c r="IB22" s="57">
        <f t="shared" si="54"/>
        <v>0</v>
      </c>
      <c r="IC22" s="47"/>
      <c r="ID22" s="50"/>
      <c r="IE22" s="51"/>
      <c r="IF22" s="57">
        <f t="shared" si="55"/>
        <v>0</v>
      </c>
      <c r="IG22" s="47"/>
      <c r="IH22" s="50"/>
      <c r="II22" s="51"/>
      <c r="IJ22" s="57">
        <f t="shared" si="56"/>
        <v>0</v>
      </c>
      <c r="IK22" s="47"/>
      <c r="IL22" s="50"/>
      <c r="IM22" s="51"/>
      <c r="IN22" s="57">
        <f t="shared" si="57"/>
        <v>0</v>
      </c>
      <c r="IO22" s="47"/>
      <c r="IP22" s="50"/>
      <c r="IQ22" s="51"/>
      <c r="IR22" s="57">
        <f t="shared" si="58"/>
        <v>0</v>
      </c>
      <c r="IS22" s="47"/>
      <c r="IT22" s="50"/>
      <c r="IU22" s="51"/>
      <c r="IV22" s="57">
        <f t="shared" si="59"/>
        <v>0</v>
      </c>
      <c r="IW22" s="47"/>
      <c r="IX22" s="50"/>
      <c r="IY22" s="51"/>
      <c r="IZ22" s="57">
        <f t="shared" si="60"/>
        <v>0</v>
      </c>
      <c r="JA22" s="47"/>
      <c r="JB22" s="36" t="e">
        <f t="shared" si="61"/>
        <v>#VALUE!</v>
      </c>
      <c r="JC22" s="36" t="e">
        <f t="shared" si="62"/>
        <v>#VALUE!</v>
      </c>
      <c r="JD22" s="36" t="e">
        <f t="shared" si="63"/>
        <v>#VALUE!</v>
      </c>
      <c r="JE22" s="36" t="e">
        <f t="shared" si="67"/>
        <v>#VALUE!</v>
      </c>
      <c r="JF22" s="36"/>
      <c r="JP22" s="36"/>
    </row>
    <row r="23" spans="2:276" ht="30" customHeight="1" x14ac:dyDescent="0.3">
      <c r="B23" s="23">
        <v>14</v>
      </c>
      <c r="C23" s="77" t="e">
        <f>VLOOKUP(#REF!,EMPLEADO!C:Q,15,FALSE)</f>
        <v>#REF!</v>
      </c>
      <c r="D23" s="16" t="s">
        <v>78</v>
      </c>
      <c r="E23" s="39" t="s">
        <v>17</v>
      </c>
      <c r="F23" s="50"/>
      <c r="G23" s="51"/>
      <c r="H23" s="57">
        <f t="shared" si="64"/>
        <v>0</v>
      </c>
      <c r="I23" s="47"/>
      <c r="J23" s="50"/>
      <c r="K23" s="51"/>
      <c r="L23" s="57">
        <f t="shared" si="0"/>
        <v>0</v>
      </c>
      <c r="M23" s="47"/>
      <c r="N23" s="52"/>
      <c r="O23" s="53"/>
      <c r="P23" s="57">
        <f t="shared" si="1"/>
        <v>0</v>
      </c>
      <c r="Q23" s="47"/>
      <c r="R23" s="53"/>
      <c r="S23" s="53"/>
      <c r="T23" s="57">
        <f t="shared" si="65"/>
        <v>0</v>
      </c>
      <c r="U23" s="47"/>
      <c r="V23" s="50"/>
      <c r="W23" s="51"/>
      <c r="X23" s="57">
        <f t="shared" si="2"/>
        <v>0</v>
      </c>
      <c r="Y23" s="47"/>
      <c r="Z23" s="50"/>
      <c r="AA23" s="51"/>
      <c r="AB23" s="57">
        <f t="shared" si="3"/>
        <v>0</v>
      </c>
      <c r="AC23" s="47"/>
      <c r="AD23" s="50"/>
      <c r="AE23" s="51"/>
      <c r="AF23" s="57">
        <f t="shared" si="4"/>
        <v>0</v>
      </c>
      <c r="AG23" s="47"/>
      <c r="AH23" s="53"/>
      <c r="AI23" s="53"/>
      <c r="AJ23" s="75">
        <f t="shared" si="66"/>
        <v>0</v>
      </c>
      <c r="AK23" s="47"/>
      <c r="AL23" s="50"/>
      <c r="AM23" s="51"/>
      <c r="AN23" s="57">
        <f t="shared" si="5"/>
        <v>0</v>
      </c>
      <c r="AO23" s="47"/>
      <c r="AP23" s="50"/>
      <c r="AQ23" s="51"/>
      <c r="AR23" s="57">
        <f t="shared" si="6"/>
        <v>0</v>
      </c>
      <c r="AS23" s="47"/>
      <c r="AT23" s="50"/>
      <c r="AU23" s="51"/>
      <c r="AV23" s="57">
        <f t="shared" si="7"/>
        <v>0</v>
      </c>
      <c r="AW23" s="47"/>
      <c r="AX23" s="50"/>
      <c r="AY23" s="51"/>
      <c r="AZ23" s="57">
        <f t="shared" si="8"/>
        <v>0</v>
      </c>
      <c r="BA23" s="47"/>
      <c r="BB23" s="50"/>
      <c r="BC23" s="51"/>
      <c r="BD23" s="57">
        <f t="shared" si="9"/>
        <v>0</v>
      </c>
      <c r="BE23" s="47"/>
      <c r="BF23" s="50"/>
      <c r="BG23" s="51"/>
      <c r="BH23" s="57">
        <f t="shared" si="10"/>
        <v>0</v>
      </c>
      <c r="BI23" s="47"/>
      <c r="BJ23" s="50"/>
      <c r="BK23" s="51"/>
      <c r="BL23" s="57">
        <f t="shared" si="11"/>
        <v>0</v>
      </c>
      <c r="BM23" s="47"/>
      <c r="BN23" s="50"/>
      <c r="BO23" s="51"/>
      <c r="BP23" s="57">
        <f t="shared" si="12"/>
        <v>0</v>
      </c>
      <c r="BQ23" s="47"/>
      <c r="BR23" s="50"/>
      <c r="BS23" s="51"/>
      <c r="BT23" s="57">
        <f t="shared" si="13"/>
        <v>0</v>
      </c>
      <c r="BU23" s="47"/>
      <c r="BV23" s="50"/>
      <c r="BW23" s="51"/>
      <c r="BX23" s="57">
        <f t="shared" si="14"/>
        <v>0</v>
      </c>
      <c r="BY23" s="47"/>
      <c r="BZ23" s="50"/>
      <c r="CA23" s="51"/>
      <c r="CB23" s="57">
        <f t="shared" si="15"/>
        <v>0</v>
      </c>
      <c r="CC23" s="47"/>
      <c r="CD23" s="50"/>
      <c r="CE23" s="51"/>
      <c r="CF23" s="57">
        <f t="shared" si="16"/>
        <v>0</v>
      </c>
      <c r="CG23" s="47"/>
      <c r="CH23" s="50"/>
      <c r="CI23" s="51"/>
      <c r="CJ23" s="57">
        <f t="shared" si="17"/>
        <v>0</v>
      </c>
      <c r="CK23" s="47"/>
      <c r="CL23" s="50"/>
      <c r="CM23" s="51"/>
      <c r="CN23" s="57">
        <f t="shared" si="18"/>
        <v>0</v>
      </c>
      <c r="CO23" s="47"/>
      <c r="CP23" s="50"/>
      <c r="CQ23" s="51"/>
      <c r="CR23" s="57">
        <f t="shared" si="19"/>
        <v>0</v>
      </c>
      <c r="CS23" s="47"/>
      <c r="CT23" s="50"/>
      <c r="CU23" s="51"/>
      <c r="CV23" s="57">
        <f t="shared" si="20"/>
        <v>0</v>
      </c>
      <c r="CW23" s="47"/>
      <c r="CX23" s="50"/>
      <c r="CY23" s="51"/>
      <c r="CZ23" s="57">
        <f t="shared" si="21"/>
        <v>0</v>
      </c>
      <c r="DA23" s="47"/>
      <c r="DB23" s="50"/>
      <c r="DC23" s="51"/>
      <c r="DD23" s="57">
        <f t="shared" si="22"/>
        <v>0</v>
      </c>
      <c r="DE23" s="47"/>
      <c r="DF23" s="50"/>
      <c r="DG23" s="51"/>
      <c r="DH23" s="57">
        <f t="shared" si="23"/>
        <v>0</v>
      </c>
      <c r="DI23" s="47"/>
      <c r="DJ23" s="50"/>
      <c r="DK23" s="51"/>
      <c r="DL23" s="57">
        <f t="shared" si="24"/>
        <v>0</v>
      </c>
      <c r="DM23" s="47"/>
      <c r="DN23" s="50"/>
      <c r="DO23" s="51"/>
      <c r="DP23" s="57">
        <f t="shared" si="25"/>
        <v>0</v>
      </c>
      <c r="DQ23" s="47"/>
      <c r="DR23" s="50"/>
      <c r="DS23" s="51"/>
      <c r="DT23" s="57">
        <f t="shared" si="26"/>
        <v>0</v>
      </c>
      <c r="DU23" s="47"/>
      <c r="DV23" s="50"/>
      <c r="DW23" s="51"/>
      <c r="DX23" s="57">
        <f t="shared" si="27"/>
        <v>0</v>
      </c>
      <c r="DY23" s="47"/>
      <c r="DZ23" s="50"/>
      <c r="EA23" s="51"/>
      <c r="EB23" s="57">
        <f t="shared" si="28"/>
        <v>0</v>
      </c>
      <c r="EC23" s="47"/>
      <c r="ED23" s="50"/>
      <c r="EE23" s="51"/>
      <c r="EF23" s="57">
        <f t="shared" si="29"/>
        <v>0</v>
      </c>
      <c r="EG23" s="47"/>
      <c r="EH23" s="50"/>
      <c r="EI23" s="51"/>
      <c r="EJ23" s="57">
        <f t="shared" si="30"/>
        <v>0</v>
      </c>
      <c r="EK23" s="47"/>
      <c r="EL23" s="50"/>
      <c r="EM23" s="51"/>
      <c r="EN23" s="57">
        <f t="shared" si="31"/>
        <v>0</v>
      </c>
      <c r="EO23" s="47"/>
      <c r="EP23" s="50"/>
      <c r="EQ23" s="51"/>
      <c r="ER23" s="57">
        <f t="shared" si="32"/>
        <v>0</v>
      </c>
      <c r="ES23" s="47"/>
      <c r="ET23" s="50"/>
      <c r="EU23" s="51"/>
      <c r="EV23" s="57">
        <f t="shared" si="33"/>
        <v>0</v>
      </c>
      <c r="EW23" s="47"/>
      <c r="EX23" s="50"/>
      <c r="EY23" s="51"/>
      <c r="EZ23" s="57">
        <f t="shared" si="34"/>
        <v>0</v>
      </c>
      <c r="FA23" s="47"/>
      <c r="FB23" s="50"/>
      <c r="FC23" s="51"/>
      <c r="FD23" s="57">
        <f t="shared" si="35"/>
        <v>0</v>
      </c>
      <c r="FE23" s="47"/>
      <c r="FF23" s="50"/>
      <c r="FG23" s="51"/>
      <c r="FH23" s="57">
        <f t="shared" si="36"/>
        <v>0</v>
      </c>
      <c r="FI23" s="47"/>
      <c r="FJ23" s="50"/>
      <c r="FK23" s="51"/>
      <c r="FL23" s="57">
        <f t="shared" si="37"/>
        <v>0</v>
      </c>
      <c r="FM23" s="47"/>
      <c r="FN23" s="50"/>
      <c r="FO23" s="51"/>
      <c r="FP23" s="57">
        <f t="shared" si="38"/>
        <v>0</v>
      </c>
      <c r="FQ23" s="47"/>
      <c r="FR23" s="50"/>
      <c r="FS23" s="51"/>
      <c r="FT23" s="57">
        <f t="shared" si="39"/>
        <v>0</v>
      </c>
      <c r="FU23" s="47"/>
      <c r="FV23" s="50"/>
      <c r="FW23" s="51"/>
      <c r="FX23" s="57">
        <f t="shared" si="40"/>
        <v>0</v>
      </c>
      <c r="FY23" s="47"/>
      <c r="FZ23" s="50"/>
      <c r="GA23" s="51"/>
      <c r="GB23" s="57">
        <f t="shared" si="41"/>
        <v>0</v>
      </c>
      <c r="GC23" s="47"/>
      <c r="GD23" s="50"/>
      <c r="GE23" s="51"/>
      <c r="GF23" s="57">
        <f t="shared" si="42"/>
        <v>0</v>
      </c>
      <c r="GG23" s="47"/>
      <c r="GH23" s="50"/>
      <c r="GI23" s="51"/>
      <c r="GJ23" s="57">
        <f t="shared" si="43"/>
        <v>0</v>
      </c>
      <c r="GK23" s="47"/>
      <c r="GL23" s="50"/>
      <c r="GM23" s="51"/>
      <c r="GN23" s="57">
        <f t="shared" si="44"/>
        <v>0</v>
      </c>
      <c r="GO23" s="47"/>
      <c r="GP23" s="50"/>
      <c r="GQ23" s="51"/>
      <c r="GR23" s="57">
        <f t="shared" si="45"/>
        <v>0</v>
      </c>
      <c r="GS23" s="47"/>
      <c r="GT23" s="50"/>
      <c r="GU23" s="51"/>
      <c r="GV23" s="57">
        <f t="shared" si="46"/>
        <v>0</v>
      </c>
      <c r="GW23" s="47"/>
      <c r="GX23" s="50"/>
      <c r="GY23" s="51"/>
      <c r="GZ23" s="57">
        <f t="shared" si="47"/>
        <v>0</v>
      </c>
      <c r="HA23" s="47"/>
      <c r="HB23" s="50"/>
      <c r="HC23" s="51"/>
      <c r="HD23" s="57">
        <f t="shared" si="48"/>
        <v>0</v>
      </c>
      <c r="HE23" s="47"/>
      <c r="HF23" s="50"/>
      <c r="HG23" s="51"/>
      <c r="HH23" s="57">
        <f t="shared" si="49"/>
        <v>0</v>
      </c>
      <c r="HI23" s="47"/>
      <c r="HJ23" s="50"/>
      <c r="HK23" s="51"/>
      <c r="HL23" s="57">
        <f t="shared" si="50"/>
        <v>0</v>
      </c>
      <c r="HM23" s="47"/>
      <c r="HN23" s="50"/>
      <c r="HO23" s="51"/>
      <c r="HP23" s="57">
        <f t="shared" si="51"/>
        <v>0</v>
      </c>
      <c r="HQ23" s="47"/>
      <c r="HR23" s="50"/>
      <c r="HS23" s="51"/>
      <c r="HT23" s="57">
        <f t="shared" si="52"/>
        <v>0</v>
      </c>
      <c r="HU23" s="47"/>
      <c r="HV23" s="50"/>
      <c r="HW23" s="51"/>
      <c r="HX23" s="57">
        <f t="shared" si="53"/>
        <v>0</v>
      </c>
      <c r="HY23" s="47"/>
      <c r="HZ23" s="50"/>
      <c r="IA23" s="51"/>
      <c r="IB23" s="57">
        <f t="shared" si="54"/>
        <v>0</v>
      </c>
      <c r="IC23" s="47"/>
      <c r="ID23" s="50"/>
      <c r="IE23" s="51"/>
      <c r="IF23" s="57">
        <f t="shared" si="55"/>
        <v>0</v>
      </c>
      <c r="IG23" s="47"/>
      <c r="IH23" s="50"/>
      <c r="II23" s="51"/>
      <c r="IJ23" s="57">
        <f t="shared" si="56"/>
        <v>0</v>
      </c>
      <c r="IK23" s="47"/>
      <c r="IL23" s="50"/>
      <c r="IM23" s="51"/>
      <c r="IN23" s="57">
        <f t="shared" si="57"/>
        <v>0</v>
      </c>
      <c r="IO23" s="47"/>
      <c r="IP23" s="50"/>
      <c r="IQ23" s="51"/>
      <c r="IR23" s="57">
        <f t="shared" si="58"/>
        <v>0</v>
      </c>
      <c r="IS23" s="47"/>
      <c r="IT23" s="50"/>
      <c r="IU23" s="51"/>
      <c r="IV23" s="57">
        <f t="shared" si="59"/>
        <v>0</v>
      </c>
      <c r="IW23" s="47"/>
      <c r="IX23" s="50"/>
      <c r="IY23" s="51"/>
      <c r="IZ23" s="57">
        <f t="shared" si="60"/>
        <v>0</v>
      </c>
      <c r="JA23" s="47"/>
      <c r="JB23" s="36" t="e">
        <f t="shared" si="61"/>
        <v>#VALUE!</v>
      </c>
      <c r="JC23" s="36" t="e">
        <f t="shared" si="62"/>
        <v>#VALUE!</v>
      </c>
      <c r="JD23" s="36" t="e">
        <f t="shared" si="63"/>
        <v>#VALUE!</v>
      </c>
      <c r="JE23" s="36" t="e">
        <f t="shared" si="67"/>
        <v>#VALUE!</v>
      </c>
      <c r="JF23" s="36"/>
      <c r="JP23" s="36"/>
    </row>
    <row r="24" spans="2:276" ht="30" customHeight="1" x14ac:dyDescent="0.3">
      <c r="B24" s="23">
        <v>15</v>
      </c>
      <c r="C24" s="77" t="e">
        <f>VLOOKUP(#REF!,EMPLEADO!C:Q,15,FALSE)</f>
        <v>#REF!</v>
      </c>
      <c r="D24" s="15" t="s">
        <v>77</v>
      </c>
      <c r="E24" s="39" t="s">
        <v>56</v>
      </c>
      <c r="F24" s="50"/>
      <c r="G24" s="51"/>
      <c r="H24" s="57">
        <f t="shared" si="64"/>
        <v>0</v>
      </c>
      <c r="I24" s="47"/>
      <c r="J24" s="50"/>
      <c r="K24" s="51"/>
      <c r="L24" s="57">
        <f t="shared" si="0"/>
        <v>0</v>
      </c>
      <c r="M24" s="47"/>
      <c r="N24" s="52"/>
      <c r="O24" s="53"/>
      <c r="P24" s="57">
        <f t="shared" si="1"/>
        <v>0</v>
      </c>
      <c r="Q24" s="47"/>
      <c r="R24" s="53"/>
      <c r="S24" s="53"/>
      <c r="T24" s="57">
        <f t="shared" si="65"/>
        <v>0</v>
      </c>
      <c r="U24" s="47"/>
      <c r="V24" s="50"/>
      <c r="W24" s="51"/>
      <c r="X24" s="57">
        <f t="shared" si="2"/>
        <v>0</v>
      </c>
      <c r="Y24" s="47"/>
      <c r="Z24" s="50"/>
      <c r="AA24" s="51"/>
      <c r="AB24" s="57">
        <f t="shared" si="3"/>
        <v>0</v>
      </c>
      <c r="AC24" s="47"/>
      <c r="AD24" s="50"/>
      <c r="AE24" s="51"/>
      <c r="AF24" s="57">
        <f t="shared" si="4"/>
        <v>0</v>
      </c>
      <c r="AG24" s="47"/>
      <c r="AH24" s="53"/>
      <c r="AI24" s="53"/>
      <c r="AJ24" s="75">
        <f t="shared" si="66"/>
        <v>0</v>
      </c>
      <c r="AK24" s="47"/>
      <c r="AL24" s="50"/>
      <c r="AM24" s="51"/>
      <c r="AN24" s="57">
        <f t="shared" si="5"/>
        <v>0</v>
      </c>
      <c r="AO24" s="47"/>
      <c r="AP24" s="50"/>
      <c r="AQ24" s="51"/>
      <c r="AR24" s="57">
        <f t="shared" si="6"/>
        <v>0</v>
      </c>
      <c r="AS24" s="47"/>
      <c r="AT24" s="50"/>
      <c r="AU24" s="51"/>
      <c r="AV24" s="57">
        <f t="shared" si="7"/>
        <v>0</v>
      </c>
      <c r="AW24" s="47"/>
      <c r="AX24" s="50"/>
      <c r="AY24" s="51"/>
      <c r="AZ24" s="57">
        <f t="shared" si="8"/>
        <v>0</v>
      </c>
      <c r="BA24" s="47"/>
      <c r="BB24" s="50"/>
      <c r="BC24" s="51"/>
      <c r="BD24" s="57">
        <f t="shared" si="9"/>
        <v>0</v>
      </c>
      <c r="BE24" s="47"/>
      <c r="BF24" s="50"/>
      <c r="BG24" s="51"/>
      <c r="BH24" s="57">
        <f t="shared" si="10"/>
        <v>0</v>
      </c>
      <c r="BI24" s="47"/>
      <c r="BJ24" s="50"/>
      <c r="BK24" s="51"/>
      <c r="BL24" s="57">
        <f t="shared" si="11"/>
        <v>0</v>
      </c>
      <c r="BM24" s="47"/>
      <c r="BN24" s="50"/>
      <c r="BO24" s="51"/>
      <c r="BP24" s="57">
        <f t="shared" si="12"/>
        <v>0</v>
      </c>
      <c r="BQ24" s="47"/>
      <c r="BR24" s="50"/>
      <c r="BS24" s="51"/>
      <c r="BT24" s="57">
        <f t="shared" si="13"/>
        <v>0</v>
      </c>
      <c r="BU24" s="47"/>
      <c r="BV24" s="50"/>
      <c r="BW24" s="51"/>
      <c r="BX24" s="57">
        <f t="shared" si="14"/>
        <v>0</v>
      </c>
      <c r="BY24" s="47"/>
      <c r="BZ24" s="50"/>
      <c r="CA24" s="51"/>
      <c r="CB24" s="57">
        <f t="shared" si="15"/>
        <v>0</v>
      </c>
      <c r="CC24" s="47"/>
      <c r="CD24" s="50"/>
      <c r="CE24" s="51"/>
      <c r="CF24" s="57">
        <f t="shared" si="16"/>
        <v>0</v>
      </c>
      <c r="CG24" s="47"/>
      <c r="CH24" s="50"/>
      <c r="CI24" s="51"/>
      <c r="CJ24" s="57">
        <f t="shared" si="17"/>
        <v>0</v>
      </c>
      <c r="CK24" s="47"/>
      <c r="CL24" s="50"/>
      <c r="CM24" s="51"/>
      <c r="CN24" s="57">
        <f t="shared" si="18"/>
        <v>0</v>
      </c>
      <c r="CO24" s="47"/>
      <c r="CP24" s="50"/>
      <c r="CQ24" s="51"/>
      <c r="CR24" s="57">
        <f t="shared" si="19"/>
        <v>0</v>
      </c>
      <c r="CS24" s="47"/>
      <c r="CT24" s="50"/>
      <c r="CU24" s="51"/>
      <c r="CV24" s="57">
        <f t="shared" si="20"/>
        <v>0</v>
      </c>
      <c r="CW24" s="47"/>
      <c r="CX24" s="50"/>
      <c r="CY24" s="51"/>
      <c r="CZ24" s="57">
        <f t="shared" si="21"/>
        <v>0</v>
      </c>
      <c r="DA24" s="47"/>
      <c r="DB24" s="50"/>
      <c r="DC24" s="51"/>
      <c r="DD24" s="57">
        <f t="shared" si="22"/>
        <v>0</v>
      </c>
      <c r="DE24" s="47"/>
      <c r="DF24" s="50"/>
      <c r="DG24" s="51"/>
      <c r="DH24" s="57">
        <f t="shared" si="23"/>
        <v>0</v>
      </c>
      <c r="DI24" s="47"/>
      <c r="DJ24" s="50"/>
      <c r="DK24" s="51"/>
      <c r="DL24" s="57">
        <f t="shared" si="24"/>
        <v>0</v>
      </c>
      <c r="DM24" s="47"/>
      <c r="DN24" s="50"/>
      <c r="DO24" s="51"/>
      <c r="DP24" s="57">
        <f t="shared" si="25"/>
        <v>0</v>
      </c>
      <c r="DQ24" s="47"/>
      <c r="DR24" s="50"/>
      <c r="DS24" s="51"/>
      <c r="DT24" s="57">
        <f t="shared" si="26"/>
        <v>0</v>
      </c>
      <c r="DU24" s="47"/>
      <c r="DV24" s="50"/>
      <c r="DW24" s="51"/>
      <c r="DX24" s="57">
        <f t="shared" si="27"/>
        <v>0</v>
      </c>
      <c r="DY24" s="47"/>
      <c r="DZ24" s="50"/>
      <c r="EA24" s="51"/>
      <c r="EB24" s="57">
        <f t="shared" si="28"/>
        <v>0</v>
      </c>
      <c r="EC24" s="47"/>
      <c r="ED24" s="50"/>
      <c r="EE24" s="51"/>
      <c r="EF24" s="57">
        <f t="shared" si="29"/>
        <v>0</v>
      </c>
      <c r="EG24" s="47"/>
      <c r="EH24" s="50"/>
      <c r="EI24" s="51"/>
      <c r="EJ24" s="57">
        <f t="shared" si="30"/>
        <v>0</v>
      </c>
      <c r="EK24" s="47"/>
      <c r="EL24" s="50"/>
      <c r="EM24" s="51"/>
      <c r="EN24" s="57">
        <f t="shared" si="31"/>
        <v>0</v>
      </c>
      <c r="EO24" s="47"/>
      <c r="EP24" s="50"/>
      <c r="EQ24" s="51"/>
      <c r="ER24" s="57">
        <f t="shared" si="32"/>
        <v>0</v>
      </c>
      <c r="ES24" s="47"/>
      <c r="ET24" s="50"/>
      <c r="EU24" s="51"/>
      <c r="EV24" s="57">
        <f t="shared" si="33"/>
        <v>0</v>
      </c>
      <c r="EW24" s="47"/>
      <c r="EX24" s="50"/>
      <c r="EY24" s="51"/>
      <c r="EZ24" s="57">
        <f t="shared" si="34"/>
        <v>0</v>
      </c>
      <c r="FA24" s="47"/>
      <c r="FB24" s="50"/>
      <c r="FC24" s="51"/>
      <c r="FD24" s="57">
        <f t="shared" si="35"/>
        <v>0</v>
      </c>
      <c r="FE24" s="47"/>
      <c r="FF24" s="50"/>
      <c r="FG24" s="51"/>
      <c r="FH24" s="57">
        <f t="shared" si="36"/>
        <v>0</v>
      </c>
      <c r="FI24" s="47"/>
      <c r="FJ24" s="50"/>
      <c r="FK24" s="51"/>
      <c r="FL24" s="57">
        <f t="shared" si="37"/>
        <v>0</v>
      </c>
      <c r="FM24" s="47"/>
      <c r="FN24" s="50"/>
      <c r="FO24" s="51"/>
      <c r="FP24" s="57">
        <f t="shared" si="38"/>
        <v>0</v>
      </c>
      <c r="FQ24" s="47"/>
      <c r="FR24" s="50"/>
      <c r="FS24" s="51"/>
      <c r="FT24" s="57">
        <f t="shared" si="39"/>
        <v>0</v>
      </c>
      <c r="FU24" s="47"/>
      <c r="FV24" s="50"/>
      <c r="FW24" s="51"/>
      <c r="FX24" s="57">
        <f t="shared" si="40"/>
        <v>0</v>
      </c>
      <c r="FY24" s="47"/>
      <c r="FZ24" s="50"/>
      <c r="GA24" s="51"/>
      <c r="GB24" s="57">
        <f t="shared" si="41"/>
        <v>0</v>
      </c>
      <c r="GC24" s="47"/>
      <c r="GD24" s="50"/>
      <c r="GE24" s="51"/>
      <c r="GF24" s="57">
        <f t="shared" si="42"/>
        <v>0</v>
      </c>
      <c r="GG24" s="47"/>
      <c r="GH24" s="50"/>
      <c r="GI24" s="51"/>
      <c r="GJ24" s="57">
        <f t="shared" si="43"/>
        <v>0</v>
      </c>
      <c r="GK24" s="47"/>
      <c r="GL24" s="50"/>
      <c r="GM24" s="51"/>
      <c r="GN24" s="57">
        <f t="shared" si="44"/>
        <v>0</v>
      </c>
      <c r="GO24" s="47"/>
      <c r="GP24" s="50"/>
      <c r="GQ24" s="51"/>
      <c r="GR24" s="57">
        <f t="shared" si="45"/>
        <v>0</v>
      </c>
      <c r="GS24" s="47"/>
      <c r="GT24" s="50"/>
      <c r="GU24" s="51"/>
      <c r="GV24" s="57">
        <f t="shared" si="46"/>
        <v>0</v>
      </c>
      <c r="GW24" s="47"/>
      <c r="GX24" s="50"/>
      <c r="GY24" s="51"/>
      <c r="GZ24" s="57">
        <f t="shared" si="47"/>
        <v>0</v>
      </c>
      <c r="HA24" s="47"/>
      <c r="HB24" s="50"/>
      <c r="HC24" s="51"/>
      <c r="HD24" s="57">
        <f t="shared" si="48"/>
        <v>0</v>
      </c>
      <c r="HE24" s="47"/>
      <c r="HF24" s="50"/>
      <c r="HG24" s="51"/>
      <c r="HH24" s="57">
        <f t="shared" si="49"/>
        <v>0</v>
      </c>
      <c r="HI24" s="47"/>
      <c r="HJ24" s="50"/>
      <c r="HK24" s="51"/>
      <c r="HL24" s="57">
        <f t="shared" si="50"/>
        <v>0</v>
      </c>
      <c r="HM24" s="47"/>
      <c r="HN24" s="50"/>
      <c r="HO24" s="51"/>
      <c r="HP24" s="57">
        <f t="shared" si="51"/>
        <v>0</v>
      </c>
      <c r="HQ24" s="47"/>
      <c r="HR24" s="50"/>
      <c r="HS24" s="51"/>
      <c r="HT24" s="57">
        <f t="shared" si="52"/>
        <v>0</v>
      </c>
      <c r="HU24" s="47"/>
      <c r="HV24" s="50"/>
      <c r="HW24" s="51"/>
      <c r="HX24" s="57">
        <f t="shared" si="53"/>
        <v>0</v>
      </c>
      <c r="HY24" s="47"/>
      <c r="HZ24" s="50"/>
      <c r="IA24" s="51"/>
      <c r="IB24" s="57">
        <f t="shared" si="54"/>
        <v>0</v>
      </c>
      <c r="IC24" s="47"/>
      <c r="ID24" s="50"/>
      <c r="IE24" s="51"/>
      <c r="IF24" s="57">
        <f t="shared" si="55"/>
        <v>0</v>
      </c>
      <c r="IG24" s="47"/>
      <c r="IH24" s="50"/>
      <c r="II24" s="51"/>
      <c r="IJ24" s="57">
        <f t="shared" si="56"/>
        <v>0</v>
      </c>
      <c r="IK24" s="47"/>
      <c r="IL24" s="50"/>
      <c r="IM24" s="51"/>
      <c r="IN24" s="57">
        <f t="shared" si="57"/>
        <v>0</v>
      </c>
      <c r="IO24" s="47"/>
      <c r="IP24" s="50"/>
      <c r="IQ24" s="51"/>
      <c r="IR24" s="57">
        <f t="shared" si="58"/>
        <v>0</v>
      </c>
      <c r="IS24" s="47"/>
      <c r="IT24" s="50"/>
      <c r="IU24" s="51"/>
      <c r="IV24" s="57">
        <f t="shared" si="59"/>
        <v>0</v>
      </c>
      <c r="IW24" s="47"/>
      <c r="IX24" s="50"/>
      <c r="IY24" s="51"/>
      <c r="IZ24" s="57">
        <f t="shared" si="60"/>
        <v>0</v>
      </c>
      <c r="JA24" s="47"/>
      <c r="JB24" s="36" t="e">
        <f t="shared" si="61"/>
        <v>#VALUE!</v>
      </c>
      <c r="JC24" s="36" t="e">
        <f t="shared" si="62"/>
        <v>#VALUE!</v>
      </c>
      <c r="JD24" s="36" t="e">
        <f t="shared" si="63"/>
        <v>#VALUE!</v>
      </c>
      <c r="JE24" s="36" t="e">
        <f t="shared" si="67"/>
        <v>#VALUE!</v>
      </c>
      <c r="JF24" s="36"/>
      <c r="JP24" s="36"/>
    </row>
    <row r="25" spans="2:276" ht="30" customHeight="1" x14ac:dyDescent="0.3">
      <c r="B25" s="23">
        <v>16</v>
      </c>
      <c r="C25" s="77" t="e">
        <f>VLOOKUP(#REF!,EMPLEADO!C:Q,15,FALSE)</f>
        <v>#REF!</v>
      </c>
      <c r="D25" s="15" t="s">
        <v>79</v>
      </c>
      <c r="E25" s="39" t="s">
        <v>17</v>
      </c>
      <c r="F25" s="50"/>
      <c r="G25" s="51"/>
      <c r="H25" s="57">
        <f t="shared" si="64"/>
        <v>0</v>
      </c>
      <c r="I25" s="47"/>
      <c r="J25" s="50"/>
      <c r="K25" s="51"/>
      <c r="L25" s="57">
        <f t="shared" si="0"/>
        <v>0</v>
      </c>
      <c r="M25" s="47"/>
      <c r="N25" s="52"/>
      <c r="O25" s="53"/>
      <c r="P25" s="57">
        <f t="shared" si="1"/>
        <v>0</v>
      </c>
      <c r="Q25" s="47"/>
      <c r="R25" s="53"/>
      <c r="S25" s="53"/>
      <c r="T25" s="57">
        <f t="shared" si="65"/>
        <v>0</v>
      </c>
      <c r="U25" s="47"/>
      <c r="V25" s="50"/>
      <c r="W25" s="51"/>
      <c r="X25" s="57">
        <f t="shared" si="2"/>
        <v>0</v>
      </c>
      <c r="Y25" s="47"/>
      <c r="Z25" s="50"/>
      <c r="AA25" s="51"/>
      <c r="AB25" s="57">
        <f t="shared" si="3"/>
        <v>0</v>
      </c>
      <c r="AC25" s="47"/>
      <c r="AD25" s="50"/>
      <c r="AE25" s="51"/>
      <c r="AF25" s="57">
        <f t="shared" si="4"/>
        <v>0</v>
      </c>
      <c r="AG25" s="47"/>
      <c r="AH25" s="53"/>
      <c r="AI25" s="53"/>
      <c r="AJ25" s="75">
        <f t="shared" si="66"/>
        <v>0</v>
      </c>
      <c r="AK25" s="47"/>
      <c r="AL25" s="50"/>
      <c r="AM25" s="51"/>
      <c r="AN25" s="57">
        <f t="shared" si="5"/>
        <v>0</v>
      </c>
      <c r="AO25" s="47"/>
      <c r="AP25" s="50"/>
      <c r="AQ25" s="51"/>
      <c r="AR25" s="57">
        <f t="shared" si="6"/>
        <v>0</v>
      </c>
      <c r="AS25" s="47"/>
      <c r="AT25" s="50"/>
      <c r="AU25" s="51"/>
      <c r="AV25" s="57">
        <f t="shared" si="7"/>
        <v>0</v>
      </c>
      <c r="AW25" s="47"/>
      <c r="AX25" s="50"/>
      <c r="AY25" s="51"/>
      <c r="AZ25" s="57">
        <f t="shared" si="8"/>
        <v>0</v>
      </c>
      <c r="BA25" s="47"/>
      <c r="BB25" s="50"/>
      <c r="BC25" s="51"/>
      <c r="BD25" s="57">
        <f t="shared" si="9"/>
        <v>0</v>
      </c>
      <c r="BE25" s="47"/>
      <c r="BF25" s="50"/>
      <c r="BG25" s="51"/>
      <c r="BH25" s="57">
        <f t="shared" si="10"/>
        <v>0</v>
      </c>
      <c r="BI25" s="47"/>
      <c r="BJ25" s="50"/>
      <c r="BK25" s="51"/>
      <c r="BL25" s="57">
        <f t="shared" si="11"/>
        <v>0</v>
      </c>
      <c r="BM25" s="47"/>
      <c r="BN25" s="50"/>
      <c r="BO25" s="51"/>
      <c r="BP25" s="57">
        <f t="shared" si="12"/>
        <v>0</v>
      </c>
      <c r="BQ25" s="47"/>
      <c r="BR25" s="50"/>
      <c r="BS25" s="51"/>
      <c r="BT25" s="57">
        <f t="shared" si="13"/>
        <v>0</v>
      </c>
      <c r="BU25" s="47"/>
      <c r="BV25" s="50"/>
      <c r="BW25" s="51"/>
      <c r="BX25" s="57">
        <f t="shared" si="14"/>
        <v>0</v>
      </c>
      <c r="BY25" s="47"/>
      <c r="BZ25" s="50"/>
      <c r="CA25" s="51"/>
      <c r="CB25" s="57">
        <f t="shared" si="15"/>
        <v>0</v>
      </c>
      <c r="CC25" s="47"/>
      <c r="CD25" s="50"/>
      <c r="CE25" s="51"/>
      <c r="CF25" s="57">
        <f t="shared" si="16"/>
        <v>0</v>
      </c>
      <c r="CG25" s="47"/>
      <c r="CH25" s="50"/>
      <c r="CI25" s="51"/>
      <c r="CJ25" s="57">
        <f t="shared" si="17"/>
        <v>0</v>
      </c>
      <c r="CK25" s="47"/>
      <c r="CL25" s="50"/>
      <c r="CM25" s="51"/>
      <c r="CN25" s="57">
        <f t="shared" si="18"/>
        <v>0</v>
      </c>
      <c r="CO25" s="47"/>
      <c r="CP25" s="50"/>
      <c r="CQ25" s="51"/>
      <c r="CR25" s="57">
        <f t="shared" si="19"/>
        <v>0</v>
      </c>
      <c r="CS25" s="47"/>
      <c r="CT25" s="50"/>
      <c r="CU25" s="51"/>
      <c r="CV25" s="57">
        <f t="shared" si="20"/>
        <v>0</v>
      </c>
      <c r="CW25" s="47"/>
      <c r="CX25" s="50"/>
      <c r="CY25" s="51"/>
      <c r="CZ25" s="57">
        <f t="shared" si="21"/>
        <v>0</v>
      </c>
      <c r="DA25" s="47"/>
      <c r="DB25" s="50"/>
      <c r="DC25" s="51"/>
      <c r="DD25" s="57">
        <f t="shared" si="22"/>
        <v>0</v>
      </c>
      <c r="DE25" s="47"/>
      <c r="DF25" s="50"/>
      <c r="DG25" s="51"/>
      <c r="DH25" s="57">
        <f t="shared" si="23"/>
        <v>0</v>
      </c>
      <c r="DI25" s="47"/>
      <c r="DJ25" s="50"/>
      <c r="DK25" s="51"/>
      <c r="DL25" s="57">
        <f t="shared" si="24"/>
        <v>0</v>
      </c>
      <c r="DM25" s="47"/>
      <c r="DN25" s="50"/>
      <c r="DO25" s="51"/>
      <c r="DP25" s="57">
        <f t="shared" si="25"/>
        <v>0</v>
      </c>
      <c r="DQ25" s="47"/>
      <c r="DR25" s="50"/>
      <c r="DS25" s="51"/>
      <c r="DT25" s="57">
        <f t="shared" si="26"/>
        <v>0</v>
      </c>
      <c r="DU25" s="47"/>
      <c r="DV25" s="50"/>
      <c r="DW25" s="51"/>
      <c r="DX25" s="57">
        <f t="shared" si="27"/>
        <v>0</v>
      </c>
      <c r="DY25" s="47"/>
      <c r="DZ25" s="50"/>
      <c r="EA25" s="51"/>
      <c r="EB25" s="57">
        <f t="shared" si="28"/>
        <v>0</v>
      </c>
      <c r="EC25" s="47"/>
      <c r="ED25" s="50"/>
      <c r="EE25" s="51"/>
      <c r="EF25" s="57">
        <f t="shared" si="29"/>
        <v>0</v>
      </c>
      <c r="EG25" s="47"/>
      <c r="EH25" s="50"/>
      <c r="EI25" s="51"/>
      <c r="EJ25" s="57">
        <f t="shared" si="30"/>
        <v>0</v>
      </c>
      <c r="EK25" s="47"/>
      <c r="EL25" s="50"/>
      <c r="EM25" s="51"/>
      <c r="EN25" s="57">
        <f t="shared" si="31"/>
        <v>0</v>
      </c>
      <c r="EO25" s="47"/>
      <c r="EP25" s="50"/>
      <c r="EQ25" s="51"/>
      <c r="ER25" s="57">
        <f t="shared" si="32"/>
        <v>0</v>
      </c>
      <c r="ES25" s="47"/>
      <c r="ET25" s="50"/>
      <c r="EU25" s="51"/>
      <c r="EV25" s="57">
        <f t="shared" si="33"/>
        <v>0</v>
      </c>
      <c r="EW25" s="47"/>
      <c r="EX25" s="50"/>
      <c r="EY25" s="51"/>
      <c r="EZ25" s="57">
        <f t="shared" si="34"/>
        <v>0</v>
      </c>
      <c r="FA25" s="47"/>
      <c r="FB25" s="50"/>
      <c r="FC25" s="51"/>
      <c r="FD25" s="57">
        <f t="shared" si="35"/>
        <v>0</v>
      </c>
      <c r="FE25" s="47"/>
      <c r="FF25" s="50"/>
      <c r="FG25" s="51"/>
      <c r="FH25" s="57">
        <f t="shared" si="36"/>
        <v>0</v>
      </c>
      <c r="FI25" s="47"/>
      <c r="FJ25" s="50"/>
      <c r="FK25" s="51"/>
      <c r="FL25" s="57">
        <f t="shared" si="37"/>
        <v>0</v>
      </c>
      <c r="FM25" s="47"/>
      <c r="FN25" s="50"/>
      <c r="FO25" s="51"/>
      <c r="FP25" s="57">
        <f t="shared" si="38"/>
        <v>0</v>
      </c>
      <c r="FQ25" s="47"/>
      <c r="FR25" s="50"/>
      <c r="FS25" s="51"/>
      <c r="FT25" s="57">
        <f t="shared" si="39"/>
        <v>0</v>
      </c>
      <c r="FU25" s="47"/>
      <c r="FV25" s="50"/>
      <c r="FW25" s="51"/>
      <c r="FX25" s="57">
        <f t="shared" si="40"/>
        <v>0</v>
      </c>
      <c r="FY25" s="47"/>
      <c r="FZ25" s="50"/>
      <c r="GA25" s="51"/>
      <c r="GB25" s="57">
        <f t="shared" si="41"/>
        <v>0</v>
      </c>
      <c r="GC25" s="47"/>
      <c r="GD25" s="50"/>
      <c r="GE25" s="51"/>
      <c r="GF25" s="57">
        <f t="shared" si="42"/>
        <v>0</v>
      </c>
      <c r="GG25" s="47"/>
      <c r="GH25" s="50"/>
      <c r="GI25" s="51"/>
      <c r="GJ25" s="57">
        <f t="shared" si="43"/>
        <v>0</v>
      </c>
      <c r="GK25" s="47"/>
      <c r="GL25" s="50"/>
      <c r="GM25" s="51"/>
      <c r="GN25" s="57">
        <f t="shared" si="44"/>
        <v>0</v>
      </c>
      <c r="GO25" s="47"/>
      <c r="GP25" s="50"/>
      <c r="GQ25" s="51"/>
      <c r="GR25" s="57">
        <f t="shared" si="45"/>
        <v>0</v>
      </c>
      <c r="GS25" s="47"/>
      <c r="GT25" s="50"/>
      <c r="GU25" s="51"/>
      <c r="GV25" s="57">
        <f t="shared" si="46"/>
        <v>0</v>
      </c>
      <c r="GW25" s="47"/>
      <c r="GX25" s="50"/>
      <c r="GY25" s="51"/>
      <c r="GZ25" s="57">
        <f t="shared" si="47"/>
        <v>0</v>
      </c>
      <c r="HA25" s="47"/>
      <c r="HB25" s="50"/>
      <c r="HC25" s="51"/>
      <c r="HD25" s="57">
        <f t="shared" si="48"/>
        <v>0</v>
      </c>
      <c r="HE25" s="47"/>
      <c r="HF25" s="50"/>
      <c r="HG25" s="51"/>
      <c r="HH25" s="57">
        <f t="shared" si="49"/>
        <v>0</v>
      </c>
      <c r="HI25" s="47"/>
      <c r="HJ25" s="50"/>
      <c r="HK25" s="51"/>
      <c r="HL25" s="57">
        <f t="shared" si="50"/>
        <v>0</v>
      </c>
      <c r="HM25" s="47"/>
      <c r="HN25" s="50"/>
      <c r="HO25" s="51"/>
      <c r="HP25" s="57">
        <f t="shared" si="51"/>
        <v>0</v>
      </c>
      <c r="HQ25" s="47"/>
      <c r="HR25" s="50"/>
      <c r="HS25" s="51"/>
      <c r="HT25" s="57">
        <f t="shared" si="52"/>
        <v>0</v>
      </c>
      <c r="HU25" s="47"/>
      <c r="HV25" s="50"/>
      <c r="HW25" s="51"/>
      <c r="HX25" s="57">
        <f t="shared" si="53"/>
        <v>0</v>
      </c>
      <c r="HY25" s="47"/>
      <c r="HZ25" s="50"/>
      <c r="IA25" s="51"/>
      <c r="IB25" s="57">
        <f t="shared" si="54"/>
        <v>0</v>
      </c>
      <c r="IC25" s="47"/>
      <c r="ID25" s="50"/>
      <c r="IE25" s="51"/>
      <c r="IF25" s="57">
        <f t="shared" si="55"/>
        <v>0</v>
      </c>
      <c r="IG25" s="47"/>
      <c r="IH25" s="50"/>
      <c r="II25" s="51"/>
      <c r="IJ25" s="57">
        <f t="shared" si="56"/>
        <v>0</v>
      </c>
      <c r="IK25" s="47"/>
      <c r="IL25" s="50"/>
      <c r="IM25" s="51"/>
      <c r="IN25" s="57">
        <f t="shared" si="57"/>
        <v>0</v>
      </c>
      <c r="IO25" s="47"/>
      <c r="IP25" s="50"/>
      <c r="IQ25" s="51"/>
      <c r="IR25" s="57">
        <f t="shared" si="58"/>
        <v>0</v>
      </c>
      <c r="IS25" s="47"/>
      <c r="IT25" s="50"/>
      <c r="IU25" s="51"/>
      <c r="IV25" s="57">
        <f t="shared" si="59"/>
        <v>0</v>
      </c>
      <c r="IW25" s="47"/>
      <c r="IX25" s="50"/>
      <c r="IY25" s="51"/>
      <c r="IZ25" s="57">
        <f t="shared" si="60"/>
        <v>0</v>
      </c>
      <c r="JA25" s="47"/>
      <c r="JB25" s="36" t="e">
        <f t="shared" si="61"/>
        <v>#VALUE!</v>
      </c>
      <c r="JC25" s="36" t="e">
        <f t="shared" si="62"/>
        <v>#VALUE!</v>
      </c>
      <c r="JD25" s="36" t="e">
        <f t="shared" si="63"/>
        <v>#VALUE!</v>
      </c>
      <c r="JE25" s="36" t="e">
        <f t="shared" si="67"/>
        <v>#VALUE!</v>
      </c>
      <c r="JF25" s="36"/>
      <c r="JP25" s="36"/>
    </row>
    <row r="26" spans="2:276" ht="30" customHeight="1" x14ac:dyDescent="0.3">
      <c r="B26" s="23">
        <v>17</v>
      </c>
      <c r="C26" s="77" t="e">
        <f>VLOOKUP(#REF!,EMPLEADO!C:Q,15,FALSE)</f>
        <v>#REF!</v>
      </c>
      <c r="D26" s="15" t="s">
        <v>80</v>
      </c>
      <c r="E26" s="40" t="s">
        <v>17</v>
      </c>
      <c r="F26" s="52"/>
      <c r="G26" s="53"/>
      <c r="H26" s="57">
        <f t="shared" si="64"/>
        <v>0</v>
      </c>
      <c r="I26" s="47"/>
      <c r="J26" s="50"/>
      <c r="K26" s="51"/>
      <c r="L26" s="57">
        <f t="shared" si="0"/>
        <v>0</v>
      </c>
      <c r="M26" s="47"/>
      <c r="N26" s="52"/>
      <c r="O26" s="53"/>
      <c r="P26" s="57">
        <f t="shared" si="1"/>
        <v>0</v>
      </c>
      <c r="Q26" s="47"/>
      <c r="R26" s="53"/>
      <c r="S26" s="53"/>
      <c r="T26" s="57">
        <f t="shared" si="65"/>
        <v>0</v>
      </c>
      <c r="U26" s="47"/>
      <c r="V26" s="50"/>
      <c r="W26" s="51"/>
      <c r="X26" s="57">
        <f t="shared" si="2"/>
        <v>0</v>
      </c>
      <c r="Y26" s="47"/>
      <c r="Z26" s="50"/>
      <c r="AA26" s="51"/>
      <c r="AB26" s="57">
        <f t="shared" si="3"/>
        <v>0</v>
      </c>
      <c r="AC26" s="47"/>
      <c r="AD26" s="50"/>
      <c r="AE26" s="51"/>
      <c r="AF26" s="57">
        <f t="shared" si="4"/>
        <v>0</v>
      </c>
      <c r="AG26" s="47"/>
      <c r="AH26" s="53"/>
      <c r="AI26" s="53"/>
      <c r="AJ26" s="75">
        <f t="shared" si="66"/>
        <v>0</v>
      </c>
      <c r="AK26" s="47"/>
      <c r="AL26" s="50"/>
      <c r="AM26" s="51"/>
      <c r="AN26" s="57">
        <f t="shared" si="5"/>
        <v>0</v>
      </c>
      <c r="AO26" s="47"/>
      <c r="AP26" s="50"/>
      <c r="AQ26" s="51"/>
      <c r="AR26" s="57">
        <f t="shared" si="6"/>
        <v>0</v>
      </c>
      <c r="AS26" s="47"/>
      <c r="AT26" s="50"/>
      <c r="AU26" s="51"/>
      <c r="AV26" s="57">
        <f t="shared" si="7"/>
        <v>0</v>
      </c>
      <c r="AW26" s="47"/>
      <c r="AX26" s="50"/>
      <c r="AY26" s="51"/>
      <c r="AZ26" s="57">
        <f t="shared" si="8"/>
        <v>0</v>
      </c>
      <c r="BA26" s="47"/>
      <c r="BB26" s="50"/>
      <c r="BC26" s="51"/>
      <c r="BD26" s="57">
        <f t="shared" si="9"/>
        <v>0</v>
      </c>
      <c r="BE26" s="47"/>
      <c r="BF26" s="50"/>
      <c r="BG26" s="51"/>
      <c r="BH26" s="57">
        <f t="shared" si="10"/>
        <v>0</v>
      </c>
      <c r="BI26" s="47"/>
      <c r="BJ26" s="50"/>
      <c r="BK26" s="51"/>
      <c r="BL26" s="57">
        <f t="shared" si="11"/>
        <v>0</v>
      </c>
      <c r="BM26" s="47"/>
      <c r="BN26" s="50"/>
      <c r="BO26" s="51"/>
      <c r="BP26" s="57">
        <f t="shared" si="12"/>
        <v>0</v>
      </c>
      <c r="BQ26" s="47"/>
      <c r="BR26" s="50"/>
      <c r="BS26" s="51"/>
      <c r="BT26" s="57">
        <f t="shared" si="13"/>
        <v>0</v>
      </c>
      <c r="BU26" s="47"/>
      <c r="BV26" s="50"/>
      <c r="BW26" s="51"/>
      <c r="BX26" s="57">
        <f t="shared" si="14"/>
        <v>0</v>
      </c>
      <c r="BY26" s="47"/>
      <c r="BZ26" s="50"/>
      <c r="CA26" s="51"/>
      <c r="CB26" s="57">
        <f t="shared" si="15"/>
        <v>0</v>
      </c>
      <c r="CC26" s="47"/>
      <c r="CD26" s="50"/>
      <c r="CE26" s="51"/>
      <c r="CF26" s="57">
        <f t="shared" si="16"/>
        <v>0</v>
      </c>
      <c r="CG26" s="47"/>
      <c r="CH26" s="50"/>
      <c r="CI26" s="51"/>
      <c r="CJ26" s="57">
        <f t="shared" si="17"/>
        <v>0</v>
      </c>
      <c r="CK26" s="47"/>
      <c r="CL26" s="50"/>
      <c r="CM26" s="51"/>
      <c r="CN26" s="57">
        <f t="shared" si="18"/>
        <v>0</v>
      </c>
      <c r="CO26" s="47"/>
      <c r="CP26" s="50"/>
      <c r="CQ26" s="51"/>
      <c r="CR26" s="57">
        <f t="shared" si="19"/>
        <v>0</v>
      </c>
      <c r="CS26" s="47"/>
      <c r="CT26" s="50"/>
      <c r="CU26" s="51"/>
      <c r="CV26" s="57">
        <f t="shared" si="20"/>
        <v>0</v>
      </c>
      <c r="CW26" s="47"/>
      <c r="CX26" s="50"/>
      <c r="CY26" s="51"/>
      <c r="CZ26" s="57">
        <f t="shared" si="21"/>
        <v>0</v>
      </c>
      <c r="DA26" s="47"/>
      <c r="DB26" s="50"/>
      <c r="DC26" s="51"/>
      <c r="DD26" s="57">
        <f t="shared" si="22"/>
        <v>0</v>
      </c>
      <c r="DE26" s="47"/>
      <c r="DF26" s="50"/>
      <c r="DG26" s="51"/>
      <c r="DH26" s="57">
        <f t="shared" si="23"/>
        <v>0</v>
      </c>
      <c r="DI26" s="47"/>
      <c r="DJ26" s="50"/>
      <c r="DK26" s="51"/>
      <c r="DL26" s="57">
        <f t="shared" si="24"/>
        <v>0</v>
      </c>
      <c r="DM26" s="47"/>
      <c r="DN26" s="50"/>
      <c r="DO26" s="51"/>
      <c r="DP26" s="57">
        <f t="shared" si="25"/>
        <v>0</v>
      </c>
      <c r="DQ26" s="47"/>
      <c r="DR26" s="50"/>
      <c r="DS26" s="51"/>
      <c r="DT26" s="57">
        <f t="shared" si="26"/>
        <v>0</v>
      </c>
      <c r="DU26" s="47"/>
      <c r="DV26" s="50"/>
      <c r="DW26" s="51"/>
      <c r="DX26" s="57">
        <f t="shared" si="27"/>
        <v>0</v>
      </c>
      <c r="DY26" s="47"/>
      <c r="DZ26" s="50"/>
      <c r="EA26" s="51"/>
      <c r="EB26" s="57">
        <f t="shared" si="28"/>
        <v>0</v>
      </c>
      <c r="EC26" s="47"/>
      <c r="ED26" s="50"/>
      <c r="EE26" s="51"/>
      <c r="EF26" s="57">
        <f t="shared" si="29"/>
        <v>0</v>
      </c>
      <c r="EG26" s="47"/>
      <c r="EH26" s="50"/>
      <c r="EI26" s="51"/>
      <c r="EJ26" s="57">
        <f t="shared" si="30"/>
        <v>0</v>
      </c>
      <c r="EK26" s="47"/>
      <c r="EL26" s="50"/>
      <c r="EM26" s="51"/>
      <c r="EN26" s="57">
        <f t="shared" si="31"/>
        <v>0</v>
      </c>
      <c r="EO26" s="47"/>
      <c r="EP26" s="50"/>
      <c r="EQ26" s="51"/>
      <c r="ER26" s="57">
        <f t="shared" si="32"/>
        <v>0</v>
      </c>
      <c r="ES26" s="47"/>
      <c r="ET26" s="50"/>
      <c r="EU26" s="51"/>
      <c r="EV26" s="57">
        <f t="shared" si="33"/>
        <v>0</v>
      </c>
      <c r="EW26" s="47"/>
      <c r="EX26" s="50"/>
      <c r="EY26" s="51"/>
      <c r="EZ26" s="57">
        <f t="shared" si="34"/>
        <v>0</v>
      </c>
      <c r="FA26" s="47"/>
      <c r="FB26" s="50"/>
      <c r="FC26" s="51"/>
      <c r="FD26" s="57">
        <f t="shared" si="35"/>
        <v>0</v>
      </c>
      <c r="FE26" s="47"/>
      <c r="FF26" s="50"/>
      <c r="FG26" s="51"/>
      <c r="FH26" s="57">
        <f t="shared" si="36"/>
        <v>0</v>
      </c>
      <c r="FI26" s="47"/>
      <c r="FJ26" s="50"/>
      <c r="FK26" s="51"/>
      <c r="FL26" s="57">
        <f t="shared" si="37"/>
        <v>0</v>
      </c>
      <c r="FM26" s="47"/>
      <c r="FN26" s="50"/>
      <c r="FO26" s="51"/>
      <c r="FP26" s="57">
        <f t="shared" si="38"/>
        <v>0</v>
      </c>
      <c r="FQ26" s="47"/>
      <c r="FR26" s="50"/>
      <c r="FS26" s="51"/>
      <c r="FT26" s="57">
        <f t="shared" si="39"/>
        <v>0</v>
      </c>
      <c r="FU26" s="47"/>
      <c r="FV26" s="50"/>
      <c r="FW26" s="51"/>
      <c r="FX26" s="57">
        <f t="shared" si="40"/>
        <v>0</v>
      </c>
      <c r="FY26" s="47"/>
      <c r="FZ26" s="50"/>
      <c r="GA26" s="51"/>
      <c r="GB26" s="57">
        <f t="shared" si="41"/>
        <v>0</v>
      </c>
      <c r="GC26" s="47"/>
      <c r="GD26" s="50"/>
      <c r="GE26" s="51"/>
      <c r="GF26" s="57">
        <f t="shared" si="42"/>
        <v>0</v>
      </c>
      <c r="GG26" s="47"/>
      <c r="GH26" s="50"/>
      <c r="GI26" s="51"/>
      <c r="GJ26" s="57">
        <f t="shared" si="43"/>
        <v>0</v>
      </c>
      <c r="GK26" s="47"/>
      <c r="GL26" s="50"/>
      <c r="GM26" s="51"/>
      <c r="GN26" s="57">
        <f t="shared" si="44"/>
        <v>0</v>
      </c>
      <c r="GO26" s="47"/>
      <c r="GP26" s="50"/>
      <c r="GQ26" s="51"/>
      <c r="GR26" s="57">
        <f t="shared" si="45"/>
        <v>0</v>
      </c>
      <c r="GS26" s="47"/>
      <c r="GT26" s="50"/>
      <c r="GU26" s="51"/>
      <c r="GV26" s="57">
        <f t="shared" si="46"/>
        <v>0</v>
      </c>
      <c r="GW26" s="47"/>
      <c r="GX26" s="50"/>
      <c r="GY26" s="51"/>
      <c r="GZ26" s="57">
        <f t="shared" si="47"/>
        <v>0</v>
      </c>
      <c r="HA26" s="47"/>
      <c r="HB26" s="50"/>
      <c r="HC26" s="51"/>
      <c r="HD26" s="57">
        <f t="shared" si="48"/>
        <v>0</v>
      </c>
      <c r="HE26" s="47"/>
      <c r="HF26" s="50"/>
      <c r="HG26" s="51"/>
      <c r="HH26" s="57">
        <f t="shared" si="49"/>
        <v>0</v>
      </c>
      <c r="HI26" s="47"/>
      <c r="HJ26" s="50"/>
      <c r="HK26" s="51"/>
      <c r="HL26" s="57">
        <f t="shared" si="50"/>
        <v>0</v>
      </c>
      <c r="HM26" s="47"/>
      <c r="HN26" s="50"/>
      <c r="HO26" s="51"/>
      <c r="HP26" s="57">
        <f t="shared" si="51"/>
        <v>0</v>
      </c>
      <c r="HQ26" s="47"/>
      <c r="HR26" s="50"/>
      <c r="HS26" s="51"/>
      <c r="HT26" s="57">
        <f t="shared" si="52"/>
        <v>0</v>
      </c>
      <c r="HU26" s="47"/>
      <c r="HV26" s="50"/>
      <c r="HW26" s="51"/>
      <c r="HX26" s="57">
        <f t="shared" si="53"/>
        <v>0</v>
      </c>
      <c r="HY26" s="47"/>
      <c r="HZ26" s="50"/>
      <c r="IA26" s="51"/>
      <c r="IB26" s="57">
        <f t="shared" si="54"/>
        <v>0</v>
      </c>
      <c r="IC26" s="47"/>
      <c r="ID26" s="50"/>
      <c r="IE26" s="51"/>
      <c r="IF26" s="57">
        <f t="shared" si="55"/>
        <v>0</v>
      </c>
      <c r="IG26" s="47"/>
      <c r="IH26" s="50"/>
      <c r="II26" s="51"/>
      <c r="IJ26" s="57">
        <f t="shared" si="56"/>
        <v>0</v>
      </c>
      <c r="IK26" s="47"/>
      <c r="IL26" s="50"/>
      <c r="IM26" s="51"/>
      <c r="IN26" s="57">
        <f t="shared" si="57"/>
        <v>0</v>
      </c>
      <c r="IO26" s="47"/>
      <c r="IP26" s="50"/>
      <c r="IQ26" s="51"/>
      <c r="IR26" s="57">
        <f t="shared" si="58"/>
        <v>0</v>
      </c>
      <c r="IS26" s="47"/>
      <c r="IT26" s="50"/>
      <c r="IU26" s="51"/>
      <c r="IV26" s="57">
        <f t="shared" si="59"/>
        <v>0</v>
      </c>
      <c r="IW26" s="47"/>
      <c r="IX26" s="50"/>
      <c r="IY26" s="51"/>
      <c r="IZ26" s="57">
        <f t="shared" si="60"/>
        <v>0</v>
      </c>
      <c r="JA26" s="47"/>
      <c r="JB26" s="36" t="e">
        <f t="shared" si="61"/>
        <v>#VALUE!</v>
      </c>
      <c r="JC26" s="36" t="e">
        <f t="shared" si="62"/>
        <v>#VALUE!</v>
      </c>
      <c r="JD26" s="36" t="e">
        <f t="shared" si="63"/>
        <v>#VALUE!</v>
      </c>
      <c r="JE26" s="36" t="e">
        <f t="shared" si="67"/>
        <v>#VALUE!</v>
      </c>
      <c r="JF26" s="36"/>
      <c r="JP26" s="36"/>
    </row>
    <row r="27" spans="2:276" ht="30" customHeight="1" x14ac:dyDescent="0.3">
      <c r="B27" s="23">
        <v>18</v>
      </c>
      <c r="C27" s="77" t="e">
        <f>VLOOKUP(#REF!,EMPLEADO!C:Q,15,FALSE)</f>
        <v>#REF!</v>
      </c>
      <c r="D27" s="15" t="s">
        <v>81</v>
      </c>
      <c r="E27" s="40" t="s">
        <v>17</v>
      </c>
      <c r="F27" s="52"/>
      <c r="G27" s="53"/>
      <c r="H27" s="57">
        <f t="shared" si="64"/>
        <v>0</v>
      </c>
      <c r="I27" s="47"/>
      <c r="J27" s="50"/>
      <c r="K27" s="51"/>
      <c r="L27" s="57">
        <f t="shared" si="0"/>
        <v>0</v>
      </c>
      <c r="M27" s="47"/>
      <c r="N27" s="52"/>
      <c r="O27" s="53"/>
      <c r="P27" s="57">
        <f t="shared" si="1"/>
        <v>0</v>
      </c>
      <c r="Q27" s="47"/>
      <c r="R27" s="53"/>
      <c r="S27" s="53"/>
      <c r="T27" s="57">
        <f t="shared" si="65"/>
        <v>0</v>
      </c>
      <c r="U27" s="47"/>
      <c r="V27" s="50"/>
      <c r="W27" s="51"/>
      <c r="X27" s="57">
        <f t="shared" si="2"/>
        <v>0</v>
      </c>
      <c r="Y27" s="47"/>
      <c r="Z27" s="50"/>
      <c r="AA27" s="51"/>
      <c r="AB27" s="57">
        <f t="shared" si="3"/>
        <v>0</v>
      </c>
      <c r="AC27" s="47"/>
      <c r="AD27" s="50"/>
      <c r="AE27" s="51"/>
      <c r="AF27" s="57">
        <f t="shared" si="4"/>
        <v>0</v>
      </c>
      <c r="AG27" s="47"/>
      <c r="AH27" s="53"/>
      <c r="AI27" s="53"/>
      <c r="AJ27" s="75">
        <f t="shared" si="66"/>
        <v>0</v>
      </c>
      <c r="AK27" s="47"/>
      <c r="AL27" s="50"/>
      <c r="AM27" s="51"/>
      <c r="AN27" s="57">
        <f t="shared" si="5"/>
        <v>0</v>
      </c>
      <c r="AO27" s="47"/>
      <c r="AP27" s="50"/>
      <c r="AQ27" s="51"/>
      <c r="AR27" s="57">
        <f t="shared" si="6"/>
        <v>0</v>
      </c>
      <c r="AS27" s="47"/>
      <c r="AT27" s="50"/>
      <c r="AU27" s="51"/>
      <c r="AV27" s="57">
        <f t="shared" si="7"/>
        <v>0</v>
      </c>
      <c r="AW27" s="47"/>
      <c r="AX27" s="50"/>
      <c r="AY27" s="51"/>
      <c r="AZ27" s="57">
        <f t="shared" si="8"/>
        <v>0</v>
      </c>
      <c r="BA27" s="47"/>
      <c r="BB27" s="50"/>
      <c r="BC27" s="51"/>
      <c r="BD27" s="57">
        <f t="shared" si="9"/>
        <v>0</v>
      </c>
      <c r="BE27" s="47"/>
      <c r="BF27" s="50"/>
      <c r="BG27" s="51"/>
      <c r="BH27" s="57">
        <f t="shared" si="10"/>
        <v>0</v>
      </c>
      <c r="BI27" s="47"/>
      <c r="BJ27" s="50"/>
      <c r="BK27" s="51"/>
      <c r="BL27" s="57">
        <f t="shared" si="11"/>
        <v>0</v>
      </c>
      <c r="BM27" s="47"/>
      <c r="BN27" s="50"/>
      <c r="BO27" s="51"/>
      <c r="BP27" s="57">
        <f t="shared" si="12"/>
        <v>0</v>
      </c>
      <c r="BQ27" s="47"/>
      <c r="BR27" s="50"/>
      <c r="BS27" s="51"/>
      <c r="BT27" s="57">
        <f t="shared" si="13"/>
        <v>0</v>
      </c>
      <c r="BU27" s="47"/>
      <c r="BV27" s="50"/>
      <c r="BW27" s="51"/>
      <c r="BX27" s="57">
        <f t="shared" si="14"/>
        <v>0</v>
      </c>
      <c r="BY27" s="47"/>
      <c r="BZ27" s="50"/>
      <c r="CA27" s="51"/>
      <c r="CB27" s="57">
        <f t="shared" si="15"/>
        <v>0</v>
      </c>
      <c r="CC27" s="47"/>
      <c r="CD27" s="50"/>
      <c r="CE27" s="51"/>
      <c r="CF27" s="57">
        <f t="shared" si="16"/>
        <v>0</v>
      </c>
      <c r="CG27" s="47"/>
      <c r="CH27" s="50"/>
      <c r="CI27" s="51"/>
      <c r="CJ27" s="57">
        <f t="shared" si="17"/>
        <v>0</v>
      </c>
      <c r="CK27" s="47"/>
      <c r="CL27" s="50"/>
      <c r="CM27" s="51"/>
      <c r="CN27" s="57">
        <f t="shared" si="18"/>
        <v>0</v>
      </c>
      <c r="CO27" s="47"/>
      <c r="CP27" s="50"/>
      <c r="CQ27" s="51"/>
      <c r="CR27" s="57">
        <f t="shared" si="19"/>
        <v>0</v>
      </c>
      <c r="CS27" s="47"/>
      <c r="CT27" s="50"/>
      <c r="CU27" s="51"/>
      <c r="CV27" s="57">
        <f t="shared" si="20"/>
        <v>0</v>
      </c>
      <c r="CW27" s="47"/>
      <c r="CX27" s="50"/>
      <c r="CY27" s="51"/>
      <c r="CZ27" s="57">
        <f t="shared" si="21"/>
        <v>0</v>
      </c>
      <c r="DA27" s="47"/>
      <c r="DB27" s="50"/>
      <c r="DC27" s="51"/>
      <c r="DD27" s="57">
        <f t="shared" si="22"/>
        <v>0</v>
      </c>
      <c r="DE27" s="47"/>
      <c r="DF27" s="50"/>
      <c r="DG27" s="51"/>
      <c r="DH27" s="57">
        <f t="shared" si="23"/>
        <v>0</v>
      </c>
      <c r="DI27" s="47"/>
      <c r="DJ27" s="50"/>
      <c r="DK27" s="51"/>
      <c r="DL27" s="57">
        <f t="shared" si="24"/>
        <v>0</v>
      </c>
      <c r="DM27" s="47"/>
      <c r="DN27" s="50"/>
      <c r="DO27" s="51"/>
      <c r="DP27" s="57">
        <f t="shared" si="25"/>
        <v>0</v>
      </c>
      <c r="DQ27" s="47"/>
      <c r="DR27" s="50"/>
      <c r="DS27" s="51"/>
      <c r="DT27" s="57">
        <f t="shared" si="26"/>
        <v>0</v>
      </c>
      <c r="DU27" s="47"/>
      <c r="DV27" s="50"/>
      <c r="DW27" s="51"/>
      <c r="DX27" s="57">
        <f t="shared" si="27"/>
        <v>0</v>
      </c>
      <c r="DY27" s="47"/>
      <c r="DZ27" s="50"/>
      <c r="EA27" s="51"/>
      <c r="EB27" s="57">
        <f t="shared" si="28"/>
        <v>0</v>
      </c>
      <c r="EC27" s="47"/>
      <c r="ED27" s="50"/>
      <c r="EE27" s="51"/>
      <c r="EF27" s="57">
        <f t="shared" si="29"/>
        <v>0</v>
      </c>
      <c r="EG27" s="47"/>
      <c r="EH27" s="50"/>
      <c r="EI27" s="51"/>
      <c r="EJ27" s="57">
        <f t="shared" si="30"/>
        <v>0</v>
      </c>
      <c r="EK27" s="47"/>
      <c r="EL27" s="50"/>
      <c r="EM27" s="51"/>
      <c r="EN27" s="57">
        <f t="shared" si="31"/>
        <v>0</v>
      </c>
      <c r="EO27" s="47"/>
      <c r="EP27" s="50"/>
      <c r="EQ27" s="51"/>
      <c r="ER27" s="57">
        <f t="shared" si="32"/>
        <v>0</v>
      </c>
      <c r="ES27" s="47"/>
      <c r="ET27" s="50"/>
      <c r="EU27" s="51"/>
      <c r="EV27" s="57">
        <f t="shared" si="33"/>
        <v>0</v>
      </c>
      <c r="EW27" s="47"/>
      <c r="EX27" s="50"/>
      <c r="EY27" s="51"/>
      <c r="EZ27" s="57">
        <f t="shared" si="34"/>
        <v>0</v>
      </c>
      <c r="FA27" s="47"/>
      <c r="FB27" s="50"/>
      <c r="FC27" s="51"/>
      <c r="FD27" s="57">
        <f t="shared" si="35"/>
        <v>0</v>
      </c>
      <c r="FE27" s="47"/>
      <c r="FF27" s="50"/>
      <c r="FG27" s="51"/>
      <c r="FH27" s="57">
        <f t="shared" si="36"/>
        <v>0</v>
      </c>
      <c r="FI27" s="47"/>
      <c r="FJ27" s="50"/>
      <c r="FK27" s="51"/>
      <c r="FL27" s="57">
        <f t="shared" si="37"/>
        <v>0</v>
      </c>
      <c r="FM27" s="47"/>
      <c r="FN27" s="50"/>
      <c r="FO27" s="51"/>
      <c r="FP27" s="57">
        <f t="shared" si="38"/>
        <v>0</v>
      </c>
      <c r="FQ27" s="47"/>
      <c r="FR27" s="50"/>
      <c r="FS27" s="51"/>
      <c r="FT27" s="57">
        <f t="shared" si="39"/>
        <v>0</v>
      </c>
      <c r="FU27" s="47"/>
      <c r="FV27" s="50"/>
      <c r="FW27" s="51"/>
      <c r="FX27" s="57">
        <f t="shared" si="40"/>
        <v>0</v>
      </c>
      <c r="FY27" s="47"/>
      <c r="FZ27" s="50"/>
      <c r="GA27" s="51"/>
      <c r="GB27" s="57">
        <f t="shared" si="41"/>
        <v>0</v>
      </c>
      <c r="GC27" s="47"/>
      <c r="GD27" s="50"/>
      <c r="GE27" s="51"/>
      <c r="GF27" s="57">
        <f t="shared" si="42"/>
        <v>0</v>
      </c>
      <c r="GG27" s="47"/>
      <c r="GH27" s="50"/>
      <c r="GI27" s="51"/>
      <c r="GJ27" s="57">
        <f t="shared" si="43"/>
        <v>0</v>
      </c>
      <c r="GK27" s="47"/>
      <c r="GL27" s="50"/>
      <c r="GM27" s="51"/>
      <c r="GN27" s="57">
        <f t="shared" si="44"/>
        <v>0</v>
      </c>
      <c r="GO27" s="47"/>
      <c r="GP27" s="50"/>
      <c r="GQ27" s="51"/>
      <c r="GR27" s="57">
        <f t="shared" si="45"/>
        <v>0</v>
      </c>
      <c r="GS27" s="47"/>
      <c r="GT27" s="50"/>
      <c r="GU27" s="51"/>
      <c r="GV27" s="57">
        <f t="shared" si="46"/>
        <v>0</v>
      </c>
      <c r="GW27" s="47"/>
      <c r="GX27" s="50"/>
      <c r="GY27" s="51"/>
      <c r="GZ27" s="57">
        <f t="shared" si="47"/>
        <v>0</v>
      </c>
      <c r="HA27" s="47"/>
      <c r="HB27" s="50"/>
      <c r="HC27" s="51"/>
      <c r="HD27" s="57">
        <f t="shared" si="48"/>
        <v>0</v>
      </c>
      <c r="HE27" s="47"/>
      <c r="HF27" s="50"/>
      <c r="HG27" s="51"/>
      <c r="HH27" s="57">
        <f t="shared" si="49"/>
        <v>0</v>
      </c>
      <c r="HI27" s="47"/>
      <c r="HJ27" s="50"/>
      <c r="HK27" s="51"/>
      <c r="HL27" s="57">
        <f t="shared" si="50"/>
        <v>0</v>
      </c>
      <c r="HM27" s="47"/>
      <c r="HN27" s="50"/>
      <c r="HO27" s="51"/>
      <c r="HP27" s="57">
        <f t="shared" si="51"/>
        <v>0</v>
      </c>
      <c r="HQ27" s="47"/>
      <c r="HR27" s="50"/>
      <c r="HS27" s="51"/>
      <c r="HT27" s="57">
        <f t="shared" si="52"/>
        <v>0</v>
      </c>
      <c r="HU27" s="47"/>
      <c r="HV27" s="50"/>
      <c r="HW27" s="51"/>
      <c r="HX27" s="57">
        <f t="shared" si="53"/>
        <v>0</v>
      </c>
      <c r="HY27" s="47"/>
      <c r="HZ27" s="50"/>
      <c r="IA27" s="51"/>
      <c r="IB27" s="57">
        <f t="shared" si="54"/>
        <v>0</v>
      </c>
      <c r="IC27" s="47"/>
      <c r="ID27" s="50"/>
      <c r="IE27" s="51"/>
      <c r="IF27" s="57">
        <f t="shared" si="55"/>
        <v>0</v>
      </c>
      <c r="IG27" s="47"/>
      <c r="IH27" s="50"/>
      <c r="II27" s="51"/>
      <c r="IJ27" s="57">
        <f t="shared" si="56"/>
        <v>0</v>
      </c>
      <c r="IK27" s="47"/>
      <c r="IL27" s="50"/>
      <c r="IM27" s="51"/>
      <c r="IN27" s="57">
        <f t="shared" si="57"/>
        <v>0</v>
      </c>
      <c r="IO27" s="47"/>
      <c r="IP27" s="50"/>
      <c r="IQ27" s="51"/>
      <c r="IR27" s="57">
        <f t="shared" si="58"/>
        <v>0</v>
      </c>
      <c r="IS27" s="47"/>
      <c r="IT27" s="50"/>
      <c r="IU27" s="51"/>
      <c r="IV27" s="57">
        <f t="shared" si="59"/>
        <v>0</v>
      </c>
      <c r="IW27" s="47"/>
      <c r="IX27" s="50"/>
      <c r="IY27" s="51"/>
      <c r="IZ27" s="57">
        <f t="shared" si="60"/>
        <v>0</v>
      </c>
      <c r="JA27" s="47"/>
      <c r="JB27" s="36" t="e">
        <f t="shared" si="61"/>
        <v>#VALUE!</v>
      </c>
      <c r="JC27" s="36" t="e">
        <f t="shared" si="62"/>
        <v>#VALUE!</v>
      </c>
      <c r="JD27" s="36" t="e">
        <f t="shared" si="63"/>
        <v>#VALUE!</v>
      </c>
      <c r="JE27" s="36" t="e">
        <f t="shared" si="67"/>
        <v>#VALUE!</v>
      </c>
      <c r="JF27" s="36"/>
      <c r="JP27" s="36"/>
    </row>
    <row r="28" spans="2:276" ht="30" customHeight="1" x14ac:dyDescent="0.3">
      <c r="B28" s="23">
        <v>19</v>
      </c>
      <c r="C28" s="77" t="e">
        <f>VLOOKUP(#REF!,EMPLEADO!C:Q,15,FALSE)</f>
        <v>#REF!</v>
      </c>
      <c r="D28" s="15" t="s">
        <v>82</v>
      </c>
      <c r="E28" s="40" t="s">
        <v>17</v>
      </c>
      <c r="F28" s="52"/>
      <c r="G28" s="53"/>
      <c r="H28" s="57">
        <f t="shared" si="64"/>
        <v>0</v>
      </c>
      <c r="I28" s="47"/>
      <c r="J28" s="50"/>
      <c r="K28" s="51"/>
      <c r="L28" s="57">
        <f t="shared" si="0"/>
        <v>0</v>
      </c>
      <c r="M28" s="47"/>
      <c r="N28" s="52"/>
      <c r="O28" s="53"/>
      <c r="P28" s="57">
        <f t="shared" si="1"/>
        <v>0</v>
      </c>
      <c r="Q28" s="47"/>
      <c r="R28" s="53"/>
      <c r="S28" s="53"/>
      <c r="T28" s="57">
        <f t="shared" si="65"/>
        <v>0</v>
      </c>
      <c r="U28" s="47"/>
      <c r="V28" s="50"/>
      <c r="W28" s="51"/>
      <c r="X28" s="57">
        <f t="shared" si="2"/>
        <v>0</v>
      </c>
      <c r="Y28" s="47"/>
      <c r="Z28" s="50"/>
      <c r="AA28" s="51"/>
      <c r="AB28" s="57">
        <f t="shared" si="3"/>
        <v>0</v>
      </c>
      <c r="AC28" s="47"/>
      <c r="AD28" s="50"/>
      <c r="AE28" s="51"/>
      <c r="AF28" s="57">
        <f t="shared" si="4"/>
        <v>0</v>
      </c>
      <c r="AG28" s="47"/>
      <c r="AH28" s="53"/>
      <c r="AI28" s="53"/>
      <c r="AJ28" s="75">
        <f t="shared" si="66"/>
        <v>0</v>
      </c>
      <c r="AK28" s="47"/>
      <c r="AL28" s="50"/>
      <c r="AM28" s="51"/>
      <c r="AN28" s="57">
        <f t="shared" si="5"/>
        <v>0</v>
      </c>
      <c r="AO28" s="47"/>
      <c r="AP28" s="50"/>
      <c r="AQ28" s="51"/>
      <c r="AR28" s="57">
        <f t="shared" si="6"/>
        <v>0</v>
      </c>
      <c r="AS28" s="47"/>
      <c r="AT28" s="50"/>
      <c r="AU28" s="51"/>
      <c r="AV28" s="57">
        <f t="shared" si="7"/>
        <v>0</v>
      </c>
      <c r="AW28" s="47"/>
      <c r="AX28" s="50"/>
      <c r="AY28" s="51"/>
      <c r="AZ28" s="57">
        <f t="shared" si="8"/>
        <v>0</v>
      </c>
      <c r="BA28" s="47"/>
      <c r="BB28" s="50"/>
      <c r="BC28" s="51"/>
      <c r="BD28" s="57">
        <f t="shared" si="9"/>
        <v>0</v>
      </c>
      <c r="BE28" s="47"/>
      <c r="BF28" s="50"/>
      <c r="BG28" s="51"/>
      <c r="BH28" s="57">
        <f t="shared" si="10"/>
        <v>0</v>
      </c>
      <c r="BI28" s="47"/>
      <c r="BJ28" s="50"/>
      <c r="BK28" s="51"/>
      <c r="BL28" s="57">
        <f t="shared" si="11"/>
        <v>0</v>
      </c>
      <c r="BM28" s="47"/>
      <c r="BN28" s="50"/>
      <c r="BO28" s="51"/>
      <c r="BP28" s="57">
        <f t="shared" si="12"/>
        <v>0</v>
      </c>
      <c r="BQ28" s="47"/>
      <c r="BR28" s="50"/>
      <c r="BS28" s="51"/>
      <c r="BT28" s="57">
        <f t="shared" si="13"/>
        <v>0</v>
      </c>
      <c r="BU28" s="47"/>
      <c r="BV28" s="50"/>
      <c r="BW28" s="51"/>
      <c r="BX28" s="57">
        <f t="shared" si="14"/>
        <v>0</v>
      </c>
      <c r="BY28" s="47"/>
      <c r="BZ28" s="50"/>
      <c r="CA28" s="51"/>
      <c r="CB28" s="57">
        <f t="shared" si="15"/>
        <v>0</v>
      </c>
      <c r="CC28" s="47"/>
      <c r="CD28" s="50"/>
      <c r="CE28" s="51"/>
      <c r="CF28" s="57">
        <f t="shared" si="16"/>
        <v>0</v>
      </c>
      <c r="CG28" s="47"/>
      <c r="CH28" s="50"/>
      <c r="CI28" s="51"/>
      <c r="CJ28" s="57">
        <f t="shared" si="17"/>
        <v>0</v>
      </c>
      <c r="CK28" s="47"/>
      <c r="CL28" s="50"/>
      <c r="CM28" s="51"/>
      <c r="CN28" s="57">
        <f t="shared" si="18"/>
        <v>0</v>
      </c>
      <c r="CO28" s="47"/>
      <c r="CP28" s="50"/>
      <c r="CQ28" s="51"/>
      <c r="CR28" s="57">
        <f t="shared" si="19"/>
        <v>0</v>
      </c>
      <c r="CS28" s="47"/>
      <c r="CT28" s="50"/>
      <c r="CU28" s="51"/>
      <c r="CV28" s="57">
        <f t="shared" si="20"/>
        <v>0</v>
      </c>
      <c r="CW28" s="47"/>
      <c r="CX28" s="50"/>
      <c r="CY28" s="51"/>
      <c r="CZ28" s="57">
        <f t="shared" si="21"/>
        <v>0</v>
      </c>
      <c r="DA28" s="47"/>
      <c r="DB28" s="50"/>
      <c r="DC28" s="51"/>
      <c r="DD28" s="57">
        <f t="shared" si="22"/>
        <v>0</v>
      </c>
      <c r="DE28" s="47"/>
      <c r="DF28" s="50"/>
      <c r="DG28" s="51"/>
      <c r="DH28" s="57">
        <f t="shared" si="23"/>
        <v>0</v>
      </c>
      <c r="DI28" s="47"/>
      <c r="DJ28" s="50"/>
      <c r="DK28" s="51"/>
      <c r="DL28" s="57">
        <f t="shared" si="24"/>
        <v>0</v>
      </c>
      <c r="DM28" s="47"/>
      <c r="DN28" s="50"/>
      <c r="DO28" s="51"/>
      <c r="DP28" s="57">
        <f t="shared" si="25"/>
        <v>0</v>
      </c>
      <c r="DQ28" s="47"/>
      <c r="DR28" s="50"/>
      <c r="DS28" s="51"/>
      <c r="DT28" s="57">
        <f t="shared" si="26"/>
        <v>0</v>
      </c>
      <c r="DU28" s="47"/>
      <c r="DV28" s="50"/>
      <c r="DW28" s="51"/>
      <c r="DX28" s="57">
        <f t="shared" si="27"/>
        <v>0</v>
      </c>
      <c r="DY28" s="47"/>
      <c r="DZ28" s="50"/>
      <c r="EA28" s="51"/>
      <c r="EB28" s="57">
        <f t="shared" si="28"/>
        <v>0</v>
      </c>
      <c r="EC28" s="47"/>
      <c r="ED28" s="50"/>
      <c r="EE28" s="51"/>
      <c r="EF28" s="57">
        <f t="shared" si="29"/>
        <v>0</v>
      </c>
      <c r="EG28" s="47"/>
      <c r="EH28" s="50"/>
      <c r="EI28" s="51"/>
      <c r="EJ28" s="57">
        <f t="shared" si="30"/>
        <v>0</v>
      </c>
      <c r="EK28" s="47"/>
      <c r="EL28" s="50"/>
      <c r="EM28" s="51"/>
      <c r="EN28" s="57">
        <f t="shared" si="31"/>
        <v>0</v>
      </c>
      <c r="EO28" s="47"/>
      <c r="EP28" s="50"/>
      <c r="EQ28" s="51"/>
      <c r="ER28" s="57">
        <f t="shared" si="32"/>
        <v>0</v>
      </c>
      <c r="ES28" s="47"/>
      <c r="ET28" s="50"/>
      <c r="EU28" s="51"/>
      <c r="EV28" s="57">
        <f t="shared" si="33"/>
        <v>0</v>
      </c>
      <c r="EW28" s="47"/>
      <c r="EX28" s="50"/>
      <c r="EY28" s="51"/>
      <c r="EZ28" s="57">
        <f t="shared" si="34"/>
        <v>0</v>
      </c>
      <c r="FA28" s="47"/>
      <c r="FB28" s="50"/>
      <c r="FC28" s="51"/>
      <c r="FD28" s="57">
        <f t="shared" si="35"/>
        <v>0</v>
      </c>
      <c r="FE28" s="47"/>
      <c r="FF28" s="50"/>
      <c r="FG28" s="51"/>
      <c r="FH28" s="57">
        <f t="shared" si="36"/>
        <v>0</v>
      </c>
      <c r="FI28" s="47"/>
      <c r="FJ28" s="50"/>
      <c r="FK28" s="51"/>
      <c r="FL28" s="57">
        <f t="shared" si="37"/>
        <v>0</v>
      </c>
      <c r="FM28" s="47"/>
      <c r="FN28" s="50"/>
      <c r="FO28" s="51"/>
      <c r="FP28" s="57">
        <f t="shared" si="38"/>
        <v>0</v>
      </c>
      <c r="FQ28" s="47"/>
      <c r="FR28" s="50"/>
      <c r="FS28" s="51"/>
      <c r="FT28" s="57">
        <f t="shared" si="39"/>
        <v>0</v>
      </c>
      <c r="FU28" s="47"/>
      <c r="FV28" s="50"/>
      <c r="FW28" s="51"/>
      <c r="FX28" s="57">
        <f t="shared" si="40"/>
        <v>0</v>
      </c>
      <c r="FY28" s="47"/>
      <c r="FZ28" s="50"/>
      <c r="GA28" s="51"/>
      <c r="GB28" s="57">
        <f t="shared" si="41"/>
        <v>0</v>
      </c>
      <c r="GC28" s="47"/>
      <c r="GD28" s="50"/>
      <c r="GE28" s="51"/>
      <c r="GF28" s="57">
        <f t="shared" si="42"/>
        <v>0</v>
      </c>
      <c r="GG28" s="47"/>
      <c r="GH28" s="50"/>
      <c r="GI28" s="51"/>
      <c r="GJ28" s="57">
        <f t="shared" si="43"/>
        <v>0</v>
      </c>
      <c r="GK28" s="47"/>
      <c r="GL28" s="50"/>
      <c r="GM28" s="51"/>
      <c r="GN28" s="57">
        <f t="shared" si="44"/>
        <v>0</v>
      </c>
      <c r="GO28" s="47"/>
      <c r="GP28" s="50"/>
      <c r="GQ28" s="51"/>
      <c r="GR28" s="57">
        <f t="shared" si="45"/>
        <v>0</v>
      </c>
      <c r="GS28" s="47"/>
      <c r="GT28" s="50"/>
      <c r="GU28" s="51"/>
      <c r="GV28" s="57">
        <f t="shared" si="46"/>
        <v>0</v>
      </c>
      <c r="GW28" s="47"/>
      <c r="GX28" s="50"/>
      <c r="GY28" s="51"/>
      <c r="GZ28" s="57">
        <f t="shared" si="47"/>
        <v>0</v>
      </c>
      <c r="HA28" s="47"/>
      <c r="HB28" s="50"/>
      <c r="HC28" s="51"/>
      <c r="HD28" s="57">
        <f t="shared" si="48"/>
        <v>0</v>
      </c>
      <c r="HE28" s="47"/>
      <c r="HF28" s="50"/>
      <c r="HG28" s="51"/>
      <c r="HH28" s="57">
        <f t="shared" si="49"/>
        <v>0</v>
      </c>
      <c r="HI28" s="47"/>
      <c r="HJ28" s="50"/>
      <c r="HK28" s="51"/>
      <c r="HL28" s="57">
        <f t="shared" si="50"/>
        <v>0</v>
      </c>
      <c r="HM28" s="47"/>
      <c r="HN28" s="50"/>
      <c r="HO28" s="51"/>
      <c r="HP28" s="57">
        <f t="shared" si="51"/>
        <v>0</v>
      </c>
      <c r="HQ28" s="47"/>
      <c r="HR28" s="50"/>
      <c r="HS28" s="51"/>
      <c r="HT28" s="57">
        <f t="shared" si="52"/>
        <v>0</v>
      </c>
      <c r="HU28" s="47"/>
      <c r="HV28" s="50"/>
      <c r="HW28" s="51"/>
      <c r="HX28" s="57">
        <f t="shared" si="53"/>
        <v>0</v>
      </c>
      <c r="HY28" s="47"/>
      <c r="HZ28" s="50"/>
      <c r="IA28" s="51"/>
      <c r="IB28" s="57">
        <f t="shared" si="54"/>
        <v>0</v>
      </c>
      <c r="IC28" s="47"/>
      <c r="ID28" s="50"/>
      <c r="IE28" s="51"/>
      <c r="IF28" s="57">
        <f t="shared" si="55"/>
        <v>0</v>
      </c>
      <c r="IG28" s="47"/>
      <c r="IH28" s="50"/>
      <c r="II28" s="51"/>
      <c r="IJ28" s="57">
        <f t="shared" si="56"/>
        <v>0</v>
      </c>
      <c r="IK28" s="47"/>
      <c r="IL28" s="50"/>
      <c r="IM28" s="51"/>
      <c r="IN28" s="57">
        <f t="shared" si="57"/>
        <v>0</v>
      </c>
      <c r="IO28" s="47"/>
      <c r="IP28" s="50"/>
      <c r="IQ28" s="51"/>
      <c r="IR28" s="57">
        <f t="shared" si="58"/>
        <v>0</v>
      </c>
      <c r="IS28" s="47"/>
      <c r="IT28" s="50"/>
      <c r="IU28" s="51"/>
      <c r="IV28" s="57">
        <f t="shared" si="59"/>
        <v>0</v>
      </c>
      <c r="IW28" s="47"/>
      <c r="IX28" s="50"/>
      <c r="IY28" s="51"/>
      <c r="IZ28" s="57">
        <f t="shared" si="60"/>
        <v>0</v>
      </c>
      <c r="JA28" s="47"/>
      <c r="JB28" s="36" t="e">
        <f t="shared" si="61"/>
        <v>#VALUE!</v>
      </c>
      <c r="JC28" s="36" t="e">
        <f t="shared" si="62"/>
        <v>#VALUE!</v>
      </c>
      <c r="JD28" s="36" t="e">
        <f t="shared" si="63"/>
        <v>#VALUE!</v>
      </c>
      <c r="JE28" s="36" t="e">
        <f t="shared" si="67"/>
        <v>#VALUE!</v>
      </c>
      <c r="JF28" s="36"/>
      <c r="JP28" s="36"/>
    </row>
    <row r="29" spans="2:276" ht="30" customHeight="1" x14ac:dyDescent="0.3">
      <c r="B29" s="23">
        <v>20</v>
      </c>
      <c r="C29" s="77" t="e">
        <f>VLOOKUP(#REF!,EMPLEADO!C:Q,15,FALSE)</f>
        <v>#REF!</v>
      </c>
      <c r="D29" s="15" t="s">
        <v>83</v>
      </c>
      <c r="E29" s="40" t="s">
        <v>17</v>
      </c>
      <c r="F29" s="50"/>
      <c r="G29" s="51"/>
      <c r="H29" s="57">
        <f t="shared" si="64"/>
        <v>0</v>
      </c>
      <c r="I29" s="47"/>
      <c r="J29" s="50"/>
      <c r="K29" s="51"/>
      <c r="L29" s="57">
        <f t="shared" si="0"/>
        <v>0</v>
      </c>
      <c r="M29" s="47"/>
      <c r="N29" s="52"/>
      <c r="O29" s="53"/>
      <c r="P29" s="57">
        <f t="shared" si="1"/>
        <v>0</v>
      </c>
      <c r="Q29" s="47"/>
      <c r="R29" s="53"/>
      <c r="S29" s="53"/>
      <c r="T29" s="57">
        <f t="shared" si="65"/>
        <v>0</v>
      </c>
      <c r="U29" s="47"/>
      <c r="V29" s="50"/>
      <c r="W29" s="51"/>
      <c r="X29" s="57">
        <f t="shared" si="2"/>
        <v>0</v>
      </c>
      <c r="Y29" s="47"/>
      <c r="Z29" s="50"/>
      <c r="AA29" s="51"/>
      <c r="AB29" s="57">
        <f t="shared" si="3"/>
        <v>0</v>
      </c>
      <c r="AC29" s="47"/>
      <c r="AD29" s="50"/>
      <c r="AE29" s="51"/>
      <c r="AF29" s="57">
        <f t="shared" si="4"/>
        <v>0</v>
      </c>
      <c r="AG29" s="47"/>
      <c r="AH29" s="53"/>
      <c r="AI29" s="53"/>
      <c r="AJ29" s="75">
        <f t="shared" si="66"/>
        <v>0</v>
      </c>
      <c r="AK29" s="47"/>
      <c r="AL29" s="50"/>
      <c r="AM29" s="51"/>
      <c r="AN29" s="57">
        <f t="shared" si="5"/>
        <v>0</v>
      </c>
      <c r="AO29" s="47"/>
      <c r="AP29" s="50"/>
      <c r="AQ29" s="51"/>
      <c r="AR29" s="57">
        <f t="shared" si="6"/>
        <v>0</v>
      </c>
      <c r="AS29" s="47"/>
      <c r="AT29" s="50"/>
      <c r="AU29" s="51"/>
      <c r="AV29" s="57">
        <f t="shared" si="7"/>
        <v>0</v>
      </c>
      <c r="AW29" s="47"/>
      <c r="AX29" s="50"/>
      <c r="AY29" s="51"/>
      <c r="AZ29" s="57">
        <f t="shared" si="8"/>
        <v>0</v>
      </c>
      <c r="BA29" s="47"/>
      <c r="BB29" s="50"/>
      <c r="BC29" s="51"/>
      <c r="BD29" s="57">
        <f t="shared" si="9"/>
        <v>0</v>
      </c>
      <c r="BE29" s="47"/>
      <c r="BF29" s="50"/>
      <c r="BG29" s="51"/>
      <c r="BH29" s="57">
        <f t="shared" si="10"/>
        <v>0</v>
      </c>
      <c r="BI29" s="47"/>
      <c r="BJ29" s="50"/>
      <c r="BK29" s="51"/>
      <c r="BL29" s="57">
        <f t="shared" si="11"/>
        <v>0</v>
      </c>
      <c r="BM29" s="47"/>
      <c r="BN29" s="50"/>
      <c r="BO29" s="51"/>
      <c r="BP29" s="57">
        <f t="shared" si="12"/>
        <v>0</v>
      </c>
      <c r="BQ29" s="47"/>
      <c r="BR29" s="50"/>
      <c r="BS29" s="51"/>
      <c r="BT29" s="57">
        <f t="shared" si="13"/>
        <v>0</v>
      </c>
      <c r="BU29" s="47"/>
      <c r="BV29" s="50"/>
      <c r="BW29" s="51"/>
      <c r="BX29" s="57">
        <f t="shared" si="14"/>
        <v>0</v>
      </c>
      <c r="BY29" s="47"/>
      <c r="BZ29" s="50"/>
      <c r="CA29" s="51"/>
      <c r="CB29" s="57">
        <f t="shared" si="15"/>
        <v>0</v>
      </c>
      <c r="CC29" s="47"/>
      <c r="CD29" s="50"/>
      <c r="CE29" s="51"/>
      <c r="CF29" s="57">
        <f t="shared" si="16"/>
        <v>0</v>
      </c>
      <c r="CG29" s="47"/>
      <c r="CH29" s="50"/>
      <c r="CI29" s="51"/>
      <c r="CJ29" s="57">
        <f t="shared" si="17"/>
        <v>0</v>
      </c>
      <c r="CK29" s="47"/>
      <c r="CL29" s="50"/>
      <c r="CM29" s="51"/>
      <c r="CN29" s="57">
        <f t="shared" si="18"/>
        <v>0</v>
      </c>
      <c r="CO29" s="47"/>
      <c r="CP29" s="50"/>
      <c r="CQ29" s="51"/>
      <c r="CR29" s="57">
        <f t="shared" si="19"/>
        <v>0</v>
      </c>
      <c r="CS29" s="47"/>
      <c r="CT29" s="50"/>
      <c r="CU29" s="51"/>
      <c r="CV29" s="57">
        <f t="shared" si="20"/>
        <v>0</v>
      </c>
      <c r="CW29" s="47"/>
      <c r="CX29" s="50"/>
      <c r="CY29" s="51"/>
      <c r="CZ29" s="57">
        <f t="shared" si="21"/>
        <v>0</v>
      </c>
      <c r="DA29" s="47"/>
      <c r="DB29" s="50"/>
      <c r="DC29" s="51"/>
      <c r="DD29" s="57">
        <f t="shared" si="22"/>
        <v>0</v>
      </c>
      <c r="DE29" s="47"/>
      <c r="DF29" s="50"/>
      <c r="DG29" s="51"/>
      <c r="DH29" s="57">
        <f t="shared" si="23"/>
        <v>0</v>
      </c>
      <c r="DI29" s="47"/>
      <c r="DJ29" s="50"/>
      <c r="DK29" s="51"/>
      <c r="DL29" s="57">
        <f t="shared" si="24"/>
        <v>0</v>
      </c>
      <c r="DM29" s="47"/>
      <c r="DN29" s="50"/>
      <c r="DO29" s="51"/>
      <c r="DP29" s="57">
        <f t="shared" si="25"/>
        <v>0</v>
      </c>
      <c r="DQ29" s="47"/>
      <c r="DR29" s="50"/>
      <c r="DS29" s="51"/>
      <c r="DT29" s="57">
        <f t="shared" si="26"/>
        <v>0</v>
      </c>
      <c r="DU29" s="47"/>
      <c r="DV29" s="50"/>
      <c r="DW29" s="51"/>
      <c r="DX29" s="57">
        <f t="shared" si="27"/>
        <v>0</v>
      </c>
      <c r="DY29" s="47"/>
      <c r="DZ29" s="50"/>
      <c r="EA29" s="51"/>
      <c r="EB29" s="57">
        <f t="shared" si="28"/>
        <v>0</v>
      </c>
      <c r="EC29" s="47"/>
      <c r="ED29" s="50"/>
      <c r="EE29" s="51"/>
      <c r="EF29" s="57">
        <f t="shared" si="29"/>
        <v>0</v>
      </c>
      <c r="EG29" s="47"/>
      <c r="EH29" s="50"/>
      <c r="EI29" s="51"/>
      <c r="EJ29" s="57">
        <f t="shared" si="30"/>
        <v>0</v>
      </c>
      <c r="EK29" s="47"/>
      <c r="EL29" s="50"/>
      <c r="EM29" s="51"/>
      <c r="EN29" s="57">
        <f t="shared" si="31"/>
        <v>0</v>
      </c>
      <c r="EO29" s="47"/>
      <c r="EP29" s="50"/>
      <c r="EQ29" s="51"/>
      <c r="ER29" s="57">
        <f t="shared" si="32"/>
        <v>0</v>
      </c>
      <c r="ES29" s="47"/>
      <c r="ET29" s="50"/>
      <c r="EU29" s="51"/>
      <c r="EV29" s="57">
        <f t="shared" si="33"/>
        <v>0</v>
      </c>
      <c r="EW29" s="47"/>
      <c r="EX29" s="50"/>
      <c r="EY29" s="51"/>
      <c r="EZ29" s="57">
        <f t="shared" si="34"/>
        <v>0</v>
      </c>
      <c r="FA29" s="47"/>
      <c r="FB29" s="50"/>
      <c r="FC29" s="51"/>
      <c r="FD29" s="57">
        <f t="shared" si="35"/>
        <v>0</v>
      </c>
      <c r="FE29" s="47"/>
      <c r="FF29" s="50"/>
      <c r="FG29" s="51"/>
      <c r="FH29" s="57">
        <f t="shared" si="36"/>
        <v>0</v>
      </c>
      <c r="FI29" s="47"/>
      <c r="FJ29" s="50"/>
      <c r="FK29" s="51"/>
      <c r="FL29" s="57">
        <f t="shared" si="37"/>
        <v>0</v>
      </c>
      <c r="FM29" s="47"/>
      <c r="FN29" s="50"/>
      <c r="FO29" s="51"/>
      <c r="FP29" s="57">
        <f t="shared" si="38"/>
        <v>0</v>
      </c>
      <c r="FQ29" s="47"/>
      <c r="FR29" s="50"/>
      <c r="FS29" s="51"/>
      <c r="FT29" s="57">
        <f t="shared" si="39"/>
        <v>0</v>
      </c>
      <c r="FU29" s="47"/>
      <c r="FV29" s="50"/>
      <c r="FW29" s="51"/>
      <c r="FX29" s="57">
        <f t="shared" si="40"/>
        <v>0</v>
      </c>
      <c r="FY29" s="47"/>
      <c r="FZ29" s="50"/>
      <c r="GA29" s="51"/>
      <c r="GB29" s="57">
        <f t="shared" si="41"/>
        <v>0</v>
      </c>
      <c r="GC29" s="47"/>
      <c r="GD29" s="50"/>
      <c r="GE29" s="51"/>
      <c r="GF29" s="57">
        <f t="shared" si="42"/>
        <v>0</v>
      </c>
      <c r="GG29" s="47"/>
      <c r="GH29" s="50"/>
      <c r="GI29" s="51"/>
      <c r="GJ29" s="57">
        <f t="shared" si="43"/>
        <v>0</v>
      </c>
      <c r="GK29" s="47"/>
      <c r="GL29" s="50"/>
      <c r="GM29" s="51"/>
      <c r="GN29" s="57">
        <f t="shared" si="44"/>
        <v>0</v>
      </c>
      <c r="GO29" s="47"/>
      <c r="GP29" s="50"/>
      <c r="GQ29" s="51"/>
      <c r="GR29" s="57">
        <f t="shared" si="45"/>
        <v>0</v>
      </c>
      <c r="GS29" s="47"/>
      <c r="GT29" s="50"/>
      <c r="GU29" s="51"/>
      <c r="GV29" s="57">
        <f t="shared" si="46"/>
        <v>0</v>
      </c>
      <c r="GW29" s="47"/>
      <c r="GX29" s="50"/>
      <c r="GY29" s="51"/>
      <c r="GZ29" s="57">
        <f t="shared" si="47"/>
        <v>0</v>
      </c>
      <c r="HA29" s="47"/>
      <c r="HB29" s="50"/>
      <c r="HC29" s="51"/>
      <c r="HD29" s="57">
        <f t="shared" si="48"/>
        <v>0</v>
      </c>
      <c r="HE29" s="47"/>
      <c r="HF29" s="50"/>
      <c r="HG29" s="51"/>
      <c r="HH29" s="57">
        <f t="shared" si="49"/>
        <v>0</v>
      </c>
      <c r="HI29" s="47"/>
      <c r="HJ29" s="50"/>
      <c r="HK29" s="51"/>
      <c r="HL29" s="57">
        <f t="shared" si="50"/>
        <v>0</v>
      </c>
      <c r="HM29" s="47"/>
      <c r="HN29" s="50"/>
      <c r="HO29" s="51"/>
      <c r="HP29" s="57">
        <f t="shared" si="51"/>
        <v>0</v>
      </c>
      <c r="HQ29" s="47"/>
      <c r="HR29" s="50"/>
      <c r="HS29" s="51"/>
      <c r="HT29" s="57">
        <f t="shared" si="52"/>
        <v>0</v>
      </c>
      <c r="HU29" s="47"/>
      <c r="HV29" s="50"/>
      <c r="HW29" s="51"/>
      <c r="HX29" s="57">
        <f t="shared" si="53"/>
        <v>0</v>
      </c>
      <c r="HY29" s="47"/>
      <c r="HZ29" s="50"/>
      <c r="IA29" s="51"/>
      <c r="IB29" s="57">
        <f t="shared" si="54"/>
        <v>0</v>
      </c>
      <c r="IC29" s="47"/>
      <c r="ID29" s="50"/>
      <c r="IE29" s="51"/>
      <c r="IF29" s="57">
        <f t="shared" si="55"/>
        <v>0</v>
      </c>
      <c r="IG29" s="47"/>
      <c r="IH29" s="50"/>
      <c r="II29" s="51"/>
      <c r="IJ29" s="57">
        <f t="shared" si="56"/>
        <v>0</v>
      </c>
      <c r="IK29" s="47"/>
      <c r="IL29" s="50"/>
      <c r="IM29" s="51"/>
      <c r="IN29" s="57">
        <f t="shared" si="57"/>
        <v>0</v>
      </c>
      <c r="IO29" s="47"/>
      <c r="IP29" s="50"/>
      <c r="IQ29" s="51"/>
      <c r="IR29" s="57">
        <f t="shared" si="58"/>
        <v>0</v>
      </c>
      <c r="IS29" s="47"/>
      <c r="IT29" s="50"/>
      <c r="IU29" s="51"/>
      <c r="IV29" s="57">
        <f t="shared" si="59"/>
        <v>0</v>
      </c>
      <c r="IW29" s="47"/>
      <c r="IX29" s="50"/>
      <c r="IY29" s="51"/>
      <c r="IZ29" s="57">
        <f t="shared" si="60"/>
        <v>0</v>
      </c>
      <c r="JA29" s="47"/>
      <c r="JB29" s="36" t="e">
        <f t="shared" si="61"/>
        <v>#VALUE!</v>
      </c>
      <c r="JC29" s="36" t="e">
        <f t="shared" si="62"/>
        <v>#VALUE!</v>
      </c>
      <c r="JD29" s="36" t="e">
        <f t="shared" si="63"/>
        <v>#VALUE!</v>
      </c>
      <c r="JE29" s="36" t="e">
        <f t="shared" si="67"/>
        <v>#VALUE!</v>
      </c>
      <c r="JF29" s="36"/>
      <c r="JP29" s="36"/>
    </row>
    <row r="30" spans="2:276" ht="30" customHeight="1" x14ac:dyDescent="0.3">
      <c r="B30" s="23">
        <v>21</v>
      </c>
      <c r="C30" s="77" t="e">
        <f>VLOOKUP(#REF!,EMPLEADO!C:Q,15,FALSE)</f>
        <v>#REF!</v>
      </c>
      <c r="D30" s="15" t="s">
        <v>84</v>
      </c>
      <c r="E30" s="40" t="s">
        <v>17</v>
      </c>
      <c r="F30" s="50"/>
      <c r="G30" s="51"/>
      <c r="H30" s="57">
        <f t="shared" si="64"/>
        <v>0</v>
      </c>
      <c r="I30" s="47"/>
      <c r="J30" s="50"/>
      <c r="K30" s="51"/>
      <c r="L30" s="57">
        <f t="shared" si="0"/>
        <v>0</v>
      </c>
      <c r="M30" s="47"/>
      <c r="N30" s="52"/>
      <c r="O30" s="53"/>
      <c r="P30" s="57">
        <f t="shared" si="1"/>
        <v>0</v>
      </c>
      <c r="Q30" s="47"/>
      <c r="R30" s="53"/>
      <c r="S30" s="53"/>
      <c r="T30" s="57">
        <f t="shared" si="65"/>
        <v>0</v>
      </c>
      <c r="U30" s="47"/>
      <c r="V30" s="50"/>
      <c r="W30" s="51"/>
      <c r="X30" s="57">
        <f t="shared" si="2"/>
        <v>0</v>
      </c>
      <c r="Y30" s="47"/>
      <c r="Z30" s="50"/>
      <c r="AA30" s="51"/>
      <c r="AB30" s="57">
        <f t="shared" si="3"/>
        <v>0</v>
      </c>
      <c r="AC30" s="47"/>
      <c r="AD30" s="50"/>
      <c r="AE30" s="51"/>
      <c r="AF30" s="57">
        <f t="shared" si="4"/>
        <v>0</v>
      </c>
      <c r="AG30" s="47"/>
      <c r="AH30" s="53"/>
      <c r="AI30" s="53"/>
      <c r="AJ30" s="75">
        <f t="shared" si="66"/>
        <v>0</v>
      </c>
      <c r="AK30" s="47"/>
      <c r="AL30" s="50"/>
      <c r="AM30" s="51"/>
      <c r="AN30" s="57">
        <f t="shared" si="5"/>
        <v>0</v>
      </c>
      <c r="AO30" s="47"/>
      <c r="AP30" s="50"/>
      <c r="AQ30" s="51"/>
      <c r="AR30" s="57">
        <f t="shared" si="6"/>
        <v>0</v>
      </c>
      <c r="AS30" s="47"/>
      <c r="AT30" s="50"/>
      <c r="AU30" s="51"/>
      <c r="AV30" s="57">
        <f t="shared" si="7"/>
        <v>0</v>
      </c>
      <c r="AW30" s="47"/>
      <c r="AX30" s="50"/>
      <c r="AY30" s="51"/>
      <c r="AZ30" s="57">
        <f t="shared" si="8"/>
        <v>0</v>
      </c>
      <c r="BA30" s="47"/>
      <c r="BB30" s="50"/>
      <c r="BC30" s="51"/>
      <c r="BD30" s="57">
        <f t="shared" si="9"/>
        <v>0</v>
      </c>
      <c r="BE30" s="47"/>
      <c r="BF30" s="50"/>
      <c r="BG30" s="51"/>
      <c r="BH30" s="57">
        <f t="shared" si="10"/>
        <v>0</v>
      </c>
      <c r="BI30" s="47"/>
      <c r="BJ30" s="50"/>
      <c r="BK30" s="51"/>
      <c r="BL30" s="57">
        <f t="shared" si="11"/>
        <v>0</v>
      </c>
      <c r="BM30" s="47"/>
      <c r="BN30" s="50"/>
      <c r="BO30" s="51"/>
      <c r="BP30" s="57">
        <f t="shared" si="12"/>
        <v>0</v>
      </c>
      <c r="BQ30" s="47"/>
      <c r="BR30" s="50"/>
      <c r="BS30" s="51"/>
      <c r="BT30" s="57">
        <f t="shared" si="13"/>
        <v>0</v>
      </c>
      <c r="BU30" s="47"/>
      <c r="BV30" s="50"/>
      <c r="BW30" s="51"/>
      <c r="BX30" s="57">
        <f t="shared" si="14"/>
        <v>0</v>
      </c>
      <c r="BY30" s="47"/>
      <c r="BZ30" s="50"/>
      <c r="CA30" s="51"/>
      <c r="CB30" s="57">
        <f t="shared" si="15"/>
        <v>0</v>
      </c>
      <c r="CC30" s="47"/>
      <c r="CD30" s="50"/>
      <c r="CE30" s="51"/>
      <c r="CF30" s="57">
        <f t="shared" si="16"/>
        <v>0</v>
      </c>
      <c r="CG30" s="47"/>
      <c r="CH30" s="50"/>
      <c r="CI30" s="51"/>
      <c r="CJ30" s="57">
        <f t="shared" si="17"/>
        <v>0</v>
      </c>
      <c r="CK30" s="47"/>
      <c r="CL30" s="50"/>
      <c r="CM30" s="51"/>
      <c r="CN30" s="57">
        <f t="shared" si="18"/>
        <v>0</v>
      </c>
      <c r="CO30" s="47"/>
      <c r="CP30" s="50"/>
      <c r="CQ30" s="51"/>
      <c r="CR30" s="57">
        <f t="shared" si="19"/>
        <v>0</v>
      </c>
      <c r="CS30" s="47"/>
      <c r="CT30" s="50"/>
      <c r="CU30" s="51"/>
      <c r="CV30" s="57">
        <f t="shared" si="20"/>
        <v>0</v>
      </c>
      <c r="CW30" s="47"/>
      <c r="CX30" s="50"/>
      <c r="CY30" s="51"/>
      <c r="CZ30" s="57">
        <f t="shared" si="21"/>
        <v>0</v>
      </c>
      <c r="DA30" s="47"/>
      <c r="DB30" s="50"/>
      <c r="DC30" s="51"/>
      <c r="DD30" s="57">
        <f t="shared" si="22"/>
        <v>0</v>
      </c>
      <c r="DE30" s="47"/>
      <c r="DF30" s="50"/>
      <c r="DG30" s="51"/>
      <c r="DH30" s="57">
        <f t="shared" si="23"/>
        <v>0</v>
      </c>
      <c r="DI30" s="47"/>
      <c r="DJ30" s="50"/>
      <c r="DK30" s="51"/>
      <c r="DL30" s="57">
        <f t="shared" si="24"/>
        <v>0</v>
      </c>
      <c r="DM30" s="47"/>
      <c r="DN30" s="50"/>
      <c r="DO30" s="51"/>
      <c r="DP30" s="57">
        <f t="shared" si="25"/>
        <v>0</v>
      </c>
      <c r="DQ30" s="47"/>
      <c r="DR30" s="50"/>
      <c r="DS30" s="51"/>
      <c r="DT30" s="57">
        <f t="shared" si="26"/>
        <v>0</v>
      </c>
      <c r="DU30" s="47"/>
      <c r="DV30" s="50"/>
      <c r="DW30" s="51"/>
      <c r="DX30" s="57">
        <f t="shared" si="27"/>
        <v>0</v>
      </c>
      <c r="DY30" s="47"/>
      <c r="DZ30" s="50"/>
      <c r="EA30" s="51"/>
      <c r="EB30" s="57">
        <f t="shared" si="28"/>
        <v>0</v>
      </c>
      <c r="EC30" s="47"/>
      <c r="ED30" s="50"/>
      <c r="EE30" s="51"/>
      <c r="EF30" s="57">
        <f t="shared" si="29"/>
        <v>0</v>
      </c>
      <c r="EG30" s="47"/>
      <c r="EH30" s="50"/>
      <c r="EI30" s="51"/>
      <c r="EJ30" s="57">
        <f t="shared" si="30"/>
        <v>0</v>
      </c>
      <c r="EK30" s="47"/>
      <c r="EL30" s="50"/>
      <c r="EM30" s="51"/>
      <c r="EN30" s="57">
        <f t="shared" si="31"/>
        <v>0</v>
      </c>
      <c r="EO30" s="47"/>
      <c r="EP30" s="50"/>
      <c r="EQ30" s="51"/>
      <c r="ER30" s="57">
        <f t="shared" si="32"/>
        <v>0</v>
      </c>
      <c r="ES30" s="47"/>
      <c r="ET30" s="50"/>
      <c r="EU30" s="51"/>
      <c r="EV30" s="57">
        <f t="shared" si="33"/>
        <v>0</v>
      </c>
      <c r="EW30" s="47"/>
      <c r="EX30" s="50"/>
      <c r="EY30" s="51"/>
      <c r="EZ30" s="57">
        <f t="shared" si="34"/>
        <v>0</v>
      </c>
      <c r="FA30" s="47"/>
      <c r="FB30" s="50"/>
      <c r="FC30" s="51"/>
      <c r="FD30" s="57">
        <f t="shared" si="35"/>
        <v>0</v>
      </c>
      <c r="FE30" s="47"/>
      <c r="FF30" s="50"/>
      <c r="FG30" s="51"/>
      <c r="FH30" s="57">
        <f t="shared" si="36"/>
        <v>0</v>
      </c>
      <c r="FI30" s="47"/>
      <c r="FJ30" s="50"/>
      <c r="FK30" s="51"/>
      <c r="FL30" s="57">
        <f t="shared" si="37"/>
        <v>0</v>
      </c>
      <c r="FM30" s="47"/>
      <c r="FN30" s="50"/>
      <c r="FO30" s="51"/>
      <c r="FP30" s="57">
        <f t="shared" si="38"/>
        <v>0</v>
      </c>
      <c r="FQ30" s="47"/>
      <c r="FR30" s="50"/>
      <c r="FS30" s="51"/>
      <c r="FT30" s="57">
        <f t="shared" si="39"/>
        <v>0</v>
      </c>
      <c r="FU30" s="47"/>
      <c r="FV30" s="50"/>
      <c r="FW30" s="51"/>
      <c r="FX30" s="57">
        <f t="shared" si="40"/>
        <v>0</v>
      </c>
      <c r="FY30" s="47"/>
      <c r="FZ30" s="50"/>
      <c r="GA30" s="51"/>
      <c r="GB30" s="57">
        <f t="shared" si="41"/>
        <v>0</v>
      </c>
      <c r="GC30" s="47"/>
      <c r="GD30" s="50"/>
      <c r="GE30" s="51"/>
      <c r="GF30" s="57">
        <f t="shared" si="42"/>
        <v>0</v>
      </c>
      <c r="GG30" s="47"/>
      <c r="GH30" s="50"/>
      <c r="GI30" s="51"/>
      <c r="GJ30" s="57">
        <f t="shared" si="43"/>
        <v>0</v>
      </c>
      <c r="GK30" s="47"/>
      <c r="GL30" s="50"/>
      <c r="GM30" s="51"/>
      <c r="GN30" s="57">
        <f t="shared" si="44"/>
        <v>0</v>
      </c>
      <c r="GO30" s="47"/>
      <c r="GP30" s="50"/>
      <c r="GQ30" s="51"/>
      <c r="GR30" s="57">
        <f t="shared" si="45"/>
        <v>0</v>
      </c>
      <c r="GS30" s="47"/>
      <c r="GT30" s="50"/>
      <c r="GU30" s="51"/>
      <c r="GV30" s="57">
        <f t="shared" si="46"/>
        <v>0</v>
      </c>
      <c r="GW30" s="47"/>
      <c r="GX30" s="50"/>
      <c r="GY30" s="51"/>
      <c r="GZ30" s="57">
        <f t="shared" si="47"/>
        <v>0</v>
      </c>
      <c r="HA30" s="47"/>
      <c r="HB30" s="50"/>
      <c r="HC30" s="51"/>
      <c r="HD30" s="57">
        <f t="shared" si="48"/>
        <v>0</v>
      </c>
      <c r="HE30" s="47"/>
      <c r="HF30" s="50"/>
      <c r="HG30" s="51"/>
      <c r="HH30" s="57">
        <f t="shared" si="49"/>
        <v>0</v>
      </c>
      <c r="HI30" s="47"/>
      <c r="HJ30" s="50"/>
      <c r="HK30" s="51"/>
      <c r="HL30" s="57">
        <f t="shared" si="50"/>
        <v>0</v>
      </c>
      <c r="HM30" s="47"/>
      <c r="HN30" s="50"/>
      <c r="HO30" s="51"/>
      <c r="HP30" s="57">
        <f t="shared" si="51"/>
        <v>0</v>
      </c>
      <c r="HQ30" s="47"/>
      <c r="HR30" s="50"/>
      <c r="HS30" s="51"/>
      <c r="HT30" s="57">
        <f t="shared" si="52"/>
        <v>0</v>
      </c>
      <c r="HU30" s="47"/>
      <c r="HV30" s="50"/>
      <c r="HW30" s="51"/>
      <c r="HX30" s="57">
        <f t="shared" si="53"/>
        <v>0</v>
      </c>
      <c r="HY30" s="47"/>
      <c r="HZ30" s="50"/>
      <c r="IA30" s="51"/>
      <c r="IB30" s="57">
        <f t="shared" si="54"/>
        <v>0</v>
      </c>
      <c r="IC30" s="47"/>
      <c r="ID30" s="50"/>
      <c r="IE30" s="51"/>
      <c r="IF30" s="57">
        <f t="shared" si="55"/>
        <v>0</v>
      </c>
      <c r="IG30" s="47"/>
      <c r="IH30" s="50"/>
      <c r="II30" s="51"/>
      <c r="IJ30" s="57">
        <f t="shared" si="56"/>
        <v>0</v>
      </c>
      <c r="IK30" s="47"/>
      <c r="IL30" s="50"/>
      <c r="IM30" s="51"/>
      <c r="IN30" s="57">
        <f t="shared" si="57"/>
        <v>0</v>
      </c>
      <c r="IO30" s="47"/>
      <c r="IP30" s="50"/>
      <c r="IQ30" s="51"/>
      <c r="IR30" s="57">
        <f t="shared" si="58"/>
        <v>0</v>
      </c>
      <c r="IS30" s="47"/>
      <c r="IT30" s="50"/>
      <c r="IU30" s="51"/>
      <c r="IV30" s="57">
        <f t="shared" si="59"/>
        <v>0</v>
      </c>
      <c r="IW30" s="47"/>
      <c r="IX30" s="50"/>
      <c r="IY30" s="51"/>
      <c r="IZ30" s="57">
        <f t="shared" si="60"/>
        <v>0</v>
      </c>
      <c r="JA30" s="47"/>
      <c r="JB30" s="36" t="e">
        <f t="shared" si="61"/>
        <v>#VALUE!</v>
      </c>
      <c r="JC30" s="36" t="e">
        <f t="shared" si="62"/>
        <v>#VALUE!</v>
      </c>
      <c r="JD30" s="36" t="e">
        <f t="shared" si="63"/>
        <v>#VALUE!</v>
      </c>
      <c r="JE30" s="36" t="e">
        <f t="shared" si="67"/>
        <v>#VALUE!</v>
      </c>
      <c r="JF30" s="36"/>
      <c r="JP30" s="36"/>
    </row>
    <row r="31" spans="2:276" ht="30" customHeight="1" x14ac:dyDescent="0.3">
      <c r="B31" s="23">
        <v>22</v>
      </c>
      <c r="C31" s="77" t="e">
        <f>VLOOKUP(#REF!,EMPLEADO!C:Q,15,FALSE)</f>
        <v>#REF!</v>
      </c>
      <c r="D31" s="15" t="s">
        <v>87</v>
      </c>
      <c r="E31" s="40" t="s">
        <v>17</v>
      </c>
      <c r="F31" s="50"/>
      <c r="G31" s="51"/>
      <c r="H31" s="57">
        <f t="shared" si="64"/>
        <v>0</v>
      </c>
      <c r="I31" s="47"/>
      <c r="J31" s="50"/>
      <c r="K31" s="51"/>
      <c r="L31" s="57">
        <f t="shared" si="0"/>
        <v>0</v>
      </c>
      <c r="M31" s="47"/>
      <c r="N31" s="52"/>
      <c r="O31" s="53"/>
      <c r="P31" s="57">
        <f t="shared" si="1"/>
        <v>0</v>
      </c>
      <c r="Q31" s="47"/>
      <c r="R31" s="53"/>
      <c r="S31" s="53"/>
      <c r="T31" s="57">
        <f t="shared" si="65"/>
        <v>0</v>
      </c>
      <c r="U31" s="47"/>
      <c r="V31" s="50"/>
      <c r="W31" s="51"/>
      <c r="X31" s="57">
        <f t="shared" si="2"/>
        <v>0</v>
      </c>
      <c r="Y31" s="47"/>
      <c r="Z31" s="50"/>
      <c r="AA31" s="51"/>
      <c r="AB31" s="57">
        <f t="shared" si="3"/>
        <v>0</v>
      </c>
      <c r="AC31" s="47"/>
      <c r="AD31" s="50"/>
      <c r="AE31" s="51"/>
      <c r="AF31" s="57">
        <f t="shared" si="4"/>
        <v>0</v>
      </c>
      <c r="AG31" s="47"/>
      <c r="AH31" s="53"/>
      <c r="AI31" s="53"/>
      <c r="AJ31" s="75">
        <f t="shared" si="66"/>
        <v>0</v>
      </c>
      <c r="AK31" s="47"/>
      <c r="AL31" s="50"/>
      <c r="AM31" s="51"/>
      <c r="AN31" s="57">
        <f t="shared" si="5"/>
        <v>0</v>
      </c>
      <c r="AO31" s="47"/>
      <c r="AP31" s="50"/>
      <c r="AQ31" s="51"/>
      <c r="AR31" s="57">
        <f t="shared" si="6"/>
        <v>0</v>
      </c>
      <c r="AS31" s="47"/>
      <c r="AT31" s="50"/>
      <c r="AU31" s="51"/>
      <c r="AV31" s="57">
        <f t="shared" si="7"/>
        <v>0</v>
      </c>
      <c r="AW31" s="47"/>
      <c r="AX31" s="50"/>
      <c r="AY31" s="51"/>
      <c r="AZ31" s="57">
        <f t="shared" si="8"/>
        <v>0</v>
      </c>
      <c r="BA31" s="47"/>
      <c r="BB31" s="50"/>
      <c r="BC31" s="51"/>
      <c r="BD31" s="57">
        <f t="shared" si="9"/>
        <v>0</v>
      </c>
      <c r="BE31" s="47"/>
      <c r="BF31" s="50"/>
      <c r="BG31" s="51"/>
      <c r="BH31" s="57">
        <f t="shared" si="10"/>
        <v>0</v>
      </c>
      <c r="BI31" s="47"/>
      <c r="BJ31" s="50"/>
      <c r="BK31" s="51"/>
      <c r="BL31" s="57">
        <f t="shared" si="11"/>
        <v>0</v>
      </c>
      <c r="BM31" s="47"/>
      <c r="BN31" s="50"/>
      <c r="BO31" s="51"/>
      <c r="BP31" s="57">
        <f t="shared" si="12"/>
        <v>0</v>
      </c>
      <c r="BQ31" s="47"/>
      <c r="BR31" s="50"/>
      <c r="BS31" s="51"/>
      <c r="BT31" s="57">
        <f t="shared" si="13"/>
        <v>0</v>
      </c>
      <c r="BU31" s="47"/>
      <c r="BV31" s="50"/>
      <c r="BW31" s="51"/>
      <c r="BX31" s="57">
        <f t="shared" si="14"/>
        <v>0</v>
      </c>
      <c r="BY31" s="47"/>
      <c r="BZ31" s="50"/>
      <c r="CA31" s="51"/>
      <c r="CB31" s="57">
        <f t="shared" si="15"/>
        <v>0</v>
      </c>
      <c r="CC31" s="47"/>
      <c r="CD31" s="50"/>
      <c r="CE31" s="51"/>
      <c r="CF31" s="57">
        <f t="shared" si="16"/>
        <v>0</v>
      </c>
      <c r="CG31" s="47"/>
      <c r="CH31" s="50"/>
      <c r="CI31" s="51"/>
      <c r="CJ31" s="57">
        <f t="shared" si="17"/>
        <v>0</v>
      </c>
      <c r="CK31" s="47"/>
      <c r="CL31" s="50"/>
      <c r="CM31" s="51"/>
      <c r="CN31" s="57">
        <f t="shared" si="18"/>
        <v>0</v>
      </c>
      <c r="CO31" s="47"/>
      <c r="CP31" s="50"/>
      <c r="CQ31" s="51"/>
      <c r="CR31" s="57">
        <f t="shared" si="19"/>
        <v>0</v>
      </c>
      <c r="CS31" s="47"/>
      <c r="CT31" s="50"/>
      <c r="CU31" s="51"/>
      <c r="CV31" s="57">
        <f t="shared" si="20"/>
        <v>0</v>
      </c>
      <c r="CW31" s="47"/>
      <c r="CX31" s="50"/>
      <c r="CY31" s="51"/>
      <c r="CZ31" s="57">
        <f t="shared" si="21"/>
        <v>0</v>
      </c>
      <c r="DA31" s="47"/>
      <c r="DB31" s="50"/>
      <c r="DC31" s="51"/>
      <c r="DD31" s="57">
        <f t="shared" si="22"/>
        <v>0</v>
      </c>
      <c r="DE31" s="47"/>
      <c r="DF31" s="50"/>
      <c r="DG31" s="51"/>
      <c r="DH31" s="57">
        <f t="shared" si="23"/>
        <v>0</v>
      </c>
      <c r="DI31" s="47"/>
      <c r="DJ31" s="50"/>
      <c r="DK31" s="51"/>
      <c r="DL31" s="57">
        <f t="shared" si="24"/>
        <v>0</v>
      </c>
      <c r="DM31" s="47"/>
      <c r="DN31" s="50"/>
      <c r="DO31" s="51"/>
      <c r="DP31" s="57">
        <f t="shared" si="25"/>
        <v>0</v>
      </c>
      <c r="DQ31" s="47"/>
      <c r="DR31" s="50"/>
      <c r="DS31" s="51"/>
      <c r="DT31" s="57">
        <f t="shared" si="26"/>
        <v>0</v>
      </c>
      <c r="DU31" s="47"/>
      <c r="DV31" s="50"/>
      <c r="DW31" s="51"/>
      <c r="DX31" s="57">
        <f t="shared" si="27"/>
        <v>0</v>
      </c>
      <c r="DY31" s="47"/>
      <c r="DZ31" s="50"/>
      <c r="EA31" s="51"/>
      <c r="EB31" s="57">
        <f t="shared" si="28"/>
        <v>0</v>
      </c>
      <c r="EC31" s="47"/>
      <c r="ED31" s="50"/>
      <c r="EE31" s="51"/>
      <c r="EF31" s="57">
        <f t="shared" si="29"/>
        <v>0</v>
      </c>
      <c r="EG31" s="47"/>
      <c r="EH31" s="50"/>
      <c r="EI31" s="51"/>
      <c r="EJ31" s="57">
        <f t="shared" si="30"/>
        <v>0</v>
      </c>
      <c r="EK31" s="47"/>
      <c r="EL31" s="50"/>
      <c r="EM31" s="51"/>
      <c r="EN31" s="57">
        <f t="shared" si="31"/>
        <v>0</v>
      </c>
      <c r="EO31" s="47"/>
      <c r="EP31" s="50"/>
      <c r="EQ31" s="51"/>
      <c r="ER31" s="57">
        <f t="shared" si="32"/>
        <v>0</v>
      </c>
      <c r="ES31" s="47"/>
      <c r="ET31" s="50"/>
      <c r="EU31" s="51"/>
      <c r="EV31" s="57">
        <f t="shared" si="33"/>
        <v>0</v>
      </c>
      <c r="EW31" s="47"/>
      <c r="EX31" s="50"/>
      <c r="EY31" s="51"/>
      <c r="EZ31" s="57">
        <f t="shared" si="34"/>
        <v>0</v>
      </c>
      <c r="FA31" s="47"/>
      <c r="FB31" s="50"/>
      <c r="FC31" s="51"/>
      <c r="FD31" s="57">
        <f t="shared" si="35"/>
        <v>0</v>
      </c>
      <c r="FE31" s="47"/>
      <c r="FF31" s="50"/>
      <c r="FG31" s="51"/>
      <c r="FH31" s="57">
        <f t="shared" si="36"/>
        <v>0</v>
      </c>
      <c r="FI31" s="47"/>
      <c r="FJ31" s="50"/>
      <c r="FK31" s="51"/>
      <c r="FL31" s="57">
        <f t="shared" si="37"/>
        <v>0</v>
      </c>
      <c r="FM31" s="47"/>
      <c r="FN31" s="50"/>
      <c r="FO31" s="51"/>
      <c r="FP31" s="57">
        <f t="shared" si="38"/>
        <v>0</v>
      </c>
      <c r="FQ31" s="47"/>
      <c r="FR31" s="50"/>
      <c r="FS31" s="51"/>
      <c r="FT31" s="57">
        <f t="shared" si="39"/>
        <v>0</v>
      </c>
      <c r="FU31" s="47"/>
      <c r="FV31" s="50"/>
      <c r="FW31" s="51"/>
      <c r="FX31" s="57">
        <f t="shared" si="40"/>
        <v>0</v>
      </c>
      <c r="FY31" s="47"/>
      <c r="FZ31" s="50"/>
      <c r="GA31" s="51"/>
      <c r="GB31" s="57">
        <f t="shared" si="41"/>
        <v>0</v>
      </c>
      <c r="GC31" s="47"/>
      <c r="GD31" s="50"/>
      <c r="GE31" s="51"/>
      <c r="GF31" s="57">
        <f t="shared" si="42"/>
        <v>0</v>
      </c>
      <c r="GG31" s="47"/>
      <c r="GH31" s="50"/>
      <c r="GI31" s="51"/>
      <c r="GJ31" s="57">
        <f t="shared" si="43"/>
        <v>0</v>
      </c>
      <c r="GK31" s="47"/>
      <c r="GL31" s="50"/>
      <c r="GM31" s="51"/>
      <c r="GN31" s="57">
        <f t="shared" si="44"/>
        <v>0</v>
      </c>
      <c r="GO31" s="47"/>
      <c r="GP31" s="50"/>
      <c r="GQ31" s="51"/>
      <c r="GR31" s="57">
        <f t="shared" si="45"/>
        <v>0</v>
      </c>
      <c r="GS31" s="47"/>
      <c r="GT31" s="50"/>
      <c r="GU31" s="51"/>
      <c r="GV31" s="57">
        <f t="shared" si="46"/>
        <v>0</v>
      </c>
      <c r="GW31" s="47"/>
      <c r="GX31" s="50"/>
      <c r="GY31" s="51"/>
      <c r="GZ31" s="57">
        <f t="shared" si="47"/>
        <v>0</v>
      </c>
      <c r="HA31" s="47"/>
      <c r="HB31" s="50"/>
      <c r="HC31" s="51"/>
      <c r="HD31" s="57">
        <f t="shared" si="48"/>
        <v>0</v>
      </c>
      <c r="HE31" s="47"/>
      <c r="HF31" s="50"/>
      <c r="HG31" s="51"/>
      <c r="HH31" s="57">
        <f t="shared" si="49"/>
        <v>0</v>
      </c>
      <c r="HI31" s="47"/>
      <c r="HJ31" s="50"/>
      <c r="HK31" s="51"/>
      <c r="HL31" s="57">
        <f t="shared" si="50"/>
        <v>0</v>
      </c>
      <c r="HM31" s="47"/>
      <c r="HN31" s="50"/>
      <c r="HO31" s="51"/>
      <c r="HP31" s="57">
        <f t="shared" si="51"/>
        <v>0</v>
      </c>
      <c r="HQ31" s="47"/>
      <c r="HR31" s="50"/>
      <c r="HS31" s="51"/>
      <c r="HT31" s="57">
        <f t="shared" si="52"/>
        <v>0</v>
      </c>
      <c r="HU31" s="47"/>
      <c r="HV31" s="50"/>
      <c r="HW31" s="51"/>
      <c r="HX31" s="57">
        <f t="shared" si="53"/>
        <v>0</v>
      </c>
      <c r="HY31" s="47"/>
      <c r="HZ31" s="50"/>
      <c r="IA31" s="51"/>
      <c r="IB31" s="57">
        <f t="shared" si="54"/>
        <v>0</v>
      </c>
      <c r="IC31" s="47"/>
      <c r="ID31" s="50"/>
      <c r="IE31" s="51"/>
      <c r="IF31" s="57">
        <f t="shared" si="55"/>
        <v>0</v>
      </c>
      <c r="IG31" s="47"/>
      <c r="IH31" s="50"/>
      <c r="II31" s="51"/>
      <c r="IJ31" s="57">
        <f t="shared" si="56"/>
        <v>0</v>
      </c>
      <c r="IK31" s="47"/>
      <c r="IL31" s="50"/>
      <c r="IM31" s="51"/>
      <c r="IN31" s="57">
        <f t="shared" si="57"/>
        <v>0</v>
      </c>
      <c r="IO31" s="47"/>
      <c r="IP31" s="50"/>
      <c r="IQ31" s="51"/>
      <c r="IR31" s="57">
        <f t="shared" si="58"/>
        <v>0</v>
      </c>
      <c r="IS31" s="47"/>
      <c r="IT31" s="50"/>
      <c r="IU31" s="51"/>
      <c r="IV31" s="57">
        <f t="shared" si="59"/>
        <v>0</v>
      </c>
      <c r="IW31" s="47"/>
      <c r="IX31" s="50"/>
      <c r="IY31" s="51"/>
      <c r="IZ31" s="57">
        <f t="shared" si="60"/>
        <v>0</v>
      </c>
      <c r="JA31" s="47"/>
      <c r="JB31" s="36" t="e">
        <f t="shared" si="61"/>
        <v>#VALUE!</v>
      </c>
      <c r="JC31" s="36" t="e">
        <f t="shared" si="62"/>
        <v>#VALUE!</v>
      </c>
      <c r="JD31" s="36" t="e">
        <f t="shared" si="63"/>
        <v>#VALUE!</v>
      </c>
      <c r="JE31" s="36" t="e">
        <f t="shared" si="67"/>
        <v>#VALUE!</v>
      </c>
      <c r="JF31" s="36"/>
      <c r="JP31" s="36"/>
    </row>
    <row r="32" spans="2:276" ht="30" customHeight="1" thickBot="1" x14ac:dyDescent="0.35">
      <c r="B32" s="23"/>
      <c r="C32" s="78"/>
      <c r="D32" s="15"/>
      <c r="E32" s="39"/>
      <c r="F32" s="54"/>
      <c r="G32" s="55"/>
      <c r="H32" s="58"/>
      <c r="I32" s="48"/>
      <c r="J32" s="54"/>
      <c r="K32" s="55"/>
      <c r="L32" s="58"/>
      <c r="M32" s="48"/>
      <c r="N32" s="54"/>
      <c r="O32" s="55"/>
      <c r="P32" s="58"/>
      <c r="Q32" s="48"/>
      <c r="R32" s="56"/>
      <c r="S32" s="56"/>
      <c r="T32" s="58"/>
      <c r="U32" s="48"/>
      <c r="V32" s="54"/>
      <c r="W32" s="55"/>
      <c r="X32" s="58"/>
      <c r="Y32" s="48"/>
      <c r="Z32" s="54"/>
      <c r="AA32" s="55"/>
      <c r="AB32" s="58"/>
      <c r="AC32" s="48"/>
      <c r="AD32" s="54"/>
      <c r="AE32" s="55"/>
      <c r="AF32" s="58"/>
      <c r="AG32" s="48"/>
      <c r="AH32" s="56"/>
      <c r="AI32" s="56"/>
      <c r="AJ32" s="76"/>
      <c r="AK32" s="48"/>
      <c r="AL32" s="54"/>
      <c r="AM32" s="55"/>
      <c r="AN32" s="58"/>
      <c r="AO32" s="48"/>
      <c r="AP32" s="54"/>
      <c r="AQ32" s="55"/>
      <c r="AR32" s="58"/>
      <c r="AS32" s="48"/>
      <c r="AT32" s="54"/>
      <c r="AU32" s="55"/>
      <c r="AV32" s="58"/>
      <c r="AW32" s="48"/>
      <c r="AX32" s="54"/>
      <c r="AY32" s="55"/>
      <c r="AZ32" s="58"/>
      <c r="BA32" s="48"/>
      <c r="BB32" s="54"/>
      <c r="BC32" s="55"/>
      <c r="BD32" s="58">
        <f t="shared" si="9"/>
        <v>0</v>
      </c>
      <c r="BE32" s="48"/>
      <c r="BF32" s="54"/>
      <c r="BG32" s="55"/>
      <c r="BH32" s="58">
        <f t="shared" si="10"/>
        <v>0</v>
      </c>
      <c r="BI32" s="48"/>
      <c r="BJ32" s="54"/>
      <c r="BK32" s="55"/>
      <c r="BL32" s="58">
        <f t="shared" si="11"/>
        <v>0</v>
      </c>
      <c r="BM32" s="48"/>
      <c r="BN32" s="54"/>
      <c r="BO32" s="55"/>
      <c r="BP32" s="58">
        <f t="shared" si="12"/>
        <v>0</v>
      </c>
      <c r="BQ32" s="48"/>
      <c r="BR32" s="54"/>
      <c r="BS32" s="55"/>
      <c r="BT32" s="58">
        <f t="shared" si="13"/>
        <v>0</v>
      </c>
      <c r="BU32" s="48"/>
      <c r="BV32" s="54"/>
      <c r="BW32" s="55"/>
      <c r="BX32" s="58">
        <f t="shared" si="14"/>
        <v>0</v>
      </c>
      <c r="BY32" s="48"/>
      <c r="BZ32" s="54"/>
      <c r="CA32" s="55"/>
      <c r="CB32" s="58">
        <f t="shared" si="15"/>
        <v>0</v>
      </c>
      <c r="CC32" s="48"/>
      <c r="CD32" s="54"/>
      <c r="CE32" s="55"/>
      <c r="CF32" s="58">
        <f t="shared" si="16"/>
        <v>0</v>
      </c>
      <c r="CG32" s="48"/>
      <c r="CH32" s="54"/>
      <c r="CI32" s="55"/>
      <c r="CJ32" s="58">
        <f t="shared" si="17"/>
        <v>0</v>
      </c>
      <c r="CK32" s="48"/>
      <c r="CL32" s="54"/>
      <c r="CM32" s="55"/>
      <c r="CN32" s="58">
        <f t="shared" si="18"/>
        <v>0</v>
      </c>
      <c r="CO32" s="48"/>
      <c r="CP32" s="54"/>
      <c r="CQ32" s="55"/>
      <c r="CR32" s="58">
        <f t="shared" si="19"/>
        <v>0</v>
      </c>
      <c r="CS32" s="48"/>
      <c r="CT32" s="54"/>
      <c r="CU32" s="55"/>
      <c r="CV32" s="58">
        <f t="shared" si="20"/>
        <v>0</v>
      </c>
      <c r="CW32" s="48"/>
      <c r="CX32" s="54"/>
      <c r="CY32" s="55"/>
      <c r="CZ32" s="58">
        <f t="shared" si="21"/>
        <v>0</v>
      </c>
      <c r="DA32" s="48"/>
      <c r="DB32" s="54"/>
      <c r="DC32" s="55"/>
      <c r="DD32" s="58">
        <f t="shared" si="22"/>
        <v>0</v>
      </c>
      <c r="DE32" s="48"/>
      <c r="DF32" s="54"/>
      <c r="DG32" s="55"/>
      <c r="DH32" s="58">
        <f t="shared" si="23"/>
        <v>0</v>
      </c>
      <c r="DI32" s="48"/>
      <c r="DJ32" s="54"/>
      <c r="DK32" s="55"/>
      <c r="DL32" s="58">
        <f t="shared" si="24"/>
        <v>0</v>
      </c>
      <c r="DM32" s="48"/>
      <c r="DN32" s="54"/>
      <c r="DO32" s="55"/>
      <c r="DP32" s="58">
        <f t="shared" si="25"/>
        <v>0</v>
      </c>
      <c r="DQ32" s="48"/>
      <c r="DR32" s="54"/>
      <c r="DS32" s="55"/>
      <c r="DT32" s="58">
        <f t="shared" si="26"/>
        <v>0</v>
      </c>
      <c r="DU32" s="48"/>
      <c r="DV32" s="54"/>
      <c r="DW32" s="55"/>
      <c r="DX32" s="58">
        <f t="shared" si="27"/>
        <v>0</v>
      </c>
      <c r="DY32" s="48"/>
      <c r="DZ32" s="54"/>
      <c r="EA32" s="55"/>
      <c r="EB32" s="58">
        <f t="shared" si="28"/>
        <v>0</v>
      </c>
      <c r="EC32" s="48"/>
      <c r="ED32" s="54"/>
      <c r="EE32" s="55"/>
      <c r="EF32" s="58">
        <f t="shared" si="29"/>
        <v>0</v>
      </c>
      <c r="EG32" s="48"/>
      <c r="EH32" s="54"/>
      <c r="EI32" s="55"/>
      <c r="EJ32" s="58">
        <f t="shared" si="30"/>
        <v>0</v>
      </c>
      <c r="EK32" s="48"/>
      <c r="EL32" s="54"/>
      <c r="EM32" s="55"/>
      <c r="EN32" s="58">
        <f t="shared" si="31"/>
        <v>0</v>
      </c>
      <c r="EO32" s="48"/>
      <c r="EP32" s="54"/>
      <c r="EQ32" s="55"/>
      <c r="ER32" s="58">
        <f t="shared" si="32"/>
        <v>0</v>
      </c>
      <c r="ES32" s="48"/>
      <c r="ET32" s="54"/>
      <c r="EU32" s="55"/>
      <c r="EV32" s="58">
        <f t="shared" si="33"/>
        <v>0</v>
      </c>
      <c r="EW32" s="48"/>
      <c r="EX32" s="54"/>
      <c r="EY32" s="55"/>
      <c r="EZ32" s="58">
        <f t="shared" si="34"/>
        <v>0</v>
      </c>
      <c r="FA32" s="48"/>
      <c r="FB32" s="54"/>
      <c r="FC32" s="55"/>
      <c r="FD32" s="58">
        <f t="shared" si="35"/>
        <v>0</v>
      </c>
      <c r="FE32" s="48"/>
      <c r="FF32" s="54"/>
      <c r="FG32" s="55"/>
      <c r="FH32" s="58">
        <f t="shared" si="36"/>
        <v>0</v>
      </c>
      <c r="FI32" s="48"/>
      <c r="FJ32" s="54"/>
      <c r="FK32" s="55"/>
      <c r="FL32" s="58">
        <f t="shared" si="37"/>
        <v>0</v>
      </c>
      <c r="FM32" s="48"/>
      <c r="FN32" s="54"/>
      <c r="FO32" s="55"/>
      <c r="FP32" s="58">
        <f t="shared" si="38"/>
        <v>0</v>
      </c>
      <c r="FQ32" s="48"/>
      <c r="FR32" s="54"/>
      <c r="FS32" s="55"/>
      <c r="FT32" s="58">
        <f t="shared" si="39"/>
        <v>0</v>
      </c>
      <c r="FU32" s="48"/>
      <c r="FV32" s="54"/>
      <c r="FW32" s="55"/>
      <c r="FX32" s="58">
        <f t="shared" si="40"/>
        <v>0</v>
      </c>
      <c r="FY32" s="48"/>
      <c r="FZ32" s="54"/>
      <c r="GA32" s="55"/>
      <c r="GB32" s="58">
        <f t="shared" si="41"/>
        <v>0</v>
      </c>
      <c r="GC32" s="48"/>
      <c r="GD32" s="54"/>
      <c r="GE32" s="55"/>
      <c r="GF32" s="58">
        <f t="shared" si="42"/>
        <v>0</v>
      </c>
      <c r="GG32" s="48"/>
      <c r="GH32" s="54"/>
      <c r="GI32" s="55"/>
      <c r="GJ32" s="58">
        <f t="shared" si="43"/>
        <v>0</v>
      </c>
      <c r="GK32" s="48"/>
      <c r="GL32" s="54"/>
      <c r="GM32" s="55"/>
      <c r="GN32" s="58">
        <f t="shared" si="44"/>
        <v>0</v>
      </c>
      <c r="GO32" s="48"/>
      <c r="GP32" s="54"/>
      <c r="GQ32" s="55"/>
      <c r="GR32" s="58">
        <f t="shared" si="45"/>
        <v>0</v>
      </c>
      <c r="GS32" s="48"/>
      <c r="GT32" s="54"/>
      <c r="GU32" s="55"/>
      <c r="GV32" s="58">
        <f t="shared" si="46"/>
        <v>0</v>
      </c>
      <c r="GW32" s="48"/>
      <c r="GX32" s="54"/>
      <c r="GY32" s="55"/>
      <c r="GZ32" s="58">
        <f t="shared" si="47"/>
        <v>0</v>
      </c>
      <c r="HA32" s="48"/>
      <c r="HB32" s="54"/>
      <c r="HC32" s="55"/>
      <c r="HD32" s="58">
        <f t="shared" si="48"/>
        <v>0</v>
      </c>
      <c r="HE32" s="48"/>
      <c r="HF32" s="54"/>
      <c r="HG32" s="55"/>
      <c r="HH32" s="58">
        <f t="shared" si="49"/>
        <v>0</v>
      </c>
      <c r="HI32" s="48"/>
      <c r="HJ32" s="54"/>
      <c r="HK32" s="55"/>
      <c r="HL32" s="58">
        <f t="shared" si="50"/>
        <v>0</v>
      </c>
      <c r="HM32" s="48"/>
      <c r="HN32" s="54"/>
      <c r="HO32" s="55"/>
      <c r="HP32" s="58">
        <f t="shared" si="51"/>
        <v>0</v>
      </c>
      <c r="HQ32" s="48"/>
      <c r="HR32" s="54"/>
      <c r="HS32" s="55"/>
      <c r="HT32" s="58">
        <f t="shared" si="52"/>
        <v>0</v>
      </c>
      <c r="HU32" s="48"/>
      <c r="HV32" s="54"/>
      <c r="HW32" s="55"/>
      <c r="HX32" s="58">
        <f t="shared" si="53"/>
        <v>0</v>
      </c>
      <c r="HY32" s="48"/>
      <c r="HZ32" s="54"/>
      <c r="IA32" s="55"/>
      <c r="IB32" s="58">
        <f t="shared" si="54"/>
        <v>0</v>
      </c>
      <c r="IC32" s="48"/>
      <c r="ID32" s="54"/>
      <c r="IE32" s="55"/>
      <c r="IF32" s="58">
        <f t="shared" si="55"/>
        <v>0</v>
      </c>
      <c r="IG32" s="48"/>
      <c r="IH32" s="54"/>
      <c r="II32" s="55"/>
      <c r="IJ32" s="58">
        <f t="shared" si="56"/>
        <v>0</v>
      </c>
      <c r="IK32" s="48"/>
      <c r="IL32" s="54"/>
      <c r="IM32" s="55"/>
      <c r="IN32" s="58">
        <f t="shared" si="57"/>
        <v>0</v>
      </c>
      <c r="IO32" s="48"/>
      <c r="IP32" s="54"/>
      <c r="IQ32" s="55"/>
      <c r="IR32" s="58">
        <f t="shared" si="58"/>
        <v>0</v>
      </c>
      <c r="IS32" s="48"/>
      <c r="IT32" s="54"/>
      <c r="IU32" s="55"/>
      <c r="IV32" s="58">
        <f t="shared" si="59"/>
        <v>0</v>
      </c>
      <c r="IW32" s="48"/>
      <c r="IX32" s="54"/>
      <c r="IY32" s="55"/>
      <c r="IZ32" s="58">
        <f t="shared" si="60"/>
        <v>0</v>
      </c>
      <c r="JA32" s="48"/>
      <c r="JB32" s="36" t="e">
        <f t="shared" si="61"/>
        <v>#VALUE!</v>
      </c>
      <c r="JC32" s="36" t="e">
        <f t="shared" si="62"/>
        <v>#VALUE!</v>
      </c>
      <c r="JD32" s="36" t="e">
        <f t="shared" si="63"/>
        <v>#VALUE!</v>
      </c>
      <c r="JE32" s="36" t="e">
        <f t="shared" si="67"/>
        <v>#VALUE!</v>
      </c>
      <c r="JP32" s="36"/>
    </row>
    <row r="33" spans="3:275" ht="15.75" thickBot="1" x14ac:dyDescent="0.3"/>
    <row r="34" spans="3:275" ht="15" customHeight="1" x14ac:dyDescent="0.3">
      <c r="C34" s="70"/>
      <c r="D34" s="29"/>
      <c r="H34" s="388"/>
      <c r="I34" s="388"/>
      <c r="J34" s="388"/>
      <c r="K34" s="388"/>
      <c r="L34" s="388"/>
      <c r="M34" s="388"/>
      <c r="N34" s="388"/>
      <c r="O34" s="388"/>
      <c r="P34" s="388"/>
      <c r="Q34" s="388"/>
      <c r="R34" s="388"/>
      <c r="S34" s="388"/>
      <c r="T34" s="388"/>
      <c r="U34" s="388"/>
      <c r="V34" s="388"/>
      <c r="W34" s="388"/>
      <c r="X34" s="388"/>
      <c r="Y34" s="388"/>
      <c r="Z34" s="388"/>
      <c r="AA34" s="388"/>
      <c r="AB34" s="388"/>
      <c r="AC34" s="388"/>
      <c r="AD34" s="388"/>
      <c r="AE34" s="388"/>
      <c r="AF34" s="388"/>
      <c r="AG34" s="388"/>
      <c r="AH34" s="388"/>
      <c r="AI34" s="388"/>
      <c r="AJ34" s="388"/>
      <c r="AK34" s="388"/>
      <c r="AL34" s="388"/>
      <c r="AM34" s="388"/>
      <c r="AN34" s="388"/>
      <c r="AO34" s="388"/>
      <c r="AP34" s="388"/>
      <c r="AQ34" s="388"/>
      <c r="AR34" s="388"/>
      <c r="AS34" s="388"/>
      <c r="AT34" s="388"/>
      <c r="AU34" s="388"/>
      <c r="AV34" s="388"/>
      <c r="AW34" s="388"/>
      <c r="AX34" s="388"/>
      <c r="AY34" s="388"/>
      <c r="AZ34" s="388"/>
      <c r="BA34" s="388"/>
      <c r="BB34" s="388"/>
      <c r="BC34" s="388"/>
      <c r="BD34" s="388"/>
      <c r="BE34" s="388"/>
      <c r="BF34" s="388"/>
      <c r="BG34" s="388"/>
      <c r="BH34" s="388"/>
      <c r="BI34" s="388"/>
      <c r="BJ34" s="388"/>
      <c r="BK34" s="388"/>
      <c r="BL34" s="388"/>
      <c r="BM34" s="388"/>
      <c r="BN34" s="388"/>
      <c r="BO34" s="388"/>
      <c r="BP34" s="388"/>
      <c r="BQ34" s="388"/>
      <c r="BR34" s="388"/>
      <c r="BS34" s="388"/>
      <c r="BT34" s="388"/>
      <c r="BU34" s="388"/>
      <c r="BV34" s="388"/>
      <c r="BW34" s="388"/>
      <c r="BX34" s="388"/>
      <c r="BY34" s="388"/>
      <c r="BZ34" s="388"/>
      <c r="CA34" s="388"/>
      <c r="CB34" s="388"/>
      <c r="CC34" s="388"/>
      <c r="CD34" s="388"/>
      <c r="CE34" s="388"/>
      <c r="CF34" s="388"/>
      <c r="CG34" s="388"/>
      <c r="CH34" s="388"/>
      <c r="CI34" s="388"/>
      <c r="CJ34" s="388"/>
      <c r="CK34" s="388"/>
      <c r="CL34" s="388"/>
      <c r="CM34" s="388"/>
      <c r="CN34" s="388"/>
      <c r="CO34" s="388"/>
      <c r="CP34" s="388"/>
      <c r="CQ34" s="388"/>
      <c r="CR34" s="388"/>
      <c r="CS34" s="388"/>
      <c r="CT34" s="388"/>
      <c r="CU34" s="388"/>
      <c r="CV34" s="388"/>
      <c r="CW34" s="388"/>
      <c r="CX34" s="388"/>
      <c r="CY34" s="388"/>
      <c r="CZ34" s="388"/>
      <c r="DA34" s="388"/>
      <c r="DB34" s="388"/>
      <c r="DC34" s="388"/>
      <c r="DD34" s="388"/>
      <c r="DE34" s="388"/>
      <c r="DF34" s="388"/>
      <c r="DG34" s="388"/>
      <c r="DH34" s="388"/>
      <c r="DI34" s="388"/>
      <c r="DJ34" s="388"/>
      <c r="DK34" s="388"/>
      <c r="DL34" s="388"/>
      <c r="DM34" s="388"/>
      <c r="DN34" s="388"/>
      <c r="DO34" s="388"/>
      <c r="DP34" s="388"/>
      <c r="DQ34" s="388"/>
      <c r="DR34" s="388"/>
      <c r="DS34" s="388"/>
      <c r="DT34" s="388"/>
      <c r="DU34" s="388"/>
      <c r="DV34" s="388"/>
      <c r="DW34" s="388"/>
      <c r="DX34" s="388"/>
      <c r="DY34" s="388"/>
      <c r="DZ34" s="388"/>
      <c r="EA34" s="388"/>
      <c r="EB34" s="388"/>
      <c r="EC34" s="388"/>
      <c r="ED34" s="388"/>
      <c r="EE34" s="388"/>
      <c r="EF34" s="388"/>
      <c r="EG34" s="388"/>
      <c r="EH34" s="388"/>
      <c r="EI34" s="388"/>
      <c r="EJ34" s="388"/>
      <c r="EK34" s="388"/>
      <c r="EL34" s="388"/>
      <c r="EM34" s="388"/>
      <c r="EN34" s="388"/>
      <c r="EO34" s="388"/>
      <c r="EP34" s="388"/>
      <c r="EQ34" s="388"/>
      <c r="ER34" s="388"/>
      <c r="ES34" s="388"/>
      <c r="ET34" s="388"/>
      <c r="EU34" s="388"/>
      <c r="EV34" s="388"/>
      <c r="EW34" s="388"/>
      <c r="EX34" s="388"/>
      <c r="EY34" s="388"/>
      <c r="EZ34" s="388"/>
      <c r="FA34" s="388"/>
      <c r="FB34" s="388"/>
      <c r="FC34" s="388"/>
      <c r="FD34" s="388"/>
      <c r="FE34" s="388"/>
      <c r="FF34" s="388"/>
      <c r="FG34" s="388"/>
      <c r="FH34" s="388"/>
      <c r="FI34" s="388"/>
      <c r="FJ34" s="388"/>
      <c r="FK34" s="388"/>
      <c r="FL34" s="388"/>
      <c r="FM34" s="388"/>
      <c r="FN34" s="388"/>
      <c r="FO34" s="388"/>
      <c r="FP34" s="388"/>
      <c r="FQ34" s="388"/>
      <c r="FR34" s="388"/>
      <c r="FS34" s="388"/>
      <c r="FT34" s="388"/>
      <c r="FU34" s="388"/>
      <c r="FV34" s="388"/>
      <c r="FW34" s="388"/>
      <c r="FX34" s="388"/>
      <c r="FY34" s="388"/>
      <c r="FZ34" s="388"/>
      <c r="GA34" s="388"/>
      <c r="GB34" s="388"/>
      <c r="GC34" s="388"/>
      <c r="GD34" s="388"/>
      <c r="GE34" s="388"/>
      <c r="GF34" s="388"/>
      <c r="GG34" s="388"/>
      <c r="GH34" s="388"/>
      <c r="GI34" s="388"/>
      <c r="GJ34" s="388"/>
      <c r="GK34" s="388"/>
      <c r="GL34" s="388"/>
      <c r="GM34" s="388"/>
      <c r="GN34" s="388"/>
      <c r="GO34" s="388"/>
      <c r="GP34" s="388"/>
      <c r="GQ34" s="388"/>
      <c r="GR34" s="388"/>
      <c r="GS34" s="388"/>
      <c r="GT34" s="388"/>
      <c r="GU34" s="388"/>
      <c r="GV34" s="388"/>
      <c r="GW34" s="388"/>
      <c r="GX34" s="388"/>
      <c r="GY34" s="388"/>
      <c r="GZ34" s="388"/>
      <c r="HA34" s="388"/>
      <c r="HB34" s="388"/>
      <c r="HC34" s="388"/>
      <c r="HD34" s="388"/>
      <c r="HE34" s="388"/>
      <c r="HF34" s="388"/>
      <c r="HG34" s="388"/>
      <c r="HH34" s="388"/>
      <c r="HI34" s="388"/>
      <c r="HJ34" s="388"/>
      <c r="HK34" s="388"/>
      <c r="HL34" s="388"/>
      <c r="HM34" s="388"/>
      <c r="HN34" s="388"/>
      <c r="HO34" s="388"/>
      <c r="HP34" s="388"/>
      <c r="HQ34" s="388"/>
      <c r="HR34" s="388"/>
      <c r="HS34" s="388"/>
      <c r="HT34" s="388"/>
      <c r="HU34" s="388"/>
      <c r="HV34" s="388"/>
      <c r="HW34" s="388"/>
      <c r="HX34" s="388"/>
      <c r="HY34" s="388"/>
      <c r="HZ34" s="388"/>
      <c r="IA34" s="388"/>
      <c r="IB34" s="388"/>
      <c r="IC34" s="388"/>
      <c r="ID34" s="388"/>
      <c r="IE34" s="388"/>
      <c r="IF34" s="388"/>
      <c r="IG34" s="388"/>
      <c r="IH34" s="388"/>
      <c r="II34" s="388"/>
      <c r="IJ34" s="388"/>
      <c r="IK34" s="388"/>
      <c r="IL34" s="388"/>
      <c r="IM34" s="388"/>
      <c r="IN34" s="388"/>
      <c r="IO34" s="388"/>
      <c r="IP34" s="388"/>
      <c r="IQ34" s="388"/>
      <c r="IR34" s="388"/>
      <c r="IS34" s="388"/>
      <c r="IT34" s="388"/>
      <c r="IU34" s="388"/>
      <c r="IV34" s="388"/>
      <c r="IW34" s="388"/>
      <c r="IX34" s="388"/>
      <c r="IY34" s="388"/>
      <c r="IZ34" s="388"/>
      <c r="JA34" s="388"/>
      <c r="JG34" s="96"/>
      <c r="JH34" s="96"/>
      <c r="JI34" s="96"/>
      <c r="JL34" s="96"/>
      <c r="JM34" s="96"/>
      <c r="JN34" s="96"/>
      <c r="JO34" s="96"/>
    </row>
    <row r="35" spans="3:275" x14ac:dyDescent="0.25">
      <c r="H35" s="389"/>
      <c r="I35" s="389"/>
      <c r="J35" s="389"/>
      <c r="K35" s="389"/>
      <c r="L35" s="389"/>
      <c r="M35" s="389"/>
      <c r="N35" s="389"/>
      <c r="O35" s="389"/>
      <c r="P35" s="389"/>
      <c r="Q35" s="389"/>
      <c r="R35" s="389"/>
      <c r="S35" s="389"/>
      <c r="T35" s="389"/>
      <c r="U35" s="389"/>
      <c r="V35" s="389"/>
      <c r="W35" s="389"/>
      <c r="X35" s="389"/>
      <c r="Y35" s="389"/>
      <c r="Z35" s="389"/>
      <c r="AA35" s="389"/>
      <c r="AB35" s="389"/>
      <c r="AC35" s="389"/>
      <c r="AD35" s="389"/>
      <c r="AE35" s="389"/>
      <c r="AF35" s="389"/>
      <c r="AG35" s="389"/>
      <c r="AH35" s="389"/>
      <c r="AI35" s="389"/>
      <c r="AJ35" s="389"/>
      <c r="AK35" s="389"/>
      <c r="AL35" s="389"/>
      <c r="AM35" s="389"/>
      <c r="AN35" s="389"/>
      <c r="AO35" s="389"/>
      <c r="AP35" s="389"/>
      <c r="AQ35" s="389"/>
      <c r="AR35" s="389"/>
      <c r="AS35" s="389"/>
      <c r="AT35" s="389"/>
      <c r="AU35" s="389"/>
      <c r="AV35" s="389"/>
      <c r="AW35" s="389"/>
      <c r="AX35" s="389"/>
      <c r="AY35" s="389"/>
      <c r="AZ35" s="389"/>
      <c r="BA35" s="389"/>
      <c r="BB35" s="389"/>
      <c r="BC35" s="389"/>
      <c r="BD35" s="389"/>
      <c r="BE35" s="389"/>
      <c r="BF35" s="389"/>
      <c r="BG35" s="389"/>
      <c r="BH35" s="389"/>
      <c r="BI35" s="389"/>
      <c r="BJ35" s="389"/>
      <c r="BK35" s="389"/>
      <c r="BL35" s="389"/>
      <c r="BM35" s="389"/>
      <c r="BN35" s="389"/>
      <c r="BO35" s="389"/>
      <c r="BP35" s="389"/>
      <c r="BQ35" s="389"/>
      <c r="BR35" s="389"/>
      <c r="BS35" s="389"/>
      <c r="BT35" s="389"/>
      <c r="BU35" s="389"/>
      <c r="BV35" s="389"/>
      <c r="BW35" s="389"/>
      <c r="BX35" s="389"/>
      <c r="BY35" s="389"/>
      <c r="BZ35" s="389"/>
      <c r="CA35" s="389"/>
      <c r="CB35" s="389"/>
      <c r="CC35" s="389"/>
      <c r="CD35" s="389"/>
      <c r="CE35" s="389"/>
      <c r="CF35" s="389"/>
      <c r="CG35" s="389"/>
      <c r="CH35" s="389"/>
      <c r="CI35" s="389"/>
      <c r="CJ35" s="389"/>
      <c r="CK35" s="389"/>
      <c r="CL35" s="389"/>
      <c r="CM35" s="389"/>
      <c r="CN35" s="389"/>
      <c r="CO35" s="389"/>
      <c r="CP35" s="389"/>
      <c r="CQ35" s="389"/>
      <c r="CR35" s="389"/>
      <c r="CS35" s="389"/>
      <c r="CT35" s="389"/>
      <c r="CU35" s="389"/>
      <c r="CV35" s="389"/>
      <c r="CW35" s="389"/>
      <c r="CX35" s="389"/>
      <c r="CY35" s="389"/>
      <c r="CZ35" s="389"/>
      <c r="DA35" s="389"/>
      <c r="DB35" s="389"/>
      <c r="DC35" s="389"/>
      <c r="DD35" s="389"/>
      <c r="DE35" s="389"/>
      <c r="DF35" s="389"/>
      <c r="DG35" s="389"/>
      <c r="DH35" s="389"/>
      <c r="DI35" s="389"/>
      <c r="DJ35" s="389"/>
      <c r="DK35" s="389"/>
      <c r="DL35" s="389"/>
      <c r="DM35" s="389"/>
      <c r="DN35" s="389"/>
      <c r="DO35" s="389"/>
      <c r="DP35" s="389"/>
      <c r="DQ35" s="389"/>
      <c r="DR35" s="389"/>
      <c r="DS35" s="389"/>
      <c r="DT35" s="389"/>
      <c r="DU35" s="389"/>
      <c r="DV35" s="389"/>
      <c r="DW35" s="389"/>
      <c r="DX35" s="389"/>
      <c r="DY35" s="389"/>
      <c r="DZ35" s="389"/>
      <c r="EA35" s="389"/>
      <c r="EB35" s="389"/>
      <c r="EC35" s="389"/>
      <c r="ED35" s="389"/>
      <c r="EE35" s="389"/>
      <c r="EF35" s="389"/>
      <c r="EG35" s="389"/>
      <c r="EH35" s="389"/>
      <c r="EI35" s="389"/>
      <c r="EJ35" s="389"/>
      <c r="EK35" s="389"/>
      <c r="EL35" s="389"/>
      <c r="EM35" s="389"/>
      <c r="EN35" s="389"/>
      <c r="EO35" s="389"/>
      <c r="EP35" s="389"/>
      <c r="EQ35" s="389"/>
      <c r="ER35" s="389"/>
      <c r="ES35" s="389"/>
      <c r="ET35" s="389"/>
      <c r="EU35" s="389"/>
      <c r="EV35" s="389"/>
      <c r="EW35" s="389"/>
      <c r="EX35" s="389"/>
      <c r="EY35" s="389"/>
      <c r="EZ35" s="389"/>
      <c r="FA35" s="389"/>
      <c r="FB35" s="389"/>
      <c r="FC35" s="389"/>
      <c r="FD35" s="389"/>
      <c r="FE35" s="389"/>
      <c r="FF35" s="389"/>
      <c r="FG35" s="389"/>
      <c r="FH35" s="389"/>
      <c r="FI35" s="389"/>
      <c r="FJ35" s="389"/>
      <c r="FK35" s="389"/>
      <c r="FL35" s="389"/>
      <c r="FM35" s="389"/>
      <c r="FN35" s="389"/>
      <c r="FO35" s="389"/>
      <c r="FP35" s="389"/>
      <c r="FQ35" s="389"/>
      <c r="FR35" s="389"/>
      <c r="FS35" s="389"/>
      <c r="FT35" s="389"/>
      <c r="FU35" s="389"/>
      <c r="FV35" s="389"/>
      <c r="FW35" s="389"/>
      <c r="FX35" s="389"/>
      <c r="FY35" s="389"/>
      <c r="FZ35" s="389"/>
      <c r="GA35" s="389"/>
      <c r="GB35" s="389"/>
      <c r="GC35" s="389"/>
      <c r="GD35" s="389"/>
      <c r="GE35" s="389"/>
      <c r="GF35" s="389"/>
      <c r="GG35" s="389"/>
      <c r="GH35" s="389"/>
      <c r="GI35" s="389"/>
      <c r="GJ35" s="389"/>
      <c r="GK35" s="389"/>
      <c r="GL35" s="389"/>
      <c r="GM35" s="389"/>
      <c r="GN35" s="389"/>
      <c r="GO35" s="389"/>
      <c r="GP35" s="389"/>
      <c r="GQ35" s="389"/>
      <c r="GR35" s="389"/>
      <c r="GS35" s="389"/>
      <c r="GT35" s="389"/>
      <c r="GU35" s="389"/>
      <c r="GV35" s="389"/>
      <c r="GW35" s="389"/>
      <c r="GX35" s="389"/>
      <c r="GY35" s="389"/>
      <c r="GZ35" s="389"/>
      <c r="HA35" s="389"/>
      <c r="HB35" s="389"/>
      <c r="HC35" s="389"/>
      <c r="HD35" s="389"/>
      <c r="HE35" s="389"/>
      <c r="HF35" s="389"/>
      <c r="HG35" s="389"/>
      <c r="HH35" s="389"/>
      <c r="HI35" s="389"/>
      <c r="HJ35" s="389"/>
      <c r="HK35" s="389"/>
      <c r="HL35" s="389"/>
      <c r="HM35" s="389"/>
      <c r="HN35" s="389"/>
      <c r="HO35" s="389"/>
      <c r="HP35" s="389"/>
      <c r="HQ35" s="389"/>
      <c r="HR35" s="389"/>
      <c r="HS35" s="389"/>
      <c r="HT35" s="389"/>
      <c r="HU35" s="389"/>
      <c r="HV35" s="389"/>
      <c r="HW35" s="389"/>
      <c r="HX35" s="389"/>
      <c r="HY35" s="389"/>
      <c r="HZ35" s="389"/>
      <c r="IA35" s="389"/>
      <c r="IB35" s="389"/>
      <c r="IC35" s="389"/>
      <c r="ID35" s="389"/>
      <c r="IE35" s="389"/>
      <c r="IF35" s="389"/>
      <c r="IG35" s="389"/>
      <c r="IH35" s="389"/>
      <c r="II35" s="389"/>
      <c r="IJ35" s="389"/>
      <c r="IK35" s="389"/>
      <c r="IL35" s="389"/>
      <c r="IM35" s="389"/>
      <c r="IN35" s="389"/>
      <c r="IO35" s="389"/>
      <c r="IP35" s="389"/>
      <c r="IQ35" s="389"/>
      <c r="IR35" s="389"/>
      <c r="IS35" s="389"/>
      <c r="IT35" s="389"/>
      <c r="IU35" s="389"/>
      <c r="IV35" s="389"/>
      <c r="IW35" s="389"/>
      <c r="IX35" s="389"/>
      <c r="IY35" s="389"/>
      <c r="IZ35" s="389"/>
      <c r="JA35" s="389"/>
      <c r="JG35" s="96"/>
      <c r="JH35" s="96"/>
      <c r="JI35" s="96"/>
      <c r="JL35" s="96"/>
      <c r="JM35" s="96"/>
      <c r="JN35" s="96"/>
      <c r="JO35" s="96"/>
    </row>
    <row r="36" spans="3:275" x14ac:dyDescent="0.25">
      <c r="H36" s="389"/>
      <c r="I36" s="389"/>
      <c r="J36" s="389"/>
      <c r="K36" s="389"/>
      <c r="L36" s="389"/>
      <c r="M36" s="389"/>
      <c r="N36" s="389"/>
      <c r="O36" s="389"/>
      <c r="P36" s="389"/>
      <c r="Q36" s="389"/>
      <c r="R36" s="389"/>
      <c r="S36" s="389"/>
      <c r="T36" s="389"/>
      <c r="U36" s="389"/>
      <c r="V36" s="389"/>
      <c r="W36" s="389"/>
      <c r="X36" s="389"/>
      <c r="Y36" s="389"/>
      <c r="Z36" s="389"/>
      <c r="AA36" s="389"/>
      <c r="AB36" s="389"/>
      <c r="AC36" s="389"/>
      <c r="AD36" s="389"/>
      <c r="AE36" s="389"/>
      <c r="AF36" s="389"/>
      <c r="AG36" s="389"/>
      <c r="AH36" s="389"/>
      <c r="AI36" s="389"/>
      <c r="AJ36" s="389"/>
      <c r="AK36" s="389"/>
      <c r="AL36" s="389"/>
      <c r="AM36" s="389"/>
      <c r="AN36" s="389"/>
      <c r="AO36" s="389"/>
      <c r="AP36" s="389"/>
      <c r="AQ36" s="389"/>
      <c r="AR36" s="389"/>
      <c r="AS36" s="389"/>
      <c r="AT36" s="389"/>
      <c r="AU36" s="389"/>
      <c r="AV36" s="389"/>
      <c r="AW36" s="389"/>
      <c r="AX36" s="389"/>
      <c r="AY36" s="389"/>
      <c r="AZ36" s="389"/>
      <c r="BA36" s="389"/>
      <c r="BB36" s="389"/>
      <c r="BC36" s="389"/>
      <c r="BD36" s="389"/>
      <c r="BE36" s="389"/>
      <c r="BF36" s="389"/>
      <c r="BG36" s="389"/>
      <c r="BH36" s="389"/>
      <c r="BI36" s="389"/>
      <c r="BJ36" s="389"/>
      <c r="BK36" s="389"/>
      <c r="BL36" s="389"/>
      <c r="BM36" s="389"/>
      <c r="BN36" s="389"/>
      <c r="BO36" s="389"/>
      <c r="BP36" s="389"/>
      <c r="BQ36" s="389"/>
      <c r="BR36" s="389"/>
      <c r="BS36" s="389"/>
      <c r="BT36" s="389"/>
      <c r="BU36" s="389"/>
      <c r="BV36" s="389"/>
      <c r="BW36" s="389"/>
      <c r="BX36" s="389"/>
      <c r="BY36" s="389"/>
      <c r="BZ36" s="389"/>
      <c r="CA36" s="389"/>
      <c r="CB36" s="389"/>
      <c r="CC36" s="389"/>
      <c r="CD36" s="389"/>
      <c r="CE36" s="389"/>
      <c r="CF36" s="389"/>
      <c r="CG36" s="389"/>
      <c r="CH36" s="389"/>
      <c r="CI36" s="389"/>
      <c r="CJ36" s="389"/>
      <c r="CK36" s="389"/>
      <c r="CL36" s="389"/>
      <c r="CM36" s="389"/>
      <c r="CN36" s="389"/>
      <c r="CO36" s="389"/>
      <c r="CP36" s="389"/>
      <c r="CQ36" s="389"/>
      <c r="CR36" s="389"/>
      <c r="CS36" s="389"/>
      <c r="CT36" s="389"/>
      <c r="CU36" s="389"/>
      <c r="CV36" s="389"/>
      <c r="CW36" s="389"/>
      <c r="CX36" s="389"/>
      <c r="CY36" s="389"/>
      <c r="CZ36" s="389"/>
      <c r="DA36" s="389"/>
      <c r="DB36" s="389"/>
      <c r="DC36" s="389"/>
      <c r="DD36" s="389"/>
      <c r="DE36" s="389"/>
      <c r="DF36" s="389"/>
      <c r="DG36" s="389"/>
      <c r="DH36" s="389"/>
      <c r="DI36" s="389"/>
      <c r="DJ36" s="389"/>
      <c r="DK36" s="389"/>
      <c r="DL36" s="389"/>
      <c r="DM36" s="389"/>
      <c r="DN36" s="389"/>
      <c r="DO36" s="389"/>
      <c r="DP36" s="389"/>
      <c r="DQ36" s="389"/>
      <c r="DR36" s="389"/>
      <c r="DS36" s="389"/>
      <c r="DT36" s="389"/>
      <c r="DU36" s="389"/>
      <c r="DV36" s="389"/>
      <c r="DW36" s="389"/>
      <c r="DX36" s="389"/>
      <c r="DY36" s="389"/>
      <c r="DZ36" s="389"/>
      <c r="EA36" s="389"/>
      <c r="EB36" s="389"/>
      <c r="EC36" s="389"/>
      <c r="ED36" s="389"/>
      <c r="EE36" s="389"/>
      <c r="EF36" s="389"/>
      <c r="EG36" s="389"/>
      <c r="EH36" s="389"/>
      <c r="EI36" s="389"/>
      <c r="EJ36" s="389"/>
      <c r="EK36" s="389"/>
      <c r="EL36" s="389"/>
      <c r="EM36" s="389"/>
      <c r="EN36" s="389"/>
      <c r="EO36" s="389"/>
      <c r="EP36" s="389"/>
      <c r="EQ36" s="389"/>
      <c r="ER36" s="389"/>
      <c r="ES36" s="389"/>
      <c r="ET36" s="389"/>
      <c r="EU36" s="389"/>
      <c r="EV36" s="389"/>
      <c r="EW36" s="389"/>
      <c r="EX36" s="389"/>
      <c r="EY36" s="389"/>
      <c r="EZ36" s="389"/>
      <c r="FA36" s="389"/>
      <c r="FB36" s="389"/>
      <c r="FC36" s="389"/>
      <c r="FD36" s="389"/>
      <c r="FE36" s="389"/>
      <c r="FF36" s="389"/>
      <c r="FG36" s="389"/>
      <c r="FH36" s="389"/>
      <c r="FI36" s="389"/>
      <c r="FJ36" s="389"/>
      <c r="FK36" s="389"/>
      <c r="FL36" s="389"/>
      <c r="FM36" s="389"/>
      <c r="FN36" s="389"/>
      <c r="FO36" s="389"/>
      <c r="FP36" s="389"/>
      <c r="FQ36" s="389"/>
      <c r="FR36" s="389"/>
      <c r="FS36" s="389"/>
      <c r="FT36" s="389"/>
      <c r="FU36" s="389"/>
      <c r="FV36" s="389"/>
      <c r="FW36" s="389"/>
      <c r="FX36" s="389"/>
      <c r="FY36" s="389"/>
      <c r="FZ36" s="389"/>
      <c r="GA36" s="389"/>
      <c r="GB36" s="389"/>
      <c r="GC36" s="389"/>
      <c r="GD36" s="389"/>
      <c r="GE36" s="389"/>
      <c r="GF36" s="389"/>
      <c r="GG36" s="389"/>
      <c r="GH36" s="389"/>
      <c r="GI36" s="389"/>
      <c r="GJ36" s="389"/>
      <c r="GK36" s="389"/>
      <c r="GL36" s="389"/>
      <c r="GM36" s="389"/>
      <c r="GN36" s="389"/>
      <c r="GO36" s="389"/>
      <c r="GP36" s="389"/>
      <c r="GQ36" s="389"/>
      <c r="GR36" s="389"/>
      <c r="GS36" s="389"/>
      <c r="GT36" s="389"/>
      <c r="GU36" s="389"/>
      <c r="GV36" s="389"/>
      <c r="GW36" s="389"/>
      <c r="GX36" s="389"/>
      <c r="GY36" s="389"/>
      <c r="GZ36" s="389"/>
      <c r="HA36" s="389"/>
      <c r="HB36" s="389"/>
      <c r="HC36" s="389"/>
      <c r="HD36" s="389"/>
      <c r="HE36" s="389"/>
      <c r="HF36" s="389"/>
      <c r="HG36" s="389"/>
      <c r="HH36" s="389"/>
      <c r="HI36" s="389"/>
      <c r="HJ36" s="389"/>
      <c r="HK36" s="389"/>
      <c r="HL36" s="389"/>
      <c r="HM36" s="389"/>
      <c r="HN36" s="389"/>
      <c r="HO36" s="389"/>
      <c r="HP36" s="389"/>
      <c r="HQ36" s="389"/>
      <c r="HR36" s="389"/>
      <c r="HS36" s="389"/>
      <c r="HT36" s="389"/>
      <c r="HU36" s="389"/>
      <c r="HV36" s="389"/>
      <c r="HW36" s="389"/>
      <c r="HX36" s="389"/>
      <c r="HY36" s="389"/>
      <c r="HZ36" s="389"/>
      <c r="IA36" s="389"/>
      <c r="IB36" s="389"/>
      <c r="IC36" s="389"/>
      <c r="ID36" s="389"/>
      <c r="IE36" s="389"/>
      <c r="IF36" s="389"/>
      <c r="IG36" s="389"/>
      <c r="IH36" s="389"/>
      <c r="II36" s="389"/>
      <c r="IJ36" s="389"/>
      <c r="IK36" s="389"/>
      <c r="IL36" s="389"/>
      <c r="IM36" s="389"/>
      <c r="IN36" s="389"/>
      <c r="IO36" s="389"/>
      <c r="IP36" s="389"/>
      <c r="IQ36" s="389"/>
      <c r="IR36" s="389"/>
      <c r="IS36" s="389"/>
      <c r="IT36" s="389"/>
      <c r="IU36" s="389"/>
      <c r="IV36" s="389"/>
      <c r="IW36" s="389"/>
      <c r="IX36" s="389"/>
      <c r="IY36" s="389"/>
      <c r="IZ36" s="389"/>
      <c r="JA36" s="389"/>
      <c r="JG36" s="96"/>
      <c r="JH36" s="96"/>
      <c r="JI36" s="96"/>
      <c r="JL36" s="96"/>
      <c r="JM36" s="96"/>
      <c r="JN36" s="96"/>
      <c r="JO36" s="96"/>
    </row>
    <row r="37" spans="3:275" x14ac:dyDescent="0.25">
      <c r="H37" s="389"/>
      <c r="I37" s="389"/>
      <c r="J37" s="389"/>
      <c r="K37" s="389"/>
      <c r="L37" s="389"/>
      <c r="M37" s="389"/>
      <c r="N37" s="389"/>
      <c r="O37" s="389"/>
      <c r="P37" s="389"/>
      <c r="Q37" s="389"/>
      <c r="R37" s="389"/>
      <c r="S37" s="389"/>
      <c r="T37" s="389"/>
      <c r="U37" s="389"/>
      <c r="V37" s="389"/>
      <c r="W37" s="389"/>
      <c r="X37" s="389"/>
      <c r="Y37" s="389"/>
      <c r="Z37" s="389"/>
      <c r="AA37" s="389"/>
      <c r="AB37" s="389"/>
      <c r="AC37" s="389"/>
      <c r="AD37" s="389"/>
      <c r="AE37" s="389"/>
      <c r="AF37" s="389"/>
      <c r="AG37" s="389"/>
      <c r="AH37" s="389"/>
      <c r="AI37" s="389"/>
      <c r="AJ37" s="389"/>
      <c r="AK37" s="389"/>
      <c r="AL37" s="389"/>
      <c r="AM37" s="389"/>
      <c r="AN37" s="389"/>
      <c r="AO37" s="389"/>
      <c r="AP37" s="389"/>
      <c r="AQ37" s="389"/>
      <c r="AR37" s="389"/>
      <c r="AS37" s="389"/>
      <c r="AT37" s="389"/>
      <c r="AU37" s="389"/>
      <c r="AV37" s="389"/>
      <c r="AW37" s="389"/>
      <c r="AX37" s="389"/>
      <c r="AY37" s="389"/>
      <c r="AZ37" s="389"/>
      <c r="BA37" s="389"/>
      <c r="BB37" s="389"/>
      <c r="BC37" s="389"/>
      <c r="BD37" s="389"/>
      <c r="BE37" s="389"/>
      <c r="BF37" s="389"/>
      <c r="BG37" s="389"/>
      <c r="BH37" s="389"/>
      <c r="BI37" s="389"/>
      <c r="BJ37" s="389"/>
      <c r="BK37" s="389"/>
      <c r="BL37" s="389"/>
      <c r="BM37" s="389"/>
      <c r="BN37" s="389"/>
      <c r="BO37" s="389"/>
      <c r="BP37" s="389"/>
      <c r="BQ37" s="389"/>
      <c r="BR37" s="389"/>
      <c r="BS37" s="389"/>
      <c r="BT37" s="389"/>
      <c r="BU37" s="389"/>
      <c r="BV37" s="389"/>
      <c r="BW37" s="389"/>
      <c r="BX37" s="389"/>
      <c r="BY37" s="389"/>
      <c r="BZ37" s="389"/>
      <c r="CA37" s="389"/>
      <c r="CB37" s="389"/>
      <c r="CC37" s="389"/>
      <c r="CD37" s="389"/>
      <c r="CE37" s="389"/>
      <c r="CF37" s="389"/>
      <c r="CG37" s="389"/>
      <c r="CH37" s="389"/>
      <c r="CI37" s="389"/>
      <c r="CJ37" s="389"/>
      <c r="CK37" s="389"/>
      <c r="CL37" s="389"/>
      <c r="CM37" s="389"/>
      <c r="CN37" s="389"/>
      <c r="CO37" s="389"/>
      <c r="CP37" s="389"/>
      <c r="CQ37" s="389"/>
      <c r="CR37" s="389"/>
      <c r="CS37" s="389"/>
      <c r="CT37" s="389"/>
      <c r="CU37" s="389"/>
      <c r="CV37" s="389"/>
      <c r="CW37" s="389"/>
      <c r="CX37" s="389"/>
      <c r="CY37" s="389"/>
      <c r="CZ37" s="389"/>
      <c r="DA37" s="389"/>
      <c r="DB37" s="389"/>
      <c r="DC37" s="389"/>
      <c r="DD37" s="389"/>
      <c r="DE37" s="389"/>
      <c r="DF37" s="389"/>
      <c r="DG37" s="389"/>
      <c r="DH37" s="389"/>
      <c r="DI37" s="389"/>
      <c r="DJ37" s="389"/>
      <c r="DK37" s="389"/>
      <c r="DL37" s="389"/>
      <c r="DM37" s="389"/>
      <c r="DN37" s="389"/>
      <c r="DO37" s="389"/>
      <c r="DP37" s="389"/>
      <c r="DQ37" s="389"/>
      <c r="DR37" s="389"/>
      <c r="DS37" s="389"/>
      <c r="DT37" s="389"/>
      <c r="DU37" s="389"/>
      <c r="DV37" s="389"/>
      <c r="DW37" s="389"/>
      <c r="DX37" s="389"/>
      <c r="DY37" s="389"/>
      <c r="DZ37" s="389"/>
      <c r="EA37" s="389"/>
      <c r="EB37" s="389"/>
      <c r="EC37" s="389"/>
      <c r="ED37" s="389"/>
      <c r="EE37" s="389"/>
      <c r="EF37" s="389"/>
      <c r="EG37" s="389"/>
      <c r="EH37" s="389"/>
      <c r="EI37" s="389"/>
      <c r="EJ37" s="389"/>
      <c r="EK37" s="389"/>
      <c r="EL37" s="389"/>
      <c r="EM37" s="389"/>
      <c r="EN37" s="389"/>
      <c r="EO37" s="389"/>
      <c r="EP37" s="389"/>
      <c r="EQ37" s="389"/>
      <c r="ER37" s="389"/>
      <c r="ES37" s="389"/>
      <c r="ET37" s="389"/>
      <c r="EU37" s="389"/>
      <c r="EV37" s="389"/>
      <c r="EW37" s="389"/>
      <c r="EX37" s="389"/>
      <c r="EY37" s="389"/>
      <c r="EZ37" s="389"/>
      <c r="FA37" s="389"/>
      <c r="FB37" s="389"/>
      <c r="FC37" s="389"/>
      <c r="FD37" s="389"/>
      <c r="FE37" s="389"/>
      <c r="FF37" s="389"/>
      <c r="FG37" s="389"/>
      <c r="FH37" s="389"/>
      <c r="FI37" s="389"/>
      <c r="FJ37" s="389"/>
      <c r="FK37" s="389"/>
      <c r="FL37" s="389"/>
      <c r="FM37" s="389"/>
      <c r="FN37" s="389"/>
      <c r="FO37" s="389"/>
      <c r="FP37" s="389"/>
      <c r="FQ37" s="389"/>
      <c r="FR37" s="389"/>
      <c r="FS37" s="389"/>
      <c r="FT37" s="389"/>
      <c r="FU37" s="389"/>
      <c r="FV37" s="389"/>
      <c r="FW37" s="389"/>
      <c r="FX37" s="389"/>
      <c r="FY37" s="389"/>
      <c r="FZ37" s="389"/>
      <c r="GA37" s="389"/>
      <c r="GB37" s="389"/>
      <c r="GC37" s="389"/>
      <c r="GD37" s="389"/>
      <c r="GE37" s="389"/>
      <c r="GF37" s="389"/>
      <c r="GG37" s="389"/>
      <c r="GH37" s="389"/>
      <c r="GI37" s="389"/>
      <c r="GJ37" s="389"/>
      <c r="GK37" s="389"/>
      <c r="GL37" s="389"/>
      <c r="GM37" s="389"/>
      <c r="GN37" s="389"/>
      <c r="GO37" s="389"/>
      <c r="GP37" s="389"/>
      <c r="GQ37" s="389"/>
      <c r="GR37" s="389"/>
      <c r="GS37" s="389"/>
      <c r="GT37" s="389"/>
      <c r="GU37" s="389"/>
      <c r="GV37" s="389"/>
      <c r="GW37" s="389"/>
      <c r="GX37" s="389"/>
      <c r="GY37" s="389"/>
      <c r="GZ37" s="389"/>
      <c r="HA37" s="389"/>
      <c r="HB37" s="389"/>
      <c r="HC37" s="389"/>
      <c r="HD37" s="389"/>
      <c r="HE37" s="389"/>
      <c r="HF37" s="389"/>
      <c r="HG37" s="389"/>
      <c r="HH37" s="389"/>
      <c r="HI37" s="389"/>
      <c r="HJ37" s="389"/>
      <c r="HK37" s="389"/>
      <c r="HL37" s="389"/>
      <c r="HM37" s="389"/>
      <c r="HN37" s="389"/>
      <c r="HO37" s="389"/>
      <c r="HP37" s="389"/>
      <c r="HQ37" s="389"/>
      <c r="HR37" s="389"/>
      <c r="HS37" s="389"/>
      <c r="HT37" s="389"/>
      <c r="HU37" s="389"/>
      <c r="HV37" s="389"/>
      <c r="HW37" s="389"/>
      <c r="HX37" s="389"/>
      <c r="HY37" s="389"/>
      <c r="HZ37" s="389"/>
      <c r="IA37" s="389"/>
      <c r="IB37" s="389"/>
      <c r="IC37" s="389"/>
      <c r="ID37" s="389"/>
      <c r="IE37" s="389"/>
      <c r="IF37" s="389"/>
      <c r="IG37" s="389"/>
      <c r="IH37" s="389"/>
      <c r="II37" s="389"/>
      <c r="IJ37" s="389"/>
      <c r="IK37" s="389"/>
      <c r="IL37" s="389"/>
      <c r="IM37" s="389"/>
      <c r="IN37" s="389"/>
      <c r="IO37" s="389"/>
      <c r="IP37" s="389"/>
      <c r="IQ37" s="389"/>
      <c r="IR37" s="389"/>
      <c r="IS37" s="389"/>
      <c r="IT37" s="389"/>
      <c r="IU37" s="389"/>
      <c r="IV37" s="389"/>
      <c r="IW37" s="389"/>
      <c r="IX37" s="389"/>
      <c r="IY37" s="389"/>
      <c r="IZ37" s="389"/>
      <c r="JA37" s="389"/>
      <c r="JG37" s="96"/>
      <c r="JH37" s="96"/>
      <c r="JI37" s="96"/>
      <c r="JL37" s="96"/>
      <c r="JM37" s="96"/>
      <c r="JN37" s="96"/>
      <c r="JO37" s="96"/>
    </row>
    <row r="38" spans="3:275" ht="15.75" thickBot="1" x14ac:dyDescent="0.3">
      <c r="H38" s="390"/>
      <c r="I38" s="390"/>
      <c r="J38" s="390"/>
      <c r="K38" s="390"/>
      <c r="L38" s="390"/>
      <c r="M38" s="390"/>
      <c r="N38" s="390"/>
      <c r="O38" s="390"/>
      <c r="P38" s="390"/>
      <c r="Q38" s="390"/>
      <c r="R38" s="390"/>
      <c r="S38" s="390"/>
      <c r="T38" s="390"/>
      <c r="U38" s="390"/>
      <c r="V38" s="390"/>
      <c r="W38" s="390"/>
      <c r="X38" s="390"/>
      <c r="Y38" s="390"/>
      <c r="Z38" s="390"/>
      <c r="AA38" s="390"/>
      <c r="AB38" s="390"/>
      <c r="AC38" s="390"/>
      <c r="AD38" s="390"/>
      <c r="AE38" s="390"/>
      <c r="AF38" s="390"/>
      <c r="AG38" s="390"/>
      <c r="AH38" s="390"/>
      <c r="AI38" s="390"/>
      <c r="AJ38" s="390"/>
      <c r="AK38" s="390"/>
      <c r="AL38" s="390"/>
      <c r="AM38" s="390"/>
      <c r="AN38" s="390"/>
      <c r="AO38" s="390"/>
      <c r="AP38" s="390"/>
      <c r="AQ38" s="390"/>
      <c r="AR38" s="390"/>
      <c r="AS38" s="390"/>
      <c r="AT38" s="390"/>
      <c r="AU38" s="390"/>
      <c r="AV38" s="390"/>
      <c r="AW38" s="390"/>
      <c r="AX38" s="390"/>
      <c r="AY38" s="390"/>
      <c r="AZ38" s="390"/>
      <c r="BA38" s="390"/>
      <c r="BB38" s="390"/>
      <c r="BC38" s="390"/>
      <c r="BD38" s="390"/>
      <c r="BE38" s="390"/>
      <c r="BF38" s="390"/>
      <c r="BG38" s="390"/>
      <c r="BH38" s="390"/>
      <c r="BI38" s="390"/>
      <c r="BJ38" s="390"/>
      <c r="BK38" s="390"/>
      <c r="BL38" s="390"/>
      <c r="BM38" s="390"/>
      <c r="BN38" s="390"/>
      <c r="BO38" s="390"/>
      <c r="BP38" s="390"/>
      <c r="BQ38" s="390"/>
      <c r="BR38" s="390"/>
      <c r="BS38" s="390"/>
      <c r="BT38" s="390"/>
      <c r="BU38" s="390"/>
      <c r="BV38" s="390"/>
      <c r="BW38" s="390"/>
      <c r="BX38" s="390"/>
      <c r="BY38" s="390"/>
      <c r="BZ38" s="390"/>
      <c r="CA38" s="390"/>
      <c r="CB38" s="390"/>
      <c r="CC38" s="390"/>
      <c r="CD38" s="390"/>
      <c r="CE38" s="390"/>
      <c r="CF38" s="390"/>
      <c r="CG38" s="390"/>
      <c r="CH38" s="390"/>
      <c r="CI38" s="390"/>
      <c r="CJ38" s="390"/>
      <c r="CK38" s="390"/>
      <c r="CL38" s="390"/>
      <c r="CM38" s="390"/>
      <c r="CN38" s="390"/>
      <c r="CO38" s="390"/>
      <c r="CP38" s="390"/>
      <c r="CQ38" s="390"/>
      <c r="CR38" s="390"/>
      <c r="CS38" s="390"/>
      <c r="CT38" s="390"/>
      <c r="CU38" s="390"/>
      <c r="CV38" s="390"/>
      <c r="CW38" s="390"/>
      <c r="CX38" s="390"/>
      <c r="CY38" s="390"/>
      <c r="CZ38" s="390"/>
      <c r="DA38" s="390"/>
      <c r="DB38" s="390"/>
      <c r="DC38" s="390"/>
      <c r="DD38" s="390"/>
      <c r="DE38" s="390"/>
      <c r="DF38" s="390"/>
      <c r="DG38" s="390"/>
      <c r="DH38" s="390"/>
      <c r="DI38" s="390"/>
      <c r="DJ38" s="390"/>
      <c r="DK38" s="390"/>
      <c r="DL38" s="390"/>
      <c r="DM38" s="390"/>
      <c r="DN38" s="390"/>
      <c r="DO38" s="390"/>
      <c r="DP38" s="390"/>
      <c r="DQ38" s="390"/>
      <c r="DR38" s="390"/>
      <c r="DS38" s="390"/>
      <c r="DT38" s="390"/>
      <c r="DU38" s="390"/>
      <c r="DV38" s="390"/>
      <c r="DW38" s="390"/>
      <c r="DX38" s="390"/>
      <c r="DY38" s="390"/>
      <c r="DZ38" s="390"/>
      <c r="EA38" s="390"/>
      <c r="EB38" s="390"/>
      <c r="EC38" s="390"/>
      <c r="ED38" s="390"/>
      <c r="EE38" s="390"/>
      <c r="EF38" s="390"/>
      <c r="EG38" s="390"/>
      <c r="EH38" s="390"/>
      <c r="EI38" s="390"/>
      <c r="EJ38" s="390"/>
      <c r="EK38" s="390"/>
      <c r="EL38" s="390"/>
      <c r="EM38" s="390"/>
      <c r="EN38" s="390"/>
      <c r="EO38" s="390"/>
      <c r="EP38" s="390"/>
      <c r="EQ38" s="390"/>
      <c r="ER38" s="390"/>
      <c r="ES38" s="390"/>
      <c r="ET38" s="390"/>
      <c r="EU38" s="390"/>
      <c r="EV38" s="390"/>
      <c r="EW38" s="390"/>
      <c r="EX38" s="390"/>
      <c r="EY38" s="390"/>
      <c r="EZ38" s="390"/>
      <c r="FA38" s="390"/>
      <c r="FB38" s="390"/>
      <c r="FC38" s="390"/>
      <c r="FD38" s="390"/>
      <c r="FE38" s="390"/>
      <c r="FF38" s="390"/>
      <c r="FG38" s="390"/>
      <c r="FH38" s="390"/>
      <c r="FI38" s="390"/>
      <c r="FJ38" s="390"/>
      <c r="FK38" s="390"/>
      <c r="FL38" s="390"/>
      <c r="FM38" s="390"/>
      <c r="FN38" s="390"/>
      <c r="FO38" s="390"/>
      <c r="FP38" s="390"/>
      <c r="FQ38" s="390"/>
      <c r="FR38" s="390"/>
      <c r="FS38" s="390"/>
      <c r="FT38" s="390"/>
      <c r="FU38" s="390"/>
      <c r="FV38" s="390"/>
      <c r="FW38" s="390"/>
      <c r="FX38" s="390"/>
      <c r="FY38" s="390"/>
      <c r="FZ38" s="390"/>
      <c r="GA38" s="390"/>
      <c r="GB38" s="390"/>
      <c r="GC38" s="390"/>
      <c r="GD38" s="390"/>
      <c r="GE38" s="390"/>
      <c r="GF38" s="390"/>
      <c r="GG38" s="390"/>
      <c r="GH38" s="390"/>
      <c r="GI38" s="390"/>
      <c r="GJ38" s="390"/>
      <c r="GK38" s="390"/>
      <c r="GL38" s="390"/>
      <c r="GM38" s="390"/>
      <c r="GN38" s="390"/>
      <c r="GO38" s="390"/>
      <c r="GP38" s="390"/>
      <c r="GQ38" s="390"/>
      <c r="GR38" s="390"/>
      <c r="GS38" s="390"/>
      <c r="GT38" s="390"/>
      <c r="GU38" s="390"/>
      <c r="GV38" s="390"/>
      <c r="GW38" s="390"/>
      <c r="GX38" s="390"/>
      <c r="GY38" s="390"/>
      <c r="GZ38" s="390"/>
      <c r="HA38" s="390"/>
      <c r="HB38" s="390"/>
      <c r="HC38" s="390"/>
      <c r="HD38" s="390"/>
      <c r="HE38" s="390"/>
      <c r="HF38" s="390"/>
      <c r="HG38" s="390"/>
      <c r="HH38" s="390"/>
      <c r="HI38" s="390"/>
      <c r="HJ38" s="390"/>
      <c r="HK38" s="390"/>
      <c r="HL38" s="390"/>
      <c r="HM38" s="390"/>
      <c r="HN38" s="390"/>
      <c r="HO38" s="390"/>
      <c r="HP38" s="390"/>
      <c r="HQ38" s="390"/>
      <c r="HR38" s="390"/>
      <c r="HS38" s="390"/>
      <c r="HT38" s="390"/>
      <c r="HU38" s="390"/>
      <c r="HV38" s="390"/>
      <c r="HW38" s="390"/>
      <c r="HX38" s="390"/>
      <c r="HY38" s="390"/>
      <c r="HZ38" s="390"/>
      <c r="IA38" s="390"/>
      <c r="IB38" s="390"/>
      <c r="IC38" s="390"/>
      <c r="ID38" s="390"/>
      <c r="IE38" s="390"/>
      <c r="IF38" s="390"/>
      <c r="IG38" s="390"/>
      <c r="IH38" s="390"/>
      <c r="II38" s="390"/>
      <c r="IJ38" s="390"/>
      <c r="IK38" s="390"/>
      <c r="IL38" s="390"/>
      <c r="IM38" s="390"/>
      <c r="IN38" s="390"/>
      <c r="IO38" s="390"/>
      <c r="IP38" s="390"/>
      <c r="IQ38" s="390"/>
      <c r="IR38" s="390"/>
      <c r="IS38" s="390"/>
      <c r="IT38" s="390"/>
      <c r="IU38" s="390"/>
      <c r="IV38" s="390"/>
      <c r="IW38" s="390"/>
      <c r="IX38" s="390"/>
      <c r="IY38" s="390"/>
      <c r="IZ38" s="390"/>
      <c r="JA38" s="390"/>
      <c r="JG38" s="96"/>
      <c r="JH38" s="96"/>
      <c r="JI38" s="96"/>
      <c r="JL38" s="96"/>
      <c r="JM38" s="96"/>
      <c r="JN38" s="96"/>
      <c r="JO38" s="96"/>
    </row>
    <row r="39" spans="3:275" x14ac:dyDescent="0.25">
      <c r="JG39" s="96"/>
      <c r="JH39" s="96"/>
      <c r="JI39" s="96"/>
      <c r="JL39" s="96"/>
      <c r="JM39" s="96"/>
      <c r="JN39" s="96"/>
      <c r="JO39" s="96"/>
    </row>
    <row r="40" spans="3:275" x14ac:dyDescent="0.25">
      <c r="JG40" s="96"/>
      <c r="JH40" s="96"/>
      <c r="JI40" s="96"/>
      <c r="JL40" s="96"/>
      <c r="JM40" s="96"/>
      <c r="JN40" s="96"/>
      <c r="JO40" s="96"/>
    </row>
    <row r="41" spans="3:275" x14ac:dyDescent="0.25">
      <c r="JG41" s="96"/>
      <c r="JH41" s="96"/>
      <c r="JI41" s="96"/>
      <c r="JL41" s="96"/>
      <c r="JM41" s="96"/>
      <c r="JN41" s="96"/>
      <c r="JO41" s="96"/>
    </row>
    <row r="42" spans="3:275" x14ac:dyDescent="0.25">
      <c r="JG42" s="96"/>
      <c r="JH42" s="96"/>
      <c r="JI42" s="96"/>
      <c r="JL42" s="96"/>
      <c r="JM42" s="96"/>
      <c r="JN42" s="96"/>
      <c r="JO42" s="96"/>
    </row>
    <row r="43" spans="3:275" x14ac:dyDescent="0.25">
      <c r="JG43" s="96"/>
      <c r="JH43" s="96"/>
      <c r="JI43" s="96"/>
      <c r="JL43" s="96"/>
      <c r="JM43" s="96"/>
      <c r="JN43" s="96"/>
      <c r="JO43" s="96"/>
    </row>
    <row r="44" spans="3:275" x14ac:dyDescent="0.25">
      <c r="JG44" s="96"/>
      <c r="JH44" s="96"/>
      <c r="JI44" s="96"/>
      <c r="JL44" s="96"/>
      <c r="JM44" s="96"/>
      <c r="JN44" s="96"/>
      <c r="JO44" s="96"/>
    </row>
    <row r="45" spans="3:275" x14ac:dyDescent="0.25">
      <c r="JG45" s="96"/>
      <c r="JH45" s="96"/>
      <c r="JI45" s="96"/>
      <c r="JL45" s="96"/>
      <c r="JM45" s="96"/>
      <c r="JN45" s="96"/>
      <c r="JO45" s="96"/>
    </row>
  </sheetData>
  <sheetProtection selectLockedCells="1" selectUnlockedCells="1"/>
  <mergeCells count="148">
    <mergeCell ref="C2:E2"/>
    <mergeCell ref="C3:E3"/>
    <mergeCell ref="F5:U5"/>
    <mergeCell ref="V5:AK5"/>
    <mergeCell ref="AL5:BA5"/>
    <mergeCell ref="BB5:BQ5"/>
    <mergeCell ref="FJ5:FY5"/>
    <mergeCell ref="FZ5:GO5"/>
    <mergeCell ref="GP5:HE5"/>
    <mergeCell ref="HF5:HU5"/>
    <mergeCell ref="HV5:IK5"/>
    <mergeCell ref="IL5:JA5"/>
    <mergeCell ref="BR5:CG5"/>
    <mergeCell ref="CH5:CW5"/>
    <mergeCell ref="CX5:DM5"/>
    <mergeCell ref="DN5:EC5"/>
    <mergeCell ref="ED5:ES5"/>
    <mergeCell ref="ET5:FI5"/>
    <mergeCell ref="GP6:HE6"/>
    <mergeCell ref="HF6:HU6"/>
    <mergeCell ref="HV6:IK6"/>
    <mergeCell ref="IL6:JA6"/>
    <mergeCell ref="F7:M7"/>
    <mergeCell ref="N7:U7"/>
    <mergeCell ref="V7:AC7"/>
    <mergeCell ref="AD7:AK7"/>
    <mergeCell ref="AL7:AS7"/>
    <mergeCell ref="AT7:BA7"/>
    <mergeCell ref="CX6:DM6"/>
    <mergeCell ref="DN6:EC6"/>
    <mergeCell ref="ED6:ES6"/>
    <mergeCell ref="ET6:FI6"/>
    <mergeCell ref="FJ6:FY6"/>
    <mergeCell ref="FZ6:GO6"/>
    <mergeCell ref="F6:U6"/>
    <mergeCell ref="V6:AK6"/>
    <mergeCell ref="AL6:BA6"/>
    <mergeCell ref="BB6:BQ6"/>
    <mergeCell ref="BR6:CG6"/>
    <mergeCell ref="CH6:CW6"/>
    <mergeCell ref="JD7:JE7"/>
    <mergeCell ref="F8:I8"/>
    <mergeCell ref="J8:M8"/>
    <mergeCell ref="N8:Q8"/>
    <mergeCell ref="R8:U8"/>
    <mergeCell ref="V8:Y8"/>
    <mergeCell ref="Z8:AC8"/>
    <mergeCell ref="GP7:GW7"/>
    <mergeCell ref="GX7:HE7"/>
    <mergeCell ref="HF7:HM7"/>
    <mergeCell ref="HN7:HU7"/>
    <mergeCell ref="HV7:IC7"/>
    <mergeCell ref="ID7:IK7"/>
    <mergeCell ref="ET7:FA7"/>
    <mergeCell ref="FB7:FI7"/>
    <mergeCell ref="FJ7:FQ7"/>
    <mergeCell ref="FR7:FY7"/>
    <mergeCell ref="FZ7:GG7"/>
    <mergeCell ref="GH7:GO7"/>
    <mergeCell ref="CX7:DE7"/>
    <mergeCell ref="DF7:DM7"/>
    <mergeCell ref="DN7:DU7"/>
    <mergeCell ref="DV7:EC7"/>
    <mergeCell ref="ED7:EK7"/>
    <mergeCell ref="AD8:AG8"/>
    <mergeCell ref="AH8:AK8"/>
    <mergeCell ref="AL8:AO8"/>
    <mergeCell ref="AP8:AS8"/>
    <mergeCell ref="AT8:AW8"/>
    <mergeCell ref="AX8:BA8"/>
    <mergeCell ref="IL7:IS7"/>
    <mergeCell ref="IT7:JA7"/>
    <mergeCell ref="JB7:JC7"/>
    <mergeCell ref="EL7:ES7"/>
    <mergeCell ref="BB7:BI7"/>
    <mergeCell ref="BJ7:BQ7"/>
    <mergeCell ref="BR7:BY7"/>
    <mergeCell ref="BZ7:CG7"/>
    <mergeCell ref="CH7:CO7"/>
    <mergeCell ref="CP7:CW7"/>
    <mergeCell ref="BZ8:CC8"/>
    <mergeCell ref="CD8:CG8"/>
    <mergeCell ref="CH8:CK8"/>
    <mergeCell ref="CL8:CO8"/>
    <mergeCell ref="CP8:CS8"/>
    <mergeCell ref="CT8:CW8"/>
    <mergeCell ref="BB8:BE8"/>
    <mergeCell ref="BF8:BI8"/>
    <mergeCell ref="BJ8:BM8"/>
    <mergeCell ref="BN8:BQ8"/>
    <mergeCell ref="BR8:BU8"/>
    <mergeCell ref="BV8:BY8"/>
    <mergeCell ref="DV8:DY8"/>
    <mergeCell ref="DZ8:EC8"/>
    <mergeCell ref="ED8:EG8"/>
    <mergeCell ref="EH8:EK8"/>
    <mergeCell ref="EL8:EO8"/>
    <mergeCell ref="EP8:ES8"/>
    <mergeCell ref="CX8:DA8"/>
    <mergeCell ref="DB8:DE8"/>
    <mergeCell ref="DF8:DI8"/>
    <mergeCell ref="DJ8:DM8"/>
    <mergeCell ref="DN8:DQ8"/>
    <mergeCell ref="DR8:DU8"/>
    <mergeCell ref="FZ8:GC8"/>
    <mergeCell ref="GD8:GG8"/>
    <mergeCell ref="GH8:GK8"/>
    <mergeCell ref="GL8:GO8"/>
    <mergeCell ref="ET8:EW8"/>
    <mergeCell ref="EX8:FA8"/>
    <mergeCell ref="FB8:FE8"/>
    <mergeCell ref="FF8:FI8"/>
    <mergeCell ref="FJ8:FM8"/>
    <mergeCell ref="FN8:FQ8"/>
    <mergeCell ref="IL8:IO8"/>
    <mergeCell ref="IP8:IS8"/>
    <mergeCell ref="IT8:IW8"/>
    <mergeCell ref="IX8:JA8"/>
    <mergeCell ref="H34:U38"/>
    <mergeCell ref="V34:AK38"/>
    <mergeCell ref="AL34:BA38"/>
    <mergeCell ref="BB34:BQ38"/>
    <mergeCell ref="BR34:CG38"/>
    <mergeCell ref="CH34:CW38"/>
    <mergeCell ref="HN8:HQ8"/>
    <mergeCell ref="HR8:HU8"/>
    <mergeCell ref="HV8:HY8"/>
    <mergeCell ref="HZ8:IC8"/>
    <mergeCell ref="ID8:IG8"/>
    <mergeCell ref="IH8:IK8"/>
    <mergeCell ref="GP8:GS8"/>
    <mergeCell ref="GT8:GW8"/>
    <mergeCell ref="GX8:HA8"/>
    <mergeCell ref="HB8:HE8"/>
    <mergeCell ref="HF8:HI8"/>
    <mergeCell ref="HJ8:HM8"/>
    <mergeCell ref="FR8:FU8"/>
    <mergeCell ref="FV8:FY8"/>
    <mergeCell ref="GP34:HE38"/>
    <mergeCell ref="HF34:HU38"/>
    <mergeCell ref="HV34:IK38"/>
    <mergeCell ref="IL34:JA38"/>
    <mergeCell ref="CX34:DM38"/>
    <mergeCell ref="DN34:EC38"/>
    <mergeCell ref="ED34:ES38"/>
    <mergeCell ref="ET34:FI38"/>
    <mergeCell ref="FJ34:FY38"/>
    <mergeCell ref="FZ34:GO38"/>
  </mergeCells>
  <dataValidations disablePrompts="1" count="1">
    <dataValidation type="list" allowBlank="1" showInputMessage="1" showErrorMessage="1" sqref="E20:E21">
      <formula1>#REF!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NOCHE_PESC'!$B$16:$B$26</xm:f>
          </x14:formula1>
          <xm:sqref>E10:E19 E22:E24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11</vt:i4>
      </vt:variant>
    </vt:vector>
  </HeadingPairs>
  <TitlesOfParts>
    <vt:vector size="23" baseType="lpstr">
      <vt:lpstr>EMPLEADO</vt:lpstr>
      <vt:lpstr>Reporte Asistencia Laboral</vt:lpstr>
      <vt:lpstr>CONTROL H.E.</vt:lpstr>
      <vt:lpstr>CONTROL H.E. Transf.</vt:lpstr>
      <vt:lpstr>Firma H.E</vt:lpstr>
      <vt:lpstr>Firma H.E. Transf.</vt:lpstr>
      <vt:lpstr>Dato_Pesc</vt:lpstr>
      <vt:lpstr>Dato_Transf</vt:lpstr>
      <vt:lpstr>MANUAL</vt:lpstr>
      <vt:lpstr>$ NOCHE_PESC</vt:lpstr>
      <vt:lpstr>VARIOS</vt:lpstr>
      <vt:lpstr>COPY HE</vt:lpstr>
      <vt:lpstr>'CONTROL H.E.'!Área_de_impresión</vt:lpstr>
      <vt:lpstr>'CONTROL H.E. Transf.'!Área_de_impresión</vt:lpstr>
      <vt:lpstr>EMPLEADO!Área_de_impresión</vt:lpstr>
      <vt:lpstr>'Firma H.E'!Área_de_impresión</vt:lpstr>
      <vt:lpstr>'Firma H.E. Transf.'!Área_de_impresión</vt:lpstr>
      <vt:lpstr>'Reporte Asistencia Laboral'!Área_de_impresión</vt:lpstr>
      <vt:lpstr>'CONTROL H.E.'!Títulos_a_imprimir</vt:lpstr>
      <vt:lpstr>'CONTROL H.E. Transf.'!Títulos_a_imprimir</vt:lpstr>
      <vt:lpstr>EMPLEADO!Títulos_a_imprimir</vt:lpstr>
      <vt:lpstr>'Firma H.E'!Títulos_a_imprimir</vt:lpstr>
      <vt:lpstr>'Firma H.E. Transf.'!Títulos_a_imprimir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SERVIDOR</dc:creator>
  <cp:lastModifiedBy>PRODUCCION01-PCEST</cp:lastModifiedBy>
  <cp:lastPrinted>2019-06-17T21:35:01Z</cp:lastPrinted>
  <dcterms:created xsi:type="dcterms:W3CDTF">2013-11-19T15:26:31Z</dcterms:created>
  <dcterms:modified xsi:type="dcterms:W3CDTF">2025-07-11T16:23:20Z</dcterms:modified>
</cp:coreProperties>
</file>